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ominionglobal-my.sharepoint.com/personal/felipe_moena-ext_dominion_cl/Documents/Escritorio/"/>
    </mc:Choice>
  </mc:AlternateContent>
  <xr:revisionPtr revIDLastSave="336" documentId="8_{24F116E4-70A5-44F9-8632-0D104F8B35B0}" xr6:coauthVersionLast="47" xr6:coauthVersionMax="47" xr10:uidLastSave="{FA203F6A-052B-4324-9FAC-A919C8C36039}"/>
  <bookViews>
    <workbookView xWindow="-120" yWindow="-120" windowWidth="29040" windowHeight="15720" activeTab="5" xr2:uid="{16E58C95-4F39-449F-AE68-36EA1FB3AB25}"/>
  </bookViews>
  <sheets>
    <sheet name="BD" sheetId="1" r:id="rId1"/>
    <sheet name="Despacho_01_20260702" sheetId="3" r:id="rId2"/>
    <sheet name="Despacho_02_20260722" sheetId="8" r:id="rId3"/>
    <sheet name="Despacho_03_20260728" sheetId="10" r:id="rId4"/>
    <sheet name="Despacho_04_20260728" sheetId="11" r:id="rId5"/>
    <sheet name="Despacho_05_20260810" sheetId="12" r:id="rId6"/>
    <sheet name="Acumulado" sheetId="5" r:id="rId7"/>
    <sheet name="Detalle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6" hidden="1">Acumulado!$B$2:$I$580</definedName>
    <definedName name="_xlnm._FilterDatabase" localSheetId="5" hidden="1">Despacho_05_20260810!$B$2:$H$66</definedName>
    <definedName name="ADO">#REF!</definedName>
    <definedName name="_xlnm.Print_Area" localSheetId="0">BD!$A$1:$T$216</definedName>
    <definedName name="_xlnm.Print_Area" localSheetId="7">Detalle!$A$1:$AD$83</definedName>
    <definedName name="codigo">[1]EMMC!$J$3:$J$2747</definedName>
    <definedName name="FERI">"'1.- Anexo IA-SSMS'!$Z$2:$Z$17"</definedName>
    <definedName name="FERI26">'[2]2.- Cronograma'!$U$4:$U$19</definedName>
    <definedName name="FERIADO">[1]EMMC!#REF!</definedName>
    <definedName name="FERIADO2026">"'1.- Anexo IA-SSMS'!$Z$2:$Z$17"</definedName>
    <definedName name="FERIADO26">[3]Feriado!$B$3:$B$18</definedName>
    <definedName name="feriados2026">'[4]Consolidado Anexo Ib SIN INST'!$AM$5:$AM$15</definedName>
    <definedName name="FIN">[5]MNC!$AJ$6</definedName>
    <definedName name="INICIO">#REF!</definedName>
    <definedName name="ParamValues1">[6]ParamValues!$A$1:$A$14</definedName>
    <definedName name="PISO01">[7]N01!$B$48:$S$1608</definedName>
    <definedName name="PISO04">[7]N04!$C$29:$T$331</definedName>
    <definedName name="PISO05">[7]N05!$B$20:$S$344</definedName>
    <definedName name="PISO06">[7]N06!$B$19:$S$271</definedName>
    <definedName name="PISO07">[7]N07!$B$23:$S$249</definedName>
    <definedName name="PISO2">[7]N02!$B$31:$S$1335</definedName>
    <definedName name="PISO3">[7]N03!$B$29:$S$1101</definedName>
    <definedName name="TABLA">#REF!</definedName>
    <definedName name="_xlnm.Print_Titles" localSheetId="0">BD!$4:$4</definedName>
    <definedName name="_xlnm.Print_Titles" localSheetId="7">Detalle!$1:$2</definedName>
  </definedNames>
  <calcPr calcId="191029"/>
  <pivotCaches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5" l="1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3" i="5"/>
  <c r="K3" i="5" a="1"/>
  <c r="K3" i="5" s="1"/>
  <c r="L5" i="12"/>
  <c r="L6" i="12"/>
  <c r="L7" i="12"/>
  <c r="L8" i="12"/>
  <c r="L9" i="12"/>
  <c r="L10" i="12"/>
  <c r="L11" i="12"/>
  <c r="L4" i="12"/>
  <c r="L12" i="12" l="1"/>
  <c r="M14" i="11"/>
  <c r="M13" i="11"/>
  <c r="M12" i="11"/>
  <c r="M11" i="11"/>
  <c r="M10" i="11"/>
  <c r="M9" i="11"/>
  <c r="M8" i="11"/>
  <c r="M7" i="11"/>
  <c r="M6" i="11"/>
  <c r="M5" i="11"/>
  <c r="M15" i="11" s="1"/>
  <c r="D3" i="11" a="1"/>
  <c r="D3" i="11" s="1"/>
  <c r="L19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5" i="10"/>
  <c r="J5" i="10" a="1"/>
  <c r="J5" i="10" s="1"/>
  <c r="D3" i="10" a="1"/>
  <c r="D3" i="10" s="1"/>
  <c r="M4" i="5" l="1"/>
  <c r="Z9" i="9"/>
  <c r="I163" i="9"/>
  <c r="M5" i="9"/>
  <c r="L5" i="9"/>
  <c r="K3" i="9" a="1"/>
  <c r="L10" i="9" s="1"/>
  <c r="H128" i="8"/>
  <c r="J3" i="8" a="1"/>
  <c r="Z18" i="9" l="1"/>
  <c r="Z26" i="9"/>
  <c r="Z74" i="9"/>
  <c r="Z60" i="9"/>
  <c r="Z77" i="9"/>
  <c r="Z70" i="9"/>
  <c r="Z13" i="9"/>
  <c r="Z6" i="9"/>
  <c r="Z24" i="9"/>
  <c r="Z46" i="9"/>
  <c r="Z59" i="9"/>
  <c r="Z29" i="9"/>
  <c r="Z22" i="9"/>
  <c r="Z61" i="9"/>
  <c r="Z30" i="9"/>
  <c r="Z3" i="9"/>
  <c r="Z20" i="9"/>
  <c r="Z36" i="9"/>
  <c r="Z53" i="9"/>
  <c r="Z35" i="9"/>
  <c r="Z5" i="9"/>
  <c r="M20" i="5"/>
  <c r="Z82" i="9"/>
  <c r="Z76" i="9"/>
  <c r="Z42" i="9"/>
  <c r="Z58" i="9"/>
  <c r="Z52" i="9"/>
  <c r="Z65" i="9"/>
  <c r="Z34" i="9"/>
  <c r="Z28" i="9"/>
  <c r="Z40" i="9"/>
  <c r="Z10" i="9"/>
  <c r="Z4" i="9"/>
  <c r="Z39" i="9"/>
  <c r="Z81" i="9"/>
  <c r="Z75" i="9"/>
  <c r="Z14" i="9"/>
  <c r="Z57" i="9"/>
  <c r="Z51" i="9"/>
  <c r="Z37" i="9"/>
  <c r="Z33" i="9"/>
  <c r="Z27" i="9"/>
  <c r="Z12" i="9"/>
  <c r="Z11" i="9"/>
  <c r="Z48" i="9"/>
  <c r="Z80" i="9"/>
  <c r="Z50" i="9"/>
  <c r="Z72" i="9"/>
  <c r="Z71" i="9"/>
  <c r="Z56" i="9"/>
  <c r="Z47" i="9"/>
  <c r="Z69" i="9"/>
  <c r="Z41" i="9"/>
  <c r="Z55" i="9"/>
  <c r="Z68" i="9"/>
  <c r="Z64" i="9"/>
  <c r="Z31" i="9"/>
  <c r="Z43" i="9"/>
  <c r="Z45" i="9"/>
  <c r="Z44" i="9"/>
  <c r="Z32" i="9"/>
  <c r="Z73" i="9"/>
  <c r="Z21" i="9"/>
  <c r="Z15" i="9"/>
  <c r="Z78" i="9"/>
  <c r="Z63" i="9"/>
  <c r="Z19" i="9"/>
  <c r="Z67" i="9"/>
  <c r="Z8" i="9"/>
  <c r="Z49" i="9"/>
  <c r="Z66" i="9"/>
  <c r="Z79" i="9"/>
  <c r="Z25" i="9"/>
  <c r="Z23" i="9"/>
  <c r="Z16" i="9"/>
  <c r="Z7" i="9"/>
  <c r="Z17" i="9"/>
  <c r="Z62" i="9"/>
  <c r="Z54" i="9"/>
  <c r="Z38" i="9"/>
  <c r="M7" i="9"/>
  <c r="M10" i="9"/>
  <c r="L12" i="9"/>
  <c r="M12" i="9"/>
  <c r="L15" i="9"/>
  <c r="M15" i="9"/>
  <c r="M14" i="9"/>
  <c r="L14" i="9"/>
  <c r="M9" i="9"/>
  <c r="M13" i="9"/>
  <c r="L8" i="9"/>
  <c r="K3" i="9"/>
  <c r="L9" i="9"/>
  <c r="M4" i="9"/>
  <c r="L4" i="9"/>
  <c r="L13" i="9"/>
  <c r="M8" i="9"/>
  <c r="L7" i="9"/>
  <c r="M11" i="9"/>
  <c r="L11" i="9"/>
  <c r="M6" i="9"/>
  <c r="L6" i="9"/>
  <c r="J3" i="8"/>
  <c r="K7" i="8"/>
  <c r="K9" i="8"/>
  <c r="K11" i="8"/>
  <c r="K6" i="8"/>
  <c r="K12" i="8"/>
  <c r="K13" i="8"/>
  <c r="K14" i="8"/>
  <c r="K15" i="8"/>
  <c r="K10" i="8"/>
  <c r="K8" i="8"/>
  <c r="K5" i="8"/>
  <c r="K4" i="8"/>
  <c r="L15" i="8"/>
  <c r="L14" i="8"/>
  <c r="L7" i="8"/>
  <c r="L6" i="8"/>
  <c r="L12" i="8"/>
  <c r="L10" i="8"/>
  <c r="L5" i="8"/>
  <c r="L4" i="8"/>
  <c r="L13" i="8"/>
  <c r="L11" i="8"/>
  <c r="L9" i="8"/>
  <c r="L8" i="8"/>
  <c r="M3" i="9" l="1"/>
  <c r="M16" i="9" s="1"/>
  <c r="L3" i="9"/>
  <c r="L3" i="8"/>
  <c r="L16" i="8" s="1"/>
  <c r="K3" i="8"/>
  <c r="AB9" i="9" l="1"/>
  <c r="AD9" i="9" s="1"/>
  <c r="AB75" i="9"/>
  <c r="AD75" i="9" s="1"/>
  <c r="AB66" i="9"/>
  <c r="AD66" i="9" s="1"/>
  <c r="AB4" i="9"/>
  <c r="AD4" i="9" s="1"/>
  <c r="AB59" i="9"/>
  <c r="AD59" i="9" s="1"/>
  <c r="AB51" i="9"/>
  <c r="AD51" i="9" s="1"/>
  <c r="AB43" i="9"/>
  <c r="AD43" i="9" s="1"/>
  <c r="AB35" i="9"/>
  <c r="AD35" i="9" s="1"/>
  <c r="AB27" i="9"/>
  <c r="AD27" i="9" s="1"/>
  <c r="AB19" i="9"/>
  <c r="AD19" i="9" s="1"/>
  <c r="AB8" i="9"/>
  <c r="AD8" i="9" s="1"/>
  <c r="AB74" i="9"/>
  <c r="AD74" i="9" s="1"/>
  <c r="AB42" i="9"/>
  <c r="AD42" i="9" s="1"/>
  <c r="AB34" i="9"/>
  <c r="AD34" i="9" s="1"/>
  <c r="AB18" i="9"/>
  <c r="AD18" i="9" s="1"/>
  <c r="AB12" i="9"/>
  <c r="AD12" i="9" s="1"/>
  <c r="AB76" i="9"/>
  <c r="AD76" i="9" s="1"/>
  <c r="AB68" i="9"/>
  <c r="AD68" i="9" s="1"/>
  <c r="AB60" i="9"/>
  <c r="AD60" i="9" s="1"/>
  <c r="AB52" i="9"/>
  <c r="AD52" i="9" s="1"/>
  <c r="AB44" i="9"/>
  <c r="AD44" i="9" s="1"/>
  <c r="AB36" i="9"/>
  <c r="AD36" i="9" s="1"/>
  <c r="AB28" i="9"/>
  <c r="AD28" i="9" s="1"/>
  <c r="AB20" i="9"/>
  <c r="AD20" i="9" s="1"/>
  <c r="AB13" i="9"/>
  <c r="AD13" i="9" s="1"/>
  <c r="AB67" i="9"/>
  <c r="AD67" i="9" s="1"/>
  <c r="AB58" i="9"/>
  <c r="AD58" i="9" s="1"/>
  <c r="AB82" i="9"/>
  <c r="AD82" i="9" s="1"/>
  <c r="AB50" i="9"/>
  <c r="AD50" i="9" s="1"/>
  <c r="AB26" i="9"/>
  <c r="AD26" i="9" s="1"/>
  <c r="AB80" i="9"/>
  <c r="AD80" i="9" s="1"/>
  <c r="AB72" i="9"/>
  <c r="AD72" i="9" s="1"/>
  <c r="AB64" i="9"/>
  <c r="AD64" i="9" s="1"/>
  <c r="AB56" i="9"/>
  <c r="AD56" i="9" s="1"/>
  <c r="AB48" i="9"/>
  <c r="AD48" i="9" s="1"/>
  <c r="AB40" i="9"/>
  <c r="AD40" i="9" s="1"/>
  <c r="AB32" i="9"/>
  <c r="AD32" i="9" s="1"/>
  <c r="AB24" i="9"/>
  <c r="AD24" i="9" s="1"/>
  <c r="AB16" i="9"/>
  <c r="AD16" i="9" s="1"/>
  <c r="AB11" i="9"/>
  <c r="AD11" i="9" s="1"/>
  <c r="AB6" i="9"/>
  <c r="AD6" i="9" s="1"/>
  <c r="AB79" i="9"/>
  <c r="AD79" i="9" s="1"/>
  <c r="AB71" i="9"/>
  <c r="AD71" i="9" s="1"/>
  <c r="AB63" i="9"/>
  <c r="AD63" i="9" s="1"/>
  <c r="AB55" i="9"/>
  <c r="AD55" i="9" s="1"/>
  <c r="AB47" i="9"/>
  <c r="AD47" i="9" s="1"/>
  <c r="AB39" i="9"/>
  <c r="AD39" i="9" s="1"/>
  <c r="AB31" i="9"/>
  <c r="AD31" i="9" s="1"/>
  <c r="AB23" i="9"/>
  <c r="AD23" i="9" s="1"/>
  <c r="AB15" i="9"/>
  <c r="AD15" i="9" s="1"/>
  <c r="AB41" i="9"/>
  <c r="AD41" i="9" s="1"/>
  <c r="AB61" i="9"/>
  <c r="AD61" i="9" s="1"/>
  <c r="AB81" i="9"/>
  <c r="AD81" i="9" s="1"/>
  <c r="AB53" i="9"/>
  <c r="AD53" i="9" s="1"/>
  <c r="AB21" i="9"/>
  <c r="AD21" i="9" s="1"/>
  <c r="AB17" i="9"/>
  <c r="AD17" i="9" s="1"/>
  <c r="AB77" i="9"/>
  <c r="AD77" i="9" s="1"/>
  <c r="AB70" i="9"/>
  <c r="AD70" i="9" s="1"/>
  <c r="AB38" i="9"/>
  <c r="AD38" i="9" s="1"/>
  <c r="AB37" i="9"/>
  <c r="AD37" i="9" s="1"/>
  <c r="AB57" i="9"/>
  <c r="AD57" i="9" s="1"/>
  <c r="AB22" i="9"/>
  <c r="AD22" i="9" s="1"/>
  <c r="AB78" i="9"/>
  <c r="AD78" i="9" s="1"/>
  <c r="AB49" i="9"/>
  <c r="AD49" i="9" s="1"/>
  <c r="AB46" i="9"/>
  <c r="AD46" i="9" s="1"/>
  <c r="AB14" i="9"/>
  <c r="AD14" i="9" s="1"/>
  <c r="AB73" i="9"/>
  <c r="AD73" i="9" s="1"/>
  <c r="AB45" i="9"/>
  <c r="AD45" i="9" s="1"/>
  <c r="AB54" i="9"/>
  <c r="AD54" i="9" s="1"/>
  <c r="AB69" i="9"/>
  <c r="AD69" i="9" s="1"/>
  <c r="AB10" i="9"/>
  <c r="AD10" i="9" s="1"/>
  <c r="AB25" i="9"/>
  <c r="AD25" i="9" s="1"/>
  <c r="AB65" i="9"/>
  <c r="AD65" i="9" s="1"/>
  <c r="AB62" i="9"/>
  <c r="AD62" i="9" s="1"/>
  <c r="AB33" i="9"/>
  <c r="AD33" i="9" s="1"/>
  <c r="AB30" i="9"/>
  <c r="AD30" i="9" s="1"/>
  <c r="AB7" i="9"/>
  <c r="AD7" i="9" s="1"/>
  <c r="AB29" i="9"/>
  <c r="AD29" i="9" s="1"/>
  <c r="AB5" i="9"/>
  <c r="AD5" i="9" s="1"/>
  <c r="L14" i="3"/>
  <c r="C3" i="1" a="1"/>
  <c r="C3" i="1" s="1"/>
  <c r="Z83" i="9" l="1"/>
  <c r="AD83" i="9" s="1"/>
  <c r="N83" i="9" s="1"/>
  <c r="AB3" i="9"/>
  <c r="AB83" i="9" l="1"/>
  <c r="AD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<sst xmlns="http://schemas.openxmlformats.org/spreadsheetml/2006/main" count="7679" uniqueCount="829">
  <si>
    <t>Proveedor Adjudicado</t>
  </si>
  <si>
    <t>Familia</t>
  </si>
  <si>
    <t>Piso</t>
  </si>
  <si>
    <t>Servicio</t>
  </si>
  <si>
    <t>Codigo de recinto referencial</t>
  </si>
  <si>
    <t xml:space="preserve">Nombre Recinto </t>
  </si>
  <si>
    <t>Tipo Equipo/ Mobiliario</t>
  </si>
  <si>
    <t xml:space="preserve">Nombre </t>
  </si>
  <si>
    <t>Cantidad</t>
  </si>
  <si>
    <t>INICIO</t>
  </si>
  <si>
    <t>Diálisis</t>
  </si>
  <si>
    <t>C.2.3.1</t>
  </si>
  <si>
    <t>OFICINA JEFE DIÁLISIS</t>
  </si>
  <si>
    <t>201001B</t>
  </si>
  <si>
    <t>Escritorio en L administrativo</t>
  </si>
  <si>
    <t>203016A</t>
  </si>
  <si>
    <t>Mueble Tipo Biblioteca M45_A</t>
  </si>
  <si>
    <t>C.2.3.12</t>
  </si>
  <si>
    <t>BOX EVALUACIÓN</t>
  </si>
  <si>
    <t>201001C</t>
  </si>
  <si>
    <t>Escritorio de Consultas</t>
  </si>
  <si>
    <t>C.2.3.13.1</t>
  </si>
  <si>
    <t>PUESTO DIALISADOS CRÓNICOS</t>
  </si>
  <si>
    <t>201001A</t>
  </si>
  <si>
    <t>Escritorio simple 120x70 cm</t>
  </si>
  <si>
    <t>C.2.3.13.2</t>
  </si>
  <si>
    <t>C.2.3.13.3</t>
  </si>
  <si>
    <t>C.2.3.19</t>
  </si>
  <si>
    <t xml:space="preserve">SALA POST-DIALISADOS </t>
  </si>
  <si>
    <t>Mesa Reuniones Tipo I</t>
  </si>
  <si>
    <t>C.2.3.2</t>
  </si>
  <si>
    <t>OFICINA ENFERMERA COORDINADORA                    (PERITONEO)</t>
  </si>
  <si>
    <t>C.2.3.39</t>
  </si>
  <si>
    <t>OFICINA COORDINADORA (HEMODIALISIS)</t>
  </si>
  <si>
    <t>C.2.3.6</t>
  </si>
  <si>
    <t xml:space="preserve">MESÓN DE RECEPCIÓN C/ARCHIVO Y FOTOCOPIADORA </t>
  </si>
  <si>
    <t>Med física y rehabilitación</t>
  </si>
  <si>
    <t>C.5.7.1</t>
  </si>
  <si>
    <t>MESÓN C/ARCHIVO Y FOTOCOPIADORA</t>
  </si>
  <si>
    <t>C.5.7.15</t>
  </si>
  <si>
    <t>GIMNASIO PEDIATRICO</t>
  </si>
  <si>
    <t>Mesa Párvulo Tipo I</t>
  </si>
  <si>
    <t>C.5.7.18</t>
  </si>
  <si>
    <t>SALA DE TERAPIA GRUPAL (12 MAX)</t>
  </si>
  <si>
    <t>Mesa Reuniones Tipo III</t>
  </si>
  <si>
    <t>C.5.7.19</t>
  </si>
  <si>
    <t>SALA TERÁPIA OCUP. ADULTO E INFANTIL</t>
  </si>
  <si>
    <t>C.5.7.20</t>
  </si>
  <si>
    <t>SALA DE ACTIVDAD DE LA VIDA DIARIA C/BAÑO DE INSTRUCCIÓN</t>
  </si>
  <si>
    <t>201011A</t>
  </si>
  <si>
    <t>Mesa Tipo Casino Circular</t>
  </si>
  <si>
    <t>C.5.7.21</t>
  </si>
  <si>
    <t>OFICINA JEFE REHABILITACIÓN</t>
  </si>
  <si>
    <t>C.5.7.22</t>
  </si>
  <si>
    <t>OFICINA JEFE COORDINADOR</t>
  </si>
  <si>
    <t>C.5.7.23</t>
  </si>
  <si>
    <t>SALA MULTIUSO</t>
  </si>
  <si>
    <t>C.5.7.4.1</t>
  </si>
  <si>
    <t>BOX KINESIOLOGO(1)</t>
  </si>
  <si>
    <t>C.5.7.4.2</t>
  </si>
  <si>
    <t>BOX PSICOLOGO / A. SOCIAL</t>
  </si>
  <si>
    <t>C.5.7.5.1</t>
  </si>
  <si>
    <t>BOX INDIFERENCIADO (FONOAUDIO Y TERAPIA OCU)(1)</t>
  </si>
  <si>
    <t>C.5.7.5.2</t>
  </si>
  <si>
    <t>BOX INDIFERENCIADO (FONOAUDIO Y TERAPIA OCU)(2)</t>
  </si>
  <si>
    <t>C.5.7.5.2.1</t>
  </si>
  <si>
    <t>BOX FONOAUDIO PEDIATRICO</t>
  </si>
  <si>
    <t>Morgue</t>
  </si>
  <si>
    <t>C.5.9.2</t>
  </si>
  <si>
    <t>ESPACIO PARA DEUDOS</t>
  </si>
  <si>
    <t>Mesa Lateral</t>
  </si>
  <si>
    <t>C.5.9.5</t>
  </si>
  <si>
    <t>MESÓN RECEPCIÓN DE REGISTRO DE INFORMES</t>
  </si>
  <si>
    <t>C.5.9.7</t>
  </si>
  <si>
    <t>VESTIDOR Y ENTREGA FAMILIARES</t>
  </si>
  <si>
    <t>Total general</t>
  </si>
  <si>
    <t xml:space="preserve">Mesa Tipo Casino </t>
  </si>
  <si>
    <t>Escritorio en L administrativo Derecho</t>
  </si>
  <si>
    <t>Escritorio en L administrativo Izquierdo</t>
  </si>
  <si>
    <t xml:space="preserve">DETALLE </t>
  </si>
  <si>
    <t xml:space="preserve">Tipo </t>
  </si>
  <si>
    <t>Nombre</t>
  </si>
  <si>
    <t>TOTAL</t>
  </si>
  <si>
    <t>(Todas)</t>
  </si>
  <si>
    <t>Abastecimiento</t>
  </si>
  <si>
    <t>D.3.3.3.1</t>
  </si>
  <si>
    <t>COORDINADOR BODEGA</t>
  </si>
  <si>
    <t>Silla Visita</t>
  </si>
  <si>
    <t>204006A</t>
  </si>
  <si>
    <t>Silla Ergonómica Reforzada</t>
  </si>
  <si>
    <t>D.3.3.3.10</t>
  </si>
  <si>
    <t>ESTAR PERSONAL C/ KITCHENETTE</t>
  </si>
  <si>
    <t>Silla tipo Casino</t>
  </si>
  <si>
    <t>Sillón 1 Cuerpo</t>
  </si>
  <si>
    <t>D.3.3.3.11</t>
  </si>
  <si>
    <t>ÁREA REGISTRO BODEGA GENERAL</t>
  </si>
  <si>
    <t>204006C</t>
  </si>
  <si>
    <t>Silla Ergonómica</t>
  </si>
  <si>
    <t>D.3.3.3.2</t>
  </si>
  <si>
    <t>MESÓN DE RECEPCIÓN C/ARCHIVO Y FOTOCOPIADORA</t>
  </si>
  <si>
    <t>Silla Butaca Espera 3 Cuerpos</t>
  </si>
  <si>
    <t>D.3.3.3.22</t>
  </si>
  <si>
    <t>ÁREA REGISTRO BODEGA FARMACIA E INSUMOS</t>
  </si>
  <si>
    <t>201001E</t>
  </si>
  <si>
    <t>Punto de registro clínico</t>
  </si>
  <si>
    <t>204002C</t>
  </si>
  <si>
    <t>Banca Madera_C</t>
  </si>
  <si>
    <t>204002A</t>
  </si>
  <si>
    <t>Banca Madera_A</t>
  </si>
  <si>
    <t>Carro de transporte alto</t>
  </si>
  <si>
    <t>Carro de Transporte cajas plásticas</t>
  </si>
  <si>
    <t>Carro de transporte pallet</t>
  </si>
  <si>
    <t>Carro dual dos ruedas</t>
  </si>
  <si>
    <t>Carro metálico</t>
  </si>
  <si>
    <t>Carro plataforma de carga</t>
  </si>
  <si>
    <t>Pallet</t>
  </si>
  <si>
    <t>Cafetería</t>
  </si>
  <si>
    <t>CAFETERÍA</t>
  </si>
  <si>
    <t>201011B</t>
  </si>
  <si>
    <t>Mesa Tipo Casino Redonda 90 cm</t>
  </si>
  <si>
    <t>Consultas medicas generales</t>
  </si>
  <si>
    <t>A.1.3</t>
  </si>
  <si>
    <t>OFICINA INTERCULTURAL</t>
  </si>
  <si>
    <t>A.1.5</t>
  </si>
  <si>
    <t>OFICINA COMPIN</t>
  </si>
  <si>
    <t>A.1.6</t>
  </si>
  <si>
    <t>OFICINA FONASA</t>
  </si>
  <si>
    <t>B.3.1.1</t>
  </si>
  <si>
    <t>OFICINA JEFE OIRS</t>
  </si>
  <si>
    <t>C.1.2.1</t>
  </si>
  <si>
    <t>MÓD. DE TRABAJO PROFESIONALES (gestión de la demanda)</t>
  </si>
  <si>
    <t>C.1.2.1.1</t>
  </si>
  <si>
    <t>MÓDULO DE TRABAJO PROFESIONALES GES</t>
  </si>
  <si>
    <t>C.1.2.1.2</t>
  </si>
  <si>
    <t>MÓDULO DE TRABAJO PROFESIONALES LISTA DE ESPERA</t>
  </si>
  <si>
    <t>C.1.2.1.3</t>
  </si>
  <si>
    <t>C.1.2.2</t>
  </si>
  <si>
    <t>MÓDULO DE TRABAJO ADMINISTRATIVOS GES</t>
  </si>
  <si>
    <t>C.1.2.2.1</t>
  </si>
  <si>
    <t>MÓDULO DE TRABAJO ADMINISTRATIVOS MANTENCIÓN DE AGENDA</t>
  </si>
  <si>
    <t>C.1.2.2.2</t>
  </si>
  <si>
    <t>MÓDULO DE TRABAJO ADMINISTRATIVOS LISTA DE ESPERA</t>
  </si>
  <si>
    <t>Caja Fuerte Tipo I</t>
  </si>
  <si>
    <t>D.1.1.1.1</t>
  </si>
  <si>
    <t>OFICINA JEFE SOME</t>
  </si>
  <si>
    <t>D.1.1.1.2</t>
  </si>
  <si>
    <t>SECRETARIA C/ARCH. Y FOTO</t>
  </si>
  <si>
    <t>D.1.1.1.3</t>
  </si>
  <si>
    <t>MODULOS DE TRABAJO (OPERADOR TELEFONICO)</t>
  </si>
  <si>
    <t>D.2.2.2.6</t>
  </si>
  <si>
    <t>COORDINADOR GENERAL RS</t>
  </si>
  <si>
    <t>D.2.2.4.1</t>
  </si>
  <si>
    <t>MÓDULOS DE TRABAJO (operadores telefónicos)</t>
  </si>
  <si>
    <t>D.2.2.4.3</t>
  </si>
  <si>
    <t>Sillón 2 Cuerpo</t>
  </si>
  <si>
    <t>D.2.2.6.1</t>
  </si>
  <si>
    <t>COORDINADOR SERVICIOS EXTERNALIZADOS</t>
  </si>
  <si>
    <t>D.2.2.6.13</t>
  </si>
  <si>
    <t>MONITOREO VIGILANCIA</t>
  </si>
  <si>
    <t>204002D</t>
  </si>
  <si>
    <t>Banca Madera_D</t>
  </si>
  <si>
    <t>D.2.2.6.7</t>
  </si>
  <si>
    <t>Cuidados Paliativos</t>
  </si>
  <si>
    <t>C.2.4.1</t>
  </si>
  <si>
    <t>OFICINA JEFE CUIDADOS PALIATIVOS</t>
  </si>
  <si>
    <t>C.2.4.1.1</t>
  </si>
  <si>
    <t>OFICINA ENFERMERA</t>
  </si>
  <si>
    <t>C.2.4.17</t>
  </si>
  <si>
    <t>SALA MULTIPROPÓSITO</t>
  </si>
  <si>
    <t>SALA DE ESPERA</t>
  </si>
  <si>
    <t>C.2.4.5</t>
  </si>
  <si>
    <t>BOX MÉDICO</t>
  </si>
  <si>
    <t>C.2.4.6.1</t>
  </si>
  <si>
    <t>BOX MULTIPROPÓSITO (1)</t>
  </si>
  <si>
    <t>C.2.4.6.2</t>
  </si>
  <si>
    <t>BOX MULTIPROPÓSITO (2)</t>
  </si>
  <si>
    <t>SALA DE PROCEDIMIENTOS</t>
  </si>
  <si>
    <t>204006B</t>
  </si>
  <si>
    <t>Taburete con Ruedas sin Respaldo</t>
  </si>
  <si>
    <t>Escalera Tijera</t>
  </si>
  <si>
    <t>Imagenología</t>
  </si>
  <si>
    <t>C.5.3.12</t>
  </si>
  <si>
    <t>SECRETARIA C/ARCHIVO, FOTOCOP.</t>
  </si>
  <si>
    <t>C.5.3.13</t>
  </si>
  <si>
    <t>OFICINA JEFE IMAGENOLOGÍA</t>
  </si>
  <si>
    <t>C.5.3.14</t>
  </si>
  <si>
    <t>COORDINADOR IMAGENOLOGÍA</t>
  </si>
  <si>
    <t>C.5.3.15</t>
  </si>
  <si>
    <t>MÓDULO DE TRABAJO (INFORMES)</t>
  </si>
  <si>
    <t>C.5.3.16</t>
  </si>
  <si>
    <t>SALA DE INFORMES Y DIAGNÓSTICO A DISTANCIA + IMPRESIÓN</t>
  </si>
  <si>
    <t>C.5.3.17</t>
  </si>
  <si>
    <t>C.5.3.8</t>
  </si>
  <si>
    <t>SALA ECOTOMOGRAFO GINECO-OBSTETRICO (EQUIPO/VESTIDOR)</t>
  </si>
  <si>
    <t>C.5.3.9.1</t>
  </si>
  <si>
    <t>SALA ECOTOMOGRAFO INDIFERENCIADO (EQUIPO/VESTIDOR)</t>
  </si>
  <si>
    <t>C.5.3.9.2</t>
  </si>
  <si>
    <t>Lavandería</t>
  </si>
  <si>
    <t>D.2.2.5.1</t>
  </si>
  <si>
    <t>OFICINA COORDINADOR ROPERÍA</t>
  </si>
  <si>
    <t>Mesa Trabajo Individual</t>
  </si>
  <si>
    <t>Pizarra Acrílica</t>
  </si>
  <si>
    <t>Silla Apilable de Base Ancha</t>
  </si>
  <si>
    <t>Silla Párvulo</t>
  </si>
  <si>
    <t>Cama 1 1/2 Plaza</t>
  </si>
  <si>
    <t>Velador</t>
  </si>
  <si>
    <t>Mesa Reuniones Plegable</t>
  </si>
  <si>
    <t>Adaptador de llaves</t>
  </si>
  <si>
    <t>Estación de órtesis metálica</t>
  </si>
  <si>
    <t>Sala Cuna</t>
  </si>
  <si>
    <t>H.2.11.1</t>
  </si>
  <si>
    <t>NIVEL MEDIO MENOR</t>
  </si>
  <si>
    <t>Mesa Párvulo Tipo II</t>
  </si>
  <si>
    <t>Atril graduable</t>
  </si>
  <si>
    <t>Cama Apilable</t>
  </si>
  <si>
    <t>Mueble Locker</t>
  </si>
  <si>
    <t>Librero</t>
  </si>
  <si>
    <t>Perchero</t>
  </si>
  <si>
    <t>Contenedor</t>
  </si>
  <si>
    <t>Silla Adulto</t>
  </si>
  <si>
    <t>203010A</t>
  </si>
  <si>
    <t>Colchoneta Reposo A</t>
  </si>
  <si>
    <t>H.2.11.2</t>
  </si>
  <si>
    <t>NIVEL MEDIO MAYOR</t>
  </si>
  <si>
    <t xml:space="preserve">Banca </t>
  </si>
  <si>
    <t>H.2.3</t>
  </si>
  <si>
    <t>OFICINA DIRECTORA</t>
  </si>
  <si>
    <t>H.2.4</t>
  </si>
  <si>
    <t>OFICINA 2 EDUCADORAS</t>
  </si>
  <si>
    <t>Mueble Arrimo</t>
  </si>
  <si>
    <t>H.2.6</t>
  </si>
  <si>
    <t>SALA CONTROL SALUD</t>
  </si>
  <si>
    <t>H.2.7</t>
  </si>
  <si>
    <t>SALA MULTIUSO 1</t>
  </si>
  <si>
    <t>H.2.8.1</t>
  </si>
  <si>
    <t>NIVEL SALA CUNA 1</t>
  </si>
  <si>
    <t>Mesa Párvulo Inclusión</t>
  </si>
  <si>
    <t>Cuna Alta</t>
  </si>
  <si>
    <t>Cuna Baja</t>
  </si>
  <si>
    <t>Silla Bacinica</t>
  </si>
  <si>
    <t>Silla Lactante</t>
  </si>
  <si>
    <t>Silla Nido</t>
  </si>
  <si>
    <t>Silla de Apoyo Hora de Ingesta</t>
  </si>
  <si>
    <t>H.2.8.2</t>
  </si>
  <si>
    <t>NIVEL SALA CUNA 2</t>
  </si>
  <si>
    <t>203010B</t>
  </si>
  <si>
    <t>Colchoneta Reposo B</t>
  </si>
  <si>
    <t>BOX MULTIPROPÓSITO</t>
  </si>
  <si>
    <t>SALA ESTIMULACIÓN COGNITIVA</t>
  </si>
  <si>
    <t>Cama 1 Plaza</t>
  </si>
  <si>
    <t>OFICINA ENFERMERA COORDINADORA</t>
  </si>
  <si>
    <t>Juego Taca - Taca</t>
  </si>
  <si>
    <t>Juego Tenis de Mesa</t>
  </si>
  <si>
    <t>SALA DE PROCEDIMIENTO</t>
  </si>
  <si>
    <t>SALA DE REUNIONES</t>
  </si>
  <si>
    <t>Mesa Reuniones Tipo II</t>
  </si>
  <si>
    <t>SALA DE ESTAR FAMILIARES</t>
  </si>
  <si>
    <t>Urgencia</t>
  </si>
  <si>
    <t>C.3.6.2.8</t>
  </si>
  <si>
    <t>BOX ATENCIÓN MEDICO C/BAÑO Y ECO</t>
  </si>
  <si>
    <t>C.3.6.2.8.1</t>
  </si>
  <si>
    <t>BOX MATRONA</t>
  </si>
  <si>
    <t>C.4.1.2</t>
  </si>
  <si>
    <t>OF. JEFE CR AT. URGENCIA</t>
  </si>
  <si>
    <t>C.4.1.3</t>
  </si>
  <si>
    <t>COORDINADOR CR AT. URGENCIA</t>
  </si>
  <si>
    <t>C.4.1.5</t>
  </si>
  <si>
    <t>Mesa Plegable</t>
  </si>
  <si>
    <t>C.4.2.5</t>
  </si>
  <si>
    <t>SALA CARABINERO C/BAÑO</t>
  </si>
  <si>
    <t>C.4.2.7</t>
  </si>
  <si>
    <t>SALA ENTREVISTA FAMILIARES PACIENTES</t>
  </si>
  <si>
    <t>Tarima</t>
  </si>
  <si>
    <t>SALA TELEMEDICINA</t>
  </si>
  <si>
    <t>C.4.5.1.2</t>
  </si>
  <si>
    <t>C.4.5.14</t>
  </si>
  <si>
    <t>SALA DE ESPERA ACOGIDA</t>
  </si>
  <si>
    <t>C.4.5.15</t>
  </si>
  <si>
    <t>SALA ENTREVISTA ACOGIDA</t>
  </si>
  <si>
    <t>C.4.5.16</t>
  </si>
  <si>
    <t>BOX AT. ACOGIDA C/BAÑO Y DUCHA</t>
  </si>
  <si>
    <t>Sillón Bergere</t>
  </si>
  <si>
    <t>C.4.6.2.1</t>
  </si>
  <si>
    <t>C.4.6.2.2</t>
  </si>
  <si>
    <t>C.4.6.2.3</t>
  </si>
  <si>
    <t>C.4.6.4</t>
  </si>
  <si>
    <t>204002B</t>
  </si>
  <si>
    <t>Banca Madera_B</t>
  </si>
  <si>
    <t>D.2.2.3.2</t>
  </si>
  <si>
    <t>H.1.2</t>
  </si>
  <si>
    <t>SALA MULTIUSO CON KITCHENETTE</t>
  </si>
  <si>
    <t>H.1.3.1</t>
  </si>
  <si>
    <t>OFICINA MULTIUSO</t>
  </si>
  <si>
    <t>H.1.5</t>
  </si>
  <si>
    <t>Administración y apoyo general</t>
  </si>
  <si>
    <t>Podio Ecuménico</t>
  </si>
  <si>
    <t>Banca Ecuménica</t>
  </si>
  <si>
    <t>Biblioteca</t>
  </si>
  <si>
    <t>C.2.6.2.2</t>
  </si>
  <si>
    <t>E.2.3.1</t>
  </si>
  <si>
    <t>SALA TRABAJO GRUPAL</t>
  </si>
  <si>
    <t>E.2.3.2</t>
  </si>
  <si>
    <t>E.2.4</t>
  </si>
  <si>
    <t>SALA DE LECTURA</t>
  </si>
  <si>
    <t>A.1.7.2</t>
  </si>
  <si>
    <t xml:space="preserve">Central de Alimentación </t>
  </si>
  <si>
    <t>C.5.8.1.1.1</t>
  </si>
  <si>
    <t>OFICINA JEFE NUTRICIONISTA</t>
  </si>
  <si>
    <t>C.5.8.1.1.2</t>
  </si>
  <si>
    <t>C.5.8.1.1.5</t>
  </si>
  <si>
    <t>C.5.8.2.1</t>
  </si>
  <si>
    <t>JEFE CENTRAL DE ALIMENTACIÓN</t>
  </si>
  <si>
    <t>Carro de Carga</t>
  </si>
  <si>
    <t>Carro de Transporte</t>
  </si>
  <si>
    <t>C.5.8.2.14</t>
  </si>
  <si>
    <t>BODEGA DIARIA ALIMENTOS NO PERECIBLES (ABARROTES)</t>
  </si>
  <si>
    <t>C.5.8.2.2</t>
  </si>
  <si>
    <t>C.5.8.2.24</t>
  </si>
  <si>
    <t>OFICINA SUPERVISORA</t>
  </si>
  <si>
    <t>C.5.8.2.33</t>
  </si>
  <si>
    <t>PREP. DE BANDEJAS, MONTAJE DE CARROS Y DESP.</t>
  </si>
  <si>
    <t>C.5.8.2.7</t>
  </si>
  <si>
    <t>E.5.1.1</t>
  </si>
  <si>
    <t>SALA MULTIUSO (labores administrativas)</t>
  </si>
  <si>
    <t>Comedor para funcionarios y público</t>
  </si>
  <si>
    <t>E.3.5</t>
  </si>
  <si>
    <t>COMEDORES PARA FUNCIONARIOS</t>
  </si>
  <si>
    <t>Carro Bandejero</t>
  </si>
  <si>
    <t>E.3.8</t>
  </si>
  <si>
    <t>OFICINA ADMINISTRADOR</t>
  </si>
  <si>
    <t>Consultas Ambulatorias</t>
  </si>
  <si>
    <t>D.1.2.1</t>
  </si>
  <si>
    <t>D.1.2.2</t>
  </si>
  <si>
    <t>OFICINA JEFE TIC</t>
  </si>
  <si>
    <t>D.1.2.3</t>
  </si>
  <si>
    <t>MÓDULOS DE TRABAJO DESARROLLO Y MANTENCIÓN</t>
  </si>
  <si>
    <t>D.4.4.1.2</t>
  </si>
  <si>
    <t>COORDINADOR SALUD DEL TRABAJADOR</t>
  </si>
  <si>
    <t>D.4.4.1.3.1</t>
  </si>
  <si>
    <t>BOX DE ATENCIÓN</t>
  </si>
  <si>
    <t>D.4.4.1.3.2</t>
  </si>
  <si>
    <t>D.4.4.1.3.3</t>
  </si>
  <si>
    <t>D.4.4.2.1</t>
  </si>
  <si>
    <t>COORD. SALUD OCUP. Y PREVEN. DE RIESGOS</t>
  </si>
  <si>
    <t>D.4.4.2.2</t>
  </si>
  <si>
    <t>MÓDULO DE TRABAJO</t>
  </si>
  <si>
    <t>C.2.2.2.10</t>
  </si>
  <si>
    <t>BOX MATRONA C/BAÑO</t>
  </si>
  <si>
    <t>C.2.2.2.11.1</t>
  </si>
  <si>
    <t>BOX ENFERMERA POLICLÍNICO</t>
  </si>
  <si>
    <t>C.2.2.2.11.2</t>
  </si>
  <si>
    <t>C.2.2.2.12</t>
  </si>
  <si>
    <t>BOX MEDICINA COMPLEMENTARIA Y ALTERNATIVA</t>
  </si>
  <si>
    <t>C.2.2.2.13</t>
  </si>
  <si>
    <t>C.2.2.2.14</t>
  </si>
  <si>
    <t>SALA PROCEDIMIENTOS MONITOREO FETAL</t>
  </si>
  <si>
    <t>C.2.2.2.15</t>
  </si>
  <si>
    <t>SALA PROCEDIMIENTOS GINECO-OBSTÉTRICO</t>
  </si>
  <si>
    <t>C.2.2.2.16</t>
  </si>
  <si>
    <t>SALA PROCEDIMIENTOS ENFERMERÍA INFANTIL</t>
  </si>
  <si>
    <t>C.2.2.2.17.1</t>
  </si>
  <si>
    <t>SALA DE PROCEDIMIENTOS ENFERMERÍA ADULTO</t>
  </si>
  <si>
    <t>C.2.2.2.17.2</t>
  </si>
  <si>
    <t>C.2.2.2.17.3</t>
  </si>
  <si>
    <t>C.2.2.2.17.6</t>
  </si>
  <si>
    <t>BOX GERIATRÍA</t>
  </si>
  <si>
    <t>C.2.2.2.3</t>
  </si>
  <si>
    <t>SALA PREPARACIÓN DE PACIENTES ADULTO</t>
  </si>
  <si>
    <t>C.2.2.2.4</t>
  </si>
  <si>
    <t>SALA PREPARACIÓN DE PACIENTES INFANTIL</t>
  </si>
  <si>
    <t>C.2.2.2.5</t>
  </si>
  <si>
    <t>BOX INFANTIL</t>
  </si>
  <si>
    <t>C.2.2.2.6.1</t>
  </si>
  <si>
    <t>BOX MEDICINA ADULTOS</t>
  </si>
  <si>
    <t>C.2.2.2.6.2</t>
  </si>
  <si>
    <t>C.2.2.2.6.3</t>
  </si>
  <si>
    <t>C.2.2.2.6.4</t>
  </si>
  <si>
    <t>C.2.2.2.7.1</t>
  </si>
  <si>
    <t>BOX CIRUGÍA ADULTOS</t>
  </si>
  <si>
    <t>C.2.2.2.7.2</t>
  </si>
  <si>
    <t>C.2.2.2.8.1</t>
  </si>
  <si>
    <t>BOX GINECOLOGÍA C/BAÑO</t>
  </si>
  <si>
    <t>C.2.2.2.8.2</t>
  </si>
  <si>
    <t>C.2.2.2.9</t>
  </si>
  <si>
    <t>BOX OBSTETRICIA C/BAÑO</t>
  </si>
  <si>
    <t>C.2.2.3.10</t>
  </si>
  <si>
    <t>SALA PROCEDIMIENTOS TRAUMATOLOGÍA INFANTIL</t>
  </si>
  <si>
    <t>C.2.2.3.11</t>
  </si>
  <si>
    <t>SALA PROCEDIMIENTOS TRAUMATOLOGÍA ADULTO</t>
  </si>
  <si>
    <t>C.2.2.3.12</t>
  </si>
  <si>
    <t>SALA TEST DE ESFUERZO Y ESPIROMETRÍA</t>
  </si>
  <si>
    <t>C.2.2.3.13</t>
  </si>
  <si>
    <t>SALA DE PROCEDIMIENTOS CARDIOLÓGICOS</t>
  </si>
  <si>
    <t>C.2.2.3.14.1</t>
  </si>
  <si>
    <t>SALA PROCEDIMIENTOS ENDOSCOPÍA INDIFERENCIADO</t>
  </si>
  <si>
    <t>C.2.2.3.14.2</t>
  </si>
  <si>
    <t>C.2.2.3.14.3</t>
  </si>
  <si>
    <t>MESÓN RECEPCIÓN</t>
  </si>
  <si>
    <t>C.2.2.3.2.2</t>
  </si>
  <si>
    <t>C.2.2.3.3</t>
  </si>
  <si>
    <t>BOX CARDIO OTORRINO</t>
  </si>
  <si>
    <t>C.2.2.3.4</t>
  </si>
  <si>
    <t>BOX OFTALMO URO NEFRO (INDIFERENCIDO)</t>
  </si>
  <si>
    <t>C.2.2.3.5</t>
  </si>
  <si>
    <t>BOX TRAUMATOLOGÍA</t>
  </si>
  <si>
    <t>C.2.2.3.6</t>
  </si>
  <si>
    <t>SALA DE PROCEDIMIENTOS OFTALMO SIMPLE</t>
  </si>
  <si>
    <t>C.2.2.3.7</t>
  </si>
  <si>
    <t>SALA DE PROCEDIMIENTOS OFTALMO COMPLEJO</t>
  </si>
  <si>
    <t>C.2.2.3.8</t>
  </si>
  <si>
    <t>SALA PROCEDIMIENTOS OTORRINO ESTUDIOS AUDITIVOS</t>
  </si>
  <si>
    <t>C.2.2.3.9</t>
  </si>
  <si>
    <t>SALA PROCEDIMIENTOS OTORRINO VIII PAR</t>
  </si>
  <si>
    <t>Contabilidad</t>
  </si>
  <si>
    <t>D.3.1.1.2</t>
  </si>
  <si>
    <t>SECRETARÍA C/ARCHIVO Y FOTOCOPIADORA</t>
  </si>
  <si>
    <t>D.3.1.3</t>
  </si>
  <si>
    <t>OF. JEFE ABASTECIMIENTO</t>
  </si>
  <si>
    <t>D.3.3.1.1</t>
  </si>
  <si>
    <t>OFICINA COORDINADOR DQUISICIONES</t>
  </si>
  <si>
    <t>D.3.3.1.2</t>
  </si>
  <si>
    <t>MÓDULO DE TRABAJO EJECUTIVO DE COMPRA</t>
  </si>
  <si>
    <t>D.3.3.1.3</t>
  </si>
  <si>
    <t>MÓDULO DE TRABAJO QUÍMICO FARMACEUTICO</t>
  </si>
  <si>
    <t>D.3.3.2.2</t>
  </si>
  <si>
    <t>D.3.3.2.3</t>
  </si>
  <si>
    <t>MÓDULO DE TRABAJO EJECUTIVO LICITACIONES</t>
  </si>
  <si>
    <t>D.3.3.2.5</t>
  </si>
  <si>
    <t>OFICINA ADMINISTRADOR DE CONTRATOS</t>
  </si>
  <si>
    <t>D.3.3.3.30</t>
  </si>
  <si>
    <t>OFICINA COORDINADOR CENTRAL</t>
  </si>
  <si>
    <t>D.3.3.3.31</t>
  </si>
  <si>
    <t>D.3.4.1</t>
  </si>
  <si>
    <t>SALA DE REUNIONES (15 pp)</t>
  </si>
  <si>
    <t>Farmacia</t>
  </si>
  <si>
    <t>C.5.4.16</t>
  </si>
  <si>
    <t>OFICINA JEFE (incl. bodega de estupefacientes)</t>
  </si>
  <si>
    <t>C.5.4.18</t>
  </si>
  <si>
    <t>C.5.4.19</t>
  </si>
  <si>
    <t>MODULO DE TRABAJO QUIMICOS FARMACEUTICOS</t>
  </si>
  <si>
    <t>201001D</t>
  </si>
  <si>
    <t>Escritorio simple 130x70 cm</t>
  </si>
  <si>
    <t>C.5.4.2</t>
  </si>
  <si>
    <t>MÓDULOS DE ENTREVISTA Y EDUCACIÓN</t>
  </si>
  <si>
    <t>C.5.4.20</t>
  </si>
  <si>
    <t>C.5.4.28</t>
  </si>
  <si>
    <t>BODEGA ACTIVA MEDICAMENTOS</t>
  </si>
  <si>
    <t>C.5.4.29</t>
  </si>
  <si>
    <t>BODEGA ACTIVA DE INSUMOS Y SOLUCIONES ANTISÉPTICAS</t>
  </si>
  <si>
    <t>C.5.4.3</t>
  </si>
  <si>
    <t>SALA DE TRABAJO GRUPAL</t>
  </si>
  <si>
    <t>Hospital de día</t>
  </si>
  <si>
    <t>C.2.5.1.1</t>
  </si>
  <si>
    <t>C.2.5.1.2</t>
  </si>
  <si>
    <t>OFICINA JEFE SALUD MENTAL</t>
  </si>
  <si>
    <t>C.2.5.1.3</t>
  </si>
  <si>
    <t>OF.COORDINADOR SALUD MENTAL</t>
  </si>
  <si>
    <t>C.2.5.3.15</t>
  </si>
  <si>
    <t>SALA DE SEGUIMIENTO ENTREVISTA (MONITOR)</t>
  </si>
  <si>
    <t>Silla Tipo Universitaria</t>
  </si>
  <si>
    <t>C.2.5.4.1</t>
  </si>
  <si>
    <t>C.2.5.4.10</t>
  </si>
  <si>
    <t xml:space="preserve">BOX ATENCIÓN </t>
  </si>
  <si>
    <t>203016B</t>
  </si>
  <si>
    <t>Mueble Tipo Biblioteca M45_B</t>
  </si>
  <si>
    <t>C.2.5.4.11.1</t>
  </si>
  <si>
    <t xml:space="preserve">BOX 2 MULTIPROPOSITO </t>
  </si>
  <si>
    <t>C.2.5.4.11.2</t>
  </si>
  <si>
    <t>C.2.5.4.12</t>
  </si>
  <si>
    <t>SALA DE ENTREVISTAS</t>
  </si>
  <si>
    <t>C.2.5.4.13</t>
  </si>
  <si>
    <t>C.2.5.4.14</t>
  </si>
  <si>
    <t>C.2.5.4.16</t>
  </si>
  <si>
    <t>TALLER DE COMPUTACIÓN</t>
  </si>
  <si>
    <t>C.2.5.4.17</t>
  </si>
  <si>
    <t>SALA DE ESTAR /COMEDOR</t>
  </si>
  <si>
    <t>C.2.5.4.3</t>
  </si>
  <si>
    <t>OF. JEFE HOSP.DIA</t>
  </si>
  <si>
    <t>C.2.5.4.4</t>
  </si>
  <si>
    <t>OF. COORDINADOR HOSP. DÍA</t>
  </si>
  <si>
    <t>C.2.5.4.5</t>
  </si>
  <si>
    <t>MOD. DE TRABAJO (MONITORES)</t>
  </si>
  <si>
    <t>C.2.5.4.6</t>
  </si>
  <si>
    <t>C.2.5.4.8</t>
  </si>
  <si>
    <t>E.5.1.2</t>
  </si>
  <si>
    <t>E.5.1.3</t>
  </si>
  <si>
    <t>E.5.2.2</t>
  </si>
  <si>
    <t>SALA DE REUNIONES C/KITCHENETTE</t>
  </si>
  <si>
    <t>E.5.2.3</t>
  </si>
  <si>
    <t>Laboratorio</t>
  </si>
  <si>
    <t>C.5.2.10</t>
  </si>
  <si>
    <t>SALA DE ESPERA SECUNDARIA Y REUNIONES</t>
  </si>
  <si>
    <t>C.5.2.11</t>
  </si>
  <si>
    <t>OFICINA SECRETARÍA</t>
  </si>
  <si>
    <t>C.5.2.12</t>
  </si>
  <si>
    <t>OFICINA JEFE LABORATORIO</t>
  </si>
  <si>
    <t>C.5.2.13</t>
  </si>
  <si>
    <t>MÓDULO DE TRABAJO TECNÓLOGO MÉDICO</t>
  </si>
  <si>
    <t>C.5.2.14</t>
  </si>
  <si>
    <t>C.5.2.2</t>
  </si>
  <si>
    <t>C.5.2.29</t>
  </si>
  <si>
    <t>C.5.2.33.1</t>
  </si>
  <si>
    <t>OFICINA TECNÓLOGO</t>
  </si>
  <si>
    <t>TOMA DE MUESTRA COMUN</t>
  </si>
  <si>
    <t>C.5.2.4.2</t>
  </si>
  <si>
    <t>C.5.2.4.4</t>
  </si>
  <si>
    <t>C.5.2.4.5</t>
  </si>
  <si>
    <t>TOMA DE MUESTRA PEDIÁTRICA (1CUPO)</t>
  </si>
  <si>
    <t>C.5.2.4.7</t>
  </si>
  <si>
    <t>TOMA DE MUESTRA URO GINE</t>
  </si>
  <si>
    <t>C.5.2.6</t>
  </si>
  <si>
    <t>SALA DE TRANSFUSION AMBULATORIA</t>
  </si>
  <si>
    <t>E.5.1.4</t>
  </si>
  <si>
    <t>E.5.2.1</t>
  </si>
  <si>
    <t>E.5.2.4</t>
  </si>
  <si>
    <t>Laboratorio UMT</t>
  </si>
  <si>
    <t>C.3.3.4</t>
  </si>
  <si>
    <t>OF. JEFE H. DOMICILIARIA</t>
  </si>
  <si>
    <t>C.3.3.5</t>
  </si>
  <si>
    <t>C.3.3.6</t>
  </si>
  <si>
    <t>OFICINA ASISTENTE SOCIAL</t>
  </si>
  <si>
    <t>C.3.3.7</t>
  </si>
  <si>
    <t>C.3.3.8</t>
  </si>
  <si>
    <t>SALA DE PREPARACIÓN DE INSUMOS</t>
  </si>
  <si>
    <t>Odontología</t>
  </si>
  <si>
    <t>C.2.2.4.1</t>
  </si>
  <si>
    <t>C.2.2.4.11</t>
  </si>
  <si>
    <t>SALA INFORMES</t>
  </si>
  <si>
    <t>C.2.2.4.16</t>
  </si>
  <si>
    <t>SALA MULTIUSO (TRABAJO GRUPAL, EDUCACION DE PACIENTES)</t>
  </si>
  <si>
    <t>C.2.2.4.6</t>
  </si>
  <si>
    <t>OF. JEFE ODONTOLOGÍA</t>
  </si>
  <si>
    <t>C.2.6.1.1</t>
  </si>
  <si>
    <t>C.2.6.1.2</t>
  </si>
  <si>
    <t>C.2.6.2.1</t>
  </si>
  <si>
    <t>Psiquiatría</t>
  </si>
  <si>
    <t>C.2.5.2.1</t>
  </si>
  <si>
    <t>OFICINA JEFE SALUD MENTAL AMBULATORIO</t>
  </si>
  <si>
    <t>C.2.5.2.10</t>
  </si>
  <si>
    <t>BOX ENFERMERA SALUD MENTAL</t>
  </si>
  <si>
    <t>C.2.5.2.11.1</t>
  </si>
  <si>
    <t>BOX PSICÓLOGO ADULTO</t>
  </si>
  <si>
    <t>C.2.5.2.11.2</t>
  </si>
  <si>
    <t>C.2.5.2.11.3</t>
  </si>
  <si>
    <t>Sillón Tipo Poltrona</t>
  </si>
  <si>
    <t>C.2.5.2.13</t>
  </si>
  <si>
    <t xml:space="preserve">SALA SEGUIMIENTO A ENTREVISTA </t>
  </si>
  <si>
    <t>Silla Alta Cafetería</t>
  </si>
  <si>
    <t>C.2.5.2.15</t>
  </si>
  <si>
    <t>SALA TRABAJO GRUPAL ADULTO</t>
  </si>
  <si>
    <t>C.2.5.2.16</t>
  </si>
  <si>
    <t>C.2.5.2.18</t>
  </si>
  <si>
    <t>BOX PSIQUIATRÍA INFANTO JUVENIL</t>
  </si>
  <si>
    <t>C.2.5.2.19.1</t>
  </si>
  <si>
    <t>BOX PSICÓLOGO INFANTO JUVENIL</t>
  </si>
  <si>
    <t>C.2.5.2.19.2</t>
  </si>
  <si>
    <t>C.2.5.2.2</t>
  </si>
  <si>
    <t>OFICINA COORDINADOR SALUD MENTAL AMBULATORIO</t>
  </si>
  <si>
    <t>C.2.5.2.20</t>
  </si>
  <si>
    <t>BOX ENFERMERA INFANTO JUVENIL</t>
  </si>
  <si>
    <t>C.2.5.2.21</t>
  </si>
  <si>
    <t>SALA DE REHABILITACIÓN INFANTIL</t>
  </si>
  <si>
    <t>C.2.5.2.22</t>
  </si>
  <si>
    <t>C.2.5.2.24</t>
  </si>
  <si>
    <t>MÓDULO DE TRABAJO PROFESIONALES</t>
  </si>
  <si>
    <t>C.2.5.2.7</t>
  </si>
  <si>
    <t>OFICINA ASISTENTE SOCIAL PSICOPEDAGOGÍA</t>
  </si>
  <si>
    <t>C.2.5.2.8</t>
  </si>
  <si>
    <t>BOX TERAPEUTA OCUPACIONAL</t>
  </si>
  <si>
    <t>C.2.5.2.9.1</t>
  </si>
  <si>
    <t>BOX PSIQUIATRÍA ADULTO</t>
  </si>
  <si>
    <t>C.2.5.2.9.2</t>
  </si>
  <si>
    <t>B.1.1</t>
  </si>
  <si>
    <t>B.1.3</t>
  </si>
  <si>
    <t>OFICINA DIRECTOR C/BAÑO</t>
  </si>
  <si>
    <t>B.2.1.1</t>
  </si>
  <si>
    <t>SECRETARÍA C/ARCHIVO Y FOTOCOP.</t>
  </si>
  <si>
    <t>B.2.1.2</t>
  </si>
  <si>
    <t>B.2.2</t>
  </si>
  <si>
    <t>OFICINA SUBDIRECTOR ADMINISTRATIVO</t>
  </si>
  <si>
    <t>B.2.3</t>
  </si>
  <si>
    <t>OFICINA SUBDIRECTOR MÉDICO</t>
  </si>
  <si>
    <t>B.3.2.1</t>
  </si>
  <si>
    <t>OF. JEFE CONTROL DE GESTIÓN</t>
  </si>
  <si>
    <t>B.3.2.2</t>
  </si>
  <si>
    <t>SECRETARÍA C/ARCHIVO Y FOTOCO.</t>
  </si>
  <si>
    <t>B.3.2.3</t>
  </si>
  <si>
    <t>MÓD. DE TRABAJO (GRD profesionales + administrativo)</t>
  </si>
  <si>
    <t>B.3.2.4</t>
  </si>
  <si>
    <t>MÓD. TRABAJO (Winsig)</t>
  </si>
  <si>
    <t>B.3.3.1</t>
  </si>
  <si>
    <t>B.3.3.2</t>
  </si>
  <si>
    <t>MÓD. TRABAJO (calidad)</t>
  </si>
  <si>
    <t>B.3.3.3</t>
  </si>
  <si>
    <t>MÓD. TRABAJO (IAAS)</t>
  </si>
  <si>
    <t>B.3.4.1</t>
  </si>
  <si>
    <t>OFICINA COMUNICACIONES</t>
  </si>
  <si>
    <t>B.3.5.1</t>
  </si>
  <si>
    <t>OFICINA ASESOR JURÍDICO</t>
  </si>
  <si>
    <t>B.3.6.1</t>
  </si>
  <si>
    <t>OFICINA JEFE AUDITORIA</t>
  </si>
  <si>
    <t>B.3.7.2</t>
  </si>
  <si>
    <t>MÓD. DE TRABAJO</t>
  </si>
  <si>
    <t>B.4.1</t>
  </si>
  <si>
    <t>COORDINADOR GESTIÓN DEL CUIDADO AT. ABIERTA</t>
  </si>
  <si>
    <t>B.4.2</t>
  </si>
  <si>
    <t>COORDINADOR GESTIÓN DEL CUIDADO AT. CERRADA</t>
  </si>
  <si>
    <t>B.5.1</t>
  </si>
  <si>
    <t>SALA DE REUNIONES (25pp)</t>
  </si>
  <si>
    <t>C.1.1.1</t>
  </si>
  <si>
    <t>COORDINADOR GESTIÓN DE PACIENTES</t>
  </si>
  <si>
    <t>C.2.1.2</t>
  </si>
  <si>
    <t>C.2.1.3</t>
  </si>
  <si>
    <t>OFICINA JEFE CR ATENCIÓN ABIERTA</t>
  </si>
  <si>
    <t>C.2.2.1.8</t>
  </si>
  <si>
    <t>C.2.2.1.9</t>
  </si>
  <si>
    <t>OFICINA JEFE CAE</t>
  </si>
  <si>
    <t>C.5.1.2</t>
  </si>
  <si>
    <t>OF. JEFE CR APOYO CLÍNICO</t>
  </si>
  <si>
    <t>C.5.1.5</t>
  </si>
  <si>
    <t>C.5.10.1</t>
  </si>
  <si>
    <t>SALA DE REUNIONES (20 pp)</t>
  </si>
  <si>
    <t>D.1.1.2.1</t>
  </si>
  <si>
    <t>OF. COORDINADOR REGISTRO Y ESTADÍSTICA</t>
  </si>
  <si>
    <t>D.1.1.2.2</t>
  </si>
  <si>
    <t>MÓDULOS DE TRABAJO (sala de digitalización datos)</t>
  </si>
  <si>
    <t>D.1.1.3.1</t>
  </si>
  <si>
    <t>MÓDULO DE TRABAJO (encargado archivo)</t>
  </si>
  <si>
    <t>D.1.1.3.3</t>
  </si>
  <si>
    <t>D.1.1.3.4</t>
  </si>
  <si>
    <t>ARCHIVO FICHAS ACTIVAS</t>
  </si>
  <si>
    <t>D.1.1.3.5</t>
  </si>
  <si>
    <t>ARCHIVO FICHAS PACIVAS</t>
  </si>
  <si>
    <t>D.1.1.3.6</t>
  </si>
  <si>
    <t>ÁREA DE CONSULTA FICHAS</t>
  </si>
  <si>
    <t>D.2.1.1</t>
  </si>
  <si>
    <t>D.2.1.2</t>
  </si>
  <si>
    <t>OF. JEFE CR GESTIÓN LOGÍSTICA</t>
  </si>
  <si>
    <t>D.2.1.3</t>
  </si>
  <si>
    <t>OFICINA MEDIOAMBIENTAL</t>
  </si>
  <si>
    <t>D.3.1.1.1</t>
  </si>
  <si>
    <t>D.3.1.2</t>
  </si>
  <si>
    <t>OFICINA JEFE DE FINANZAS</t>
  </si>
  <si>
    <t>D.3.2.1.1</t>
  </si>
  <si>
    <t>COORDINADOR CONTABILIDAD Y PRESUPUESTO</t>
  </si>
  <si>
    <t>D.3.2.1.2</t>
  </si>
  <si>
    <t>MÓDULOS DE TRABAJO (control activos y existencia)</t>
  </si>
  <si>
    <t>D.3.2.1.3</t>
  </si>
  <si>
    <t>MÓDULO DE TRABAJO (presupuesto)</t>
  </si>
  <si>
    <t>D.3.2.1.4</t>
  </si>
  <si>
    <t>MÓDULO DE TRABAJO (gestión financiera)</t>
  </si>
  <si>
    <t>D.3.2.2.2</t>
  </si>
  <si>
    <t>COORDINADOR TESORERÍA</t>
  </si>
  <si>
    <t>D.3.2.2.3</t>
  </si>
  <si>
    <t>MÓDULOS DE TRABAJO (Caja central)</t>
  </si>
  <si>
    <t>Caja Fuerte Tipo II</t>
  </si>
  <si>
    <t>D.3.2.3.1</t>
  </si>
  <si>
    <t>COORDINADOR FACTURACIÓN Y COBRANZA</t>
  </si>
  <si>
    <t>D.3.2.3.2</t>
  </si>
  <si>
    <t>MÓD. DE TRABAJO (facturación y cobranza)</t>
  </si>
  <si>
    <t>D.4.1.1</t>
  </si>
  <si>
    <t>D.4.1.2</t>
  </si>
  <si>
    <t>OF. JEFE CR GESTIÓN DE LAS PERSONAS</t>
  </si>
  <si>
    <t>D.4.2.1</t>
  </si>
  <si>
    <t>D.4.2.2</t>
  </si>
  <si>
    <t>COORDINADOR ADMNISTRACIÓN DE PERSONAL</t>
  </si>
  <si>
    <t>D.4.2.3</t>
  </si>
  <si>
    <t>MÓD.TRABAJO EJECUT. DE PERSONAL Y REMUN.(5p)</t>
  </si>
  <si>
    <t>D.4.3.1</t>
  </si>
  <si>
    <t>MÓD. DE TRABAJO DESARROLLO ORGANIZACIONAL</t>
  </si>
  <si>
    <t>D.4.4.3.1</t>
  </si>
  <si>
    <t>COORDINADOR BIENESTAR Y DESARROLLO SOCIAL</t>
  </si>
  <si>
    <t>D.4.4.3.2</t>
  </si>
  <si>
    <t>MÓD. DE TRABAJO BIENESTAR</t>
  </si>
  <si>
    <t>D.4.5.1</t>
  </si>
  <si>
    <t>D.4.5.2</t>
  </si>
  <si>
    <t>COORDINADOR CAPACITACIÓN Y FORMACIÓN</t>
  </si>
  <si>
    <t>D.4.5.3</t>
  </si>
  <si>
    <t>SALA DE CAPACITACIÓN PERSONALIZADA</t>
  </si>
  <si>
    <t>D.4.5.4</t>
  </si>
  <si>
    <t>SALA DE CAPACITACIÓN MASIVA</t>
  </si>
  <si>
    <t>D.4.6.1</t>
  </si>
  <si>
    <t>Auditorio</t>
  </si>
  <si>
    <t>AUDITORIO</t>
  </si>
  <si>
    <t>Pódium</t>
  </si>
  <si>
    <t>E.1.3</t>
  </si>
  <si>
    <t>E.1.4</t>
  </si>
  <si>
    <t>SALA DE EQUIPO AUDIOVISUAL</t>
  </si>
  <si>
    <t>E.1.5</t>
  </si>
  <si>
    <t>SALA PREPARACIÓN CONFERENCISTA</t>
  </si>
  <si>
    <t>Esterilización</t>
  </si>
  <si>
    <t>C.5.5.1</t>
  </si>
  <si>
    <t>OFICINA COORDINADOR ESTERILIZACIÓN</t>
  </si>
  <si>
    <t>C.5.5.2</t>
  </si>
  <si>
    <t>Soporte de rollo doble</t>
  </si>
  <si>
    <t>C.5.5.3</t>
  </si>
  <si>
    <t>Mantenimiento</t>
  </si>
  <si>
    <t>D.2.2.1.1</t>
  </si>
  <si>
    <t>D.2.2.1.2</t>
  </si>
  <si>
    <t>OF. JEFE SERV. GENERALES</t>
  </si>
  <si>
    <t>D.2.3.1</t>
  </si>
  <si>
    <t>COORDINADOR EQUIPOS MÉDICOS</t>
  </si>
  <si>
    <t>D.2.3.2</t>
  </si>
  <si>
    <t>MÓDULO DE TRABAJO INGENIERO</t>
  </si>
  <si>
    <t>D.2.3.3</t>
  </si>
  <si>
    <t>D.2.3.8</t>
  </si>
  <si>
    <t>ÁREA DE RECEP. Y ENTREGA EQUIP. MÉDICO</t>
  </si>
  <si>
    <t>D.2.5.1</t>
  </si>
  <si>
    <t>Pabellones</t>
  </si>
  <si>
    <t>C.3.8.2.2</t>
  </si>
  <si>
    <t>C.5.6.1.5</t>
  </si>
  <si>
    <t>SALA ENTREVISTAS FAMILIARES</t>
  </si>
  <si>
    <t>C.5.6.1.6</t>
  </si>
  <si>
    <t>OFICINA JEFE PABELLONES</t>
  </si>
  <si>
    <t>C.5.6.1.7</t>
  </si>
  <si>
    <t>OFICINA COORDINADOR PABELLONES</t>
  </si>
  <si>
    <t>C.5.6.1.8</t>
  </si>
  <si>
    <t>SALA INFORMES PROFESIONALES MÉDICOS</t>
  </si>
  <si>
    <t>C.5.6.2.1</t>
  </si>
  <si>
    <t>BOX INGRESO PREPARACIÓN DE PACIENTES</t>
  </si>
  <si>
    <t>C.5.6.3.12</t>
  </si>
  <si>
    <t>C.5.6.4.11</t>
  </si>
  <si>
    <t>SALA REANIMACIÓN NEONATAL</t>
  </si>
  <si>
    <t>Parto Integral</t>
  </si>
  <si>
    <t>C.3.6.22.1</t>
  </si>
  <si>
    <t>C.3.6.3.11</t>
  </si>
  <si>
    <t>SALA TRANSICIÓN NEONATAL</t>
  </si>
  <si>
    <t>C.3.6.3.11.1</t>
  </si>
  <si>
    <t>SALA PREPARACIÓN PACIENTES</t>
  </si>
  <si>
    <t>C.3.6.3.2.1</t>
  </si>
  <si>
    <t>OFICINA SUPERVISOR PARTO Y LEY IVE</t>
  </si>
  <si>
    <t>C.3.6.3.2.2</t>
  </si>
  <si>
    <t>SALA DE ENTREVISTAS LEY IVE</t>
  </si>
  <si>
    <t>C.3.6.3.5</t>
  </si>
  <si>
    <t>C.3.6.3.6.1</t>
  </si>
  <si>
    <t>SALA PARTO INTEGRAL</t>
  </si>
  <si>
    <t>C.3.6.3.6.2</t>
  </si>
  <si>
    <t>C.3.6.3.6.3</t>
  </si>
  <si>
    <t>UTI</t>
  </si>
  <si>
    <t>C.3.7.1</t>
  </si>
  <si>
    <t>OFICINA JEFE UTI</t>
  </si>
  <si>
    <t>C.3.7.11</t>
  </si>
  <si>
    <t>MÓDULO SUPERVISOR UTI</t>
  </si>
  <si>
    <t>C.3.7.18</t>
  </si>
  <si>
    <t>C.3.7.2</t>
  </si>
  <si>
    <t>OFICINA COORDINADOR UTI</t>
  </si>
  <si>
    <t>C.3.7.27.1</t>
  </si>
  <si>
    <t>C.3.7.27.2</t>
  </si>
  <si>
    <t>RESIDENCIA MÉDICA</t>
  </si>
  <si>
    <t>C.3.7.7</t>
  </si>
  <si>
    <t>C.3.7.7.1</t>
  </si>
  <si>
    <t>C.3.6.1.1</t>
  </si>
  <si>
    <t>OFICINA JEFE GINECOLOGÍA Y OBSTETRICIA</t>
  </si>
  <si>
    <t>C.3.6.1.12</t>
  </si>
  <si>
    <t>MÓDULO TRABAJO SUPERVISOR</t>
  </si>
  <si>
    <t>C.3.6.1.2</t>
  </si>
  <si>
    <t>COORDINADOR GINECOLOGÍA Y OBSTETRICIA</t>
  </si>
  <si>
    <t>C.3.6.1.3</t>
  </si>
  <si>
    <t>C.3.6.1.31.3</t>
  </si>
  <si>
    <t>COORDINADOR NEONATOLOGÍA</t>
  </si>
  <si>
    <t>C.3.6.1.41.1</t>
  </si>
  <si>
    <t>C.3.6.1.41.2</t>
  </si>
  <si>
    <t>C.3.6.1.6</t>
  </si>
  <si>
    <t>SALA DE ESTAR FAMILIARES Y ENTREVISTAS</t>
  </si>
  <si>
    <t>Chile Crece Contigo</t>
  </si>
  <si>
    <t>C.3.6.1.10</t>
  </si>
  <si>
    <t>SALA TALLER CHILE CRECE CONTIGO</t>
  </si>
  <si>
    <t>Hospitalización</t>
  </si>
  <si>
    <t>C.3.6.1.24</t>
  </si>
  <si>
    <t>C.3.6.1.9</t>
  </si>
  <si>
    <t>OFICINA CHILE CRECE CONTIGO</t>
  </si>
  <si>
    <t>Neonatología</t>
  </si>
  <si>
    <t>C.3.6.1.27</t>
  </si>
  <si>
    <t>SALA EXAMENES RECIÉN NACIDO</t>
  </si>
  <si>
    <t>C.3.6.1.30.1</t>
  </si>
  <si>
    <t>C.3.6.1.31.4</t>
  </si>
  <si>
    <t>LACTARIO</t>
  </si>
  <si>
    <t>C.3.8.2.1</t>
  </si>
  <si>
    <t>SEDILE</t>
  </si>
  <si>
    <t>C.5.8.1.2.1</t>
  </si>
  <si>
    <t>OFICINA NUTRICIONISTA</t>
  </si>
  <si>
    <t>C.5.8.1.2.2</t>
  </si>
  <si>
    <t>C.3.4.2.1</t>
  </si>
  <si>
    <t>C.3.4.2.19</t>
  </si>
  <si>
    <t>C.3.4.2.4</t>
  </si>
  <si>
    <t>C.3.4.2.9</t>
  </si>
  <si>
    <t>C.3.5.1</t>
  </si>
  <si>
    <t>OFICINA JEFE MQ INFANTIL</t>
  </si>
  <si>
    <t>C.3.5.10</t>
  </si>
  <si>
    <t>C.3.5.30</t>
  </si>
  <si>
    <t>C.3.5.31</t>
  </si>
  <si>
    <t>C.3.5.34</t>
  </si>
  <si>
    <t>AULA HOSPITALARIA</t>
  </si>
  <si>
    <t>C.3.5.4</t>
  </si>
  <si>
    <t>C.3.5.7</t>
  </si>
  <si>
    <t>C.3.4.2.10</t>
  </si>
  <si>
    <t>C.3.5.18</t>
  </si>
  <si>
    <t>C.3.2.2</t>
  </si>
  <si>
    <t>OFICINA JEFE CR ATENCIÓN CERRADA</t>
  </si>
  <si>
    <t>C.3.2.3</t>
  </si>
  <si>
    <t>SECRETARIA</t>
  </si>
  <si>
    <t>C.3.4.1.1</t>
  </si>
  <si>
    <t>OFICINA JEFE MQ ADULTO</t>
  </si>
  <si>
    <t>C.3.4.4.1</t>
  </si>
  <si>
    <t>C.3.4.4.24.1</t>
  </si>
  <si>
    <t>C.3.4.4.24.2</t>
  </si>
  <si>
    <t>C.3.4.4.4</t>
  </si>
  <si>
    <t>C.3.4.4.7.1</t>
  </si>
  <si>
    <t>MÓDULO TRABAJO SUPERIOR</t>
  </si>
  <si>
    <t>C.3.8.1</t>
  </si>
  <si>
    <t>C.3.4.4.15</t>
  </si>
  <si>
    <t>C.3.8.3.3</t>
  </si>
  <si>
    <t>Telemedicina</t>
  </si>
  <si>
    <t>C.3.8.4.1</t>
  </si>
  <si>
    <t>C.3.8.4.2</t>
  </si>
  <si>
    <t>A.1.2</t>
  </si>
  <si>
    <t>SALA VOLUNTARIADO</t>
  </si>
  <si>
    <t>C.3.4.3.1</t>
  </si>
  <si>
    <t>C.3.4.3.24.1</t>
  </si>
  <si>
    <t>C.3.4.3.24.2</t>
  </si>
  <si>
    <t>C.3.4.3.4</t>
  </si>
  <si>
    <t>C.3.4.3.7.1</t>
  </si>
  <si>
    <t>C.3.4.3.15</t>
  </si>
  <si>
    <t>Despacho</t>
  </si>
  <si>
    <t>Suma de Cantidad</t>
  </si>
  <si>
    <t>En obra</t>
  </si>
  <si>
    <t xml:space="preserve">Restante </t>
  </si>
  <si>
    <t>%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</si>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</sst>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" fontId="1" fillId="0" borderId="0" xfId="0" applyNumberFormat="1" applyFont="1"/>
    <xf numFmtId="1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2" borderId="1" xfId="0" applyFont="1" applyFill="1" applyBorder="1" applyAlignment="1">
      <alignment horizontal="left" vertical="top"/>
    </xf>
    <xf numFmtId="1" fontId="1" fillId="0" borderId="1" xfId="0" applyNumberFormat="1" applyFont="1" applyBorder="1"/>
    <xf numFmtId="0" fontId="0" fillId="0" borderId="0" xfId="0" pivotButton="1"/>
    <xf numFmtId="0" fontId="0" fillId="0" borderId="0" xfId="0" pivotButton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left"/>
    </xf>
    <xf numFmtId="0" fontId="1" fillId="0" borderId="16" xfId="0" applyFont="1" applyBorder="1"/>
    <xf numFmtId="9" fontId="0" fillId="0" borderId="0" xfId="1" applyFont="1"/>
    <xf numFmtId="10" fontId="1" fillId="0" borderId="0" xfId="1" applyNumberFormat="1" applyFont="1"/>
    <xf numFmtId="3" fontId="0" fillId="0" borderId="0" xfId="0" applyNumberFormat="1"/>
    <xf numFmtId="0" fontId="0" fillId="3" borderId="0" xfId="0" applyFill="1"/>
    <xf numFmtId="0" fontId="0" fillId="0" borderId="0" xfId="0" applyAlignment="1">
      <alignment horizontal="right"/>
    </xf>
    <xf numFmtId="0" fontId="1" fillId="3" borderId="0" xfId="0" applyFont="1" applyFill="1"/>
    <xf numFmtId="3" fontId="1" fillId="3" borderId="0" xfId="0" applyNumberFormat="1" applyFont="1" applyFill="1"/>
    <xf numFmtId="0" fontId="0" fillId="0" borderId="16" xfId="0" applyBorder="1" applyAlignment="1">
      <alignment horizontal="center"/>
    </xf>
    <xf numFmtId="0" fontId="1" fillId="2" borderId="16" xfId="0" applyFont="1" applyFill="1" applyBorder="1"/>
    <xf numFmtId="0" fontId="1" fillId="2" borderId="16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1" fillId="0" borderId="6" xfId="0" applyFont="1" applyBorder="1"/>
    <xf numFmtId="0" fontId="0" fillId="0" borderId="17" xfId="0" applyBorder="1"/>
    <xf numFmtId="0" fontId="1" fillId="0" borderId="2" xfId="0" applyFont="1" applyBorder="1"/>
    <xf numFmtId="0" fontId="0" fillId="0" borderId="17" xfId="0" applyBorder="1" applyAlignment="1">
      <alignment horizontal="left"/>
    </xf>
    <xf numFmtId="0" fontId="0" fillId="0" borderId="2" xfId="0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1" fillId="3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258">
    <dxf>
      <alignment horizontal="left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left"/>
    </dxf>
    <dxf>
      <alignment horizontal="left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left"/>
    </dxf>
    <dxf>
      <alignment horizontal="left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fill>
        <patternFill patternType="solid">
          <bgColor rgb="FF00B0F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00B0F0"/>
        </patternFill>
      </fill>
    </dxf>
  </dxfs>
  <tableStyles count="1" defaultTableStyle="TableStyleMedium2" defaultPivotStyle="PivotStyleLight16">
    <tableStyle name="Invisible" pivot="0" table="0" count="0" xr9:uid="{BB80599D-E2C7-407D-98C5-EA28306C8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0317%20Plan%20de%20Instalacion.xlsx" TargetMode="External"/><Relationship Id="rId2" Type="http://schemas.openxmlformats.org/officeDocument/2006/relationships/externalLinkPath" Target="https://dominionglobal-my.sharepoint.com/personal/felipe_moena-ext_dominion_cl/Documents/20250317%20Plan%20de%20Instalacion.xlsx" TargetMode="External"/><Relationship Id="rId1" Type="http://schemas.openxmlformats.org/officeDocument/2006/relationships/externalLinkPath" Target="/personal/felipe_moena-ext_dominion_cl/Documents/20250317%20Plan%20de%20Instalac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minionglobal-my.sharepoint.com/personal/felipe_moena-ext_dominion_cl/Documents/Escritorio/Ia%20actualizado(Recuperado%20autom&#225;ticamente)_20260325.xlsx" TargetMode="External"/><Relationship Id="rId1" Type="http://schemas.openxmlformats.org/officeDocument/2006/relationships/externalLinkPath" Target="Ia%20actualizado(Recuperado%20autom&#225;ticamente)_202603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AppData\Roaming\Microsoft\Excel\Cronograma%20de%20Instalaci&#243;n%20de%20MNC_20260609%20(version%201).xlsb" TargetMode="External"/><Relationship Id="rId1" Type="http://schemas.openxmlformats.org/officeDocument/2006/relationships/externalLinkPath" Target="file:///C:\Users\usuario\AppData\Roaming\Microsoft\Excel\Cronograma%20de%20Instalaci&#243;n%20de%20MNC_20260609%20(version%201)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minionglobal.sharepoint.com/teams/360-PREVENTA-HEALTHCARE-HBP/Documentos%20compartidos/Plan%20de%20Instalaci&#243;n/CONSOLIDADO%20CRONO/20260327_Resumen%20Consolidado%20Anexo%20Ib%20PI01-PI05_v24.xlsx" TargetMode="External"/><Relationship Id="rId1" Type="http://schemas.openxmlformats.org/officeDocument/2006/relationships/externalLinkPath" Target="https://dominionglobal.sharepoint.com/teams/360-PREVENTA-HEALTHCARE-HBP/Documentos%20compartidos/Plan%20de%20Instalaci&#243;n/CONSOLIDADO%20CRONO/20260327_Resumen%20Consolidado%20Anexo%20Ib%20PI01-PI05_v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minionglobal-my.sharepoint.com/personal/felipe_moena-ext_dominion_cl/Documents/Contrato%20Coordinaci&#243;n-Programa%20Actividades%20Interrelacionadas-Cronograma%20Recintos%20EMMC%20y%20MNC.xlsx" TargetMode="External"/><Relationship Id="rId1" Type="http://schemas.openxmlformats.org/officeDocument/2006/relationships/externalLinkPath" Target="file:///C:\Users\usuario\AppData\Local\Microsoft\Windows\INetCache\Content.Outlook\C3YD4WT4\Contrato%20Coordinaci&#243;n-Programa%20Actividades%20Interrelacionadas-Cronograma%20Recintos%20EMMC%20y%20MN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uario\OneDrive%20-%20Dominion%20Global\Escritorio\3.-%20Ia%20ACTUALIZADO\MOBILIARIO%20NOVIEMBRE\JUNIO%202024\MOBILIARIO-%20JUNIO\20240314_HBP-PMA-MOB-EQU-R2021-rev.b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minionglobal-my.sharepoint.com/personal/felipe_moena-ext_dominion_cl/Documents/Escritorio/DOMINION/Cronograma/20250409_Cronograma_MAESTRO.xlsx" TargetMode="External"/><Relationship Id="rId1" Type="http://schemas.openxmlformats.org/officeDocument/2006/relationships/externalLinkPath" Target="DOMINION/Cronograma/20250409_Cronograma_MAEST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 ENTREGAS EMMC"/>
      <sheetName val="DETALLE ENTREGA MNC"/>
      <sheetName val="EMMC"/>
      <sheetName val="MNC"/>
      <sheetName val="019 CD"/>
      <sheetName val="CONSOLIDADO"/>
      <sheetName val="N01"/>
      <sheetName val="Criterio"/>
      <sheetName val="N02"/>
      <sheetName val="N03"/>
      <sheetName val="N04"/>
      <sheetName val="N05"/>
      <sheetName val="N06"/>
      <sheetName val="N07"/>
      <sheetName val="PLAN DE INSTALACION"/>
    </sheetNames>
    <sheetDataSet>
      <sheetData sheetId="0"/>
      <sheetData sheetId="1"/>
      <sheetData sheetId="2">
        <row r="3">
          <cell r="J3" t="str">
            <v>C.2.2.4.7.2</v>
          </cell>
        </row>
        <row r="4">
          <cell r="J4" t="str">
            <v>C.5.6.3.18.1</v>
          </cell>
        </row>
        <row r="5">
          <cell r="J5" t="str">
            <v>C.2.3.15.3</v>
          </cell>
        </row>
        <row r="6">
          <cell r="J6" t="str">
            <v>C.2.5.3.33</v>
          </cell>
        </row>
        <row r="7">
          <cell r="J7" t="str">
            <v>C.2.5.3.12.1</v>
          </cell>
        </row>
        <row r="8">
          <cell r="J8" t="str">
            <v>C.2.5.3.12.2</v>
          </cell>
        </row>
        <row r="9">
          <cell r="J9" t="str">
            <v>C.2.5.3.33</v>
          </cell>
        </row>
        <row r="10">
          <cell r="J10" t="str">
            <v>C.3.6.2.4</v>
          </cell>
        </row>
        <row r="11">
          <cell r="J11" t="str">
            <v>C.5.7.14</v>
          </cell>
        </row>
        <row r="12">
          <cell r="J12" t="str">
            <v>C.4.3.4</v>
          </cell>
        </row>
        <row r="13">
          <cell r="J13" t="str">
            <v>C.2.4.7</v>
          </cell>
        </row>
        <row r="14">
          <cell r="J14" t="str">
            <v>C.4.3.1</v>
          </cell>
        </row>
        <row r="15">
          <cell r="J15" t="str">
            <v>C.4.4.1</v>
          </cell>
        </row>
        <row r="16">
          <cell r="J16" t="str">
            <v>C.4.5.6.2</v>
          </cell>
        </row>
        <row r="17">
          <cell r="J17" t="str">
            <v>C.4.5.6.2</v>
          </cell>
        </row>
        <row r="18">
          <cell r="J18" t="str">
            <v>C.5.7.14</v>
          </cell>
        </row>
        <row r="19">
          <cell r="J19" t="str">
            <v>C.5.7.6</v>
          </cell>
        </row>
        <row r="20">
          <cell r="J20" t="str">
            <v>C.2.3.12</v>
          </cell>
        </row>
        <row r="21">
          <cell r="J21" t="str">
            <v>C.2.3.14</v>
          </cell>
        </row>
        <row r="22">
          <cell r="J22" t="str">
            <v>C.2.3.15.1</v>
          </cell>
        </row>
        <row r="23">
          <cell r="J23" t="str">
            <v>C.2.3.15.2</v>
          </cell>
        </row>
        <row r="24">
          <cell r="J24" t="str">
            <v>C.2.3.15.3</v>
          </cell>
        </row>
        <row r="25">
          <cell r="J25" t="str">
            <v>C.2.3.21</v>
          </cell>
        </row>
        <row r="26">
          <cell r="J26" t="str">
            <v>C.2.3.26</v>
          </cell>
        </row>
        <row r="27">
          <cell r="J27" t="str">
            <v>C.2.4.8</v>
          </cell>
        </row>
        <row r="28">
          <cell r="J28" t="str">
            <v>C.3.6.2.10</v>
          </cell>
        </row>
        <row r="29">
          <cell r="J29" t="str">
            <v>C.3.6.2.12</v>
          </cell>
        </row>
        <row r="30">
          <cell r="J30" t="str">
            <v>C.3.6.2.2</v>
          </cell>
        </row>
        <row r="31">
          <cell r="J31" t="str">
            <v>C.3.6.2.4</v>
          </cell>
        </row>
        <row r="32">
          <cell r="J32" t="str">
            <v>C.3.6.2.9</v>
          </cell>
        </row>
        <row r="33">
          <cell r="J33" t="str">
            <v>C.4.3.3.1</v>
          </cell>
        </row>
        <row r="34">
          <cell r="J34" t="str">
            <v>C.4.3.3.5</v>
          </cell>
        </row>
        <row r="35">
          <cell r="J35" t="str">
            <v>C.4.3.4</v>
          </cell>
        </row>
        <row r="36">
          <cell r="J36" t="str">
            <v>C.4.3.5.1</v>
          </cell>
        </row>
        <row r="37">
          <cell r="J37" t="str">
            <v>C.4.3.5.2</v>
          </cell>
        </row>
        <row r="38">
          <cell r="J38" t="str">
            <v>C.4.3.8</v>
          </cell>
        </row>
        <row r="39">
          <cell r="J39" t="str">
            <v>C.4.4.3.2</v>
          </cell>
        </row>
        <row r="40">
          <cell r="J40" t="str">
            <v>C.4.4.8</v>
          </cell>
        </row>
        <row r="41">
          <cell r="J41" t="str">
            <v>C.5.3.7</v>
          </cell>
        </row>
        <row r="42">
          <cell r="J42" t="str">
            <v>C.5.7.6.1</v>
          </cell>
        </row>
        <row r="43">
          <cell r="J43" t="str">
            <v>C.5.7.14</v>
          </cell>
        </row>
        <row r="44">
          <cell r="J44" t="str">
            <v>C.2.3.15.3</v>
          </cell>
        </row>
        <row r="45">
          <cell r="J45" t="str">
            <v>C.3.6.2.4</v>
          </cell>
        </row>
        <row r="46">
          <cell r="J46" t="str">
            <v>C.4.3.12.1</v>
          </cell>
        </row>
        <row r="47">
          <cell r="J47" t="str">
            <v>C.4.3.12.2</v>
          </cell>
        </row>
        <row r="48">
          <cell r="J48" t="str">
            <v>C.4.3.8</v>
          </cell>
        </row>
        <row r="49">
          <cell r="J49" t="str">
            <v>C.4.4.12</v>
          </cell>
        </row>
        <row r="50">
          <cell r="J50" t="str">
            <v>C.4.4.8</v>
          </cell>
        </row>
        <row r="51">
          <cell r="J51" t="str">
            <v>C.5.3.7</v>
          </cell>
        </row>
        <row r="52">
          <cell r="J52" t="str">
            <v>C.2.2.4.7.1</v>
          </cell>
        </row>
        <row r="53">
          <cell r="J53" t="str">
            <v>C.3.4.4.12.1</v>
          </cell>
        </row>
        <row r="54">
          <cell r="J54" t="str">
            <v>C.3.4.4.12.10</v>
          </cell>
        </row>
        <row r="55">
          <cell r="J55" t="str">
            <v>C.3.4.4.12.2</v>
          </cell>
        </row>
        <row r="56">
          <cell r="J56" t="str">
            <v>C.3.4.4.12.3</v>
          </cell>
        </row>
        <row r="57">
          <cell r="J57" t="str">
            <v>C.3.4.4.12.4</v>
          </cell>
        </row>
        <row r="58">
          <cell r="J58" t="str">
            <v>C.3.4.4.12.5</v>
          </cell>
        </row>
        <row r="59">
          <cell r="J59" t="str">
            <v>C.3.4.4.12.6</v>
          </cell>
        </row>
        <row r="60">
          <cell r="J60" t="str">
            <v>C.3.4.4.12.7</v>
          </cell>
        </row>
        <row r="61">
          <cell r="J61" t="str">
            <v>C.3.4.4.12.8</v>
          </cell>
        </row>
        <row r="62">
          <cell r="J62" t="str">
            <v>C.3.4.4.12.9</v>
          </cell>
        </row>
        <row r="63">
          <cell r="J63" t="str">
            <v>C.3.6.1.23.2</v>
          </cell>
        </row>
        <row r="64">
          <cell r="J64" t="str">
            <v>C.3.4.4.13.1</v>
          </cell>
        </row>
        <row r="65">
          <cell r="J65" t="str">
            <v>C.3.4.4.13.2</v>
          </cell>
        </row>
        <row r="66">
          <cell r="J66" t="str">
            <v>C.3.4.4.13.3</v>
          </cell>
        </row>
        <row r="67">
          <cell r="J67" t="str">
            <v>C.3.4.4.13.4</v>
          </cell>
        </row>
        <row r="68">
          <cell r="J68" t="str">
            <v>C.3.4.4.14.1</v>
          </cell>
        </row>
        <row r="69">
          <cell r="J69" t="str">
            <v>C.3.4.4.14.2</v>
          </cell>
        </row>
        <row r="70">
          <cell r="J70" t="str">
            <v>C.3.4.4.14.3</v>
          </cell>
        </row>
        <row r="71">
          <cell r="J71" t="str">
            <v>C.3.4.4.14.4</v>
          </cell>
        </row>
        <row r="72">
          <cell r="J72" t="str">
            <v>C.3.4.4.1</v>
          </cell>
        </row>
        <row r="73">
          <cell r="J73" t="str">
            <v>C.2.2.4.7.2</v>
          </cell>
        </row>
        <row r="74">
          <cell r="J74" t="str">
            <v>C.2.2.4.7.3</v>
          </cell>
        </row>
        <row r="75">
          <cell r="J75" t="str">
            <v>C.2.2.4.7.4</v>
          </cell>
        </row>
        <row r="76">
          <cell r="J76" t="str">
            <v>C.2.2.4.7.3</v>
          </cell>
        </row>
        <row r="77">
          <cell r="J77" t="str">
            <v>C.2.2.4.7.4</v>
          </cell>
        </row>
        <row r="78">
          <cell r="J78" t="str">
            <v>C.3.4.4.12.1</v>
          </cell>
        </row>
        <row r="79">
          <cell r="J79" t="str">
            <v>C.3.4.4.12.2</v>
          </cell>
        </row>
        <row r="80">
          <cell r="J80" t="str">
            <v>C.3.4.4.12.3</v>
          </cell>
        </row>
        <row r="81">
          <cell r="J81" t="str">
            <v>C.3.4.4.12.4</v>
          </cell>
        </row>
        <row r="82">
          <cell r="J82" t="str">
            <v>C.3.4.4.12.5</v>
          </cell>
        </row>
        <row r="83">
          <cell r="J83" t="str">
            <v>C.3.4.4.12.6</v>
          </cell>
        </row>
        <row r="84">
          <cell r="J84" t="str">
            <v>C.3.4.4.12.7</v>
          </cell>
        </row>
        <row r="85">
          <cell r="J85" t="str">
            <v>C.3.4.4.12.8</v>
          </cell>
        </row>
        <row r="86">
          <cell r="J86" t="str">
            <v>C.3.4.4.12.9</v>
          </cell>
        </row>
        <row r="87">
          <cell r="J87" t="str">
            <v>C.3.4.4.12.1</v>
          </cell>
        </row>
        <row r="88">
          <cell r="J88" t="str">
            <v>C.3.4.4.12.2</v>
          </cell>
        </row>
        <row r="89">
          <cell r="J89" t="str">
            <v>C.3.4.4.12.3</v>
          </cell>
        </row>
        <row r="90">
          <cell r="J90" t="str">
            <v>C.3.4.4.12.4</v>
          </cell>
        </row>
        <row r="91">
          <cell r="J91" t="str">
            <v>C.3.4.4.12.5</v>
          </cell>
        </row>
        <row r="92">
          <cell r="J92" t="str">
            <v>C.3.4.4.12.6</v>
          </cell>
        </row>
        <row r="93">
          <cell r="J93" t="str">
            <v>C.3.4.4.12.7</v>
          </cell>
        </row>
        <row r="94">
          <cell r="J94" t="str">
            <v>C.3.4.4.12.8</v>
          </cell>
        </row>
        <row r="95">
          <cell r="J95" t="str">
            <v>C.3.4.4.12.9</v>
          </cell>
        </row>
        <row r="96">
          <cell r="J96" t="str">
            <v>C.3.4.4.12.10</v>
          </cell>
        </row>
        <row r="97">
          <cell r="J97" t="str">
            <v>C.3.4.4.12.10</v>
          </cell>
        </row>
        <row r="98">
          <cell r="J98" t="str">
            <v>C.3.6.1.23.1</v>
          </cell>
        </row>
        <row r="99">
          <cell r="J99" t="str">
            <v>C.3.4.4.13.1</v>
          </cell>
        </row>
        <row r="100">
          <cell r="J100" t="str">
            <v>C.3.4.4.13.2</v>
          </cell>
        </row>
        <row r="101">
          <cell r="J101" t="str">
            <v>C.3.4.4.13.3</v>
          </cell>
        </row>
        <row r="102">
          <cell r="J102" t="str">
            <v>C.3.4.4.13.4</v>
          </cell>
        </row>
        <row r="103">
          <cell r="J103" t="str">
            <v>C.3.4.4.14.1</v>
          </cell>
        </row>
        <row r="104">
          <cell r="J104" t="str">
            <v>C.3.4.4.14.2</v>
          </cell>
        </row>
        <row r="105">
          <cell r="J105" t="str">
            <v>C.3.4.4.14.3</v>
          </cell>
        </row>
        <row r="106">
          <cell r="J106" t="str">
            <v>C.3.4.4.14.4</v>
          </cell>
        </row>
        <row r="107">
          <cell r="J107" t="str">
            <v>C.3.4.4.13.1</v>
          </cell>
        </row>
        <row r="108">
          <cell r="J108" t="str">
            <v>C.3.4.4.13.2</v>
          </cell>
        </row>
        <row r="109">
          <cell r="J109" t="str">
            <v>C.3.4.4.13.3</v>
          </cell>
        </row>
        <row r="110">
          <cell r="J110" t="str">
            <v>C.3.4.4.13.4</v>
          </cell>
        </row>
        <row r="111">
          <cell r="J111" t="str">
            <v>C.3.4.4.14.1</v>
          </cell>
        </row>
        <row r="112">
          <cell r="J112" t="str">
            <v>C.3.4.4.14.2</v>
          </cell>
        </row>
        <row r="113">
          <cell r="J113" t="str">
            <v>C.3.4.4.14.3</v>
          </cell>
        </row>
        <row r="114">
          <cell r="J114" t="str">
            <v>C.3.4.4.14.4</v>
          </cell>
        </row>
        <row r="115">
          <cell r="J115" t="str">
            <v>C.2.2.3.13</v>
          </cell>
        </row>
        <row r="116">
          <cell r="J116" t="str">
            <v>C.2.2.3.9</v>
          </cell>
        </row>
        <row r="117">
          <cell r="J117" t="str">
            <v>C.2.2.2.15</v>
          </cell>
        </row>
        <row r="118">
          <cell r="J118" t="str">
            <v>C.2.2.3.14.1</v>
          </cell>
        </row>
        <row r="119">
          <cell r="J119" t="str">
            <v>C.2.2.3.14.2</v>
          </cell>
        </row>
        <row r="120">
          <cell r="J120" t="str">
            <v>C.2.2.3.14.3</v>
          </cell>
        </row>
        <row r="121">
          <cell r="J121" t="str">
            <v>C.5.6.4.10</v>
          </cell>
        </row>
        <row r="122">
          <cell r="J122" t="str">
            <v>C.5.6.4.8</v>
          </cell>
        </row>
        <row r="123">
          <cell r="J123" t="str">
            <v>C.5.6.4.9</v>
          </cell>
        </row>
        <row r="124">
          <cell r="J124" t="str">
            <v>C.2.2.2.10</v>
          </cell>
        </row>
        <row r="125">
          <cell r="J125" t="str">
            <v>C.2.2.2.3</v>
          </cell>
        </row>
        <row r="126">
          <cell r="J126" t="str">
            <v>C.2.2.2.4</v>
          </cell>
        </row>
        <row r="127">
          <cell r="J127" t="str">
            <v>C.2.5.2.10</v>
          </cell>
        </row>
        <row r="128">
          <cell r="J128" t="str">
            <v>C.2.5.2.16</v>
          </cell>
        </row>
        <row r="129">
          <cell r="J129" t="str">
            <v>C.2.5.2.20</v>
          </cell>
        </row>
        <row r="130">
          <cell r="J130" t="str">
            <v>C.2.5.4.13</v>
          </cell>
        </row>
        <row r="131">
          <cell r="J131" t="str">
            <v>C.2.2.3.12</v>
          </cell>
        </row>
        <row r="132">
          <cell r="J132" t="str">
            <v>C.2.2.3.15</v>
          </cell>
        </row>
        <row r="133">
          <cell r="J133" t="str">
            <v>C.2.4.8</v>
          </cell>
        </row>
        <row r="134">
          <cell r="J134" t="str">
            <v>C.2.4.9</v>
          </cell>
        </row>
        <row r="135">
          <cell r="J135" t="str">
            <v>C.5.3.7</v>
          </cell>
        </row>
        <row r="136">
          <cell r="J136" t="str">
            <v>C.5.3.20</v>
          </cell>
        </row>
        <row r="137">
          <cell r="J137" t="str">
            <v>C.2.4.5</v>
          </cell>
        </row>
        <row r="138">
          <cell r="J138" t="str">
            <v>C.2.4.6.2</v>
          </cell>
        </row>
        <row r="139">
          <cell r="J139" t="str">
            <v>C.2.4.8</v>
          </cell>
        </row>
        <row r="140">
          <cell r="J140" t="str">
            <v>C.5.3.9.1</v>
          </cell>
        </row>
        <row r="141">
          <cell r="J141" t="str">
            <v>C.5.3.9.2</v>
          </cell>
        </row>
        <row r="142">
          <cell r="J142" t="str">
            <v>C.5.3.17</v>
          </cell>
        </row>
        <row r="143">
          <cell r="J143" t="str">
            <v>C.5.3.23</v>
          </cell>
        </row>
        <row r="144">
          <cell r="J144" t="str">
            <v>C.5.3.5.1</v>
          </cell>
        </row>
        <row r="145">
          <cell r="J145" t="str">
            <v>C.5.3.5.2</v>
          </cell>
        </row>
        <row r="146">
          <cell r="J146" t="str">
            <v>C.5.3.5.3</v>
          </cell>
        </row>
        <row r="147">
          <cell r="J147" t="str">
            <v>C.2.4.8</v>
          </cell>
        </row>
        <row r="148">
          <cell r="J148" t="str">
            <v>C.5.3.8</v>
          </cell>
        </row>
        <row r="149">
          <cell r="J149" t="str">
            <v>C.5.3.9.1</v>
          </cell>
        </row>
        <row r="150">
          <cell r="J150" t="str">
            <v>C.5.3.9.2</v>
          </cell>
        </row>
        <row r="151">
          <cell r="J151" t="str">
            <v>C.5.3.17</v>
          </cell>
        </row>
        <row r="152">
          <cell r="J152" t="str">
            <v>C.5.3.5.1</v>
          </cell>
        </row>
        <row r="153">
          <cell r="J153" t="str">
            <v>C.5.3.5.2</v>
          </cell>
        </row>
        <row r="154">
          <cell r="J154" t="str">
            <v>C.5.3.5.3</v>
          </cell>
        </row>
        <row r="155">
          <cell r="J155" t="str">
            <v>C.5.3.8</v>
          </cell>
        </row>
        <row r="156">
          <cell r="J156" t="str">
            <v>C.5.3.9.1</v>
          </cell>
        </row>
        <row r="157">
          <cell r="J157" t="str">
            <v>C.5.3.9.2</v>
          </cell>
        </row>
        <row r="158">
          <cell r="J158" t="str">
            <v>C.2.4.12</v>
          </cell>
        </row>
        <row r="159">
          <cell r="J159" t="str">
            <v>C.5.3.23</v>
          </cell>
        </row>
        <row r="160">
          <cell r="J160" t="str">
            <v>C.2.4.2</v>
          </cell>
        </row>
        <row r="161">
          <cell r="J161" t="str">
            <v>C.2.4.7</v>
          </cell>
        </row>
        <row r="162">
          <cell r="J162" t="str">
            <v>C.5.3.2</v>
          </cell>
        </row>
        <row r="163">
          <cell r="J163" t="str">
            <v>C.5.3.3</v>
          </cell>
        </row>
        <row r="164">
          <cell r="J164" t="str">
            <v>C.5.3.8</v>
          </cell>
        </row>
        <row r="165">
          <cell r="J165" t="str">
            <v>C.5.3.9.1</v>
          </cell>
        </row>
        <row r="166">
          <cell r="J166" t="str">
            <v>C.5.3.9.2</v>
          </cell>
        </row>
        <row r="167">
          <cell r="J167" t="str">
            <v>C.2.4.17</v>
          </cell>
        </row>
        <row r="168">
          <cell r="J168" t="str">
            <v>C.2.2.4.7.3</v>
          </cell>
        </row>
        <row r="169">
          <cell r="J169" t="str">
            <v>C.5.6.4.17</v>
          </cell>
        </row>
        <row r="170">
          <cell r="J170" t="str">
            <v>C.3.4.3.12.1</v>
          </cell>
        </row>
        <row r="171">
          <cell r="J171" t="str">
            <v>C.3.4.3.12.10</v>
          </cell>
        </row>
        <row r="172">
          <cell r="J172" t="str">
            <v>C.3.4.3.12.11</v>
          </cell>
        </row>
        <row r="173">
          <cell r="J173" t="str">
            <v>C.3.4.3.12.12</v>
          </cell>
        </row>
        <row r="174">
          <cell r="J174" t="str">
            <v>C.3.4.3.12.13</v>
          </cell>
        </row>
        <row r="175">
          <cell r="J175" t="str">
            <v>C.3.4.3.12.2</v>
          </cell>
        </row>
        <row r="176">
          <cell r="J176" t="str">
            <v>C.3.4.3.12.3</v>
          </cell>
        </row>
        <row r="177">
          <cell r="J177" t="str">
            <v>C.3.4.3.12.4</v>
          </cell>
        </row>
        <row r="178">
          <cell r="J178" t="str">
            <v>C.3.4.3.12.5</v>
          </cell>
        </row>
        <row r="179">
          <cell r="J179" t="str">
            <v>C.3.4.3.12.6</v>
          </cell>
        </row>
        <row r="180">
          <cell r="J180" t="str">
            <v>C.3.4.3.12.7</v>
          </cell>
        </row>
        <row r="181">
          <cell r="J181" t="str">
            <v>C.3.4.3.12.8</v>
          </cell>
        </row>
        <row r="182">
          <cell r="J182" t="str">
            <v>C.3.4.3.12.9</v>
          </cell>
        </row>
        <row r="183">
          <cell r="J183" t="str">
            <v>C.3.6.1.18.6</v>
          </cell>
        </row>
        <row r="184">
          <cell r="J184" t="str">
            <v>C.3.8.4.1</v>
          </cell>
        </row>
        <row r="185">
          <cell r="J185" t="str">
            <v>C.3.8.4.2</v>
          </cell>
        </row>
        <row r="186">
          <cell r="J186" t="str">
            <v>C.3.4.4.17</v>
          </cell>
        </row>
        <row r="187">
          <cell r="J187" t="str">
            <v>C.3.5.16.1</v>
          </cell>
        </row>
        <row r="188">
          <cell r="J188" t="str">
            <v>C.3.5.16.2</v>
          </cell>
        </row>
        <row r="189">
          <cell r="J189" t="str">
            <v>C.5.6.4.12</v>
          </cell>
        </row>
        <row r="190">
          <cell r="J190" t="str">
            <v>C.5.6.4.5.1</v>
          </cell>
        </row>
        <row r="191">
          <cell r="J191" t="str">
            <v>C.5.6.4.5.2</v>
          </cell>
        </row>
        <row r="192">
          <cell r="J192" t="str">
            <v>C.5.6.4.5.3</v>
          </cell>
        </row>
        <row r="193">
          <cell r="J193" t="str">
            <v>C.5.6.4.17</v>
          </cell>
        </row>
        <row r="194">
          <cell r="J194" t="str">
            <v>C.3.4.3.13.1</v>
          </cell>
        </row>
        <row r="195">
          <cell r="J195" t="str">
            <v>C.3.4.3.13.2</v>
          </cell>
        </row>
        <row r="196">
          <cell r="J196" t="str">
            <v>C.3.4.3.13.3</v>
          </cell>
        </row>
        <row r="197">
          <cell r="J197" t="str">
            <v>C.3.4.3.14.1</v>
          </cell>
        </row>
        <row r="198">
          <cell r="J198" t="str">
            <v>C.3.4.3.14.2</v>
          </cell>
        </row>
        <row r="199">
          <cell r="J199" t="str">
            <v>C.3.4.3.14.3</v>
          </cell>
        </row>
        <row r="200">
          <cell r="J200" t="str">
            <v>C.3.4.3.15</v>
          </cell>
        </row>
        <row r="201">
          <cell r="J201" t="str">
            <v>C.3.4.4.17</v>
          </cell>
        </row>
        <row r="202">
          <cell r="J202" t="str">
            <v>C.3.4.4.8.1</v>
          </cell>
        </row>
        <row r="203">
          <cell r="J203" t="str">
            <v>C.3.4.4.8.2</v>
          </cell>
        </row>
        <row r="204">
          <cell r="J204" t="str">
            <v>C.3.4.4.8.1</v>
          </cell>
        </row>
        <row r="205">
          <cell r="J205" t="str">
            <v>C.3.4.4.8.2</v>
          </cell>
        </row>
        <row r="206">
          <cell r="J206" t="str">
            <v>C.3.4.2.11.1</v>
          </cell>
        </row>
        <row r="207">
          <cell r="J207" t="str">
            <v>C.3.4.2.11.10</v>
          </cell>
        </row>
        <row r="208">
          <cell r="J208" t="str">
            <v>C.3.4.2.11.11</v>
          </cell>
        </row>
        <row r="209">
          <cell r="J209" t="str">
            <v>C.3.4.2.11.12</v>
          </cell>
        </row>
        <row r="210">
          <cell r="J210" t="str">
            <v>C.3.4.2.11.2</v>
          </cell>
        </row>
        <row r="211">
          <cell r="J211" t="str">
            <v>C.3.4.2.11.3</v>
          </cell>
        </row>
        <row r="212">
          <cell r="J212" t="str">
            <v>C.3.4.2.11.4</v>
          </cell>
        </row>
        <row r="213">
          <cell r="J213" t="str">
            <v>C.3.4.2.11.5</v>
          </cell>
        </row>
        <row r="214">
          <cell r="J214" t="str">
            <v>C.3.4.2.11.6</v>
          </cell>
        </row>
        <row r="215">
          <cell r="J215" t="str">
            <v>C.3.4.2.11.7</v>
          </cell>
        </row>
        <row r="216">
          <cell r="J216" t="str">
            <v>C.3.4.2.11.8</v>
          </cell>
        </row>
        <row r="217">
          <cell r="J217" t="str">
            <v>C.3.4.2.11.9</v>
          </cell>
        </row>
        <row r="218">
          <cell r="J218" t="str">
            <v>C.3.5.15.1</v>
          </cell>
        </row>
        <row r="219">
          <cell r="J219" t="str">
            <v>C.3.5.15.2</v>
          </cell>
        </row>
        <row r="220">
          <cell r="J220" t="str">
            <v>C.3.5.15.3</v>
          </cell>
        </row>
        <row r="221">
          <cell r="J221" t="str">
            <v>C.3.5.15.4</v>
          </cell>
        </row>
        <row r="222">
          <cell r="J222" t="str">
            <v>C.3.5.15.5</v>
          </cell>
        </row>
        <row r="223">
          <cell r="J223" t="str">
            <v>C.3.5.17.1</v>
          </cell>
        </row>
        <row r="224">
          <cell r="J224" t="str">
            <v>C.3.5.17.2</v>
          </cell>
        </row>
        <row r="225">
          <cell r="J225" t="str">
            <v>C.3.5.17.3</v>
          </cell>
        </row>
        <row r="226">
          <cell r="J226" t="str">
            <v>C.3.5.30</v>
          </cell>
        </row>
        <row r="227">
          <cell r="J227" t="str">
            <v>C.3.4.2.1</v>
          </cell>
        </row>
        <row r="228">
          <cell r="J228" t="str">
            <v>C.3.5.4</v>
          </cell>
        </row>
        <row r="229">
          <cell r="J229" t="str">
            <v>C.2.4.6.2</v>
          </cell>
        </row>
        <row r="230">
          <cell r="J230" t="str">
            <v>C.2.3.26</v>
          </cell>
        </row>
        <row r="231">
          <cell r="J231" t="str">
            <v>C.2.3.12</v>
          </cell>
        </row>
        <row r="232">
          <cell r="J232" t="str">
            <v>C.2.4.7</v>
          </cell>
        </row>
        <row r="233">
          <cell r="J233" t="str">
            <v>C.2.3.21</v>
          </cell>
        </row>
        <row r="234">
          <cell r="J234" t="str">
            <v>C.2.3.15.1</v>
          </cell>
        </row>
        <row r="235">
          <cell r="J235" t="str">
            <v>C.2.3.15.2</v>
          </cell>
        </row>
        <row r="236">
          <cell r="J236" t="str">
            <v>C.2.3.15.3</v>
          </cell>
        </row>
        <row r="237">
          <cell r="J237" t="str">
            <v>C.2.3.29</v>
          </cell>
        </row>
        <row r="238">
          <cell r="J238" t="str">
            <v>C.2.3.15.1</v>
          </cell>
        </row>
        <row r="239">
          <cell r="J239" t="str">
            <v>C.2.3.15.2</v>
          </cell>
        </row>
        <row r="240">
          <cell r="J240" t="str">
            <v>C.2.3.15.3</v>
          </cell>
        </row>
        <row r="241">
          <cell r="J241" t="str">
            <v>C.2.3.12</v>
          </cell>
        </row>
        <row r="242">
          <cell r="J242" t="str">
            <v>C.2.3.20</v>
          </cell>
        </row>
        <row r="243">
          <cell r="J243" t="str">
            <v>C.2.3.21</v>
          </cell>
        </row>
        <row r="244">
          <cell r="J244" t="str">
            <v>C.2.3.13.1</v>
          </cell>
        </row>
        <row r="245">
          <cell r="J245" t="str">
            <v>C.2.3.13.2</v>
          </cell>
        </row>
        <row r="246">
          <cell r="J246" t="str">
            <v>C.2.3.13.3</v>
          </cell>
        </row>
        <row r="247">
          <cell r="J247" t="str">
            <v>C.2.3.14</v>
          </cell>
        </row>
        <row r="248">
          <cell r="J248" t="str">
            <v>C.2.3.14</v>
          </cell>
        </row>
        <row r="249">
          <cell r="J249" t="str">
            <v>C.5.3.23</v>
          </cell>
        </row>
        <row r="250">
          <cell r="J250" t="str">
            <v>C.2.3.20</v>
          </cell>
        </row>
        <row r="251">
          <cell r="J251" t="str">
            <v>C.2.3.21</v>
          </cell>
        </row>
        <row r="252">
          <cell r="J252" t="str">
            <v>C.2.3.12</v>
          </cell>
        </row>
        <row r="253">
          <cell r="J253" t="str">
            <v>C.2.4.5</v>
          </cell>
        </row>
        <row r="254">
          <cell r="J254" t="str">
            <v>C.2.3.15.1</v>
          </cell>
        </row>
        <row r="255">
          <cell r="J255" t="str">
            <v>C.2.3.15.2</v>
          </cell>
        </row>
        <row r="256">
          <cell r="J256" t="str">
            <v>C.2.3.15.3</v>
          </cell>
        </row>
        <row r="257">
          <cell r="J257" t="str">
            <v>C.2.3.21</v>
          </cell>
        </row>
        <row r="258">
          <cell r="J258" t="str">
            <v>C.2.4.17</v>
          </cell>
        </row>
        <row r="259">
          <cell r="J259" t="str">
            <v>C.2.3.9</v>
          </cell>
        </row>
        <row r="260">
          <cell r="J260" t="str">
            <v>C.2.3.13.1</v>
          </cell>
        </row>
        <row r="261">
          <cell r="J261" t="str">
            <v>C.2.3.13.2</v>
          </cell>
        </row>
        <row r="262">
          <cell r="J262" t="str">
            <v>C.2.3.13.3</v>
          </cell>
        </row>
        <row r="263">
          <cell r="J263" t="str">
            <v>C.2.3.14</v>
          </cell>
        </row>
        <row r="264">
          <cell r="J264" t="str">
            <v>C.2.3.21</v>
          </cell>
        </row>
        <row r="265">
          <cell r="J265" t="str">
            <v>C.2.3.13.1</v>
          </cell>
        </row>
        <row r="266">
          <cell r="J266" t="str">
            <v>C.2.3.13.2</v>
          </cell>
        </row>
        <row r="267">
          <cell r="J267" t="str">
            <v>C.2.3.13.3</v>
          </cell>
        </row>
        <row r="268">
          <cell r="J268" t="str">
            <v>C.2.3.14</v>
          </cell>
        </row>
        <row r="269">
          <cell r="J269" t="str">
            <v>C.2.3.7</v>
          </cell>
        </row>
        <row r="270">
          <cell r="J270" t="str">
            <v>C.2.3.30</v>
          </cell>
        </row>
        <row r="271">
          <cell r="J271" t="str">
            <v>C.2.4.5</v>
          </cell>
        </row>
        <row r="272">
          <cell r="J272" t="str">
            <v>C.2.4.6.2</v>
          </cell>
        </row>
        <row r="273">
          <cell r="J273" t="str">
            <v>C.2.4.8</v>
          </cell>
        </row>
        <row r="274">
          <cell r="J274" t="str">
            <v>C.5.3.8</v>
          </cell>
        </row>
        <row r="275">
          <cell r="J275" t="str">
            <v>C.5.3.9.1</v>
          </cell>
        </row>
        <row r="276">
          <cell r="J276" t="str">
            <v>C.5.3.9.2</v>
          </cell>
        </row>
        <row r="277">
          <cell r="J277" t="str">
            <v>C.5.3.17</v>
          </cell>
        </row>
        <row r="278">
          <cell r="J278" t="str">
            <v>C.2.4.7</v>
          </cell>
        </row>
        <row r="279">
          <cell r="J279" t="str">
            <v>C.2.2.2.10</v>
          </cell>
        </row>
        <row r="280">
          <cell r="J280" t="str">
            <v>C.2.2.2.13</v>
          </cell>
        </row>
        <row r="281">
          <cell r="J281" t="str">
            <v>C.2.2.2.3</v>
          </cell>
        </row>
        <row r="282">
          <cell r="J282" t="str">
            <v>C.2.2.2.4</v>
          </cell>
        </row>
        <row r="283">
          <cell r="J283" t="str">
            <v>C.2.2.2.13</v>
          </cell>
        </row>
        <row r="284">
          <cell r="J284" t="str">
            <v>C.2.2.2.4</v>
          </cell>
        </row>
        <row r="285">
          <cell r="J285" t="str">
            <v>C.2.2.2.9</v>
          </cell>
        </row>
        <row r="286">
          <cell r="J286" t="str">
            <v>C.2.2.2.3</v>
          </cell>
        </row>
        <row r="287">
          <cell r="J287" t="str">
            <v>C.5.6.4.8</v>
          </cell>
        </row>
        <row r="288">
          <cell r="J288" t="str">
            <v>C.2.2.2.14</v>
          </cell>
        </row>
        <row r="289">
          <cell r="J289" t="str">
            <v>C.2.2.2.17.6</v>
          </cell>
        </row>
        <row r="290">
          <cell r="J290" t="str">
            <v>C.2.2.2.17.1</v>
          </cell>
        </row>
        <row r="291">
          <cell r="J291" t="str">
            <v>C.2.2.2.17.2</v>
          </cell>
        </row>
        <row r="292">
          <cell r="J292" t="str">
            <v>C.2.2.2.17.3</v>
          </cell>
        </row>
        <row r="293">
          <cell r="J293" t="str">
            <v>C.2.2.2.10</v>
          </cell>
        </row>
        <row r="294">
          <cell r="J294" t="str">
            <v>C.2.2.2.15</v>
          </cell>
        </row>
        <row r="295">
          <cell r="J295" t="str">
            <v>C.2.2.2.8.1</v>
          </cell>
        </row>
        <row r="296">
          <cell r="J296" t="str">
            <v>C.2.2.2.8.2</v>
          </cell>
        </row>
        <row r="297">
          <cell r="J297" t="str">
            <v>C.2.2.2.9</v>
          </cell>
        </row>
        <row r="298">
          <cell r="J298" t="str">
            <v>C.2.2.3.10</v>
          </cell>
        </row>
        <row r="299">
          <cell r="J299" t="str">
            <v>C.2.2.3.12</v>
          </cell>
        </row>
        <row r="300">
          <cell r="J300" t="str">
            <v>C.2.2.3.14.1</v>
          </cell>
        </row>
        <row r="301">
          <cell r="J301" t="str">
            <v>C.2.2.3.14.2</v>
          </cell>
        </row>
        <row r="302">
          <cell r="J302" t="str">
            <v>C.2.2.2.13</v>
          </cell>
        </row>
        <row r="303">
          <cell r="J303" t="str">
            <v>C.2.2.2.11.1</v>
          </cell>
        </row>
        <row r="304">
          <cell r="J304" t="str">
            <v>C.2.2.3.15</v>
          </cell>
        </row>
        <row r="305">
          <cell r="J305" t="str">
            <v>C.2.2.2.11.2</v>
          </cell>
        </row>
        <row r="306">
          <cell r="J306" t="str">
            <v>C.2.2.2.12</v>
          </cell>
        </row>
        <row r="307">
          <cell r="J307" t="str">
            <v>C.2.2.2.13</v>
          </cell>
        </row>
        <row r="308">
          <cell r="J308" t="str">
            <v>C.2.2.2.16</v>
          </cell>
        </row>
        <row r="309">
          <cell r="J309" t="str">
            <v>C.2.2.2.5</v>
          </cell>
        </row>
        <row r="310">
          <cell r="J310" t="str">
            <v>C.2.2.2.6.1</v>
          </cell>
        </row>
        <row r="311">
          <cell r="J311" t="str">
            <v>C.2.2.2.6.2</v>
          </cell>
        </row>
        <row r="312">
          <cell r="J312" t="str">
            <v>C.2.2.2.6.3</v>
          </cell>
        </row>
        <row r="313">
          <cell r="J313" t="str">
            <v>C.2.2.2.6.4</v>
          </cell>
        </row>
        <row r="314">
          <cell r="J314" t="str">
            <v>C.2.2.2.7.1</v>
          </cell>
        </row>
        <row r="315">
          <cell r="J315" t="str">
            <v>C.2.2.2.7.2</v>
          </cell>
        </row>
        <row r="316">
          <cell r="J316" t="str">
            <v>C.2.2.2.10</v>
          </cell>
        </row>
        <row r="317">
          <cell r="J317" t="str">
            <v>C.2.2.2.9</v>
          </cell>
        </row>
        <row r="318">
          <cell r="J318" t="str">
            <v>C.2.2.2.14</v>
          </cell>
        </row>
        <row r="319">
          <cell r="J319" t="str">
            <v>C.2.2.2.16</v>
          </cell>
        </row>
        <row r="320">
          <cell r="J320" t="str">
            <v>C.2.2.2.17.1</v>
          </cell>
        </row>
        <row r="321">
          <cell r="J321" t="str">
            <v>C.2.2.2.17.2</v>
          </cell>
        </row>
        <row r="322">
          <cell r="J322" t="str">
            <v>C.2.2.2.17.3</v>
          </cell>
        </row>
        <row r="323">
          <cell r="J323" t="str">
            <v>C.2.2.3.13</v>
          </cell>
        </row>
        <row r="324">
          <cell r="J324" t="str">
            <v>C.5.6.4.10</v>
          </cell>
        </row>
        <row r="325">
          <cell r="J325" t="str">
            <v>C.5.6.4.9</v>
          </cell>
        </row>
        <row r="326">
          <cell r="J326" t="str">
            <v>C.2.2.2.22.1</v>
          </cell>
        </row>
        <row r="327">
          <cell r="J327" t="str">
            <v>C.2.2.3.19.2</v>
          </cell>
        </row>
        <row r="328">
          <cell r="J328" t="str">
            <v>C.2.2.2.11.1</v>
          </cell>
        </row>
        <row r="329">
          <cell r="J329" t="str">
            <v>C.2.2.2.11.2</v>
          </cell>
        </row>
        <row r="330">
          <cell r="J330" t="str">
            <v>C.2.2.2.12</v>
          </cell>
        </row>
        <row r="331">
          <cell r="J331" t="str">
            <v>C.2.2.2.13</v>
          </cell>
        </row>
        <row r="332">
          <cell r="J332" t="str">
            <v>C.2.2.2.14</v>
          </cell>
        </row>
        <row r="333">
          <cell r="J333" t="str">
            <v>C.2.2.2.17.1</v>
          </cell>
        </row>
        <row r="334">
          <cell r="J334" t="str">
            <v>C.2.2.2.17.2</v>
          </cell>
        </row>
        <row r="335">
          <cell r="J335" t="str">
            <v>C.2.2.2.17.3</v>
          </cell>
        </row>
        <row r="336">
          <cell r="J336" t="str">
            <v>C.2.2.2.17.6</v>
          </cell>
        </row>
        <row r="337">
          <cell r="J337" t="str">
            <v>C.2.2.2.5</v>
          </cell>
        </row>
        <row r="338">
          <cell r="J338" t="str">
            <v>C.2.2.2.6.1</v>
          </cell>
        </row>
        <row r="339">
          <cell r="J339" t="str">
            <v>C.2.2.2.6.2</v>
          </cell>
        </row>
        <row r="340">
          <cell r="J340" t="str">
            <v>C.2.2.2.6.3</v>
          </cell>
        </row>
        <row r="341">
          <cell r="J341" t="str">
            <v>C.2.2.2.6.4</v>
          </cell>
        </row>
        <row r="342">
          <cell r="J342" t="str">
            <v>C.2.2.2.7.1</v>
          </cell>
        </row>
        <row r="343">
          <cell r="J343" t="str">
            <v>C.2.2.2.7.2</v>
          </cell>
        </row>
        <row r="344">
          <cell r="J344" t="str">
            <v>C.2.2.3.10</v>
          </cell>
        </row>
        <row r="345">
          <cell r="J345" t="str">
            <v>C.2.2.3.11</v>
          </cell>
        </row>
        <row r="346">
          <cell r="J346" t="str">
            <v>C.2.2.3.13</v>
          </cell>
        </row>
        <row r="347">
          <cell r="J347" t="str">
            <v>C.2.2.3.14.1</v>
          </cell>
        </row>
        <row r="348">
          <cell r="J348" t="str">
            <v>C.2.2.3.3</v>
          </cell>
        </row>
        <row r="349">
          <cell r="J349" t="str">
            <v>C.2.2.3.4</v>
          </cell>
        </row>
        <row r="350">
          <cell r="J350" t="str">
            <v>D.2.2.6.7</v>
          </cell>
        </row>
        <row r="351">
          <cell r="J351" t="str">
            <v>C.2.2.3.17</v>
          </cell>
        </row>
        <row r="352">
          <cell r="J352" t="str">
            <v>C.2.2.3.3</v>
          </cell>
        </row>
        <row r="353">
          <cell r="J353" t="str">
            <v>C.2.2.2.15</v>
          </cell>
        </row>
        <row r="354">
          <cell r="J354" t="str">
            <v>C.2.2.2.16</v>
          </cell>
        </row>
        <row r="355">
          <cell r="J355" t="str">
            <v>C.2.2.2.17.1</v>
          </cell>
        </row>
        <row r="356">
          <cell r="J356" t="str">
            <v>C.2.2.2.17.2</v>
          </cell>
        </row>
        <row r="357">
          <cell r="J357" t="str">
            <v>C.2.2.2.17.3</v>
          </cell>
        </row>
        <row r="358">
          <cell r="J358" t="str">
            <v>C.2.2.2.8.1</v>
          </cell>
        </row>
        <row r="359">
          <cell r="J359" t="str">
            <v>C.2.2.2.8.2</v>
          </cell>
        </row>
        <row r="360">
          <cell r="J360" t="str">
            <v>C.2.2.2.9</v>
          </cell>
        </row>
        <row r="361">
          <cell r="J361" t="str">
            <v>C.2.2.3.14.1</v>
          </cell>
        </row>
        <row r="362">
          <cell r="J362" t="str">
            <v>C.2.2.3.14.2</v>
          </cell>
        </row>
        <row r="363">
          <cell r="J363" t="str">
            <v>C.2.2.3.14.3</v>
          </cell>
        </row>
        <row r="364">
          <cell r="J364" t="str">
            <v>C.2.2.3.9</v>
          </cell>
        </row>
        <row r="365">
          <cell r="J365" t="str">
            <v>D.2.2.6.7</v>
          </cell>
        </row>
        <row r="366">
          <cell r="J366" t="str">
            <v>C.2.2.3.10</v>
          </cell>
        </row>
        <row r="367">
          <cell r="J367" t="str">
            <v>C.2.2.3.11</v>
          </cell>
        </row>
        <row r="368">
          <cell r="J368" t="str">
            <v>C.2.2.3.4</v>
          </cell>
        </row>
        <row r="369">
          <cell r="J369" t="str">
            <v>C.2.2.3.4</v>
          </cell>
        </row>
        <row r="370">
          <cell r="J370" t="str">
            <v>C.2.2.3.9</v>
          </cell>
        </row>
        <row r="371">
          <cell r="J371" t="str">
            <v>C.2.2.2.10</v>
          </cell>
        </row>
        <row r="372">
          <cell r="J372" t="str">
            <v>C.2.2.2.12</v>
          </cell>
        </row>
        <row r="373">
          <cell r="J373" t="str">
            <v>C.2.2.2.15</v>
          </cell>
        </row>
        <row r="374">
          <cell r="J374" t="str">
            <v>C.2.2.2.16</v>
          </cell>
        </row>
        <row r="375">
          <cell r="J375" t="str">
            <v>C.2.2.2.17.1</v>
          </cell>
        </row>
        <row r="376">
          <cell r="J376" t="str">
            <v>C.2.2.2.17.2</v>
          </cell>
        </row>
        <row r="377">
          <cell r="J377" t="str">
            <v>C.2.2.2.17.3</v>
          </cell>
        </row>
        <row r="378">
          <cell r="J378" t="str">
            <v>C.2.2.2.8.1</v>
          </cell>
        </row>
        <row r="379">
          <cell r="J379" t="str">
            <v>C.2.2.2.8.2</v>
          </cell>
        </row>
        <row r="380">
          <cell r="J380" t="str">
            <v>C.2.2.2.9</v>
          </cell>
        </row>
        <row r="381">
          <cell r="J381" t="str">
            <v>C.2.2.3.10</v>
          </cell>
        </row>
        <row r="382">
          <cell r="J382" t="str">
            <v>C.2.2.3.11</v>
          </cell>
        </row>
        <row r="383">
          <cell r="J383" t="str">
            <v>C.2.2.3.12</v>
          </cell>
        </row>
        <row r="384">
          <cell r="J384" t="str">
            <v>C.2.2.3.13</v>
          </cell>
        </row>
        <row r="385">
          <cell r="J385" t="str">
            <v>C.2.2.3.3</v>
          </cell>
        </row>
        <row r="386">
          <cell r="J386" t="str">
            <v>C.2.2.3.4</v>
          </cell>
        </row>
        <row r="387">
          <cell r="J387" t="str">
            <v>C.2.2.3.6</v>
          </cell>
        </row>
        <row r="388">
          <cell r="J388" t="str">
            <v>C.2.2.3.7</v>
          </cell>
        </row>
        <row r="389">
          <cell r="J389" t="str">
            <v>C.5.6.4.8</v>
          </cell>
        </row>
        <row r="390">
          <cell r="J390" t="str">
            <v>C.2.2.3.17</v>
          </cell>
        </row>
        <row r="391">
          <cell r="J391" t="str">
            <v>C.5.6.4.10</v>
          </cell>
        </row>
        <row r="392">
          <cell r="J392" t="str">
            <v>C.5.6.4.9</v>
          </cell>
        </row>
        <row r="393">
          <cell r="J393" t="str">
            <v>C.2.2.3.4</v>
          </cell>
        </row>
        <row r="394">
          <cell r="J394" t="str">
            <v>C.2.2.2.11.1</v>
          </cell>
        </row>
        <row r="395">
          <cell r="J395" t="str">
            <v>C.2.2.2.11.2</v>
          </cell>
        </row>
        <row r="396">
          <cell r="J396" t="str">
            <v>C.2.2.2.5</v>
          </cell>
        </row>
        <row r="397">
          <cell r="J397" t="str">
            <v>C.2.2.2.6.1</v>
          </cell>
        </row>
        <row r="398">
          <cell r="J398" t="str">
            <v>C.2.2.2.6.2</v>
          </cell>
        </row>
        <row r="399">
          <cell r="J399" t="str">
            <v>C.2.2.2.6.3</v>
          </cell>
        </row>
        <row r="400">
          <cell r="J400" t="str">
            <v>C.2.2.2.6.4</v>
          </cell>
        </row>
        <row r="401">
          <cell r="J401" t="str">
            <v>C.2.2.2.27</v>
          </cell>
        </row>
        <row r="402">
          <cell r="J402" t="str">
            <v>C.2.2.3.24</v>
          </cell>
        </row>
        <row r="403">
          <cell r="J403" t="str">
            <v>C.5.6.4.10</v>
          </cell>
        </row>
        <row r="404">
          <cell r="J404" t="str">
            <v>C.5.6.4.9</v>
          </cell>
        </row>
        <row r="405">
          <cell r="J405" t="str">
            <v>C.2.2.1.1</v>
          </cell>
        </row>
        <row r="406">
          <cell r="J406" t="str">
            <v>C.2.2.2.1</v>
          </cell>
        </row>
        <row r="407">
          <cell r="J407" t="str">
            <v>C.2.2.3.1</v>
          </cell>
        </row>
        <row r="408">
          <cell r="J408" t="str">
            <v>C.2.2.3.17</v>
          </cell>
        </row>
        <row r="409">
          <cell r="J409" t="str">
            <v>C.2.2.3.17</v>
          </cell>
        </row>
        <row r="410">
          <cell r="J410" t="str">
            <v>C.2.2.2.15</v>
          </cell>
        </row>
        <row r="411">
          <cell r="J411" t="str">
            <v>C.2.2.2.10</v>
          </cell>
        </row>
        <row r="412">
          <cell r="J412" t="str">
            <v>C.2.2.2.15</v>
          </cell>
        </row>
        <row r="413">
          <cell r="J413" t="str">
            <v>C.2.2.2.8.1</v>
          </cell>
        </row>
        <row r="414">
          <cell r="J414" t="str">
            <v>C.2.2.2.8.2</v>
          </cell>
        </row>
        <row r="415">
          <cell r="J415" t="str">
            <v>C.2.2.2.9</v>
          </cell>
        </row>
        <row r="416">
          <cell r="J416" t="str">
            <v>C.2.2.2.10</v>
          </cell>
        </row>
        <row r="417">
          <cell r="J417" t="str">
            <v>C.2.2.2.15</v>
          </cell>
        </row>
        <row r="418">
          <cell r="J418" t="str">
            <v>C.2.2.2.8.1</v>
          </cell>
        </row>
        <row r="419">
          <cell r="J419" t="str">
            <v>C.2.2.2.8.2</v>
          </cell>
        </row>
        <row r="420">
          <cell r="J420" t="str">
            <v>C.2.2.2.9</v>
          </cell>
        </row>
        <row r="421">
          <cell r="J421" t="str">
            <v>C.2.2.2.10</v>
          </cell>
        </row>
        <row r="422">
          <cell r="J422" t="str">
            <v>C.2.2.2.15</v>
          </cell>
        </row>
        <row r="423">
          <cell r="J423" t="str">
            <v>C.2.2.2.8.1</v>
          </cell>
        </row>
        <row r="424">
          <cell r="J424" t="str">
            <v>C.2.2.2.8.2</v>
          </cell>
        </row>
        <row r="425">
          <cell r="J425" t="str">
            <v>C.2.2.2.9</v>
          </cell>
        </row>
        <row r="426">
          <cell r="J426" t="str">
            <v>C.2.2.2.10</v>
          </cell>
        </row>
        <row r="427">
          <cell r="J427" t="str">
            <v>C.2.2.2.15</v>
          </cell>
        </row>
        <row r="428">
          <cell r="J428" t="str">
            <v>C.2.2.2.8.1</v>
          </cell>
        </row>
        <row r="429">
          <cell r="J429" t="str">
            <v>C.2.2.2.8.2</v>
          </cell>
        </row>
        <row r="430">
          <cell r="J430" t="str">
            <v>C.2.2.2.9</v>
          </cell>
        </row>
        <row r="431">
          <cell r="J431" t="str">
            <v>C.2.2.2.10</v>
          </cell>
        </row>
        <row r="432">
          <cell r="J432" t="str">
            <v>C.2.2.2.15</v>
          </cell>
        </row>
        <row r="433">
          <cell r="J433" t="str">
            <v>C.2.2.2.8.1</v>
          </cell>
        </row>
        <row r="434">
          <cell r="J434" t="str">
            <v>C.2.2.2.8.2</v>
          </cell>
        </row>
        <row r="435">
          <cell r="J435" t="str">
            <v>C.2.2.2.9</v>
          </cell>
        </row>
        <row r="436">
          <cell r="J436" t="str">
            <v>C.2.2.3.9</v>
          </cell>
        </row>
        <row r="437">
          <cell r="J437" t="str">
            <v>C.2.2.2.10</v>
          </cell>
        </row>
        <row r="438">
          <cell r="J438" t="str">
            <v>C.2.2.2.16</v>
          </cell>
        </row>
        <row r="439">
          <cell r="J439" t="str">
            <v>C.2.2.2.17.1</v>
          </cell>
        </row>
        <row r="440">
          <cell r="J440" t="str">
            <v>C.2.2.2.17.2</v>
          </cell>
        </row>
        <row r="441">
          <cell r="J441" t="str">
            <v>C.2.2.2.17.3</v>
          </cell>
        </row>
        <row r="442">
          <cell r="J442" t="str">
            <v>C.2.2.2.17.6</v>
          </cell>
        </row>
        <row r="443">
          <cell r="J443" t="str">
            <v>C.2.2.2.7.1</v>
          </cell>
        </row>
        <row r="444">
          <cell r="J444" t="str">
            <v>C.2.2.2.7.2</v>
          </cell>
        </row>
        <row r="445">
          <cell r="J445" t="str">
            <v>C.2.2.2.8.1</v>
          </cell>
        </row>
        <row r="446">
          <cell r="J446" t="str">
            <v>C.2.2.2.8.2</v>
          </cell>
        </row>
        <row r="447">
          <cell r="J447" t="str">
            <v>C.2.2.2.9</v>
          </cell>
        </row>
        <row r="448">
          <cell r="J448" t="str">
            <v>C.2.2.3.10</v>
          </cell>
        </row>
        <row r="449">
          <cell r="J449" t="str">
            <v>C.2.2.3.11</v>
          </cell>
        </row>
        <row r="450">
          <cell r="J450" t="str">
            <v>C.2.2.3.14.1</v>
          </cell>
        </row>
        <row r="451">
          <cell r="J451" t="str">
            <v>C.2.2.2.15</v>
          </cell>
        </row>
        <row r="452">
          <cell r="J452" t="str">
            <v>D.2.2.6.7</v>
          </cell>
        </row>
        <row r="453">
          <cell r="J453" t="str">
            <v>C.2.2.2.16</v>
          </cell>
        </row>
        <row r="454">
          <cell r="J454" t="str">
            <v>C.2.2.2.17.1</v>
          </cell>
        </row>
        <row r="455">
          <cell r="J455" t="str">
            <v>C.2.2.2.17.2</v>
          </cell>
        </row>
        <row r="456">
          <cell r="J456" t="str">
            <v>C.2.2.2.17.3</v>
          </cell>
        </row>
        <row r="457">
          <cell r="J457" t="str">
            <v>C.2.2.2.10</v>
          </cell>
        </row>
        <row r="458">
          <cell r="J458" t="str">
            <v>C.2.2.2.15</v>
          </cell>
        </row>
        <row r="459">
          <cell r="J459" t="str">
            <v>C.2.2.2.10</v>
          </cell>
        </row>
        <row r="460">
          <cell r="J460" t="str">
            <v>C.2.2.2.15</v>
          </cell>
        </row>
        <row r="461">
          <cell r="J461" t="str">
            <v>C.2.2.2.8.1</v>
          </cell>
        </row>
        <row r="462">
          <cell r="J462" t="str">
            <v>C.2.2.2.8.2</v>
          </cell>
        </row>
        <row r="463">
          <cell r="J463" t="str">
            <v>C.2.2.2.9</v>
          </cell>
        </row>
        <row r="464">
          <cell r="J464" t="str">
            <v>C.2.2.2.27</v>
          </cell>
        </row>
        <row r="465">
          <cell r="J465" t="str">
            <v>C.2.2.3.9</v>
          </cell>
        </row>
        <row r="466">
          <cell r="J466" t="str">
            <v>C.2.2.3.17</v>
          </cell>
        </row>
        <row r="467">
          <cell r="J467" t="str">
            <v>C.2.2.4.7.4</v>
          </cell>
        </row>
        <row r="468">
          <cell r="J468" t="str">
            <v>C.5.6.3.13</v>
          </cell>
        </row>
        <row r="469">
          <cell r="J469" t="str">
            <v>C.5.6.4.17</v>
          </cell>
        </row>
        <row r="470">
          <cell r="J470" t="str">
            <v>C.5.3.9.1</v>
          </cell>
        </row>
        <row r="471">
          <cell r="J471" t="str">
            <v>C.5.3.9.2</v>
          </cell>
        </row>
        <row r="472">
          <cell r="J472" t="str">
            <v>C.2.5.3.29.1</v>
          </cell>
        </row>
        <row r="473">
          <cell r="J473" t="str">
            <v>C.2.5.3.29.2</v>
          </cell>
        </row>
        <row r="474">
          <cell r="J474" t="str">
            <v>C.2.5.3.29.3</v>
          </cell>
        </row>
        <row r="475">
          <cell r="J475" t="str">
            <v>C.2.5.3.29.4</v>
          </cell>
        </row>
        <row r="476">
          <cell r="J476" t="str">
            <v>C.4.3.12.1</v>
          </cell>
        </row>
        <row r="477">
          <cell r="J477" t="str">
            <v>C.2.5.3.28.1</v>
          </cell>
        </row>
        <row r="478">
          <cell r="J478" t="str">
            <v>C.2.5.3.28.2</v>
          </cell>
        </row>
        <row r="479">
          <cell r="J479" t="str">
            <v>C.2.5.3.28.3</v>
          </cell>
        </row>
        <row r="480">
          <cell r="J480" t="str">
            <v>C.2.5.3.28.4</v>
          </cell>
        </row>
        <row r="481">
          <cell r="J481" t="str">
            <v>C.2.5.3.28.5</v>
          </cell>
        </row>
        <row r="482">
          <cell r="J482" t="str">
            <v>C.2.5.3.28.6</v>
          </cell>
        </row>
        <row r="483">
          <cell r="J483" t="str">
            <v>C.2.5.3.28.7</v>
          </cell>
        </row>
        <row r="484">
          <cell r="J484" t="str">
            <v>C.2.5.3.34.1</v>
          </cell>
        </row>
        <row r="485">
          <cell r="J485" t="str">
            <v>C.2.5.3.34.2</v>
          </cell>
        </row>
        <row r="486">
          <cell r="J486" t="str">
            <v>C.3.6.2.8</v>
          </cell>
        </row>
        <row r="487">
          <cell r="J487" t="str">
            <v>C.4.5.6.2</v>
          </cell>
        </row>
        <row r="488">
          <cell r="J488" t="str">
            <v>C.5.3.8</v>
          </cell>
        </row>
        <row r="489">
          <cell r="J489" t="str">
            <v>C.2.5.3.39</v>
          </cell>
        </row>
        <row r="490">
          <cell r="J490" t="str">
            <v>C.5.8.2.37</v>
          </cell>
        </row>
        <row r="491">
          <cell r="J491" t="str">
            <v>C.2.6.1.1</v>
          </cell>
        </row>
        <row r="492">
          <cell r="J492" t="str">
            <v>C.2.6.1.2</v>
          </cell>
        </row>
        <row r="493">
          <cell r="J493" t="str">
            <v>C.5.4.13</v>
          </cell>
        </row>
        <row r="494">
          <cell r="J494" t="str">
            <v>C.5.4.11</v>
          </cell>
        </row>
        <row r="495">
          <cell r="J495" t="str">
            <v>C.2.3.12</v>
          </cell>
        </row>
        <row r="496">
          <cell r="J496" t="str">
            <v>C.2.5.3.12.1</v>
          </cell>
        </row>
        <row r="497">
          <cell r="J497" t="str">
            <v>C.2.5.3.12.2</v>
          </cell>
        </row>
        <row r="498">
          <cell r="J498" t="str">
            <v>C.2.5.3.33</v>
          </cell>
        </row>
        <row r="499">
          <cell r="J499" t="str">
            <v>C.2.3.40</v>
          </cell>
        </row>
        <row r="500">
          <cell r="J500" t="str">
            <v>C.2.3.15.3</v>
          </cell>
        </row>
        <row r="501">
          <cell r="J501" t="str">
            <v>C.2.5.3.33</v>
          </cell>
        </row>
        <row r="502">
          <cell r="J502" t="str">
            <v>C.2.5.3.22</v>
          </cell>
        </row>
        <row r="503">
          <cell r="J503" t="str">
            <v>C.2.5.3.12.1</v>
          </cell>
        </row>
        <row r="504">
          <cell r="J504" t="str">
            <v>C.2.5.3.12.2</v>
          </cell>
        </row>
        <row r="505">
          <cell r="J505" t="str">
            <v>C.2.5.3.33</v>
          </cell>
        </row>
        <row r="506">
          <cell r="J506" t="str">
            <v>C.2.5.3.24</v>
          </cell>
        </row>
        <row r="507">
          <cell r="J507" t="str">
            <v>C.2.5.3.39</v>
          </cell>
        </row>
        <row r="508">
          <cell r="J508" t="str">
            <v>C.2.5.3.17.1</v>
          </cell>
        </row>
        <row r="509">
          <cell r="J509" t="str">
            <v>C.2.5.3.17.2</v>
          </cell>
        </row>
        <row r="510">
          <cell r="J510" t="str">
            <v>C.2.5.3.18</v>
          </cell>
        </row>
        <row r="511">
          <cell r="J511" t="str">
            <v>C.2.5.3.12.1</v>
          </cell>
        </row>
        <row r="512">
          <cell r="J512" t="str">
            <v>C.2.5.3.12.2</v>
          </cell>
        </row>
        <row r="513">
          <cell r="J513" t="str">
            <v>C.2.5.3.33</v>
          </cell>
        </row>
        <row r="514">
          <cell r="J514" t="str">
            <v>C.2.5.3.19</v>
          </cell>
        </row>
        <row r="515">
          <cell r="J515" t="str">
            <v>C.2.5.3.43</v>
          </cell>
        </row>
        <row r="516">
          <cell r="J516" t="str">
            <v>C.2.5.3.33</v>
          </cell>
        </row>
        <row r="517">
          <cell r="J517" t="str">
            <v>C.2.5.3.43</v>
          </cell>
        </row>
        <row r="518">
          <cell r="J518" t="str">
            <v>C.2.5.3.19</v>
          </cell>
        </row>
        <row r="519">
          <cell r="J519" t="str">
            <v>C.2.5.3.33</v>
          </cell>
        </row>
        <row r="520">
          <cell r="J520" t="str">
            <v>C.2.5.3.33</v>
          </cell>
        </row>
        <row r="521">
          <cell r="J521" t="str">
            <v>C.2.5.3.17.1</v>
          </cell>
        </row>
        <row r="522">
          <cell r="J522" t="str">
            <v>C.2.5.3.17.2</v>
          </cell>
        </row>
        <row r="523">
          <cell r="J523" t="str">
            <v>C.2.5.3.21</v>
          </cell>
        </row>
        <row r="524">
          <cell r="J524" t="str">
            <v>C.2.5.3.4</v>
          </cell>
        </row>
        <row r="525">
          <cell r="J525" t="str">
            <v>C.2.5.3.17.2</v>
          </cell>
        </row>
        <row r="526">
          <cell r="J526" t="str">
            <v>C.2.5.3.17.1</v>
          </cell>
        </row>
        <row r="527">
          <cell r="J527" t="str">
            <v>C.2.5.3.17.2</v>
          </cell>
        </row>
        <row r="528">
          <cell r="J528" t="str">
            <v>C.2.5.3.17.1</v>
          </cell>
        </row>
        <row r="529">
          <cell r="J529" t="str">
            <v>C.2.5.3.17.2</v>
          </cell>
        </row>
        <row r="530">
          <cell r="J530" t="str">
            <v>C.2.5.3.16</v>
          </cell>
        </row>
        <row r="531">
          <cell r="J531" t="str">
            <v>C.2.5.3.17.2</v>
          </cell>
        </row>
        <row r="532">
          <cell r="J532" t="str">
            <v>C.2.5.3.11.1</v>
          </cell>
        </row>
        <row r="533">
          <cell r="J533" t="str">
            <v>C.2.5.3.11.2</v>
          </cell>
        </row>
        <row r="534">
          <cell r="J534" t="str">
            <v>C.2.5.3.11.3</v>
          </cell>
        </row>
        <row r="535">
          <cell r="J535" t="str">
            <v>C.2.5.3.42</v>
          </cell>
        </row>
        <row r="536">
          <cell r="J536" t="str">
            <v>C.2.5.3.17.2</v>
          </cell>
        </row>
        <row r="537">
          <cell r="J537" t="str">
            <v>C.2.5.3.18</v>
          </cell>
        </row>
        <row r="538">
          <cell r="J538" t="str">
            <v>C.2.5.3.6</v>
          </cell>
        </row>
        <row r="539">
          <cell r="J539" t="str">
            <v>C.2.5.3.17.1</v>
          </cell>
        </row>
        <row r="540">
          <cell r="J540" t="str">
            <v>C.2.5.3.17.2</v>
          </cell>
        </row>
        <row r="541">
          <cell r="J541" t="str">
            <v>C.2.5.3.21</v>
          </cell>
        </row>
        <row r="542">
          <cell r="J542" t="str">
            <v>C.2.5.3.4</v>
          </cell>
        </row>
        <row r="543">
          <cell r="J543" t="str">
            <v>C.2.5.3.22</v>
          </cell>
        </row>
        <row r="544">
          <cell r="J544" t="str">
            <v>C.2.5.3.39</v>
          </cell>
        </row>
        <row r="545">
          <cell r="J545" t="str">
            <v>C.5.9.1</v>
          </cell>
        </row>
        <row r="546">
          <cell r="J546" t="str">
            <v>C.2.3.21</v>
          </cell>
        </row>
        <row r="547">
          <cell r="J547" t="str">
            <v>C.2.3.9</v>
          </cell>
        </row>
        <row r="548">
          <cell r="J548" t="str">
            <v>C.2.5.3.33</v>
          </cell>
        </row>
        <row r="549">
          <cell r="J549" t="str">
            <v>C.2.3.30</v>
          </cell>
        </row>
        <row r="550">
          <cell r="J550" t="str">
            <v>C.2.5.3.19</v>
          </cell>
        </row>
        <row r="551">
          <cell r="J551" t="str">
            <v>C.2.3.40</v>
          </cell>
        </row>
        <row r="552">
          <cell r="J552" t="str">
            <v>C.2.3.20</v>
          </cell>
        </row>
        <row r="553">
          <cell r="J553" t="str">
            <v>C.2.3.21</v>
          </cell>
        </row>
        <row r="554">
          <cell r="J554" t="str">
            <v>C.2.5.3.33</v>
          </cell>
        </row>
        <row r="555">
          <cell r="J555" t="str">
            <v>C.5.9.7</v>
          </cell>
        </row>
        <row r="556">
          <cell r="J556" t="str">
            <v>C.2.3.16.1</v>
          </cell>
        </row>
        <row r="557">
          <cell r="J557" t="str">
            <v>C.2.5.3.25.2</v>
          </cell>
        </row>
        <row r="558">
          <cell r="J558" t="str">
            <v>C.2.5.3.43</v>
          </cell>
        </row>
        <row r="559">
          <cell r="J559" t="str">
            <v>C.2.5.3.19</v>
          </cell>
        </row>
        <row r="560">
          <cell r="J560" t="str">
            <v>C.2.5.3.33</v>
          </cell>
        </row>
        <row r="561">
          <cell r="J561" t="str">
            <v>C.2.3.15.3</v>
          </cell>
        </row>
        <row r="562">
          <cell r="J562" t="str">
            <v>C.2.3.21</v>
          </cell>
        </row>
        <row r="563">
          <cell r="J563" t="str">
            <v>C.2.5.3.33</v>
          </cell>
        </row>
        <row r="564">
          <cell r="J564" t="str">
            <v>C.2.5.3.33</v>
          </cell>
        </row>
        <row r="565">
          <cell r="J565" t="str">
            <v>C.2.3.9</v>
          </cell>
        </row>
        <row r="566">
          <cell r="J566" t="str">
            <v>C.2.3.19</v>
          </cell>
        </row>
        <row r="567">
          <cell r="J567" t="str">
            <v>C.2.3.20</v>
          </cell>
        </row>
        <row r="568">
          <cell r="J568" t="str">
            <v>C.2.3.13.1</v>
          </cell>
        </row>
        <row r="569">
          <cell r="J569" t="str">
            <v>C.2.3.13.2</v>
          </cell>
        </row>
        <row r="570">
          <cell r="J570" t="str">
            <v>C.2.3.13.3</v>
          </cell>
        </row>
        <row r="571">
          <cell r="J571" t="str">
            <v>C.2.3.14</v>
          </cell>
        </row>
        <row r="572">
          <cell r="J572" t="str">
            <v>C.2.2.4.7.5</v>
          </cell>
        </row>
        <row r="573">
          <cell r="J573" t="str">
            <v>C.5.8.2.31</v>
          </cell>
        </row>
        <row r="574">
          <cell r="J574" t="str">
            <v>C.5.8.2.14</v>
          </cell>
        </row>
        <row r="575">
          <cell r="J575" t="str">
            <v>C.5.8.2.21</v>
          </cell>
        </row>
        <row r="576">
          <cell r="J576" t="str">
            <v>C.5.8.2.22</v>
          </cell>
        </row>
        <row r="577">
          <cell r="J577" t="str">
            <v>C.5.8.2.31</v>
          </cell>
        </row>
        <row r="578">
          <cell r="J578" t="str">
            <v>C.5.8.2.10</v>
          </cell>
        </row>
        <row r="579">
          <cell r="J579" t="str">
            <v>C.5.8.2.40</v>
          </cell>
        </row>
        <row r="580">
          <cell r="J580" t="str">
            <v>C.5.4.11</v>
          </cell>
        </row>
        <row r="581">
          <cell r="J581" t="str">
            <v>E.3.4</v>
          </cell>
        </row>
        <row r="582">
          <cell r="J582" t="str">
            <v>C.5.4.13</v>
          </cell>
        </row>
        <row r="583">
          <cell r="J583" t="str">
            <v>C.5.4.12</v>
          </cell>
        </row>
        <row r="584">
          <cell r="J584" t="str">
            <v>C.5.4.13</v>
          </cell>
        </row>
        <row r="585">
          <cell r="J585" t="str">
            <v>C.5.4.10</v>
          </cell>
        </row>
        <row r="586">
          <cell r="J586" t="str">
            <v>C.5.8.2.38</v>
          </cell>
        </row>
        <row r="587">
          <cell r="J587" t="str">
            <v>C.5.4.30</v>
          </cell>
        </row>
        <row r="588">
          <cell r="J588" t="str">
            <v>C.5.4.30</v>
          </cell>
        </row>
        <row r="589">
          <cell r="J589" t="str">
            <v>C.2.6.3</v>
          </cell>
        </row>
        <row r="590">
          <cell r="J590" t="str">
            <v>C.5.4.20</v>
          </cell>
        </row>
        <row r="591">
          <cell r="J591" t="str">
            <v>C.5.8.2.7</v>
          </cell>
        </row>
        <row r="592">
          <cell r="J592" t="str">
            <v>E.5.2.1</v>
          </cell>
        </row>
        <row r="593">
          <cell r="J593" t="str">
            <v>E.5.2.2</v>
          </cell>
        </row>
        <row r="594">
          <cell r="J594" t="str">
            <v>C.5.8.2.31</v>
          </cell>
        </row>
        <row r="595">
          <cell r="J595" t="str">
            <v>E.5.2.3</v>
          </cell>
        </row>
        <row r="596">
          <cell r="J596" t="str">
            <v>E.5.2.4</v>
          </cell>
        </row>
        <row r="597">
          <cell r="J597" t="str">
            <v>C.5.4.12</v>
          </cell>
        </row>
        <row r="598">
          <cell r="J598" t="str">
            <v>C.5.4.13</v>
          </cell>
        </row>
        <row r="599">
          <cell r="J599" t="str">
            <v>C.5.4.13</v>
          </cell>
        </row>
        <row r="600">
          <cell r="J600" t="str">
            <v>C.2.6.3</v>
          </cell>
        </row>
        <row r="601">
          <cell r="J601" t="str">
            <v>C.5.4.20</v>
          </cell>
        </row>
        <row r="602">
          <cell r="J602" t="str">
            <v>C.5.8.2.7</v>
          </cell>
        </row>
        <row r="603">
          <cell r="J603" t="str">
            <v>C.2.6.2.1</v>
          </cell>
        </row>
        <row r="604">
          <cell r="J604" t="str">
            <v>C.2.6.2.2</v>
          </cell>
        </row>
        <row r="605">
          <cell r="J605" t="str">
            <v>C.5.4.3</v>
          </cell>
        </row>
        <row r="606">
          <cell r="J606" t="str">
            <v>E.5.2.1</v>
          </cell>
        </row>
        <row r="607">
          <cell r="J607" t="str">
            <v>E.5.2.2</v>
          </cell>
        </row>
        <row r="608">
          <cell r="J608" t="str">
            <v>E.5.2.3</v>
          </cell>
        </row>
        <row r="609">
          <cell r="J609" t="str">
            <v>E.5.2.4</v>
          </cell>
        </row>
        <row r="610">
          <cell r="J610" t="str">
            <v>C.5.4.10</v>
          </cell>
        </row>
        <row r="611">
          <cell r="J611" t="str">
            <v>C.3.3.2</v>
          </cell>
        </row>
        <row r="612">
          <cell r="J612" t="str">
            <v>C.5.4.1</v>
          </cell>
        </row>
        <row r="613">
          <cell r="J613" t="str">
            <v>C.2.6.2.1</v>
          </cell>
        </row>
        <row r="614">
          <cell r="J614" t="str">
            <v>C.2.6.2.2</v>
          </cell>
        </row>
        <row r="615">
          <cell r="J615" t="str">
            <v>C.5.4.3</v>
          </cell>
        </row>
        <row r="616">
          <cell r="J616" t="str">
            <v>E.5.2.1</v>
          </cell>
        </row>
        <row r="617">
          <cell r="J617" t="str">
            <v>E.5.2.2</v>
          </cell>
        </row>
        <row r="618">
          <cell r="J618" t="str">
            <v>E.5.2.3</v>
          </cell>
        </row>
        <row r="619">
          <cell r="J619" t="str">
            <v>E.5.2.4</v>
          </cell>
        </row>
        <row r="620">
          <cell r="J620" t="str">
            <v>E.3.6</v>
          </cell>
        </row>
        <row r="621">
          <cell r="J621" t="str">
            <v>C.5.8.2.29</v>
          </cell>
        </row>
        <row r="622">
          <cell r="J622" t="str">
            <v>C.5.8.2.31</v>
          </cell>
        </row>
        <row r="623">
          <cell r="J623" t="str">
            <v>C.5.8.2.26</v>
          </cell>
        </row>
        <row r="624">
          <cell r="J624" t="str">
            <v>C.5.8.2.31</v>
          </cell>
        </row>
        <row r="625">
          <cell r="J625" t="str">
            <v>C.5.8.2.28</v>
          </cell>
        </row>
        <row r="626">
          <cell r="J626" t="str">
            <v>C.5.8.2.41</v>
          </cell>
        </row>
        <row r="627">
          <cell r="J627" t="str">
            <v>E.3.4</v>
          </cell>
        </row>
        <row r="628">
          <cell r="J628" t="str">
            <v>E.3.4</v>
          </cell>
        </row>
        <row r="629">
          <cell r="J629" t="str">
            <v>E.3.4</v>
          </cell>
        </row>
        <row r="630">
          <cell r="J630" t="str">
            <v>C.5.8.2.22</v>
          </cell>
        </row>
        <row r="631">
          <cell r="J631" t="str">
            <v>C.5.8.2.21</v>
          </cell>
        </row>
        <row r="632">
          <cell r="J632" t="str">
            <v>E.3.4</v>
          </cell>
        </row>
        <row r="633">
          <cell r="J633" t="str">
            <v>C.5.8.2.31</v>
          </cell>
        </row>
        <row r="634">
          <cell r="J634" t="str">
            <v>C.5.8.2.20</v>
          </cell>
        </row>
        <row r="635">
          <cell r="J635" t="str">
            <v>C.5.4.6</v>
          </cell>
        </row>
        <row r="636">
          <cell r="J636" t="str">
            <v>C.5.4.9</v>
          </cell>
        </row>
        <row r="637">
          <cell r="J637" t="str">
            <v>C.5.4.32</v>
          </cell>
        </row>
        <row r="638">
          <cell r="J638" t="str">
            <v>C.5.4.7</v>
          </cell>
        </row>
        <row r="639">
          <cell r="J639" t="str">
            <v>C.5.4.13</v>
          </cell>
        </row>
        <row r="640">
          <cell r="J640" t="str">
            <v>C.2.6.3</v>
          </cell>
        </row>
        <row r="641">
          <cell r="J641" t="str">
            <v>C.5.4.20</v>
          </cell>
        </row>
        <row r="642">
          <cell r="J642" t="str">
            <v>C.5.8.2.7</v>
          </cell>
        </row>
        <row r="643">
          <cell r="J643" t="str">
            <v>C.5.4.11</v>
          </cell>
        </row>
        <row r="644">
          <cell r="J644" t="str">
            <v>C.5.4.12</v>
          </cell>
        </row>
        <row r="645">
          <cell r="J645" t="str">
            <v>C.5.4.11</v>
          </cell>
        </row>
        <row r="646">
          <cell r="J646" t="str">
            <v>C.5.4.10</v>
          </cell>
        </row>
        <row r="647">
          <cell r="J647" t="str">
            <v>E.3.3</v>
          </cell>
        </row>
        <row r="648">
          <cell r="J648" t="str">
            <v>E.3.4</v>
          </cell>
        </row>
        <row r="649">
          <cell r="J649" t="str">
            <v>C.3.6.1.13.2</v>
          </cell>
        </row>
        <row r="650">
          <cell r="J650" t="str">
            <v>C.3.4.4.12.1</v>
          </cell>
        </row>
        <row r="651">
          <cell r="J651" t="str">
            <v>C.3.4.4.12.2</v>
          </cell>
        </row>
        <row r="652">
          <cell r="J652" t="str">
            <v>C.3.4.4.12.3</v>
          </cell>
        </row>
        <row r="653">
          <cell r="J653" t="str">
            <v>C.3.4.4.12.4</v>
          </cell>
        </row>
        <row r="654">
          <cell r="J654" t="str">
            <v>C.3.4.4.12.5</v>
          </cell>
        </row>
        <row r="655">
          <cell r="J655" t="str">
            <v>C.3.4.4.12.6</v>
          </cell>
        </row>
        <row r="656">
          <cell r="J656" t="str">
            <v>C.3.4.4.12.7</v>
          </cell>
        </row>
        <row r="657">
          <cell r="J657" t="str">
            <v>C.3.4.4.12.8</v>
          </cell>
        </row>
        <row r="658">
          <cell r="J658" t="str">
            <v>C.3.4.4.12.9</v>
          </cell>
        </row>
        <row r="659">
          <cell r="J659" t="str">
            <v>C.3.6.1.20.1</v>
          </cell>
        </row>
        <row r="660">
          <cell r="J660" t="str">
            <v>C.3.6.1.20.2</v>
          </cell>
        </row>
        <row r="661">
          <cell r="J661" t="str">
            <v>C.3.6.1.20.3</v>
          </cell>
        </row>
        <row r="662">
          <cell r="J662" t="str">
            <v>C.3.4.4.12.1</v>
          </cell>
        </row>
        <row r="663">
          <cell r="J663" t="str">
            <v>C.3.4.4.12.2</v>
          </cell>
        </row>
        <row r="664">
          <cell r="J664" t="str">
            <v>C.3.4.4.12.3</v>
          </cell>
        </row>
        <row r="665">
          <cell r="J665" t="str">
            <v>C.3.4.4.12.4</v>
          </cell>
        </row>
        <row r="666">
          <cell r="J666" t="str">
            <v>C.3.4.4.12.5</v>
          </cell>
        </row>
        <row r="667">
          <cell r="J667" t="str">
            <v>C.3.4.4.12.6</v>
          </cell>
        </row>
        <row r="668">
          <cell r="J668" t="str">
            <v>C.3.4.4.12.7</v>
          </cell>
        </row>
        <row r="669">
          <cell r="J669" t="str">
            <v>C.3.4.4.12.8</v>
          </cell>
        </row>
        <row r="670">
          <cell r="J670" t="str">
            <v>C.3.4.4.12.9</v>
          </cell>
        </row>
        <row r="671">
          <cell r="J671" t="str">
            <v>C.3.6.1.20.1</v>
          </cell>
        </row>
        <row r="672">
          <cell r="J672" t="str">
            <v>C.3.6.1.20.2</v>
          </cell>
        </row>
        <row r="673">
          <cell r="J673" t="str">
            <v>C.3.6.1.20.3</v>
          </cell>
        </row>
        <row r="674">
          <cell r="J674" t="str">
            <v>C.3.6.1.18.5</v>
          </cell>
        </row>
        <row r="675">
          <cell r="J675" t="str">
            <v>C.3.6.1.18.1</v>
          </cell>
        </row>
        <row r="676">
          <cell r="J676" t="str">
            <v>C.3.6.1.18.2</v>
          </cell>
        </row>
        <row r="677">
          <cell r="J677" t="str">
            <v>C.3.6.1.18.3</v>
          </cell>
        </row>
        <row r="678">
          <cell r="J678" t="str">
            <v>C.3.6.3.6.1</v>
          </cell>
        </row>
        <row r="679">
          <cell r="J679" t="str">
            <v>C.3.6.1.18.4</v>
          </cell>
        </row>
        <row r="680">
          <cell r="J680" t="str">
            <v>C.3.6.1.18.5</v>
          </cell>
        </row>
        <row r="681">
          <cell r="J681" t="str">
            <v>C.3.6.1.18.6</v>
          </cell>
        </row>
        <row r="682">
          <cell r="J682" t="str">
            <v>C.3.6.1.19</v>
          </cell>
        </row>
        <row r="683">
          <cell r="J683" t="str">
            <v>C.3.4.4.8.1</v>
          </cell>
        </row>
        <row r="684">
          <cell r="J684" t="str">
            <v>C.3.4.4.8.2</v>
          </cell>
        </row>
        <row r="685">
          <cell r="J685" t="str">
            <v>C.2.2.4.7.5</v>
          </cell>
        </row>
        <row r="686">
          <cell r="J686" t="str">
            <v>C.2.2.4.7.5</v>
          </cell>
        </row>
        <row r="687">
          <cell r="J687" t="str">
            <v>C.2.2.4.7.6</v>
          </cell>
        </row>
        <row r="688">
          <cell r="J688" t="str">
            <v>C.2.2.4.7.5</v>
          </cell>
        </row>
        <row r="689">
          <cell r="J689" t="str">
            <v>C.2.2.4.7.6</v>
          </cell>
        </row>
        <row r="690">
          <cell r="J690" t="str">
            <v>C.3.4.4.12.10</v>
          </cell>
        </row>
        <row r="691">
          <cell r="J691" t="str">
            <v>C.3.6.3.6.2</v>
          </cell>
        </row>
        <row r="692">
          <cell r="J692" t="str">
            <v>C.3.6.3.6.3</v>
          </cell>
        </row>
        <row r="693">
          <cell r="J693" t="str">
            <v>C.3.6.3.11</v>
          </cell>
        </row>
        <row r="694">
          <cell r="J694" t="str">
            <v>C.3.6.3.13</v>
          </cell>
        </row>
        <row r="695">
          <cell r="J695" t="str">
            <v>C.3.6.1.18.1</v>
          </cell>
        </row>
        <row r="696">
          <cell r="J696" t="str">
            <v>C.3.6.3.13</v>
          </cell>
        </row>
        <row r="697">
          <cell r="J697" t="str">
            <v>C.3.6.1.18.2</v>
          </cell>
        </row>
        <row r="698">
          <cell r="J698" t="str">
            <v>C.3.6.1.18.3</v>
          </cell>
        </row>
        <row r="699">
          <cell r="J699" t="str">
            <v>C.3.6.1.18.4</v>
          </cell>
        </row>
        <row r="700">
          <cell r="J700" t="str">
            <v>C.3.6.1.18.5</v>
          </cell>
        </row>
        <row r="701">
          <cell r="J701" t="str">
            <v>C.3.6.1.18.6</v>
          </cell>
        </row>
        <row r="702">
          <cell r="J702" t="str">
            <v>C.3.6.1.19</v>
          </cell>
        </row>
        <row r="703">
          <cell r="J703" t="str">
            <v>C.3.6.1.26</v>
          </cell>
        </row>
        <row r="704">
          <cell r="J704" t="str">
            <v>C.3.6.3.6.1</v>
          </cell>
        </row>
        <row r="705">
          <cell r="J705" t="str">
            <v>C.3.6.3.6.2</v>
          </cell>
        </row>
        <row r="706">
          <cell r="J706" t="str">
            <v>C.3.6.3.6.3</v>
          </cell>
        </row>
        <row r="707">
          <cell r="J707" t="str">
            <v>C.3.6.3.6.3</v>
          </cell>
        </row>
        <row r="708">
          <cell r="J708" t="str">
            <v>C.3.6.3.11</v>
          </cell>
        </row>
        <row r="709">
          <cell r="J709" t="str">
            <v>C.3.6.3.7</v>
          </cell>
        </row>
        <row r="710">
          <cell r="J710" t="str">
            <v>C.3.6.3.11</v>
          </cell>
        </row>
        <row r="711">
          <cell r="J711" t="str">
            <v>C.3.5.11</v>
          </cell>
        </row>
        <row r="712">
          <cell r="J712" t="str">
            <v>C.3.4.4.17</v>
          </cell>
        </row>
        <row r="713">
          <cell r="J713" t="str">
            <v>C.3.6.1.21.1</v>
          </cell>
        </row>
        <row r="714">
          <cell r="J714" t="str">
            <v>C.3.6.1.21.1</v>
          </cell>
        </row>
        <row r="715">
          <cell r="J715" t="str">
            <v>C.3.6.1.23.1</v>
          </cell>
        </row>
        <row r="716">
          <cell r="J716" t="str">
            <v>C.3.6.1.23.2</v>
          </cell>
        </row>
        <row r="717">
          <cell r="J717" t="str">
            <v>C.3.4.4.13.1</v>
          </cell>
        </row>
        <row r="718">
          <cell r="J718" t="str">
            <v>C.3.4.4.13.2</v>
          </cell>
        </row>
        <row r="719">
          <cell r="J719" t="str">
            <v>C.3.4.4.13.3</v>
          </cell>
        </row>
        <row r="720">
          <cell r="J720" t="str">
            <v>C.3.4.4.13.4</v>
          </cell>
        </row>
        <row r="721">
          <cell r="J721" t="str">
            <v>C.3.4.4.14.1</v>
          </cell>
        </row>
        <row r="722">
          <cell r="J722" t="str">
            <v>C.3.4.4.14.2</v>
          </cell>
        </row>
        <row r="723">
          <cell r="J723" t="str">
            <v>C.3.4.4.14.3</v>
          </cell>
        </row>
        <row r="724">
          <cell r="J724" t="str">
            <v>C.3.4.4.14.4</v>
          </cell>
        </row>
        <row r="725">
          <cell r="J725" t="str">
            <v>C.3.4.4.15</v>
          </cell>
        </row>
        <row r="726">
          <cell r="J726" t="str">
            <v>C.3.6.1.23.1</v>
          </cell>
        </row>
        <row r="727">
          <cell r="J727" t="str">
            <v>C.3.6.1.23.2</v>
          </cell>
        </row>
        <row r="728">
          <cell r="J728" t="str">
            <v>C.3.4.2.13</v>
          </cell>
        </row>
        <row r="729">
          <cell r="J729" t="str">
            <v>C.3.4.3.12.9</v>
          </cell>
        </row>
        <row r="730">
          <cell r="J730" t="str">
            <v>C.3.4.3.12.8</v>
          </cell>
        </row>
        <row r="731">
          <cell r="J731" t="str">
            <v>C.3.4.3.12.7</v>
          </cell>
        </row>
        <row r="732">
          <cell r="J732" t="str">
            <v>C.3.4.3.12.6</v>
          </cell>
        </row>
        <row r="733">
          <cell r="J733" t="str">
            <v>C.3.4.3.12.5</v>
          </cell>
        </row>
        <row r="734">
          <cell r="J734" t="str">
            <v>C.3.4.3.12.4</v>
          </cell>
        </row>
        <row r="735">
          <cell r="J735" t="str">
            <v>C.3.4.3.12.3</v>
          </cell>
        </row>
        <row r="736">
          <cell r="J736" t="str">
            <v>C.3.4.3.12.2</v>
          </cell>
        </row>
        <row r="737">
          <cell r="J737" t="str">
            <v>C.3.4.3.12.13</v>
          </cell>
        </row>
        <row r="738">
          <cell r="J738" t="str">
            <v>C.3.4.3.12.12</v>
          </cell>
        </row>
        <row r="739">
          <cell r="J739" t="str">
            <v>C.3.4.3.12.11</v>
          </cell>
        </row>
        <row r="740">
          <cell r="J740" t="str">
            <v>C.3.4.3.12.10</v>
          </cell>
        </row>
        <row r="741">
          <cell r="J741" t="str">
            <v>C.3.4.3.12.1</v>
          </cell>
        </row>
        <row r="742">
          <cell r="J742" t="str">
            <v>C.3.5.11</v>
          </cell>
        </row>
        <row r="743">
          <cell r="J743" t="str">
            <v>C.3.5.26</v>
          </cell>
        </row>
        <row r="744">
          <cell r="J744" t="str">
            <v>C.5.6.4.5.1</v>
          </cell>
        </row>
        <row r="745">
          <cell r="J745" t="str">
            <v>C.5.6.4.5.2</v>
          </cell>
        </row>
        <row r="746">
          <cell r="J746" t="str">
            <v>C.5.6.4.5.3</v>
          </cell>
        </row>
        <row r="747">
          <cell r="J747" t="str">
            <v>C.5.6.4.6.1</v>
          </cell>
        </row>
        <row r="748">
          <cell r="J748" t="str">
            <v>C.5.6.4.6.2</v>
          </cell>
        </row>
        <row r="749">
          <cell r="J749" t="str">
            <v>C.5.6.4.7</v>
          </cell>
        </row>
        <row r="750">
          <cell r="J750" t="str">
            <v>C.3.7.20</v>
          </cell>
        </row>
        <row r="751">
          <cell r="J751" t="str">
            <v>C.3.6.1.31.5</v>
          </cell>
        </row>
        <row r="752">
          <cell r="J752" t="str">
            <v>C.3.8.4.1</v>
          </cell>
        </row>
        <row r="753">
          <cell r="J753" t="str">
            <v>C.3.8.4.2</v>
          </cell>
        </row>
        <row r="754">
          <cell r="J754" t="str">
            <v>C.3.4.2.13</v>
          </cell>
        </row>
        <row r="755">
          <cell r="J755" t="str">
            <v>C.3.6.3.11</v>
          </cell>
        </row>
        <row r="756">
          <cell r="J756" t="str">
            <v>C.3.7.17.2</v>
          </cell>
        </row>
        <row r="757">
          <cell r="J757" t="str">
            <v>C.3.7.17.1</v>
          </cell>
        </row>
        <row r="758">
          <cell r="J758" t="str">
            <v>C.3.7.16.9</v>
          </cell>
        </row>
        <row r="759">
          <cell r="J759" t="str">
            <v>C.3.7.16.8</v>
          </cell>
        </row>
        <row r="760">
          <cell r="J760" t="str">
            <v>C.3.7.16.7</v>
          </cell>
        </row>
        <row r="761">
          <cell r="J761" t="str">
            <v>C.3.7.16.6</v>
          </cell>
        </row>
        <row r="762">
          <cell r="J762" t="str">
            <v>C.3.7.16.5</v>
          </cell>
        </row>
        <row r="763">
          <cell r="J763" t="str">
            <v>C.3.7.16.4</v>
          </cell>
        </row>
        <row r="764">
          <cell r="J764" t="str">
            <v>C.3.7.16.3</v>
          </cell>
        </row>
        <row r="765">
          <cell r="J765" t="str">
            <v>C.3.7.16.2</v>
          </cell>
        </row>
        <row r="766">
          <cell r="J766" t="str">
            <v>C.3.7.16.10</v>
          </cell>
        </row>
        <row r="767">
          <cell r="J767" t="str">
            <v>C.3.7.16.1</v>
          </cell>
        </row>
        <row r="768">
          <cell r="J768" t="str">
            <v>C.3.7.12.1</v>
          </cell>
        </row>
        <row r="769">
          <cell r="J769" t="str">
            <v>C.3.7.12.2</v>
          </cell>
        </row>
        <row r="770">
          <cell r="J770" t="str">
            <v>C.3.7.16.8</v>
          </cell>
        </row>
        <row r="771">
          <cell r="J771" t="str">
            <v>C.3.7.16.9</v>
          </cell>
        </row>
        <row r="772">
          <cell r="J772" t="str">
            <v>C.3.7.17.1</v>
          </cell>
        </row>
        <row r="773">
          <cell r="J773" t="str">
            <v>C.3.7.16.1</v>
          </cell>
        </row>
        <row r="774">
          <cell r="J774" t="str">
            <v>C.3.7.16.10</v>
          </cell>
        </row>
        <row r="775">
          <cell r="J775" t="str">
            <v>C.3.7.16.2</v>
          </cell>
        </row>
        <row r="776">
          <cell r="J776" t="str">
            <v>C.3.7.16.3</v>
          </cell>
        </row>
        <row r="777">
          <cell r="J777" t="str">
            <v>C.3.7.16.4</v>
          </cell>
        </row>
        <row r="778">
          <cell r="J778" t="str">
            <v>C.3.7.16.5</v>
          </cell>
        </row>
        <row r="779">
          <cell r="J779" t="str">
            <v>C.3.7.16.6</v>
          </cell>
        </row>
        <row r="780">
          <cell r="J780" t="str">
            <v>C.3.7.16.7</v>
          </cell>
        </row>
        <row r="781">
          <cell r="J781" t="str">
            <v>C.3.7.17.2</v>
          </cell>
        </row>
        <row r="782">
          <cell r="J782" t="str">
            <v>C.5.6.4.17</v>
          </cell>
        </row>
        <row r="783">
          <cell r="J783" t="str">
            <v>C.5.6.4.5.1</v>
          </cell>
        </row>
        <row r="784">
          <cell r="J784" t="str">
            <v>C.5.6.4.11</v>
          </cell>
        </row>
        <row r="785">
          <cell r="J785" t="str">
            <v>C.5.6.4.11</v>
          </cell>
        </row>
        <row r="786">
          <cell r="J786" t="str">
            <v>C.5.6.4.5.1</v>
          </cell>
        </row>
        <row r="787">
          <cell r="J787" t="str">
            <v>C.5.6.4.5.2</v>
          </cell>
        </row>
        <row r="788">
          <cell r="J788" t="str">
            <v>C.5.6.4.5.3</v>
          </cell>
        </row>
        <row r="789">
          <cell r="J789" t="str">
            <v>C.5.6.4.6.1</v>
          </cell>
        </row>
        <row r="790">
          <cell r="J790" t="str">
            <v>C.5.6.4.6.2</v>
          </cell>
        </row>
        <row r="791">
          <cell r="J791" t="str">
            <v>C.5.6.4.7</v>
          </cell>
        </row>
        <row r="792">
          <cell r="J792" t="str">
            <v>C.5.6.3.15.1</v>
          </cell>
        </row>
        <row r="793">
          <cell r="J793" t="str">
            <v>C.3.4.2.13</v>
          </cell>
        </row>
        <row r="794">
          <cell r="J794" t="str">
            <v>C.3.5.11</v>
          </cell>
        </row>
        <row r="795">
          <cell r="J795" t="str">
            <v>C.3.5.17.1</v>
          </cell>
        </row>
        <row r="796">
          <cell r="J796" t="str">
            <v>C.3.5.17.2</v>
          </cell>
        </row>
        <row r="797">
          <cell r="J797" t="str">
            <v>C.3.5.17.3</v>
          </cell>
        </row>
        <row r="798">
          <cell r="J798" t="str">
            <v>C.3.4.2.5</v>
          </cell>
        </row>
        <row r="799">
          <cell r="J799" t="str">
            <v>C.3.5.11</v>
          </cell>
        </row>
        <row r="800">
          <cell r="J800" t="str">
            <v>C.3.4.2.5</v>
          </cell>
        </row>
        <row r="801">
          <cell r="J801" t="str">
            <v>C.3.5.11</v>
          </cell>
        </row>
        <row r="802">
          <cell r="J802" t="str">
            <v>C.5.6.3.15.2</v>
          </cell>
        </row>
        <row r="803">
          <cell r="J803" t="str">
            <v>C.5.6.3.18.1</v>
          </cell>
        </row>
        <row r="804">
          <cell r="J804" t="str">
            <v>C.5.6.4.17</v>
          </cell>
        </row>
        <row r="805">
          <cell r="J805" t="str">
            <v>C.5.6.4.11</v>
          </cell>
        </row>
        <row r="806">
          <cell r="J806" t="str">
            <v>C.3.4.3.14.3</v>
          </cell>
        </row>
        <row r="807">
          <cell r="J807" t="str">
            <v>C.3.4.3.14.2</v>
          </cell>
        </row>
        <row r="808">
          <cell r="J808" t="str">
            <v>C.3.4.3.14.1</v>
          </cell>
        </row>
        <row r="809">
          <cell r="J809" t="str">
            <v>C.3.4.3.13.3</v>
          </cell>
        </row>
        <row r="810">
          <cell r="J810" t="str">
            <v>C.3.4.3.13.2</v>
          </cell>
        </row>
        <row r="811">
          <cell r="J811" t="str">
            <v>C.3.4.3.13.1</v>
          </cell>
        </row>
        <row r="812">
          <cell r="J812" t="str">
            <v>C.5.5.30</v>
          </cell>
        </row>
        <row r="813">
          <cell r="J813" t="str">
            <v>C.5.2.9</v>
          </cell>
        </row>
        <row r="814">
          <cell r="J814" t="str">
            <v>C.5.6.5.3</v>
          </cell>
        </row>
        <row r="815">
          <cell r="J815" t="str">
            <v>C.5.2.18</v>
          </cell>
        </row>
        <row r="816">
          <cell r="J816" t="str">
            <v>C.5.2.26</v>
          </cell>
        </row>
        <row r="817">
          <cell r="J817" t="str">
            <v>C.5.2.18</v>
          </cell>
        </row>
        <row r="818">
          <cell r="J818" t="str">
            <v>C.5.5.12</v>
          </cell>
        </row>
        <row r="819">
          <cell r="J819" t="str">
            <v>C.4.3.8</v>
          </cell>
        </row>
        <row r="820">
          <cell r="J820" t="str">
            <v>C.2.2.3.15</v>
          </cell>
        </row>
        <row r="821">
          <cell r="J821" t="str">
            <v>C.2.2.3.14.3</v>
          </cell>
        </row>
        <row r="822">
          <cell r="J822" t="str">
            <v>C.2.2.3.14.1</v>
          </cell>
        </row>
        <row r="823">
          <cell r="J823" t="str">
            <v>C.2.2.3.14.2</v>
          </cell>
        </row>
        <row r="824">
          <cell r="J824" t="str">
            <v>C.2.2.3.14.1</v>
          </cell>
        </row>
        <row r="825">
          <cell r="J825" t="str">
            <v>C.2.2.3.14.1</v>
          </cell>
        </row>
        <row r="826">
          <cell r="J826" t="str">
            <v>C.2.2.3.14.2</v>
          </cell>
        </row>
        <row r="827">
          <cell r="J827" t="str">
            <v>C.2.2.3.14.3</v>
          </cell>
        </row>
        <row r="828">
          <cell r="J828" t="str">
            <v>C.2.2.3.14.3</v>
          </cell>
        </row>
        <row r="829">
          <cell r="J829" t="str">
            <v>C.2.2.4.7.6</v>
          </cell>
        </row>
        <row r="830">
          <cell r="J830" t="str">
            <v>C.2.2.3.14.1</v>
          </cell>
        </row>
        <row r="831">
          <cell r="J831" t="str">
            <v>C.5.2.33</v>
          </cell>
        </row>
        <row r="832">
          <cell r="J832" t="str">
            <v>C.5.2.23</v>
          </cell>
        </row>
        <row r="833">
          <cell r="J833" t="str">
            <v>C.5.2.40</v>
          </cell>
        </row>
        <row r="834">
          <cell r="J834" t="str">
            <v>C.5.2.6</v>
          </cell>
        </row>
        <row r="835">
          <cell r="J835" t="str">
            <v>C.5.2.30</v>
          </cell>
        </row>
        <row r="836">
          <cell r="J836" t="str">
            <v>C.5.2.18</v>
          </cell>
        </row>
        <row r="837">
          <cell r="J837" t="str">
            <v>C.5.2.25</v>
          </cell>
        </row>
        <row r="838">
          <cell r="J838" t="str">
            <v>C.5.2.23</v>
          </cell>
        </row>
        <row r="839">
          <cell r="J839" t="str">
            <v>C.5.2.25</v>
          </cell>
        </row>
        <row r="840">
          <cell r="J840" t="str">
            <v>C.5.2.6</v>
          </cell>
        </row>
        <row r="841">
          <cell r="J841" t="str">
            <v>C.5.2.27</v>
          </cell>
        </row>
        <row r="842">
          <cell r="J842" t="str">
            <v>C.5.2.35</v>
          </cell>
        </row>
        <row r="843">
          <cell r="J843" t="str">
            <v>C.2.2.3.18.2</v>
          </cell>
        </row>
        <row r="844">
          <cell r="J844" t="str">
            <v>C.5.6.4.5.1</v>
          </cell>
        </row>
        <row r="845">
          <cell r="J845" t="str">
            <v>C.5.6.4.5.2</v>
          </cell>
        </row>
        <row r="846">
          <cell r="J846" t="str">
            <v>C.5.6.4.5.3</v>
          </cell>
        </row>
        <row r="847">
          <cell r="J847" t="str">
            <v>C.5.6.4.6.1</v>
          </cell>
        </row>
        <row r="848">
          <cell r="J848" t="str">
            <v>C.5.2.34</v>
          </cell>
        </row>
        <row r="849">
          <cell r="J849" t="str">
            <v>C.5.2.14</v>
          </cell>
        </row>
        <row r="850">
          <cell r="J850" t="str">
            <v>C.5.2.14</v>
          </cell>
        </row>
        <row r="851">
          <cell r="J851" t="str">
            <v>C.5.2.10</v>
          </cell>
        </row>
        <row r="852">
          <cell r="J852" t="str">
            <v>C.3.3.9</v>
          </cell>
        </row>
        <row r="853">
          <cell r="J853" t="str">
            <v>C.5.2.26</v>
          </cell>
        </row>
        <row r="854">
          <cell r="J854" t="str">
            <v>C.5.2.10</v>
          </cell>
        </row>
        <row r="855">
          <cell r="J855" t="str">
            <v>C.5.2.10</v>
          </cell>
        </row>
        <row r="856">
          <cell r="J856" t="str">
            <v>C.5.2.27</v>
          </cell>
        </row>
        <row r="857">
          <cell r="J857" t="str">
            <v>C.5.2.19</v>
          </cell>
        </row>
        <row r="858">
          <cell r="J858" t="str">
            <v>C.5.2.22</v>
          </cell>
        </row>
        <row r="859">
          <cell r="J859" t="str">
            <v>C.5.2.23</v>
          </cell>
        </row>
        <row r="860">
          <cell r="J860" t="str">
            <v>C.5.2.24</v>
          </cell>
        </row>
        <row r="861">
          <cell r="J861" t="str">
            <v>C.5.2.25</v>
          </cell>
        </row>
        <row r="862">
          <cell r="J862" t="str">
            <v>C.5.2.27</v>
          </cell>
        </row>
        <row r="863">
          <cell r="J863" t="str">
            <v>C.5.6.4.6.2</v>
          </cell>
        </row>
        <row r="864">
          <cell r="J864" t="str">
            <v>C.5.6.4.7</v>
          </cell>
        </row>
        <row r="865">
          <cell r="J865" t="str">
            <v>C.5.6.4.5.1</v>
          </cell>
        </row>
        <row r="866">
          <cell r="J866" t="str">
            <v>C.5.6.4.5.2</v>
          </cell>
        </row>
        <row r="867">
          <cell r="J867" t="str">
            <v>C.5.6.4.5.3</v>
          </cell>
        </row>
        <row r="868">
          <cell r="J868" t="str">
            <v>C.5.6.4.6.1</v>
          </cell>
        </row>
        <row r="869">
          <cell r="J869" t="str">
            <v>C.5.6.4.6.2</v>
          </cell>
        </row>
        <row r="870">
          <cell r="J870" t="str">
            <v>C.5.6.4.7</v>
          </cell>
        </row>
        <row r="871">
          <cell r="J871" t="str">
            <v>C.3.6.1.20.1</v>
          </cell>
        </row>
        <row r="872">
          <cell r="J872" t="str">
            <v>C.3.6.1.20.2</v>
          </cell>
        </row>
        <row r="873">
          <cell r="J873" t="str">
            <v>C.3.6.1.20.3</v>
          </cell>
        </row>
        <row r="874">
          <cell r="J874" t="str">
            <v>C.3.6.1.13.1</v>
          </cell>
        </row>
        <row r="875">
          <cell r="J875" t="str">
            <v>C.3.4.4.8.1</v>
          </cell>
        </row>
        <row r="876">
          <cell r="J876" t="str">
            <v>C.3.4.4.8.2</v>
          </cell>
        </row>
        <row r="877">
          <cell r="J877" t="str">
            <v>C.3.5.16.1</v>
          </cell>
        </row>
        <row r="878">
          <cell r="J878" t="str">
            <v>C.3.5.16.2</v>
          </cell>
        </row>
        <row r="879">
          <cell r="J879" t="str">
            <v>C.3.5.16.1</v>
          </cell>
        </row>
        <row r="880">
          <cell r="J880" t="str">
            <v>C.3.5.16.2</v>
          </cell>
        </row>
        <row r="881">
          <cell r="J881" t="str">
            <v>C.3.4.3.12.1</v>
          </cell>
        </row>
        <row r="882">
          <cell r="J882" t="str">
            <v>C.3.4.3.12.10</v>
          </cell>
        </row>
        <row r="883">
          <cell r="J883" t="str">
            <v>C.3.4.3.12.11</v>
          </cell>
        </row>
        <row r="884">
          <cell r="J884" t="str">
            <v>C.3.4.3.12.12</v>
          </cell>
        </row>
        <row r="885">
          <cell r="J885" t="str">
            <v>C.3.4.3.12.13</v>
          </cell>
        </row>
        <row r="886">
          <cell r="J886" t="str">
            <v>C.3.4.3.12.2</v>
          </cell>
        </row>
        <row r="887">
          <cell r="J887" t="str">
            <v>C.3.4.3.12.3</v>
          </cell>
        </row>
        <row r="888">
          <cell r="J888" t="str">
            <v>C.3.4.3.12.4</v>
          </cell>
        </row>
        <row r="889">
          <cell r="J889" t="str">
            <v>C.3.4.3.12.5</v>
          </cell>
        </row>
        <row r="890">
          <cell r="J890" t="str">
            <v>C.3.4.3.12.6</v>
          </cell>
        </row>
        <row r="891">
          <cell r="J891" t="str">
            <v>C.3.4.3.12.7</v>
          </cell>
        </row>
        <row r="892">
          <cell r="J892" t="str">
            <v>C.3.4.3.12.8</v>
          </cell>
        </row>
        <row r="893">
          <cell r="J893" t="str">
            <v>C.3.4.3.12.9</v>
          </cell>
        </row>
        <row r="894">
          <cell r="J894" t="str">
            <v>C.3.5.16.1</v>
          </cell>
        </row>
        <row r="895">
          <cell r="J895" t="str">
            <v>C.3.5.16.2</v>
          </cell>
        </row>
        <row r="896">
          <cell r="J896" t="str">
            <v>C.3.5.16.1</v>
          </cell>
        </row>
        <row r="897">
          <cell r="J897" t="str">
            <v>C.3.6.1.13.2</v>
          </cell>
        </row>
        <row r="898">
          <cell r="J898" t="str">
            <v>C.3.5.16.2</v>
          </cell>
        </row>
        <row r="899">
          <cell r="J899" t="str">
            <v>C.3.6.1.13.1</v>
          </cell>
        </row>
        <row r="900">
          <cell r="J900" t="str">
            <v>C.3.6.1.20.1</v>
          </cell>
        </row>
        <row r="901">
          <cell r="J901" t="str">
            <v>C.3.6.1.20.2</v>
          </cell>
        </row>
        <row r="902">
          <cell r="J902" t="str">
            <v>C.3.6.1.20.3</v>
          </cell>
        </row>
        <row r="903">
          <cell r="J903" t="str">
            <v>C.3.4.4.17</v>
          </cell>
        </row>
        <row r="904">
          <cell r="J904" t="str">
            <v>C.3.5.11</v>
          </cell>
        </row>
        <row r="905">
          <cell r="J905" t="str">
            <v>C.3.6.1.18.1</v>
          </cell>
        </row>
        <row r="906">
          <cell r="J906" t="str">
            <v>C.3.6.1.18.2</v>
          </cell>
        </row>
        <row r="907">
          <cell r="J907" t="str">
            <v>C.3.6.1.18.3</v>
          </cell>
        </row>
        <row r="908">
          <cell r="J908" t="str">
            <v>C.3.6.1.18.4</v>
          </cell>
        </row>
        <row r="909">
          <cell r="J909" t="str">
            <v>C.3.6.1.26</v>
          </cell>
        </row>
        <row r="910">
          <cell r="J910" t="str">
            <v>C.3.6.1.19</v>
          </cell>
        </row>
        <row r="911">
          <cell r="J911" t="str">
            <v>C.3.6.1.28</v>
          </cell>
        </row>
        <row r="912">
          <cell r="J912" t="str">
            <v>C.3.6.1.28</v>
          </cell>
        </row>
        <row r="913">
          <cell r="J913" t="str">
            <v>C.3.6.3.7</v>
          </cell>
        </row>
        <row r="914">
          <cell r="J914" t="str">
            <v>C.3.7.12.2</v>
          </cell>
        </row>
        <row r="915">
          <cell r="J915" t="str">
            <v>C.3.6.3.15</v>
          </cell>
        </row>
        <row r="916">
          <cell r="J916" t="str">
            <v>E.1.2</v>
          </cell>
        </row>
        <row r="917">
          <cell r="J917" t="str">
            <v>C.3.6.3.13</v>
          </cell>
        </row>
        <row r="918">
          <cell r="J918" t="str">
            <v>C.3.7.12.1</v>
          </cell>
        </row>
        <row r="919">
          <cell r="J919" t="str">
            <v>C.3.6.3.6.1</v>
          </cell>
        </row>
        <row r="920">
          <cell r="J920" t="str">
            <v>C.3.6.3.6.2</v>
          </cell>
        </row>
        <row r="921">
          <cell r="J921" t="str">
            <v>C.3.6.3.6.3</v>
          </cell>
        </row>
        <row r="922">
          <cell r="J922" t="str">
            <v>C.3.7.12.1</v>
          </cell>
        </row>
        <row r="923">
          <cell r="J923" t="str">
            <v>C.3.6.3.11</v>
          </cell>
        </row>
        <row r="924">
          <cell r="J924" t="str">
            <v>C.3.6.3.5</v>
          </cell>
        </row>
        <row r="925">
          <cell r="J925" t="str">
            <v>C.3.6.3.6.1</v>
          </cell>
        </row>
        <row r="926">
          <cell r="J926" t="str">
            <v>C.3.6.3.6.2</v>
          </cell>
        </row>
        <row r="927">
          <cell r="J927" t="str">
            <v>C.3.6.3.6.3</v>
          </cell>
        </row>
        <row r="928">
          <cell r="J928" t="str">
            <v>C.3.7.12.2</v>
          </cell>
        </row>
        <row r="929">
          <cell r="J929" t="str">
            <v>C.3.7.18</v>
          </cell>
        </row>
        <row r="930">
          <cell r="J930" t="str">
            <v>C.3.7.12.1</v>
          </cell>
        </row>
        <row r="931">
          <cell r="J931" t="str">
            <v>C.3.7.22</v>
          </cell>
        </row>
        <row r="932">
          <cell r="J932" t="str">
            <v>C.3.6.3.6.1</v>
          </cell>
        </row>
        <row r="933">
          <cell r="J933" t="str">
            <v>C.3.6.3.6.2</v>
          </cell>
        </row>
        <row r="934">
          <cell r="J934" t="str">
            <v>C.3.6.3.6.3</v>
          </cell>
        </row>
        <row r="935">
          <cell r="J935" t="str">
            <v>C.3.6.1.18.1</v>
          </cell>
        </row>
        <row r="936">
          <cell r="J936" t="str">
            <v>C.3.6.1.18.2</v>
          </cell>
        </row>
        <row r="937">
          <cell r="J937" t="str">
            <v>C.3.6.1.18.3</v>
          </cell>
        </row>
        <row r="938">
          <cell r="J938" t="str">
            <v>C.3.6.1.18.4</v>
          </cell>
        </row>
        <row r="939">
          <cell r="J939" t="str">
            <v>C.3.6.1.18.5</v>
          </cell>
        </row>
        <row r="940">
          <cell r="J940" t="str">
            <v>C.3.6.1.18.6</v>
          </cell>
        </row>
        <row r="941">
          <cell r="J941" t="str">
            <v>C.3.6.1.19</v>
          </cell>
        </row>
        <row r="942">
          <cell r="J942" t="str">
            <v>C.3.6.1.31.4</v>
          </cell>
        </row>
        <row r="943">
          <cell r="J943" t="str">
            <v>B.5.1</v>
          </cell>
        </row>
        <row r="944">
          <cell r="J944" t="str">
            <v>D.2.5.1</v>
          </cell>
        </row>
        <row r="945">
          <cell r="J945" t="str">
            <v>D.4.5.3</v>
          </cell>
        </row>
        <row r="946">
          <cell r="J946" t="str">
            <v>D.4.5.4</v>
          </cell>
        </row>
        <row r="947">
          <cell r="J947" t="str">
            <v>D.4.6.1</v>
          </cell>
        </row>
        <row r="948">
          <cell r="J948" t="str">
            <v>E.1.3</v>
          </cell>
        </row>
        <row r="949">
          <cell r="J949" t="str">
            <v>C.3.4.2.11.1</v>
          </cell>
        </row>
        <row r="950">
          <cell r="J950" t="str">
            <v>C.5.6.4.17</v>
          </cell>
        </row>
        <row r="951">
          <cell r="J951" t="str">
            <v>C.5.6.4.17</v>
          </cell>
        </row>
        <row r="952">
          <cell r="J952" t="str">
            <v>C.5.6.4.11</v>
          </cell>
        </row>
        <row r="953">
          <cell r="J953" t="str">
            <v>C.5.6.4.17</v>
          </cell>
        </row>
        <row r="954">
          <cell r="J954" t="str">
            <v>C.5.6.4.5.1</v>
          </cell>
        </row>
        <row r="955">
          <cell r="J955" t="str">
            <v>C.3.4.2.11.10</v>
          </cell>
        </row>
        <row r="956">
          <cell r="J956" t="str">
            <v>C.3.4.2.11.11</v>
          </cell>
        </row>
        <row r="957">
          <cell r="J957" t="str">
            <v>C.3.4.2.11.12</v>
          </cell>
        </row>
        <row r="958">
          <cell r="J958" t="str">
            <v>C.3.4.2.11.2</v>
          </cell>
        </row>
        <row r="959">
          <cell r="J959" t="str">
            <v>C.3.4.2.11.3</v>
          </cell>
        </row>
        <row r="960">
          <cell r="J960" t="str">
            <v>C.3.4.2.11.4</v>
          </cell>
        </row>
        <row r="961">
          <cell r="J961" t="str">
            <v>C.3.4.2.11.5</v>
          </cell>
        </row>
        <row r="962">
          <cell r="J962" t="str">
            <v>C.3.4.2.11.6</v>
          </cell>
        </row>
        <row r="963">
          <cell r="J963" t="str">
            <v>C.3.4.2.11.7</v>
          </cell>
        </row>
        <row r="964">
          <cell r="J964" t="str">
            <v>C.3.4.2.11.8</v>
          </cell>
        </row>
        <row r="965">
          <cell r="J965" t="str">
            <v>C.3.4.2.11.9</v>
          </cell>
        </row>
        <row r="966">
          <cell r="J966" t="str">
            <v>C.3.5.15.4</v>
          </cell>
        </row>
        <row r="967">
          <cell r="J967" t="str">
            <v>C.3.5.15.5</v>
          </cell>
        </row>
        <row r="968">
          <cell r="J968" t="str">
            <v>C.3.5.17.1</v>
          </cell>
        </row>
        <row r="969">
          <cell r="J969" t="str">
            <v>C.3.5.17.2</v>
          </cell>
        </row>
        <row r="970">
          <cell r="J970" t="str">
            <v>C.3.5.17.3</v>
          </cell>
        </row>
        <row r="971">
          <cell r="J971" t="str">
            <v>C.3.6.1.37</v>
          </cell>
        </row>
        <row r="972">
          <cell r="J972" t="str">
            <v>C.3.6.1.20.1</v>
          </cell>
        </row>
        <row r="973">
          <cell r="J973" t="str">
            <v>C.3.6.1.20.2</v>
          </cell>
        </row>
        <row r="974">
          <cell r="J974" t="str">
            <v>C.5.6.4.5.2</v>
          </cell>
        </row>
        <row r="975">
          <cell r="J975" t="str">
            <v>C.5.6.4.5.3</v>
          </cell>
        </row>
        <row r="976">
          <cell r="J976" t="str">
            <v>C.5.6.4.7</v>
          </cell>
        </row>
        <row r="977">
          <cell r="J977" t="str">
            <v>C.5.6.4.6.1</v>
          </cell>
        </row>
        <row r="978">
          <cell r="J978" t="str">
            <v>C.5.6.4.6.2</v>
          </cell>
        </row>
        <row r="979">
          <cell r="J979" t="str">
            <v>C.5.6.4.17.1</v>
          </cell>
        </row>
        <row r="980">
          <cell r="J980" t="str">
            <v>C.3.6.1.20.3</v>
          </cell>
        </row>
        <row r="981">
          <cell r="J981" t="str">
            <v>C.3.6.1.21.1</v>
          </cell>
        </row>
        <row r="982">
          <cell r="J982" t="str">
            <v>C.3.6.1.37</v>
          </cell>
        </row>
        <row r="983">
          <cell r="J983" t="str">
            <v>C.3.6.1.37</v>
          </cell>
        </row>
        <row r="984">
          <cell r="J984" t="str">
            <v>C.3.6.1.13.1</v>
          </cell>
        </row>
        <row r="985">
          <cell r="J985" t="str">
            <v>C.3.6.1.13.2</v>
          </cell>
        </row>
        <row r="986">
          <cell r="J986" t="str">
            <v>C.3.4.2.11.1</v>
          </cell>
        </row>
        <row r="987">
          <cell r="J987" t="str">
            <v>C.3.4.2.11.10</v>
          </cell>
        </row>
        <row r="988">
          <cell r="J988" t="str">
            <v>C.3.4.2.11.11</v>
          </cell>
        </row>
        <row r="989">
          <cell r="J989" t="str">
            <v>C.3.4.2.11.12</v>
          </cell>
        </row>
        <row r="990">
          <cell r="J990" t="str">
            <v>C.3.4.2.11.2</v>
          </cell>
        </row>
        <row r="991">
          <cell r="J991" t="str">
            <v>C.3.4.2.11.3</v>
          </cell>
        </row>
        <row r="992">
          <cell r="J992" t="str">
            <v>C.3.4.2.11.4</v>
          </cell>
        </row>
        <row r="993">
          <cell r="J993" t="str">
            <v>C.3.4.2.11.5</v>
          </cell>
        </row>
        <row r="994">
          <cell r="J994" t="str">
            <v>C.5.6.4.5.3</v>
          </cell>
        </row>
        <row r="995">
          <cell r="J995" t="str">
            <v>C.3.4.2.11.6</v>
          </cell>
        </row>
        <row r="996">
          <cell r="J996" t="str">
            <v>C.3.4.2.11.7</v>
          </cell>
        </row>
        <row r="997">
          <cell r="J997" t="str">
            <v>C.3.4.2.11.8</v>
          </cell>
        </row>
        <row r="998">
          <cell r="J998" t="str">
            <v>C.3.4.2.11.9</v>
          </cell>
        </row>
        <row r="999">
          <cell r="J999" t="str">
            <v>C.3.5.15.1</v>
          </cell>
        </row>
        <row r="1000">
          <cell r="J1000" t="str">
            <v>C.3.5.15.2</v>
          </cell>
        </row>
        <row r="1001">
          <cell r="J1001" t="str">
            <v>C.3.5.15.3</v>
          </cell>
        </row>
        <row r="1002">
          <cell r="J1002" t="str">
            <v>C.3.5.15.4</v>
          </cell>
        </row>
        <row r="1003">
          <cell r="J1003" t="str">
            <v>C.3.5.15.5</v>
          </cell>
        </row>
        <row r="1004">
          <cell r="J1004" t="str">
            <v>C.3.5.17.1</v>
          </cell>
        </row>
        <row r="1005">
          <cell r="J1005" t="str">
            <v>C.3.5.17.2</v>
          </cell>
        </row>
        <row r="1006">
          <cell r="J1006" t="str">
            <v>C.5.6.4.5.1</v>
          </cell>
        </row>
        <row r="1007">
          <cell r="J1007" t="str">
            <v>C.5.6.4.5.2</v>
          </cell>
        </row>
        <row r="1008">
          <cell r="J1008" t="str">
            <v>C.5.6.4.6.1</v>
          </cell>
        </row>
        <row r="1009">
          <cell r="J1009" t="str">
            <v>C.3.5.17.3</v>
          </cell>
        </row>
        <row r="1010">
          <cell r="J1010" t="str">
            <v>C.3.4.2.10</v>
          </cell>
        </row>
        <row r="1011">
          <cell r="J1011" t="str">
            <v>C.3.4.2.11.1</v>
          </cell>
        </row>
        <row r="1012">
          <cell r="J1012" t="str">
            <v>C.3.4.2.11.10</v>
          </cell>
        </row>
        <row r="1013">
          <cell r="J1013" t="str">
            <v>C.3.4.2.11.11</v>
          </cell>
        </row>
        <row r="1014">
          <cell r="J1014" t="str">
            <v>C.3.4.2.11.12</v>
          </cell>
        </row>
        <row r="1015">
          <cell r="J1015" t="str">
            <v>C.3.4.2.11.2</v>
          </cell>
        </row>
        <row r="1016">
          <cell r="J1016" t="str">
            <v>C.3.4.2.11.3</v>
          </cell>
        </row>
        <row r="1017">
          <cell r="J1017" t="str">
            <v>C.3.4.2.11.4</v>
          </cell>
        </row>
        <row r="1018">
          <cell r="J1018" t="str">
            <v>C.3.4.2.11.5</v>
          </cell>
        </row>
        <row r="1019">
          <cell r="J1019" t="str">
            <v>C.3.4.2.11.6</v>
          </cell>
        </row>
        <row r="1020">
          <cell r="J1020" t="str">
            <v>C.3.4.2.11.7</v>
          </cell>
        </row>
        <row r="1021">
          <cell r="J1021" t="str">
            <v>C.3.4.2.11.8</v>
          </cell>
        </row>
        <row r="1022">
          <cell r="J1022" t="str">
            <v>C.3.4.2.11.9</v>
          </cell>
        </row>
        <row r="1023">
          <cell r="J1023" t="str">
            <v>C.3.5.15.1</v>
          </cell>
        </row>
        <row r="1024">
          <cell r="J1024" t="str">
            <v>C.5.6.4.6.2</v>
          </cell>
        </row>
        <row r="1025">
          <cell r="J1025" t="str">
            <v>C.5.6.4.7</v>
          </cell>
        </row>
        <row r="1026">
          <cell r="J1026" t="str">
            <v>C.5.6.3.18.1</v>
          </cell>
        </row>
        <row r="1027">
          <cell r="J1027" t="str">
            <v>C.5.6.3.18.2</v>
          </cell>
        </row>
        <row r="1028">
          <cell r="J1028" t="str">
            <v>C.5.6.2.1</v>
          </cell>
        </row>
        <row r="1029">
          <cell r="J1029" t="str">
            <v>C.3.5.15.2</v>
          </cell>
        </row>
        <row r="1030">
          <cell r="J1030" t="str">
            <v>C.3.5.15.3</v>
          </cell>
        </row>
        <row r="1031">
          <cell r="J1031" t="str">
            <v>C.3.5.15.4</v>
          </cell>
        </row>
        <row r="1032">
          <cell r="J1032" t="str">
            <v>C.3.5.15.5</v>
          </cell>
        </row>
        <row r="1033">
          <cell r="J1033" t="str">
            <v>C.3.5.17.1</v>
          </cell>
        </row>
        <row r="1034">
          <cell r="J1034" t="str">
            <v>C.3.5.17.2</v>
          </cell>
        </row>
        <row r="1035">
          <cell r="J1035" t="str">
            <v>C.3.5.17.3</v>
          </cell>
        </row>
        <row r="1036">
          <cell r="J1036" t="str">
            <v>C.3.5.18</v>
          </cell>
        </row>
        <row r="1037">
          <cell r="J1037" t="str">
            <v>C.3.6.1.17</v>
          </cell>
        </row>
        <row r="1038">
          <cell r="J1038" t="str">
            <v>C.3.6.1.21.1</v>
          </cell>
        </row>
        <row r="1039">
          <cell r="J1039" t="str">
            <v>C.3.6.1.23.1</v>
          </cell>
        </row>
        <row r="1040">
          <cell r="J1040" t="str">
            <v>C.3.6.1.23.2</v>
          </cell>
        </row>
        <row r="1041">
          <cell r="J1041" t="str">
            <v>C.3.4.2.11.1</v>
          </cell>
        </row>
        <row r="1042">
          <cell r="J1042" t="str">
            <v>C.3.4.2.11.10</v>
          </cell>
        </row>
        <row r="1043">
          <cell r="J1043" t="str">
            <v>C.3.4.2.11.11</v>
          </cell>
        </row>
        <row r="1044">
          <cell r="J1044" t="str">
            <v>C.3.4.2.11.12</v>
          </cell>
        </row>
        <row r="1045">
          <cell r="J1045" t="str">
            <v>C.3.4.2.11.2</v>
          </cell>
        </row>
        <row r="1046">
          <cell r="J1046" t="str">
            <v>C.3.4.2.11.3</v>
          </cell>
        </row>
        <row r="1047">
          <cell r="J1047" t="str">
            <v>C.3.4.2.11.4</v>
          </cell>
        </row>
        <row r="1048">
          <cell r="J1048" t="str">
            <v>C.3.4.2.11.5</v>
          </cell>
        </row>
        <row r="1049">
          <cell r="J1049" t="str">
            <v>C.3.4.2.11.6</v>
          </cell>
        </row>
        <row r="1050">
          <cell r="J1050" t="str">
            <v>C.3.4.2.11.7</v>
          </cell>
        </row>
        <row r="1051">
          <cell r="J1051" t="str">
            <v>C.3.4.2.11.8</v>
          </cell>
        </row>
        <row r="1052">
          <cell r="J1052" t="str">
            <v>C.3.4.2.11.9</v>
          </cell>
        </row>
        <row r="1053">
          <cell r="J1053" t="str">
            <v>C.3.4.3.13.1</v>
          </cell>
        </row>
        <row r="1054">
          <cell r="J1054" t="str">
            <v>C.3.4.3.13.2</v>
          </cell>
        </row>
        <row r="1055">
          <cell r="J1055" t="str">
            <v>C.3.4.3.13.3</v>
          </cell>
        </row>
        <row r="1056">
          <cell r="J1056" t="str">
            <v>C.3.4.3.14.1</v>
          </cell>
        </row>
        <row r="1057">
          <cell r="J1057" t="str">
            <v>C.3.4.3.14.2</v>
          </cell>
        </row>
        <row r="1058">
          <cell r="J1058" t="str">
            <v>C.3.4.3.14.3</v>
          </cell>
        </row>
        <row r="1059">
          <cell r="J1059" t="str">
            <v>C.3.5.15.1</v>
          </cell>
        </row>
        <row r="1060">
          <cell r="J1060" t="str">
            <v>C.3.5.15.2</v>
          </cell>
        </row>
        <row r="1061">
          <cell r="J1061" t="str">
            <v>C.3.5.15.3</v>
          </cell>
        </row>
        <row r="1062">
          <cell r="J1062" t="str">
            <v>C.3.5.15.4</v>
          </cell>
        </row>
        <row r="1063">
          <cell r="J1063" t="str">
            <v>C.3.5.15.5</v>
          </cell>
        </row>
        <row r="1064">
          <cell r="J1064" t="str">
            <v>C.3.5.17.1</v>
          </cell>
        </row>
        <row r="1065">
          <cell r="J1065" t="str">
            <v>C.3.5.17.2</v>
          </cell>
        </row>
        <row r="1066">
          <cell r="J1066" t="str">
            <v>C.3.5.17.3</v>
          </cell>
        </row>
        <row r="1067">
          <cell r="J1067" t="str">
            <v>C.3.4.2.5</v>
          </cell>
        </row>
        <row r="1068">
          <cell r="J1068" t="str">
            <v>C.5.6.3.18.1</v>
          </cell>
        </row>
        <row r="1069">
          <cell r="J1069" t="str">
            <v>C.5.6.4.7</v>
          </cell>
        </row>
        <row r="1070">
          <cell r="J1070" t="str">
            <v>C.5.6.4.5.1</v>
          </cell>
        </row>
        <row r="1071">
          <cell r="J1071" t="str">
            <v>C.5.6.4.5.2</v>
          </cell>
        </row>
        <row r="1072">
          <cell r="J1072" t="str">
            <v>C.5.6.4.5.3</v>
          </cell>
        </row>
        <row r="1073">
          <cell r="J1073" t="str">
            <v>C.5.6.4.6.1</v>
          </cell>
        </row>
        <row r="1074">
          <cell r="J1074" t="str">
            <v>C.5.6.4.6.2</v>
          </cell>
        </row>
        <row r="1075">
          <cell r="J1075" t="str">
            <v>C.5.6.5.2</v>
          </cell>
        </row>
        <row r="1076">
          <cell r="J1076" t="str">
            <v>C.5.2.32</v>
          </cell>
        </row>
        <row r="1077">
          <cell r="J1077" t="str">
            <v>C.5.2.33</v>
          </cell>
        </row>
        <row r="1078">
          <cell r="J1078" t="str">
            <v>C.5.2.31</v>
          </cell>
        </row>
        <row r="1079">
          <cell r="J1079" t="str">
            <v>C.5.2.33</v>
          </cell>
        </row>
        <row r="1080">
          <cell r="J1080" t="str">
            <v>C.5.2.27</v>
          </cell>
        </row>
        <row r="1081">
          <cell r="J1081" t="str">
            <v>C.5.2.18</v>
          </cell>
        </row>
        <row r="1082">
          <cell r="J1082" t="str">
            <v>C.5.2.4.3</v>
          </cell>
        </row>
        <row r="1083">
          <cell r="J1083" t="str">
            <v>C.5.2.23</v>
          </cell>
        </row>
        <row r="1084">
          <cell r="J1084" t="str">
            <v>C.5.2.40</v>
          </cell>
        </row>
        <row r="1085">
          <cell r="J1085" t="str">
            <v>C.5.2.8</v>
          </cell>
        </row>
        <row r="1086">
          <cell r="J1086" t="str">
            <v>C.5.2.40</v>
          </cell>
        </row>
        <row r="1087">
          <cell r="J1087" t="str">
            <v>C.5.2.27</v>
          </cell>
        </row>
        <row r="1088">
          <cell r="J1088" t="str">
            <v>C.5.2.4.3</v>
          </cell>
        </row>
        <row r="1089">
          <cell r="J1089" t="str">
            <v>C.5.2.14</v>
          </cell>
        </row>
        <row r="1090">
          <cell r="J1090" t="str">
            <v>C.5.2.6</v>
          </cell>
        </row>
        <row r="1091">
          <cell r="J1091" t="str">
            <v>C.5.2.23</v>
          </cell>
        </row>
        <row r="1092">
          <cell r="J1092" t="str">
            <v>C.5.2.27</v>
          </cell>
        </row>
        <row r="1093">
          <cell r="J1093" t="str">
            <v>C.5.2.31</v>
          </cell>
        </row>
        <row r="1094">
          <cell r="J1094" t="str">
            <v>C.5.2.4.3</v>
          </cell>
        </row>
        <row r="1095">
          <cell r="J1095" t="str">
            <v>C.4.4.12</v>
          </cell>
        </row>
        <row r="1096">
          <cell r="J1096" t="str">
            <v>C.2.5.3.33</v>
          </cell>
        </row>
        <row r="1097">
          <cell r="J1097" t="str">
            <v>C.3.6.2.4</v>
          </cell>
        </row>
        <row r="1098">
          <cell r="J1098" t="str">
            <v>C.4.3.12.1</v>
          </cell>
        </row>
        <row r="1099">
          <cell r="J1099" t="str">
            <v>C.4.3.5.1</v>
          </cell>
        </row>
        <row r="1100">
          <cell r="J1100" t="str">
            <v>C.4.3.5.2</v>
          </cell>
        </row>
        <row r="1101">
          <cell r="J1101" t="str">
            <v>C.4.3.8</v>
          </cell>
        </row>
        <row r="1102">
          <cell r="J1102" t="str">
            <v>C.4.4.12</v>
          </cell>
        </row>
        <row r="1103">
          <cell r="J1103" t="str">
            <v>C.4.4.8</v>
          </cell>
        </row>
        <row r="1104">
          <cell r="J1104" t="str">
            <v>C.4.5.1.1</v>
          </cell>
        </row>
        <row r="1105">
          <cell r="J1105" t="str">
            <v>C.4.5.1.2</v>
          </cell>
        </row>
        <row r="1106">
          <cell r="J1106" t="str">
            <v>C.2.2.2.14</v>
          </cell>
        </row>
        <row r="1107">
          <cell r="J1107" t="str">
            <v>C.2.2.3.12</v>
          </cell>
        </row>
        <row r="1108">
          <cell r="J1108" t="str">
            <v>C.2.5.4.13</v>
          </cell>
        </row>
        <row r="1109">
          <cell r="J1109" t="str">
            <v>C.4.3.3.1</v>
          </cell>
        </row>
        <row r="1110">
          <cell r="J1110" t="str">
            <v>C.4.3.3.2</v>
          </cell>
        </row>
        <row r="1111">
          <cell r="J1111" t="str">
            <v>C.4.3.3.3</v>
          </cell>
        </row>
        <row r="1112">
          <cell r="J1112" t="str">
            <v>C.4.3.3.4</v>
          </cell>
        </row>
        <row r="1113">
          <cell r="J1113" t="str">
            <v>C.4.3.3.5</v>
          </cell>
        </row>
        <row r="1114">
          <cell r="J1114" t="str">
            <v>C.4.4.3.1</v>
          </cell>
        </row>
        <row r="1115">
          <cell r="J1115" t="str">
            <v>C.4.4.3.2</v>
          </cell>
        </row>
        <row r="1116">
          <cell r="J1116" t="str">
            <v>C.4.5.1.1</v>
          </cell>
        </row>
        <row r="1117">
          <cell r="J1117" t="str">
            <v>C.4.5.1.2</v>
          </cell>
        </row>
        <row r="1118">
          <cell r="J1118" t="str">
            <v>C.2.2.3.6</v>
          </cell>
        </row>
        <row r="1119">
          <cell r="J1119" t="str">
            <v>C.2.2.3.8</v>
          </cell>
        </row>
        <row r="1120">
          <cell r="J1120" t="str">
            <v>C.2.2.3.12</v>
          </cell>
        </row>
        <row r="1121">
          <cell r="J1121" t="str">
            <v>C.2.2.3.6</v>
          </cell>
        </row>
        <row r="1122">
          <cell r="J1122" t="str">
            <v>C.2.2.3.4</v>
          </cell>
        </row>
        <row r="1123">
          <cell r="J1123" t="str">
            <v>C.2.2.3.11</v>
          </cell>
        </row>
        <row r="1124">
          <cell r="J1124" t="str">
            <v>C.2.2.3.3</v>
          </cell>
        </row>
        <row r="1125">
          <cell r="J1125" t="str">
            <v>C.2.2.3.7</v>
          </cell>
        </row>
        <row r="1126">
          <cell r="J1126" t="str">
            <v>C.2.2.3.4</v>
          </cell>
        </row>
        <row r="1127">
          <cell r="J1127" t="str">
            <v>C.2.2.3.4</v>
          </cell>
        </row>
        <row r="1128">
          <cell r="J1128" t="str">
            <v>C.2.2.3.3</v>
          </cell>
        </row>
        <row r="1129">
          <cell r="J1129" t="str">
            <v>C.5.10.1</v>
          </cell>
        </row>
        <row r="1130">
          <cell r="J1130" t="str">
            <v>C.2.2.3.4</v>
          </cell>
        </row>
        <row r="1131">
          <cell r="J1131" t="str">
            <v>C.5.10.1</v>
          </cell>
        </row>
        <row r="1132">
          <cell r="J1132" t="str">
            <v>C.2.2.4.7.7</v>
          </cell>
        </row>
        <row r="1133">
          <cell r="J1133" t="str">
            <v>C.2.5.2.10</v>
          </cell>
        </row>
        <row r="1134">
          <cell r="J1134" t="str">
            <v>C.2.5.2.20</v>
          </cell>
        </row>
        <row r="1135">
          <cell r="J1135" t="str">
            <v>C.2.5.4.11.1</v>
          </cell>
        </row>
        <row r="1136">
          <cell r="J1136" t="str">
            <v>C.2.5.4.13</v>
          </cell>
        </row>
        <row r="1137">
          <cell r="J1137" t="str">
            <v>C.2.2.3.8</v>
          </cell>
        </row>
        <row r="1138">
          <cell r="J1138" t="str">
            <v>C.5.2.4.5</v>
          </cell>
        </row>
        <row r="1139">
          <cell r="J1139" t="str">
            <v>C.5.2.4.6</v>
          </cell>
        </row>
        <row r="1140">
          <cell r="J1140" t="str">
            <v>C.5.2.4.7</v>
          </cell>
        </row>
        <row r="1141">
          <cell r="J1141" t="str">
            <v>C.2.5.2.16</v>
          </cell>
        </row>
        <row r="1142">
          <cell r="J1142" t="str">
            <v>C.2.5.4.13</v>
          </cell>
        </row>
        <row r="1143">
          <cell r="J1143" t="str">
            <v>C.2.5.4.20</v>
          </cell>
        </row>
        <row r="1144">
          <cell r="J1144" t="str">
            <v>C.3.3.9</v>
          </cell>
        </row>
        <row r="1145">
          <cell r="J1145" t="str">
            <v>C.2.5.2.10</v>
          </cell>
        </row>
        <row r="1146">
          <cell r="J1146" t="str">
            <v>C.2.5.2.18</v>
          </cell>
        </row>
        <row r="1147">
          <cell r="J1147" t="str">
            <v>C.2.5.2.20</v>
          </cell>
        </row>
        <row r="1148">
          <cell r="J1148" t="str">
            <v>C.2.5.2.9.1</v>
          </cell>
        </row>
        <row r="1149">
          <cell r="J1149" t="str">
            <v>C.2.5.2.9.2</v>
          </cell>
        </row>
        <row r="1150">
          <cell r="J1150" t="str">
            <v>C.2.5.4.10</v>
          </cell>
        </row>
        <row r="1151">
          <cell r="J1151" t="str">
            <v>C.2.5.4.11.1</v>
          </cell>
        </row>
        <row r="1152">
          <cell r="J1152" t="str">
            <v>C.2.5.2.14</v>
          </cell>
        </row>
        <row r="1153">
          <cell r="J1153" t="str">
            <v>C.2.5.2.22</v>
          </cell>
        </row>
        <row r="1154">
          <cell r="J1154" t="str">
            <v>C.2.5.4.18</v>
          </cell>
        </row>
        <row r="1155">
          <cell r="J1155" t="str">
            <v>C.2.5.4.11.2</v>
          </cell>
        </row>
        <row r="1156">
          <cell r="J1156" t="str">
            <v>C.2.6.1.1</v>
          </cell>
        </row>
        <row r="1157">
          <cell r="J1157" t="str">
            <v>C.2.6.1.2</v>
          </cell>
        </row>
        <row r="1158">
          <cell r="J1158" t="str">
            <v>C.2.5.2.16</v>
          </cell>
        </row>
        <row r="1159">
          <cell r="J1159" t="str">
            <v>C.5.2.4.7</v>
          </cell>
        </row>
        <row r="1160">
          <cell r="J1160" t="str">
            <v>C.2.5.2.15</v>
          </cell>
        </row>
        <row r="1161">
          <cell r="J1161" t="str">
            <v>C.2.5.2.22</v>
          </cell>
        </row>
        <row r="1162">
          <cell r="J1162" t="str">
            <v>C.2.5.4.15.1</v>
          </cell>
        </row>
        <row r="1163">
          <cell r="J1163" t="str">
            <v>C.2.5.4.15.2</v>
          </cell>
        </row>
        <row r="1164">
          <cell r="J1164" t="str">
            <v>C.2.5.4.17</v>
          </cell>
        </row>
        <row r="1165">
          <cell r="J1165" t="str">
            <v>C.2.5.2.10</v>
          </cell>
        </row>
        <row r="1166">
          <cell r="J1166" t="str">
            <v>C.2.5.2.16</v>
          </cell>
        </row>
        <row r="1167">
          <cell r="J1167" t="str">
            <v>C.2.5.2.18</v>
          </cell>
        </row>
        <row r="1168">
          <cell r="J1168" t="str">
            <v>C.2.5.2.20</v>
          </cell>
        </row>
        <row r="1169">
          <cell r="J1169" t="str">
            <v>C.2.5.2.9.1</v>
          </cell>
        </row>
        <row r="1170">
          <cell r="J1170" t="str">
            <v>C.2.5.2.16</v>
          </cell>
        </row>
        <row r="1171">
          <cell r="J1171" t="str">
            <v>C.5.2.4.7</v>
          </cell>
        </row>
        <row r="1172">
          <cell r="J1172" t="str">
            <v>C.2.5.4.13</v>
          </cell>
        </row>
        <row r="1173">
          <cell r="J1173" t="str">
            <v>C.2.5.2.9.2</v>
          </cell>
        </row>
        <row r="1174">
          <cell r="J1174" t="str">
            <v>C.2.5.4.10</v>
          </cell>
        </row>
        <row r="1175">
          <cell r="J1175" t="str">
            <v>C.2.5.4.11.1</v>
          </cell>
        </row>
        <row r="1176">
          <cell r="J1176" t="str">
            <v>C.2.5.4.11.2</v>
          </cell>
        </row>
        <row r="1177">
          <cell r="J1177" t="str">
            <v>C.2.5.4.13</v>
          </cell>
        </row>
        <row r="1178">
          <cell r="J1178" t="str">
            <v>C.5.2.4.5</v>
          </cell>
        </row>
        <row r="1179">
          <cell r="J1179" t="str">
            <v>C.2.5.2.14</v>
          </cell>
        </row>
        <row r="1180">
          <cell r="J1180" t="str">
            <v>C.2.5.2.29</v>
          </cell>
        </row>
        <row r="1181">
          <cell r="J1181" t="str">
            <v>C.2.5.4.18</v>
          </cell>
        </row>
        <row r="1182">
          <cell r="J1182" t="str">
            <v>D.1.2.6</v>
          </cell>
        </row>
        <row r="1183">
          <cell r="J1183" t="str">
            <v>C.2.5.2.21</v>
          </cell>
        </row>
        <row r="1184">
          <cell r="J1184" t="str">
            <v>C.2.5.2.14</v>
          </cell>
        </row>
        <row r="1185">
          <cell r="J1185" t="str">
            <v>C.2.5.4.18</v>
          </cell>
        </row>
        <row r="1186">
          <cell r="J1186" t="str">
            <v>C.2.5.2.16</v>
          </cell>
        </row>
        <row r="1187">
          <cell r="J1187" t="str">
            <v>C.2.5.4.13</v>
          </cell>
        </row>
        <row r="1188">
          <cell r="J1188" t="str">
            <v>C.5.2.4.7</v>
          </cell>
        </row>
        <row r="1189">
          <cell r="J1189" t="str">
            <v>C.5.2.4.1</v>
          </cell>
        </row>
        <row r="1190">
          <cell r="J1190" t="str">
            <v>C.5.2.4.2</v>
          </cell>
        </row>
        <row r="1191">
          <cell r="J1191" t="str">
            <v>C.5.2.4.3</v>
          </cell>
        </row>
        <row r="1192">
          <cell r="J1192" t="str">
            <v>C.5.2.4.4</v>
          </cell>
        </row>
        <row r="1193">
          <cell r="J1193" t="str">
            <v>C.2.5.2.29</v>
          </cell>
        </row>
        <row r="1194">
          <cell r="J1194" t="str">
            <v>D.1.2.6</v>
          </cell>
        </row>
        <row r="1195">
          <cell r="J1195" t="str">
            <v>A.1.7.2</v>
          </cell>
        </row>
        <row r="1196">
          <cell r="J1196" t="str">
            <v>C.2.5.2.14</v>
          </cell>
        </row>
        <row r="1197">
          <cell r="J1197" t="str">
            <v>C.2.5.4.18</v>
          </cell>
        </row>
        <row r="1198">
          <cell r="J1198" t="str">
            <v>C.2.5.2.21</v>
          </cell>
        </row>
        <row r="1199">
          <cell r="J1199" t="str">
            <v>C.2.5.4.13</v>
          </cell>
        </row>
        <row r="1200">
          <cell r="J1200" t="str">
            <v>C.5.2.4.1</v>
          </cell>
        </row>
        <row r="1201">
          <cell r="J1201" t="str">
            <v>C.5.2.4.2</v>
          </cell>
        </row>
        <row r="1202">
          <cell r="J1202" t="str">
            <v>C.5.2.4.3</v>
          </cell>
        </row>
        <row r="1203">
          <cell r="J1203" t="str">
            <v>C.5.2.4.4</v>
          </cell>
        </row>
        <row r="1204">
          <cell r="J1204" t="str">
            <v>C.5.2.4.5</v>
          </cell>
        </row>
        <row r="1205">
          <cell r="J1205" t="str">
            <v>C.5.2.4.6</v>
          </cell>
        </row>
        <row r="1206">
          <cell r="J1206" t="str">
            <v>C.5.2.4.7</v>
          </cell>
        </row>
        <row r="1207">
          <cell r="J1207" t="str">
            <v>C.2.5.2.16</v>
          </cell>
        </row>
        <row r="1208">
          <cell r="J1208" t="str">
            <v>C.2.5.2.15</v>
          </cell>
        </row>
        <row r="1209">
          <cell r="J1209" t="str">
            <v>C.2.5.2.22</v>
          </cell>
        </row>
        <row r="1210">
          <cell r="J1210" t="str">
            <v>C.2.5.4.16</v>
          </cell>
        </row>
        <row r="1211">
          <cell r="J1211" t="str">
            <v>C.2.5.4.8</v>
          </cell>
        </row>
        <row r="1212">
          <cell r="J1212" t="str">
            <v>D.3.4.1</v>
          </cell>
        </row>
        <row r="1213">
          <cell r="J1213" t="str">
            <v>C.2.5.4.15.1</v>
          </cell>
        </row>
        <row r="1214">
          <cell r="J1214" t="str">
            <v>C.2.5.4.15.2</v>
          </cell>
        </row>
        <row r="1215">
          <cell r="J1215" t="str">
            <v>C.2.5.4.17</v>
          </cell>
        </row>
        <row r="1216">
          <cell r="J1216" t="str">
            <v>C.2.5.2.15</v>
          </cell>
        </row>
        <row r="1217">
          <cell r="J1217" t="str">
            <v>C.2.5.2.22</v>
          </cell>
        </row>
        <row r="1218">
          <cell r="J1218" t="str">
            <v>C.2.5.4.15.2</v>
          </cell>
        </row>
        <row r="1219">
          <cell r="J1219" t="str">
            <v>C.2.5.2.15</v>
          </cell>
        </row>
        <row r="1220">
          <cell r="J1220" t="str">
            <v>C.2.5.2.22</v>
          </cell>
        </row>
        <row r="1221">
          <cell r="J1221" t="str">
            <v>C.2.5.4.15.2</v>
          </cell>
        </row>
        <row r="1222">
          <cell r="J1222" t="str">
            <v>C.2.5.2.15</v>
          </cell>
        </row>
        <row r="1223">
          <cell r="J1223" t="str">
            <v>C.2.5.2.21</v>
          </cell>
        </row>
        <row r="1224">
          <cell r="J1224" t="str">
            <v>C.2.5.2.22</v>
          </cell>
        </row>
        <row r="1225">
          <cell r="J1225" t="str">
            <v>C.2.5.4.15.2</v>
          </cell>
        </row>
        <row r="1226">
          <cell r="J1226" t="str">
            <v>C.2.5.4.14</v>
          </cell>
        </row>
        <row r="1227">
          <cell r="J1227" t="str">
            <v>C.2.5.4.15.2</v>
          </cell>
        </row>
        <row r="1228">
          <cell r="J1228" t="str">
            <v>C.2.5.4.10</v>
          </cell>
        </row>
        <row r="1229">
          <cell r="J1229" t="str">
            <v>C.2.5.2.22</v>
          </cell>
        </row>
        <row r="1230">
          <cell r="J1230" t="str">
            <v>C.2.5.2.15</v>
          </cell>
        </row>
        <row r="1231">
          <cell r="J1231" t="str">
            <v>C.2.5.2.22</v>
          </cell>
        </row>
        <row r="1232">
          <cell r="J1232" t="str">
            <v>C.2.5.2.21</v>
          </cell>
        </row>
        <row r="1233">
          <cell r="J1233" t="str">
            <v>C.2.5.2.32</v>
          </cell>
        </row>
        <row r="1234">
          <cell r="J1234" t="str">
            <v>C.2.5.4.30</v>
          </cell>
        </row>
        <row r="1235">
          <cell r="J1235" t="str">
            <v>C.2.5.2.16</v>
          </cell>
        </row>
        <row r="1236">
          <cell r="J1236" t="str">
            <v>C.2.5.4.13</v>
          </cell>
        </row>
        <row r="1237">
          <cell r="J1237" t="str">
            <v>C.2.5.2.21</v>
          </cell>
        </row>
        <row r="1238">
          <cell r="J1238" t="str">
            <v>C.2.5.4.17</v>
          </cell>
        </row>
        <row r="1239">
          <cell r="J1239" t="str">
            <v>C.2.5.2.5.1</v>
          </cell>
        </row>
        <row r="1240">
          <cell r="J1240" t="str">
            <v>C.2.5.2.5.2</v>
          </cell>
        </row>
        <row r="1241">
          <cell r="J1241" t="str">
            <v>C.2.5.4.15.2</v>
          </cell>
        </row>
        <row r="1242">
          <cell r="J1242" t="str">
            <v>C.2.5.4.2</v>
          </cell>
        </row>
        <row r="1243">
          <cell r="J1243" t="str">
            <v>C.5.2.1</v>
          </cell>
        </row>
        <row r="1244">
          <cell r="J1244" t="str">
            <v>C.2.5.2.15</v>
          </cell>
        </row>
        <row r="1245">
          <cell r="J1245" t="str">
            <v>C.2.5.2.22</v>
          </cell>
        </row>
        <row r="1246">
          <cell r="J1246" t="str">
            <v>C.2.5.4.16</v>
          </cell>
        </row>
        <row r="1247">
          <cell r="J1247" t="str">
            <v>C.2.5.4.8</v>
          </cell>
        </row>
        <row r="1248">
          <cell r="J1248" t="str">
            <v>D.3.4.1</v>
          </cell>
        </row>
        <row r="1249">
          <cell r="J1249" t="str">
            <v>C.2.5.2.21</v>
          </cell>
        </row>
        <row r="1250">
          <cell r="J1250" t="str">
            <v>C.2.5.2.16</v>
          </cell>
        </row>
        <row r="1251">
          <cell r="J1251" t="str">
            <v>C.2.5.2.29</v>
          </cell>
        </row>
        <row r="1252">
          <cell r="J1252" t="str">
            <v>C.2.5.2.14</v>
          </cell>
        </row>
        <row r="1253">
          <cell r="J1253" t="str">
            <v>C.2.5.4.18</v>
          </cell>
        </row>
        <row r="1254">
          <cell r="J1254" t="str">
            <v>D.1.2.6</v>
          </cell>
        </row>
        <row r="1255">
          <cell r="J1255" t="str">
            <v>C.2.5.2.16</v>
          </cell>
        </row>
        <row r="1256">
          <cell r="J1256" t="str">
            <v>C.2.5.4.13</v>
          </cell>
        </row>
        <row r="1257">
          <cell r="J1257" t="str">
            <v>C.5.2.4.1</v>
          </cell>
        </row>
        <row r="1258">
          <cell r="J1258" t="str">
            <v>C.5.2.4.2</v>
          </cell>
        </row>
        <row r="1259">
          <cell r="J1259" t="str">
            <v>C.5.2.4.5</v>
          </cell>
        </row>
        <row r="1260">
          <cell r="J1260" t="str">
            <v>C.2.2.3.14.2</v>
          </cell>
        </row>
        <row r="1261">
          <cell r="J1261" t="str">
            <v>C.2.2.3.12</v>
          </cell>
        </row>
        <row r="1262">
          <cell r="J1262" t="str">
            <v>C.2.2.4.8</v>
          </cell>
        </row>
        <row r="1263">
          <cell r="J1263" t="str">
            <v>C.2.2.4.7.7</v>
          </cell>
        </row>
        <row r="1264">
          <cell r="J1264" t="str">
            <v>C.2.2.4.10</v>
          </cell>
        </row>
        <row r="1265">
          <cell r="J1265" t="str">
            <v>C.2.2.4.8</v>
          </cell>
        </row>
        <row r="1266">
          <cell r="J1266" t="str">
            <v>C.2.2.4.7.7</v>
          </cell>
        </row>
        <row r="1267">
          <cell r="J1267" t="str">
            <v>C.2.2.4.8</v>
          </cell>
        </row>
        <row r="1268">
          <cell r="J1268" t="str">
            <v>C.3.4.3.12.1</v>
          </cell>
        </row>
        <row r="1269">
          <cell r="J1269" t="str">
            <v>C.3.4.3.12.10</v>
          </cell>
        </row>
        <row r="1270">
          <cell r="J1270" t="str">
            <v>C.3.4.3.12.11</v>
          </cell>
        </row>
        <row r="1271">
          <cell r="J1271" t="str">
            <v>C.3.4.3.12.12</v>
          </cell>
        </row>
        <row r="1272">
          <cell r="J1272" t="str">
            <v>C.3.4.3.12.13</v>
          </cell>
        </row>
        <row r="1273">
          <cell r="J1273" t="str">
            <v>C.3.4.3.12.2</v>
          </cell>
        </row>
        <row r="1274">
          <cell r="J1274" t="str">
            <v>C.3.4.3.12.3</v>
          </cell>
        </row>
        <row r="1275">
          <cell r="J1275" t="str">
            <v>C.3.4.3.12.4</v>
          </cell>
        </row>
        <row r="1276">
          <cell r="J1276" t="str">
            <v>C.3.4.3.12.5</v>
          </cell>
        </row>
        <row r="1277">
          <cell r="J1277" t="str">
            <v>C.3.4.3.12.6</v>
          </cell>
        </row>
        <row r="1278">
          <cell r="J1278" t="str">
            <v>C.3.4.3.12.7</v>
          </cell>
        </row>
        <row r="1279">
          <cell r="J1279" t="str">
            <v>C.3.4.3.12.8</v>
          </cell>
        </row>
        <row r="1280">
          <cell r="J1280" t="str">
            <v>C.3.4.3.12.9</v>
          </cell>
        </row>
        <row r="1281">
          <cell r="J1281" t="str">
            <v>C.3.4.4.12.10</v>
          </cell>
        </row>
        <row r="1282">
          <cell r="J1282" t="str">
            <v>C.3.4.3.12.1</v>
          </cell>
        </row>
        <row r="1283">
          <cell r="J1283" t="str">
            <v>C.3.4.3.12.10</v>
          </cell>
        </row>
        <row r="1284">
          <cell r="J1284" t="str">
            <v>C.3.4.3.12.11</v>
          </cell>
        </row>
        <row r="1285">
          <cell r="J1285" t="str">
            <v>C.3.4.3.12.12</v>
          </cell>
        </row>
        <row r="1286">
          <cell r="J1286" t="str">
            <v>C.3.4.3.12.13</v>
          </cell>
        </row>
        <row r="1287">
          <cell r="J1287" t="str">
            <v>C.3.4.3.12.2</v>
          </cell>
        </row>
        <row r="1288">
          <cell r="J1288" t="str">
            <v>C.3.4.3.12.3</v>
          </cell>
        </row>
        <row r="1289">
          <cell r="J1289" t="str">
            <v>C.3.4.3.12.4</v>
          </cell>
        </row>
        <row r="1290">
          <cell r="J1290" t="str">
            <v>C.3.4.3.12.5</v>
          </cell>
        </row>
        <row r="1291">
          <cell r="J1291" t="str">
            <v>C.3.4.3.12.6</v>
          </cell>
        </row>
        <row r="1292">
          <cell r="J1292" t="str">
            <v>C.3.4.3.12.7</v>
          </cell>
        </row>
        <row r="1293">
          <cell r="J1293" t="str">
            <v>C.3.4.3.12.8</v>
          </cell>
        </row>
        <row r="1294">
          <cell r="J1294" t="str">
            <v>C.3.4.3.12.9</v>
          </cell>
        </row>
        <row r="1295">
          <cell r="J1295" t="str">
            <v>C.3.4.3.13.1</v>
          </cell>
        </row>
        <row r="1296">
          <cell r="J1296" t="str">
            <v>C.3.4.3.13.2</v>
          </cell>
        </row>
        <row r="1297">
          <cell r="J1297" t="str">
            <v>C.3.4.3.13.3</v>
          </cell>
        </row>
        <row r="1298">
          <cell r="J1298" t="str">
            <v>C.3.4.3.14.1</v>
          </cell>
        </row>
        <row r="1299">
          <cell r="J1299" t="str">
            <v>C.3.4.3.14.2</v>
          </cell>
        </row>
        <row r="1300">
          <cell r="J1300" t="str">
            <v>C.3.4.3.14.3</v>
          </cell>
        </row>
        <row r="1301">
          <cell r="J1301" t="str">
            <v>C.3.6.3.6.1</v>
          </cell>
        </row>
        <row r="1302">
          <cell r="J1302" t="str">
            <v>C.3.6.3.6.2</v>
          </cell>
        </row>
        <row r="1303">
          <cell r="J1303" t="str">
            <v>C.3.6.3.6.3</v>
          </cell>
        </row>
        <row r="1304">
          <cell r="J1304" t="str">
            <v>C.3.6.3.7</v>
          </cell>
        </row>
        <row r="1305">
          <cell r="J1305" t="str">
            <v>C.3.7.16.1</v>
          </cell>
        </row>
        <row r="1306">
          <cell r="J1306" t="str">
            <v>C.3.7.16.10</v>
          </cell>
        </row>
        <row r="1307">
          <cell r="J1307" t="str">
            <v>C.3.7.16.2</v>
          </cell>
        </row>
        <row r="1308">
          <cell r="J1308" t="str">
            <v>C.3.7.16.3</v>
          </cell>
        </row>
        <row r="1309">
          <cell r="J1309" t="str">
            <v>C.3.7.16.4</v>
          </cell>
        </row>
        <row r="1310">
          <cell r="J1310" t="str">
            <v>C.3.7.16.5</v>
          </cell>
        </row>
        <row r="1311">
          <cell r="J1311" t="str">
            <v>C.3.7.16.6</v>
          </cell>
        </row>
        <row r="1312">
          <cell r="J1312" t="str">
            <v>C.3.7.16.7</v>
          </cell>
        </row>
        <row r="1313">
          <cell r="J1313" t="str">
            <v>C.3.7.16.8</v>
          </cell>
        </row>
        <row r="1314">
          <cell r="J1314" t="str">
            <v>C.3.7.16.9</v>
          </cell>
        </row>
        <row r="1315">
          <cell r="J1315" t="str">
            <v>C.3.7.17.1</v>
          </cell>
        </row>
        <row r="1316">
          <cell r="J1316" t="str">
            <v>C.3.7.17.2</v>
          </cell>
        </row>
        <row r="1317">
          <cell r="J1317" t="str">
            <v>C.3.6.3.11</v>
          </cell>
        </row>
        <row r="1318">
          <cell r="J1318" t="str">
            <v>C.3.6.3.6.1</v>
          </cell>
        </row>
        <row r="1319">
          <cell r="J1319" t="str">
            <v>C.3.6.3.6.2</v>
          </cell>
        </row>
        <row r="1320">
          <cell r="J1320" t="str">
            <v>C.3.6.3.6.3</v>
          </cell>
        </row>
        <row r="1321">
          <cell r="J1321" t="str">
            <v>C.3.6.3.5</v>
          </cell>
        </row>
        <row r="1322">
          <cell r="J1322" t="str">
            <v>C.3.6.3.6.1</v>
          </cell>
        </row>
        <row r="1323">
          <cell r="J1323" t="str">
            <v>C.3.6.3.6.2</v>
          </cell>
        </row>
        <row r="1324">
          <cell r="J1324" t="str">
            <v>C.3.6.3.6.3</v>
          </cell>
        </row>
        <row r="1325">
          <cell r="J1325" t="str">
            <v>C.3.6.3.7</v>
          </cell>
        </row>
        <row r="1326">
          <cell r="J1326" t="str">
            <v>C.3.6.3.11.1</v>
          </cell>
        </row>
        <row r="1327">
          <cell r="J1327" t="str">
            <v>C.3.6.3.5</v>
          </cell>
        </row>
        <row r="1328">
          <cell r="J1328" t="str">
            <v>C.3.6.3.5</v>
          </cell>
        </row>
        <row r="1329">
          <cell r="J1329" t="str">
            <v>C.3.6.1.18.1</v>
          </cell>
        </row>
        <row r="1330">
          <cell r="J1330" t="str">
            <v>C.3.6.1.18.2</v>
          </cell>
        </row>
        <row r="1331">
          <cell r="J1331" t="str">
            <v>C.3.6.1.18.3</v>
          </cell>
        </row>
        <row r="1332">
          <cell r="J1332" t="str">
            <v>C.3.6.1.18.4</v>
          </cell>
        </row>
        <row r="1333">
          <cell r="J1333" t="str">
            <v>C.3.6.1.26</v>
          </cell>
        </row>
        <row r="1334">
          <cell r="J1334" t="str">
            <v>C.3.6.3.6.1</v>
          </cell>
        </row>
        <row r="1335">
          <cell r="J1335" t="str">
            <v>C.3.6.3.6.2</v>
          </cell>
        </row>
        <row r="1336">
          <cell r="J1336" t="str">
            <v>C.3.6.3.6.3</v>
          </cell>
        </row>
        <row r="1337">
          <cell r="J1337" t="str">
            <v>C.3.7.16.1</v>
          </cell>
        </row>
        <row r="1338">
          <cell r="J1338" t="str">
            <v>C.3.7.16.10</v>
          </cell>
        </row>
        <row r="1339">
          <cell r="J1339" t="str">
            <v>C.3.7.16.2</v>
          </cell>
        </row>
        <row r="1340">
          <cell r="J1340" t="str">
            <v>C.3.7.16.3</v>
          </cell>
        </row>
        <row r="1341">
          <cell r="J1341" t="str">
            <v>C.3.7.16.4</v>
          </cell>
        </row>
        <row r="1342">
          <cell r="J1342" t="str">
            <v>C.3.7.16.5</v>
          </cell>
        </row>
        <row r="1343">
          <cell r="J1343" t="str">
            <v>C.3.7.16.6</v>
          </cell>
        </row>
        <row r="1344">
          <cell r="J1344" t="str">
            <v>C.3.7.16.7</v>
          </cell>
        </row>
        <row r="1345">
          <cell r="J1345" t="str">
            <v>C.3.7.16.8</v>
          </cell>
        </row>
        <row r="1346">
          <cell r="J1346" t="str">
            <v>C.3.7.16.9</v>
          </cell>
        </row>
        <row r="1347">
          <cell r="J1347" t="str">
            <v>C.3.7.17.1</v>
          </cell>
        </row>
        <row r="1348">
          <cell r="J1348" t="str">
            <v>C.3.7.17.2</v>
          </cell>
        </row>
        <row r="1349">
          <cell r="J1349" t="str">
            <v>D.4.4.1.3.1</v>
          </cell>
        </row>
        <row r="1350">
          <cell r="J1350" t="str">
            <v>D.4.4.1.3.2</v>
          </cell>
        </row>
        <row r="1351">
          <cell r="J1351" t="str">
            <v>D.4.4.1.3.3</v>
          </cell>
        </row>
        <row r="1352">
          <cell r="J1352" t="str">
            <v>C.3.6.3.1</v>
          </cell>
        </row>
        <row r="1353">
          <cell r="J1353" t="str">
            <v>C.3.7.16.1</v>
          </cell>
        </row>
        <row r="1354">
          <cell r="J1354" t="str">
            <v>C.3.7.16.10</v>
          </cell>
        </row>
        <row r="1355">
          <cell r="J1355" t="str">
            <v>C.3.7.16.2</v>
          </cell>
        </row>
        <row r="1356">
          <cell r="J1356" t="str">
            <v>C.3.7.16.3</v>
          </cell>
        </row>
        <row r="1357">
          <cell r="J1357" t="str">
            <v>C.3.7.16.4</v>
          </cell>
        </row>
        <row r="1358">
          <cell r="J1358" t="str">
            <v>C.3.7.16.5</v>
          </cell>
        </row>
        <row r="1359">
          <cell r="J1359" t="str">
            <v>C.3.7.16.6</v>
          </cell>
        </row>
        <row r="1360">
          <cell r="J1360" t="str">
            <v>C.3.7.16.7</v>
          </cell>
        </row>
        <row r="1361">
          <cell r="J1361" t="str">
            <v>C.3.7.16.8</v>
          </cell>
        </row>
        <row r="1362">
          <cell r="J1362" t="str">
            <v>C.3.7.16.9</v>
          </cell>
        </row>
        <row r="1363">
          <cell r="J1363" t="str">
            <v>C.3.7.17.1</v>
          </cell>
        </row>
        <row r="1364">
          <cell r="J1364" t="str">
            <v>C.3.7.17.2</v>
          </cell>
        </row>
        <row r="1365">
          <cell r="J1365" t="str">
            <v>C.5.6.1.1</v>
          </cell>
        </row>
        <row r="1366">
          <cell r="J1366" t="str">
            <v>C.3.7.4</v>
          </cell>
        </row>
        <row r="1367">
          <cell r="J1367" t="str">
            <v>D.3.2.2.1</v>
          </cell>
        </row>
        <row r="1368">
          <cell r="J1368" t="str">
            <v>C.3.6.3.6.1</v>
          </cell>
        </row>
        <row r="1369">
          <cell r="J1369" t="str">
            <v>C.3.6.3.6.2</v>
          </cell>
        </row>
        <row r="1370">
          <cell r="J1370" t="str">
            <v>C.3.6.3.6.3</v>
          </cell>
        </row>
        <row r="1371">
          <cell r="J1371" t="str">
            <v>C.3.7.16.1</v>
          </cell>
        </row>
        <row r="1372">
          <cell r="J1372" t="str">
            <v>C.3.7.16.10</v>
          </cell>
        </row>
        <row r="1373">
          <cell r="J1373" t="str">
            <v>C.3.7.16.2</v>
          </cell>
        </row>
        <row r="1374">
          <cell r="J1374" t="str">
            <v>C.3.7.16.3</v>
          </cell>
        </row>
        <row r="1375">
          <cell r="J1375" t="str">
            <v>C.3.7.16.4</v>
          </cell>
        </row>
        <row r="1376">
          <cell r="J1376" t="str">
            <v>C.3.7.16.5</v>
          </cell>
        </row>
        <row r="1377">
          <cell r="J1377" t="str">
            <v>C.3.7.16.6</v>
          </cell>
        </row>
        <row r="1378">
          <cell r="J1378" t="str">
            <v>C.3.7.16.7</v>
          </cell>
        </row>
        <row r="1379">
          <cell r="J1379" t="str">
            <v>C.3.7.16.8</v>
          </cell>
        </row>
        <row r="1380">
          <cell r="J1380" t="str">
            <v>C.3.7.16.9</v>
          </cell>
        </row>
        <row r="1381">
          <cell r="J1381" t="str">
            <v>C.3.7.17.1</v>
          </cell>
        </row>
        <row r="1382">
          <cell r="J1382" t="str">
            <v>C.3.7.17.2</v>
          </cell>
        </row>
        <row r="1383">
          <cell r="J1383" t="str">
            <v>C.3.5.15.1</v>
          </cell>
        </row>
        <row r="1384">
          <cell r="J1384" t="str">
            <v>C.3.5.15.2</v>
          </cell>
        </row>
        <row r="1385">
          <cell r="J1385" t="str">
            <v>C.3.5.15.3</v>
          </cell>
        </row>
        <row r="1386">
          <cell r="J1386" t="str">
            <v>C.3.4.3.13.1</v>
          </cell>
        </row>
        <row r="1387">
          <cell r="J1387" t="str">
            <v>C.3.4.3.13.2</v>
          </cell>
        </row>
        <row r="1388">
          <cell r="J1388" t="str">
            <v>C.3.4.3.13.3</v>
          </cell>
        </row>
        <row r="1389">
          <cell r="J1389" t="str">
            <v>C.3.4.3.14.1</v>
          </cell>
        </row>
        <row r="1390">
          <cell r="J1390" t="str">
            <v>C.3.4.3.14.2</v>
          </cell>
        </row>
        <row r="1391">
          <cell r="J1391" t="str">
            <v>C.3.4.3.14.3</v>
          </cell>
        </row>
        <row r="1392">
          <cell r="J1392" t="str">
            <v>C.5.6.4.17</v>
          </cell>
        </row>
        <row r="1393">
          <cell r="J1393" t="str">
            <v>C.5.6.4.5.1</v>
          </cell>
        </row>
        <row r="1394">
          <cell r="J1394" t="str">
            <v>C.5.6.4.5.2</v>
          </cell>
        </row>
        <row r="1395">
          <cell r="J1395" t="str">
            <v>C.5.6.4.5.3</v>
          </cell>
        </row>
        <row r="1396">
          <cell r="J1396" t="str">
            <v>C.5.6.4.7</v>
          </cell>
        </row>
        <row r="1397">
          <cell r="J1397" t="str">
            <v>C.5.6.4.17</v>
          </cell>
        </row>
        <row r="1398">
          <cell r="J1398" t="str">
            <v>C.3.4.3.1</v>
          </cell>
        </row>
        <row r="1399">
          <cell r="J1399" t="str">
            <v>C.5.6.4.6.1</v>
          </cell>
        </row>
        <row r="1400">
          <cell r="J1400" t="str">
            <v>C.5.6.4.6.2</v>
          </cell>
        </row>
        <row r="1401">
          <cell r="J1401" t="str">
            <v>C.5.6.4.11</v>
          </cell>
        </row>
        <row r="1402">
          <cell r="J1402" t="str">
            <v>C.5.6.4.17</v>
          </cell>
        </row>
        <row r="1403">
          <cell r="J1403" t="str">
            <v>C.5.6.4.17</v>
          </cell>
        </row>
        <row r="1404">
          <cell r="J1404" t="str">
            <v>C.5.6.4.5.1</v>
          </cell>
        </row>
        <row r="1405">
          <cell r="J1405" t="str">
            <v>C.5.6.4.5.2</v>
          </cell>
        </row>
        <row r="1406">
          <cell r="J1406" t="str">
            <v>C.5.6.4.5.3</v>
          </cell>
        </row>
        <row r="1407">
          <cell r="J1407" t="str">
            <v>C.5.6.4.7</v>
          </cell>
        </row>
        <row r="1408">
          <cell r="J1408" t="str">
            <v>C.4.3.12.1</v>
          </cell>
        </row>
        <row r="1409">
          <cell r="J1409" t="str">
            <v>C.4.4.12</v>
          </cell>
        </row>
        <row r="1410">
          <cell r="J1410" t="str">
            <v>C.3.6.2.4</v>
          </cell>
        </row>
        <row r="1411">
          <cell r="J1411" t="str">
            <v>C.5.2.24</v>
          </cell>
        </row>
        <row r="1412">
          <cell r="J1412" t="str">
            <v>C.5.6.4.8</v>
          </cell>
        </row>
        <row r="1413">
          <cell r="J1413" t="str">
            <v>C.5.6.4.10</v>
          </cell>
        </row>
        <row r="1414">
          <cell r="J1414" t="str">
            <v>C.4.3.8</v>
          </cell>
        </row>
        <row r="1415">
          <cell r="J1415" t="str">
            <v>C.4.4.8</v>
          </cell>
        </row>
        <row r="1416">
          <cell r="J1416" t="str">
            <v>C.4.5.16</v>
          </cell>
        </row>
        <row r="1417">
          <cell r="J1417" t="str">
            <v>C.5.7.14</v>
          </cell>
        </row>
        <row r="1418">
          <cell r="J1418" t="str">
            <v>C.5.7.5.1</v>
          </cell>
        </row>
        <row r="1419">
          <cell r="J1419" t="str">
            <v>C.5.7.5.2.1</v>
          </cell>
        </row>
        <row r="1420">
          <cell r="J1420" t="str">
            <v>C.5.7.4.1</v>
          </cell>
        </row>
        <row r="1421">
          <cell r="J1421" t="str">
            <v>C.5.7.5.2</v>
          </cell>
        </row>
        <row r="1422">
          <cell r="J1422" t="str">
            <v>C.4.5.16</v>
          </cell>
        </row>
        <row r="1423">
          <cell r="J1423" t="str">
            <v>C.4.3.8</v>
          </cell>
        </row>
        <row r="1424">
          <cell r="J1424" t="str">
            <v>C.4.4.8</v>
          </cell>
        </row>
        <row r="1425">
          <cell r="J1425" t="str">
            <v>C.5.6.4.9</v>
          </cell>
        </row>
        <row r="1426">
          <cell r="J1426" t="str">
            <v>D.2.2.5.14</v>
          </cell>
        </row>
        <row r="1427">
          <cell r="J1427" t="str">
            <v>C.5.7.14</v>
          </cell>
        </row>
        <row r="1428">
          <cell r="J1428" t="str">
            <v>C.2.5.3.33</v>
          </cell>
        </row>
        <row r="1429">
          <cell r="J1429" t="str">
            <v>C.4.4.8</v>
          </cell>
        </row>
        <row r="1430">
          <cell r="J1430" t="str">
            <v>C.3.6.2.8</v>
          </cell>
        </row>
        <row r="1431">
          <cell r="J1431" t="str">
            <v>C.3.6.2.11</v>
          </cell>
        </row>
        <row r="1432">
          <cell r="J1432" t="str">
            <v>C.2.3.15.1</v>
          </cell>
        </row>
        <row r="1433">
          <cell r="J1433" t="str">
            <v>C.2.3.15.2</v>
          </cell>
        </row>
        <row r="1434">
          <cell r="J1434" t="str">
            <v>C.2.3.15.3</v>
          </cell>
        </row>
        <row r="1435">
          <cell r="J1435" t="str">
            <v>C.2.3.26</v>
          </cell>
        </row>
        <row r="1436">
          <cell r="J1436" t="str">
            <v>C.4.4.4</v>
          </cell>
        </row>
        <row r="1437">
          <cell r="J1437" t="str">
            <v>C.4.4.5</v>
          </cell>
        </row>
        <row r="1438">
          <cell r="J1438" t="str">
            <v>C.5.3.7</v>
          </cell>
        </row>
        <row r="1439">
          <cell r="J1439" t="str">
            <v>C.3.6.2.2</v>
          </cell>
        </row>
        <row r="1440">
          <cell r="J1440" t="str">
            <v>C.3.6.2.8.1</v>
          </cell>
        </row>
        <row r="1441">
          <cell r="J1441" t="str">
            <v>C.5.7.14</v>
          </cell>
        </row>
        <row r="1442">
          <cell r="J1442" t="str">
            <v>C.5.7.6.1</v>
          </cell>
        </row>
        <row r="1443">
          <cell r="J1443" t="str">
            <v>C.5.7.5.1</v>
          </cell>
        </row>
        <row r="1444">
          <cell r="J1444" t="str">
            <v>C.5.7.5.2.1</v>
          </cell>
        </row>
        <row r="1445">
          <cell r="J1445" t="str">
            <v>C.5.7.14</v>
          </cell>
        </row>
        <row r="1446">
          <cell r="J1446" t="str">
            <v>C.5.7.5.1</v>
          </cell>
        </row>
        <row r="1447">
          <cell r="J1447" t="str">
            <v>C.5.7.5.2.1</v>
          </cell>
        </row>
        <row r="1448">
          <cell r="J1448" t="str">
            <v>C.2.3.15.3</v>
          </cell>
        </row>
        <row r="1449">
          <cell r="J1449" t="str">
            <v>C.2.4.8</v>
          </cell>
        </row>
        <row r="1450">
          <cell r="J1450" t="str">
            <v>C.2.5.3.12.1</v>
          </cell>
        </row>
        <row r="1451">
          <cell r="J1451" t="str">
            <v>C.2.5.3.12.2</v>
          </cell>
        </row>
        <row r="1452">
          <cell r="J1452" t="str">
            <v>C.3.6.2.4</v>
          </cell>
        </row>
        <row r="1453">
          <cell r="J1453" t="str">
            <v>C.3.6.2.8</v>
          </cell>
        </row>
        <row r="1454">
          <cell r="J1454" t="str">
            <v>C.3.6.2.8.1</v>
          </cell>
        </row>
        <row r="1455">
          <cell r="J1455" t="str">
            <v>C.4.3.3.1</v>
          </cell>
        </row>
        <row r="1456">
          <cell r="J1456" t="str">
            <v>C.4.3.3.5</v>
          </cell>
        </row>
        <row r="1457">
          <cell r="J1457" t="str">
            <v>C.4.4.3.2</v>
          </cell>
        </row>
        <row r="1458">
          <cell r="J1458" t="str">
            <v>C.4.5.1.1</v>
          </cell>
        </row>
        <row r="1459">
          <cell r="J1459" t="str">
            <v>C.4.5.1.2</v>
          </cell>
        </row>
        <row r="1460">
          <cell r="J1460" t="str">
            <v>C.4.5.16</v>
          </cell>
        </row>
        <row r="1461">
          <cell r="J1461" t="str">
            <v>C.5.7.19</v>
          </cell>
        </row>
        <row r="1462">
          <cell r="J1462" t="str">
            <v>C.5.7.29</v>
          </cell>
        </row>
        <row r="1463">
          <cell r="J1463" t="str">
            <v>C.5.7.5.1</v>
          </cell>
        </row>
        <row r="1464">
          <cell r="J1464" t="str">
            <v>C.5.7.5.2.1</v>
          </cell>
        </row>
        <row r="1465">
          <cell r="J1465" t="str">
            <v>C.5.7.14</v>
          </cell>
        </row>
        <row r="1466">
          <cell r="J1466" t="str">
            <v>C.4.3.12.1</v>
          </cell>
        </row>
        <row r="1467">
          <cell r="J1467" t="str">
            <v>C.4.3.12.2</v>
          </cell>
        </row>
        <row r="1468">
          <cell r="J1468" t="str">
            <v>C.4.4.12</v>
          </cell>
        </row>
        <row r="1469">
          <cell r="J1469" t="str">
            <v>C.5.8.2.31</v>
          </cell>
        </row>
        <row r="1470">
          <cell r="J1470" t="str">
            <v>C.2.2.3.17</v>
          </cell>
        </row>
        <row r="1471">
          <cell r="J1471" t="str">
            <v>C.2.2.3.3</v>
          </cell>
        </row>
        <row r="1472">
          <cell r="J1472" t="str">
            <v>C.5.6.4.8</v>
          </cell>
        </row>
        <row r="1473">
          <cell r="J1473" t="str">
            <v>C.2.2.3.15</v>
          </cell>
        </row>
        <row r="1474">
          <cell r="J1474" t="str">
            <v>C.2.2.2.15</v>
          </cell>
        </row>
        <row r="1475">
          <cell r="J1475" t="str">
            <v>C.2.2.3.8</v>
          </cell>
        </row>
        <row r="1476">
          <cell r="J1476" t="str">
            <v>C.4.3.12.2</v>
          </cell>
        </row>
        <row r="1477">
          <cell r="J1477" t="str">
            <v>H.2.6</v>
          </cell>
        </row>
        <row r="1478">
          <cell r="J1478" t="str">
            <v>H.2.6</v>
          </cell>
        </row>
        <row r="1479">
          <cell r="J1479" t="str">
            <v>D.2.2.5.9</v>
          </cell>
        </row>
        <row r="1480">
          <cell r="J1480" t="str">
            <v>C.4.3.12.1</v>
          </cell>
        </row>
        <row r="1481">
          <cell r="J1481" t="str">
            <v>C.4.3.12.2</v>
          </cell>
        </row>
        <row r="1482">
          <cell r="J1482" t="str">
            <v>C.3.6.2.12</v>
          </cell>
        </row>
        <row r="1483">
          <cell r="J1483" t="str">
            <v>C.3.6.2.4</v>
          </cell>
        </row>
        <row r="1484">
          <cell r="J1484" t="str">
            <v>C.4.3.5.1</v>
          </cell>
        </row>
        <row r="1485">
          <cell r="J1485" t="str">
            <v>C.4.3.5.2</v>
          </cell>
        </row>
        <row r="1486">
          <cell r="J1486" t="str">
            <v>C.4.3.8</v>
          </cell>
        </row>
        <row r="1487">
          <cell r="J1487" t="str">
            <v>C.4.4.12</v>
          </cell>
        </row>
        <row r="1488">
          <cell r="J1488" t="str">
            <v>C.4.4.5</v>
          </cell>
        </row>
        <row r="1489">
          <cell r="J1489" t="str">
            <v>C.4.4.8</v>
          </cell>
        </row>
        <row r="1490">
          <cell r="J1490" t="str">
            <v>C.4.3.12.1</v>
          </cell>
        </row>
        <row r="1491">
          <cell r="J1491" t="str">
            <v>C.4.3.12.2</v>
          </cell>
        </row>
        <row r="1492">
          <cell r="J1492" t="str">
            <v>C.4.4.12</v>
          </cell>
        </row>
        <row r="1493">
          <cell r="J1493" t="str">
            <v>C.3.6.2.12</v>
          </cell>
        </row>
        <row r="1494">
          <cell r="J1494" t="str">
            <v>C.3.6.2.8</v>
          </cell>
        </row>
        <row r="1495">
          <cell r="J1495" t="str">
            <v>C.3.6.2.8.1</v>
          </cell>
        </row>
        <row r="1496">
          <cell r="J1496" t="str">
            <v>C.4.5.16</v>
          </cell>
        </row>
        <row r="1497">
          <cell r="J1497" t="str">
            <v>C.3.6.2.10</v>
          </cell>
        </row>
        <row r="1498">
          <cell r="J1498" t="str">
            <v>C.3.6.2.11</v>
          </cell>
        </row>
        <row r="1499">
          <cell r="J1499" t="str">
            <v>C.3.6.2.9</v>
          </cell>
        </row>
        <row r="1500">
          <cell r="J1500" t="str">
            <v>C.4.2.12</v>
          </cell>
        </row>
        <row r="1501">
          <cell r="J1501" t="str">
            <v>C.4.3.1</v>
          </cell>
        </row>
        <row r="1502">
          <cell r="J1502" t="str">
            <v>C.4.3.3.1</v>
          </cell>
        </row>
        <row r="1503">
          <cell r="J1503" t="str">
            <v>C.4.3.3.2</v>
          </cell>
        </row>
        <row r="1504">
          <cell r="J1504" t="str">
            <v>C.4.3.3.3</v>
          </cell>
        </row>
        <row r="1505">
          <cell r="J1505" t="str">
            <v>C.4.3.3.4</v>
          </cell>
        </row>
        <row r="1506">
          <cell r="J1506" t="str">
            <v>C.4.3.3.5</v>
          </cell>
        </row>
        <row r="1507">
          <cell r="J1507" t="str">
            <v>C.4.3.4</v>
          </cell>
        </row>
        <row r="1508">
          <cell r="J1508" t="str">
            <v>C.4.3.5.1</v>
          </cell>
        </row>
        <row r="1509">
          <cell r="J1509" t="str">
            <v>C.4.3.5.2</v>
          </cell>
        </row>
        <row r="1510">
          <cell r="J1510" t="str">
            <v>C.4.4.1</v>
          </cell>
        </row>
        <row r="1511">
          <cell r="J1511" t="str">
            <v>C.4.4.3.1</v>
          </cell>
        </row>
        <row r="1512">
          <cell r="J1512" t="str">
            <v>C.4.4.3.2</v>
          </cell>
        </row>
        <row r="1513">
          <cell r="J1513" t="str">
            <v>C.4.4.4</v>
          </cell>
        </row>
        <row r="1514">
          <cell r="J1514" t="str">
            <v>C.4.4.5</v>
          </cell>
        </row>
        <row r="1515">
          <cell r="J1515" t="str">
            <v>C.4.5.1.1</v>
          </cell>
        </row>
        <row r="1516">
          <cell r="J1516" t="str">
            <v>C.4.5.1.2</v>
          </cell>
        </row>
        <row r="1517">
          <cell r="J1517" t="str">
            <v>C.4.5.13</v>
          </cell>
        </row>
        <row r="1518">
          <cell r="J1518" t="str">
            <v>C.3.6.2.4</v>
          </cell>
        </row>
        <row r="1519">
          <cell r="J1519" t="str">
            <v>C.4.3.12.1</v>
          </cell>
        </row>
        <row r="1520">
          <cell r="J1520" t="str">
            <v>C.4.3.12.2</v>
          </cell>
        </row>
        <row r="1521">
          <cell r="J1521" t="str">
            <v>C.4.4.12</v>
          </cell>
        </row>
        <row r="1522">
          <cell r="J1522" t="str">
            <v>C.4.4.8</v>
          </cell>
        </row>
        <row r="1523">
          <cell r="J1523" t="str">
            <v>C.4.5.4</v>
          </cell>
        </row>
        <row r="1524">
          <cell r="J1524" t="str">
            <v>H.2.6</v>
          </cell>
        </row>
        <row r="1525">
          <cell r="J1525" t="str">
            <v>C.4.2.10</v>
          </cell>
        </row>
        <row r="1526">
          <cell r="J1526" t="str">
            <v>C.5.7.14</v>
          </cell>
        </row>
        <row r="1527">
          <cell r="J1527" t="str">
            <v>C.5.7.15</v>
          </cell>
        </row>
        <row r="1528">
          <cell r="J1528" t="str">
            <v>C.5.7.14</v>
          </cell>
        </row>
        <row r="1529">
          <cell r="J1529" t="str">
            <v>C.5.7.15</v>
          </cell>
        </row>
        <row r="1530">
          <cell r="J1530" t="str">
            <v>C.5.7.14</v>
          </cell>
        </row>
        <row r="1531">
          <cell r="J1531" t="str">
            <v>C.5.7.15</v>
          </cell>
        </row>
        <row r="1532">
          <cell r="J1532" t="str">
            <v>C.5.7.14</v>
          </cell>
        </row>
        <row r="1533">
          <cell r="J1533" t="str">
            <v>C.5.7.14</v>
          </cell>
        </row>
        <row r="1534">
          <cell r="J1534" t="str">
            <v>C.5.7.15</v>
          </cell>
        </row>
        <row r="1535">
          <cell r="J1535" t="str">
            <v>C.3.6.2.4</v>
          </cell>
        </row>
        <row r="1536">
          <cell r="J1536" t="str">
            <v>C.4.3.8</v>
          </cell>
        </row>
        <row r="1537">
          <cell r="J1537" t="str">
            <v>C.3.6.2.12</v>
          </cell>
        </row>
        <row r="1538">
          <cell r="J1538" t="str">
            <v>C.3.6.2.4</v>
          </cell>
        </row>
        <row r="1539">
          <cell r="J1539" t="str">
            <v>C.4.3.5.1</v>
          </cell>
        </row>
        <row r="1540">
          <cell r="J1540" t="str">
            <v>C.4.3.5.2</v>
          </cell>
        </row>
        <row r="1541">
          <cell r="J1541" t="str">
            <v>C.4.3.6</v>
          </cell>
        </row>
        <row r="1542">
          <cell r="J1542" t="str">
            <v>C.4.4.5</v>
          </cell>
        </row>
        <row r="1543">
          <cell r="J1543" t="str">
            <v>C.4.4.6</v>
          </cell>
        </row>
        <row r="1544">
          <cell r="J1544" t="str">
            <v>C.4.5.16</v>
          </cell>
        </row>
        <row r="1545">
          <cell r="J1545" t="str">
            <v>C.3.6.2.12</v>
          </cell>
        </row>
        <row r="1546">
          <cell r="J1546" t="str">
            <v>C.4.3.5.1</v>
          </cell>
        </row>
        <row r="1547">
          <cell r="J1547" t="str">
            <v>C.4.3.5.2</v>
          </cell>
        </row>
        <row r="1548">
          <cell r="J1548" t="str">
            <v>C.4.3.8</v>
          </cell>
        </row>
        <row r="1549">
          <cell r="J1549" t="str">
            <v>C.4.4.5</v>
          </cell>
        </row>
        <row r="1550">
          <cell r="J1550" t="str">
            <v>C.4.4.8</v>
          </cell>
        </row>
        <row r="1551">
          <cell r="J1551" t="str">
            <v>C.5.7.6.1</v>
          </cell>
        </row>
        <row r="1552">
          <cell r="J1552" t="str">
            <v>C.5.7.14</v>
          </cell>
        </row>
        <row r="1553">
          <cell r="J1553" t="str">
            <v>C.4.5.4</v>
          </cell>
        </row>
        <row r="1554">
          <cell r="J1554" t="str">
            <v>D.2.2.5.21</v>
          </cell>
        </row>
        <row r="1555">
          <cell r="J1555" t="str">
            <v>C.2.5.3.38</v>
          </cell>
        </row>
        <row r="1556">
          <cell r="J1556" t="str">
            <v>C.4.5.9.1</v>
          </cell>
        </row>
        <row r="1557">
          <cell r="J1557" t="str">
            <v>C.4.5.9.2</v>
          </cell>
        </row>
        <row r="1558">
          <cell r="J1558" t="str">
            <v>D.2.2.5.10</v>
          </cell>
        </row>
        <row r="1559">
          <cell r="J1559" t="str">
            <v>C.5.7.11</v>
          </cell>
        </row>
        <row r="1560">
          <cell r="J1560" t="str">
            <v>C.5.7.12</v>
          </cell>
        </row>
        <row r="1561">
          <cell r="J1561" t="str">
            <v>C.4.4.8</v>
          </cell>
        </row>
        <row r="1562">
          <cell r="J1562" t="str">
            <v>C.5.7.13</v>
          </cell>
        </row>
        <row r="1563">
          <cell r="J1563" t="str">
            <v>C.5.7.9</v>
          </cell>
        </row>
        <row r="1564">
          <cell r="J1564" t="str">
            <v>C.5.7.29</v>
          </cell>
        </row>
        <row r="1565">
          <cell r="J1565" t="str">
            <v>H.2.6</v>
          </cell>
        </row>
        <row r="1566">
          <cell r="J1566" t="str">
            <v>H.2.11.1</v>
          </cell>
        </row>
        <row r="1567">
          <cell r="J1567" t="str">
            <v>H.2.11.2</v>
          </cell>
        </row>
        <row r="1568">
          <cell r="J1568" t="str">
            <v>H.2.8.1</v>
          </cell>
        </row>
        <row r="1569">
          <cell r="J1569" t="str">
            <v>H.2.8.2</v>
          </cell>
        </row>
        <row r="1570">
          <cell r="J1570" t="str">
            <v>H.2.6</v>
          </cell>
        </row>
        <row r="1571">
          <cell r="J1571" t="str">
            <v>D.1.1.1.4</v>
          </cell>
        </row>
        <row r="1572">
          <cell r="J1572" t="str">
            <v>D.2.2.5.6</v>
          </cell>
        </row>
        <row r="1573">
          <cell r="J1573" t="str">
            <v>D.2.4.4.4</v>
          </cell>
        </row>
        <row r="1574">
          <cell r="J1574" t="str">
            <v>D.3.3.3.10</v>
          </cell>
        </row>
        <row r="1575">
          <cell r="J1575" t="str">
            <v>H.2.23</v>
          </cell>
        </row>
        <row r="1576">
          <cell r="J1576" t="str">
            <v>H.2.7</v>
          </cell>
        </row>
        <row r="1577">
          <cell r="J1577" t="str">
            <v>D.1.1.1.4</v>
          </cell>
        </row>
        <row r="1578">
          <cell r="J1578" t="str">
            <v>D.2.2.5.6</v>
          </cell>
        </row>
        <row r="1579">
          <cell r="J1579" t="str">
            <v>D.2.4.4.4</v>
          </cell>
        </row>
        <row r="1580">
          <cell r="J1580" t="str">
            <v>D.3.3.3.10</v>
          </cell>
        </row>
        <row r="1581">
          <cell r="J1581" t="str">
            <v>H.2.22</v>
          </cell>
        </row>
        <row r="1582">
          <cell r="J1582" t="str">
            <v>H.2.7</v>
          </cell>
        </row>
        <row r="1583">
          <cell r="J1583" t="str">
            <v>H.2.6</v>
          </cell>
        </row>
        <row r="1584">
          <cell r="J1584" t="str">
            <v>D.2.2.5.15</v>
          </cell>
        </row>
        <row r="1585">
          <cell r="J1585" t="str">
            <v>C.4.6.4</v>
          </cell>
        </row>
        <row r="1586">
          <cell r="J1586" t="str">
            <v>D.3.3.3.3</v>
          </cell>
        </row>
        <row r="1587">
          <cell r="J1587" t="str">
            <v>H.1.5</v>
          </cell>
        </row>
        <row r="1588">
          <cell r="J1588" t="str">
            <v>H.2.11.1</v>
          </cell>
        </row>
        <row r="1589">
          <cell r="J1589" t="str">
            <v>H.2.11.2</v>
          </cell>
        </row>
        <row r="1590">
          <cell r="J1590" t="str">
            <v>C.3.1.4</v>
          </cell>
        </row>
        <row r="1591">
          <cell r="J1591" t="str">
            <v>C.3.6.2.1</v>
          </cell>
        </row>
        <row r="1592">
          <cell r="J1592" t="str">
            <v>C.3.6.2.3</v>
          </cell>
        </row>
        <row r="1593">
          <cell r="J1593" t="str">
            <v>H.2.11.1</v>
          </cell>
        </row>
        <row r="1594">
          <cell r="J1594" t="str">
            <v>H.2.11.2</v>
          </cell>
        </row>
        <row r="1595">
          <cell r="J1595" t="str">
            <v>A.1.1</v>
          </cell>
        </row>
        <row r="1596">
          <cell r="J1596" t="str">
            <v>C.4.2.1.1</v>
          </cell>
        </row>
        <row r="1597">
          <cell r="J1597" t="str">
            <v>C.4.2.1.2</v>
          </cell>
        </row>
        <row r="1598">
          <cell r="J1598" t="str">
            <v>D.2.2.2.5</v>
          </cell>
        </row>
        <row r="1599">
          <cell r="J1599" t="str">
            <v>D.2.2.2.5</v>
          </cell>
        </row>
        <row r="1600">
          <cell r="J1600" t="str">
            <v>C.4.3.2</v>
          </cell>
        </row>
        <row r="1601">
          <cell r="J1601" t="str">
            <v>C.4.4.2</v>
          </cell>
        </row>
        <row r="1602">
          <cell r="J1602" t="str">
            <v>H.1.2</v>
          </cell>
        </row>
        <row r="1603">
          <cell r="J1603" t="str">
            <v>H.2.1</v>
          </cell>
        </row>
        <row r="1604">
          <cell r="J1604" t="str">
            <v>C.4.6.4</v>
          </cell>
        </row>
        <row r="1605">
          <cell r="J1605" t="str">
            <v>D.3.3.3.3</v>
          </cell>
        </row>
        <row r="1606">
          <cell r="J1606" t="str">
            <v>H.1.5</v>
          </cell>
        </row>
        <row r="1607">
          <cell r="J1607" t="str">
            <v>C.3.6.2.12</v>
          </cell>
        </row>
        <row r="1608">
          <cell r="J1608" t="str">
            <v>C.4.3.5.1</v>
          </cell>
        </row>
        <row r="1609">
          <cell r="J1609" t="str">
            <v>C.4.3.5.2</v>
          </cell>
        </row>
        <row r="1610">
          <cell r="J1610" t="str">
            <v>C.4.4.5</v>
          </cell>
        </row>
        <row r="1611">
          <cell r="J1611" t="str">
            <v>D.3.3.3.24</v>
          </cell>
        </row>
        <row r="1612">
          <cell r="J1612" t="str">
            <v>D.3.3.3.24</v>
          </cell>
        </row>
        <row r="1613">
          <cell r="J1613" t="str">
            <v>D.1.1.1.4</v>
          </cell>
        </row>
        <row r="1614">
          <cell r="J1614" t="str">
            <v>D.2.2.5.6</v>
          </cell>
        </row>
        <row r="1615">
          <cell r="J1615" t="str">
            <v>D.2.4.4.4</v>
          </cell>
        </row>
        <row r="1616">
          <cell r="J1616" t="str">
            <v>D.3.3.3.10</v>
          </cell>
        </row>
        <row r="1617">
          <cell r="J1617" t="str">
            <v>H.2.7</v>
          </cell>
        </row>
        <row r="1618">
          <cell r="J1618" t="str">
            <v>D.3.3.3.24</v>
          </cell>
        </row>
        <row r="1619">
          <cell r="J1619" t="str">
            <v>H.2.24</v>
          </cell>
        </row>
        <row r="1620">
          <cell r="J1620" t="str">
            <v>C.3.4.3.17</v>
          </cell>
        </row>
        <row r="1621">
          <cell r="J1621" t="str">
            <v>C.3.4.3.8.1</v>
          </cell>
        </row>
        <row r="1622">
          <cell r="J1622" t="str">
            <v>C.3.4.4.17</v>
          </cell>
        </row>
        <row r="1623">
          <cell r="J1623" t="str">
            <v>C.3.4.3.17</v>
          </cell>
        </row>
        <row r="1624">
          <cell r="J1624" t="str">
            <v>C.3.4.3.8.2</v>
          </cell>
        </row>
        <row r="1625">
          <cell r="J1625" t="str">
            <v>C.5.5.23</v>
          </cell>
        </row>
        <row r="1626">
          <cell r="J1626" t="str">
            <v>C.5.6.3.22</v>
          </cell>
        </row>
        <row r="1627">
          <cell r="J1627" t="str">
            <v>C.5.6.3.22</v>
          </cell>
        </row>
        <row r="1628">
          <cell r="J1628" t="str">
            <v>C.5.6.3.13</v>
          </cell>
        </row>
        <row r="1629">
          <cell r="J1629" t="str">
            <v>C.5.6.3.18.1</v>
          </cell>
        </row>
        <row r="1630">
          <cell r="J1630" t="str">
            <v>C.5.6.3.13</v>
          </cell>
        </row>
        <row r="1631">
          <cell r="J1631" t="str">
            <v>C.5.6.3.13</v>
          </cell>
        </row>
        <row r="1632">
          <cell r="J1632" t="str">
            <v>C.5.6.2.6.1</v>
          </cell>
        </row>
        <row r="1633">
          <cell r="J1633" t="str">
            <v>C.5.6.4.17</v>
          </cell>
        </row>
        <row r="1634">
          <cell r="J1634" t="str">
            <v>C.5.6.4.17</v>
          </cell>
        </row>
        <row r="1635">
          <cell r="J1635" t="str">
            <v>C.5.6.3.18.2</v>
          </cell>
        </row>
        <row r="1636">
          <cell r="J1636" t="str">
            <v>C.5.5.23</v>
          </cell>
        </row>
        <row r="1637">
          <cell r="J1637" t="str">
            <v>C.5.5.24</v>
          </cell>
        </row>
        <row r="1638">
          <cell r="J1638" t="str">
            <v>C.5.6.3.18.1</v>
          </cell>
        </row>
        <row r="1639">
          <cell r="J1639" t="str">
            <v>C.5.6.4.17</v>
          </cell>
        </row>
        <row r="1640">
          <cell r="J1640" t="str">
            <v>C.5.6.4.7</v>
          </cell>
        </row>
        <row r="1641">
          <cell r="J1641" t="str">
            <v>C.3.6.1.20.1</v>
          </cell>
        </row>
        <row r="1642">
          <cell r="J1642" t="str">
            <v>C.3.6.1.20.2</v>
          </cell>
        </row>
        <row r="1643">
          <cell r="J1643" t="str">
            <v>C.3.6.1.20.3</v>
          </cell>
        </row>
        <row r="1644">
          <cell r="J1644" t="str">
            <v>C.5.3.26</v>
          </cell>
        </row>
        <row r="1645">
          <cell r="J1645" t="str">
            <v>C.3.4.3.20.1</v>
          </cell>
        </row>
        <row r="1646">
          <cell r="J1646" t="str">
            <v>C.3.4.3.20.1</v>
          </cell>
        </row>
        <row r="1647">
          <cell r="J1647" t="str">
            <v>C.3.4.3.20.2</v>
          </cell>
        </row>
        <row r="1648">
          <cell r="J1648" t="str">
            <v>C.3.4.3.20.2</v>
          </cell>
        </row>
        <row r="1649">
          <cell r="J1649" t="str">
            <v>C.3.4.4.20.1</v>
          </cell>
        </row>
        <row r="1650">
          <cell r="J1650" t="str">
            <v>C.3.4.4.20.1</v>
          </cell>
        </row>
        <row r="1651">
          <cell r="J1651" t="str">
            <v>C.3.4.4.20.2</v>
          </cell>
        </row>
        <row r="1652">
          <cell r="J1652" t="str">
            <v>C.3.4.4.20.2</v>
          </cell>
        </row>
        <row r="1653">
          <cell r="J1653" t="str">
            <v>C.3.5.24</v>
          </cell>
        </row>
        <row r="1654">
          <cell r="J1654" t="str">
            <v>C.3.6.1.35.1</v>
          </cell>
        </row>
        <row r="1655">
          <cell r="J1655" t="str">
            <v>C.3.5.24</v>
          </cell>
        </row>
        <row r="1656">
          <cell r="J1656" t="str">
            <v>C.3.6.1.35.2</v>
          </cell>
        </row>
        <row r="1657">
          <cell r="J1657" t="str">
            <v>C.3.4.2.16</v>
          </cell>
        </row>
        <row r="1658">
          <cell r="J1658" t="str">
            <v>C.3.4.2.16</v>
          </cell>
        </row>
        <row r="1659">
          <cell r="J1659" t="str">
            <v>C.3.4.3.17</v>
          </cell>
        </row>
        <row r="1660">
          <cell r="J1660" t="str">
            <v>C.3.6.1.24</v>
          </cell>
        </row>
        <row r="1661">
          <cell r="J1661" t="str">
            <v>C.3.6.1.24</v>
          </cell>
        </row>
        <row r="1662">
          <cell r="J1662" t="str">
            <v>C.3.4.3.15</v>
          </cell>
        </row>
        <row r="1663">
          <cell r="J1663" t="str">
            <v>C.3.4.4.15</v>
          </cell>
        </row>
        <row r="1664">
          <cell r="J1664" t="str">
            <v>C.3.4.3.15</v>
          </cell>
        </row>
        <row r="1665">
          <cell r="J1665" t="str">
            <v>C.3.4.4.15</v>
          </cell>
        </row>
        <row r="1666">
          <cell r="J1666" t="str">
            <v>C.3.5.11</v>
          </cell>
        </row>
        <row r="1667">
          <cell r="J1667" t="str">
            <v>C.3.4.2.13</v>
          </cell>
        </row>
        <row r="1668">
          <cell r="J1668" t="str">
            <v>C.3.6.1.24</v>
          </cell>
        </row>
        <row r="1669">
          <cell r="J1669" t="str">
            <v>C.3.4.3.17</v>
          </cell>
        </row>
        <row r="1670">
          <cell r="J1670" t="str">
            <v>C.3.4.2.5</v>
          </cell>
        </row>
        <row r="1671">
          <cell r="J1671" t="str">
            <v>C.5.6.4.17</v>
          </cell>
        </row>
        <row r="1672">
          <cell r="J1672" t="str">
            <v>C.5.3.26</v>
          </cell>
        </row>
        <row r="1673">
          <cell r="J1673" t="str">
            <v>C.5.6.4.17</v>
          </cell>
        </row>
        <row r="1674">
          <cell r="J1674" t="str">
            <v>C.5.6.4.17</v>
          </cell>
        </row>
        <row r="1675">
          <cell r="J1675" t="str">
            <v>C.5.6.3.14.4</v>
          </cell>
        </row>
        <row r="1676">
          <cell r="J1676" t="str">
            <v>C.5.6.4.17</v>
          </cell>
        </row>
        <row r="1677">
          <cell r="J1677" t="str">
            <v>C.5.6.2.1</v>
          </cell>
        </row>
        <row r="1678">
          <cell r="J1678" t="str">
            <v>C.5.6.4.17</v>
          </cell>
        </row>
        <row r="1679">
          <cell r="J1679" t="str">
            <v>C.5.6.4.5.1</v>
          </cell>
        </row>
        <row r="1680">
          <cell r="J1680" t="str">
            <v>C.5.6.4.5.2</v>
          </cell>
        </row>
        <row r="1681">
          <cell r="J1681" t="str">
            <v>C.5.6.4.5.3</v>
          </cell>
        </row>
        <row r="1682">
          <cell r="J1682" t="str">
            <v>C.3.4.2.10</v>
          </cell>
        </row>
        <row r="1683">
          <cell r="J1683" t="str">
            <v>C.3.4.3.23</v>
          </cell>
        </row>
        <row r="1684">
          <cell r="J1684" t="str">
            <v>C.3.4.4.23</v>
          </cell>
        </row>
        <row r="1685">
          <cell r="J1685" t="str">
            <v>C.3.6.1.24</v>
          </cell>
        </row>
        <row r="1686">
          <cell r="J1686" t="str">
            <v>C.3.6.1.13.1</v>
          </cell>
        </row>
        <row r="1687">
          <cell r="J1687" t="str">
            <v>C.5.6.4.5.1</v>
          </cell>
        </row>
        <row r="1688">
          <cell r="J1688" t="str">
            <v>C.5.6.4.5.2</v>
          </cell>
        </row>
        <row r="1689">
          <cell r="J1689" t="str">
            <v>C.5.6.4.5.3</v>
          </cell>
        </row>
        <row r="1690">
          <cell r="J1690" t="str">
            <v>C.5.6.4.17</v>
          </cell>
        </row>
        <row r="1691">
          <cell r="J1691" t="str">
            <v>C.5.6.4.6.1</v>
          </cell>
        </row>
        <row r="1692">
          <cell r="J1692" t="str">
            <v>C.5.6.4.6.2</v>
          </cell>
        </row>
        <row r="1693">
          <cell r="J1693" t="str">
            <v>C.3.4.3.17</v>
          </cell>
        </row>
        <row r="1694">
          <cell r="J1694" t="str">
            <v>C.3.5.16.2</v>
          </cell>
        </row>
        <row r="1695">
          <cell r="J1695" t="str">
            <v>C.3.4.4.17</v>
          </cell>
        </row>
        <row r="1696">
          <cell r="J1696" t="str">
            <v>C.3.6.1.21.1</v>
          </cell>
        </row>
        <row r="1697">
          <cell r="J1697" t="str">
            <v>C.3.6.1.37</v>
          </cell>
        </row>
        <row r="1698">
          <cell r="J1698" t="str">
            <v>C.3.6.1.14.1</v>
          </cell>
        </row>
        <row r="1699">
          <cell r="J1699" t="str">
            <v>C.3.4.3.19.1</v>
          </cell>
        </row>
        <row r="1700">
          <cell r="J1700" t="str">
            <v>C.3.4.3.19.2</v>
          </cell>
        </row>
        <row r="1701">
          <cell r="J1701" t="str">
            <v>C.3.4.4.19.1</v>
          </cell>
        </row>
        <row r="1702">
          <cell r="J1702" t="str">
            <v>C.3.4.4.19.2</v>
          </cell>
        </row>
        <row r="1703">
          <cell r="J1703" t="str">
            <v>C.3.6.1.34.1</v>
          </cell>
        </row>
        <row r="1704">
          <cell r="J1704" t="str">
            <v>C.3.6.1.34.2</v>
          </cell>
        </row>
        <row r="1705">
          <cell r="J1705" t="str">
            <v>C.3.6.1.21.1</v>
          </cell>
        </row>
        <row r="1706">
          <cell r="J1706" t="str">
            <v>C.5.6.3.18.1</v>
          </cell>
        </row>
        <row r="1707">
          <cell r="J1707" t="str">
            <v>C.3.5.26</v>
          </cell>
        </row>
        <row r="1708">
          <cell r="J1708" t="str">
            <v>C.3.5.11</v>
          </cell>
        </row>
        <row r="1709">
          <cell r="J1709" t="str">
            <v>C.3.4.3.17</v>
          </cell>
        </row>
        <row r="1710">
          <cell r="J1710" t="str">
            <v>C.3.4.4.17</v>
          </cell>
        </row>
        <row r="1711">
          <cell r="J1711" t="str">
            <v>C.3.5.26</v>
          </cell>
        </row>
        <row r="1712">
          <cell r="J1712" t="str">
            <v>C.3.6.1.24</v>
          </cell>
        </row>
        <row r="1713">
          <cell r="J1713" t="str">
            <v>C.3.6.1.24</v>
          </cell>
        </row>
        <row r="1714">
          <cell r="J1714" t="str">
            <v>C.3.6.1.24</v>
          </cell>
        </row>
        <row r="1715">
          <cell r="J1715" t="str">
            <v>C.3.4.2.10</v>
          </cell>
        </row>
        <row r="1716">
          <cell r="J1716" t="str">
            <v>C.3.5.26</v>
          </cell>
        </row>
        <row r="1717">
          <cell r="J1717" t="str">
            <v>C.3.5.11</v>
          </cell>
        </row>
        <row r="1718">
          <cell r="J1718" t="str">
            <v>C.3.6.1.13.2</v>
          </cell>
        </row>
        <row r="1719">
          <cell r="J1719" t="str">
            <v>C,3,6,1,40</v>
          </cell>
        </row>
        <row r="1720">
          <cell r="J1720" t="str">
            <v>C.5.6.3.14.4</v>
          </cell>
        </row>
        <row r="1721">
          <cell r="J1721" t="str">
            <v>C.3.4.3.23</v>
          </cell>
        </row>
        <row r="1722">
          <cell r="J1722" t="str">
            <v>C.3.4.2.5</v>
          </cell>
        </row>
        <row r="1723">
          <cell r="J1723" t="str">
            <v>C.3.4.4.23</v>
          </cell>
        </row>
        <row r="1724">
          <cell r="J1724" t="str">
            <v>C.3.4.4.17</v>
          </cell>
        </row>
        <row r="1725">
          <cell r="J1725" t="str">
            <v>C.3.6.1.37</v>
          </cell>
        </row>
        <row r="1726">
          <cell r="J1726" t="str">
            <v>C.3.6.1.40</v>
          </cell>
        </row>
        <row r="1727">
          <cell r="J1727" t="str">
            <v>C.3.5.11</v>
          </cell>
        </row>
        <row r="1728">
          <cell r="J1728" t="str">
            <v>C.3.5.18</v>
          </cell>
        </row>
        <row r="1729">
          <cell r="J1729" t="str">
            <v>C.3.5.18</v>
          </cell>
        </row>
        <row r="1730">
          <cell r="J1730" t="str">
            <v>C.3.5.26</v>
          </cell>
        </row>
        <row r="1731">
          <cell r="J1731" t="str">
            <v>C.3.5.30</v>
          </cell>
        </row>
        <row r="1732">
          <cell r="J1732" t="str">
            <v>C.3.5.11</v>
          </cell>
        </row>
        <row r="1733">
          <cell r="J1733" t="str">
            <v>C.3.5.29</v>
          </cell>
        </row>
        <row r="1734">
          <cell r="J1734" t="str">
            <v>C.5.5.23</v>
          </cell>
        </row>
        <row r="1735">
          <cell r="J1735" t="str">
            <v>C.5.5.23</v>
          </cell>
        </row>
        <row r="1736">
          <cell r="J1736" t="str">
            <v>C.3.6.3.8.1</v>
          </cell>
        </row>
        <row r="1737">
          <cell r="J1737" t="str">
            <v>C.3.6.1.28</v>
          </cell>
        </row>
        <row r="1738">
          <cell r="J1738" t="str">
            <v>C.3.6.1.26</v>
          </cell>
        </row>
        <row r="1739">
          <cell r="J1739" t="str">
            <v>C.3.6.1.29.1</v>
          </cell>
        </row>
        <row r="1740">
          <cell r="J1740" t="str">
            <v>C.3.6.1.27</v>
          </cell>
        </row>
        <row r="1741">
          <cell r="J1741" t="str">
            <v>C.3.6.1.31.5</v>
          </cell>
        </row>
        <row r="1742">
          <cell r="J1742" t="str">
            <v>E.1.6</v>
          </cell>
        </row>
        <row r="1743">
          <cell r="J1743" t="str">
            <v>C.3.6.1.26</v>
          </cell>
        </row>
        <row r="1744">
          <cell r="J1744" t="str">
            <v>C.3.8.4.1</v>
          </cell>
        </row>
        <row r="1745">
          <cell r="J1745" t="str">
            <v>C.3.8.4.2</v>
          </cell>
        </row>
        <row r="1746">
          <cell r="J1746" t="str">
            <v>C.3.8.2.1</v>
          </cell>
        </row>
        <row r="1747">
          <cell r="J1747" t="str">
            <v>C.5.8.1.2.2</v>
          </cell>
        </row>
        <row r="1748">
          <cell r="J1748" t="str">
            <v>C.3.6.1.31.5</v>
          </cell>
        </row>
        <row r="1749">
          <cell r="J1749" t="str">
            <v>C.3.7.13.1</v>
          </cell>
        </row>
        <row r="1750">
          <cell r="J1750" t="str">
            <v>B.5.2</v>
          </cell>
        </row>
        <row r="1751">
          <cell r="J1751" t="str">
            <v>C.3.6.22.1</v>
          </cell>
        </row>
        <row r="1752">
          <cell r="J1752" t="str">
            <v>C.3.7.27.1</v>
          </cell>
        </row>
        <row r="1753">
          <cell r="J1753" t="str">
            <v>C.3.7.27.2</v>
          </cell>
        </row>
        <row r="1754">
          <cell r="J1754" t="str">
            <v>D.2.2.4.3</v>
          </cell>
        </row>
        <row r="1755">
          <cell r="J1755" t="str">
            <v>D.2.3.9</v>
          </cell>
        </row>
        <row r="1756">
          <cell r="J1756" t="str">
            <v>D.3.4.2.1</v>
          </cell>
        </row>
        <row r="1757">
          <cell r="J1757" t="str">
            <v>D.4.5.5</v>
          </cell>
        </row>
        <row r="1758">
          <cell r="J1758" t="str">
            <v>D.4.6.2</v>
          </cell>
        </row>
        <row r="1759">
          <cell r="J1759" t="str">
            <v>E.1.6</v>
          </cell>
        </row>
        <row r="1760">
          <cell r="J1760" t="str">
            <v>E.1.2</v>
          </cell>
        </row>
        <row r="1761">
          <cell r="J1761" t="str">
            <v>C.3.6.1.28</v>
          </cell>
        </row>
        <row r="1762">
          <cell r="J1762" t="str">
            <v>C.3.6.1.28</v>
          </cell>
        </row>
        <row r="1763">
          <cell r="J1763" t="str">
            <v>C.3.6.1.28</v>
          </cell>
        </row>
        <row r="1764">
          <cell r="J1764" t="str">
            <v>C.5.8.1.2.13</v>
          </cell>
        </row>
        <row r="1765">
          <cell r="J1765" t="str">
            <v>C.5.8.1.2.9</v>
          </cell>
        </row>
        <row r="1766">
          <cell r="J1766" t="str">
            <v>B.5.1</v>
          </cell>
        </row>
        <row r="1767">
          <cell r="J1767" t="str">
            <v>D.2.5.1</v>
          </cell>
        </row>
        <row r="1768">
          <cell r="J1768" t="str">
            <v>D.4.5.3</v>
          </cell>
        </row>
        <row r="1769">
          <cell r="J1769" t="str">
            <v>D.4.5.4</v>
          </cell>
        </row>
        <row r="1770">
          <cell r="J1770" t="str">
            <v>D.4.6.1</v>
          </cell>
        </row>
        <row r="1771">
          <cell r="J1771" t="str">
            <v>E.1.3</v>
          </cell>
        </row>
        <row r="1772">
          <cell r="J1772" t="str">
            <v>C.3.6.1.18.1</v>
          </cell>
        </row>
        <row r="1773">
          <cell r="J1773" t="str">
            <v>C.3.6.1.18.2</v>
          </cell>
        </row>
        <row r="1774">
          <cell r="J1774" t="str">
            <v>C.3.6.1.18.3</v>
          </cell>
        </row>
        <row r="1775">
          <cell r="J1775" t="str">
            <v>C.3.6.1.18.4</v>
          </cell>
        </row>
        <row r="1776">
          <cell r="J1776" t="str">
            <v>C.3.6.1.18.5</v>
          </cell>
        </row>
        <row r="1777">
          <cell r="J1777" t="str">
            <v>C.3.6.1.18.6</v>
          </cell>
        </row>
        <row r="1778">
          <cell r="J1778" t="str">
            <v>C.3.6.1.19</v>
          </cell>
        </row>
        <row r="1779">
          <cell r="J1779" t="str">
            <v>C.3.5.11</v>
          </cell>
        </row>
        <row r="1780">
          <cell r="J1780" t="str">
            <v>C.3.6.1.27</v>
          </cell>
        </row>
        <row r="1781">
          <cell r="J1781" t="str">
            <v>C.3.4.4.8.2</v>
          </cell>
        </row>
        <row r="1782">
          <cell r="J1782" t="str">
            <v>C.3.4.4.13.1</v>
          </cell>
        </row>
        <row r="1783">
          <cell r="J1783" t="str">
            <v>C.3.4.4.13.2</v>
          </cell>
        </row>
        <row r="1784">
          <cell r="J1784" t="str">
            <v>C.3.6.1.10</v>
          </cell>
        </row>
        <row r="1785">
          <cell r="J1785" t="str">
            <v>C.3.4.4.13.3</v>
          </cell>
        </row>
        <row r="1786">
          <cell r="J1786" t="str">
            <v>C.3.6.1.24</v>
          </cell>
        </row>
        <row r="1787">
          <cell r="J1787" t="str">
            <v>C.3.4.3.8.2</v>
          </cell>
        </row>
        <row r="1788">
          <cell r="J1788" t="str">
            <v>C.3.7.18</v>
          </cell>
        </row>
        <row r="1789">
          <cell r="J1789" t="str">
            <v>C.3.7.18</v>
          </cell>
        </row>
        <row r="1790">
          <cell r="J1790" t="str">
            <v>C.3.7.18</v>
          </cell>
        </row>
        <row r="1791">
          <cell r="J1791" t="str">
            <v>C.3.6.3.12</v>
          </cell>
        </row>
        <row r="1792">
          <cell r="J1792" t="str">
            <v>C.3.6.3.12</v>
          </cell>
        </row>
        <row r="1793">
          <cell r="J1793" t="str">
            <v>C.3.6.3.12</v>
          </cell>
        </row>
        <row r="1794">
          <cell r="J1794" t="str">
            <v>C.3.4.4.13.4</v>
          </cell>
        </row>
        <row r="1795">
          <cell r="J1795" t="str">
            <v>C.3.4.4.14.1</v>
          </cell>
        </row>
        <row r="1796">
          <cell r="J1796" t="str">
            <v>C.3.4.4.14.2</v>
          </cell>
        </row>
        <row r="1797">
          <cell r="J1797" t="str">
            <v>C.3.4.4.14.3</v>
          </cell>
        </row>
        <row r="1798">
          <cell r="J1798" t="str">
            <v>C.3.7.26</v>
          </cell>
        </row>
        <row r="1799">
          <cell r="J1799" t="str">
            <v>C.3.4.2.13</v>
          </cell>
        </row>
        <row r="1800">
          <cell r="J1800" t="str">
            <v>C.3.5.11</v>
          </cell>
        </row>
        <row r="1801">
          <cell r="J1801" t="str">
            <v>C.3.4.4.14.4</v>
          </cell>
        </row>
        <row r="1802">
          <cell r="J1802" t="str">
            <v>C.3.4.3.17</v>
          </cell>
        </row>
        <row r="1803">
          <cell r="J1803" t="str">
            <v>C.3.4.3.8.1</v>
          </cell>
        </row>
        <row r="1804">
          <cell r="J1804" t="str">
            <v>C.3.6.3.11</v>
          </cell>
        </row>
        <row r="1805">
          <cell r="J1805" t="str">
            <v>C.5.2.14</v>
          </cell>
        </row>
        <row r="1806">
          <cell r="J1806" t="str">
            <v>C.3.4.2.6.1</v>
          </cell>
        </row>
        <row r="1807">
          <cell r="J1807" t="str">
            <v>C.3.4.3.8.2</v>
          </cell>
        </row>
        <row r="1808">
          <cell r="J1808" t="str">
            <v>C.3.4.3.9.1.1</v>
          </cell>
        </row>
        <row r="1809">
          <cell r="J1809" t="str">
            <v>C.3.4.4.9.1.1</v>
          </cell>
        </row>
        <row r="1810">
          <cell r="J1810" t="str">
            <v>C.3.4.4.9.2.1</v>
          </cell>
        </row>
        <row r="1811">
          <cell r="J1811" t="str">
            <v>C.3.5.12.1</v>
          </cell>
        </row>
        <row r="1812">
          <cell r="J1812" t="str">
            <v>C.3.6.1.14.3</v>
          </cell>
        </row>
        <row r="1813">
          <cell r="J1813" t="str">
            <v>C.3.6.1.41.1</v>
          </cell>
        </row>
        <row r="1814">
          <cell r="J1814" t="str">
            <v>C.3.4.2.19</v>
          </cell>
        </row>
        <row r="1815">
          <cell r="J1815" t="str">
            <v>C.3.4.3.9.2.1</v>
          </cell>
        </row>
        <row r="1816">
          <cell r="J1816" t="str">
            <v>C.3.6.3.5</v>
          </cell>
        </row>
        <row r="1817">
          <cell r="J1817" t="str">
            <v>D.4.4.1.3.1</v>
          </cell>
        </row>
        <row r="1818">
          <cell r="J1818" t="str">
            <v>D.4.4.1.3.2</v>
          </cell>
        </row>
        <row r="1819">
          <cell r="J1819" t="str">
            <v>D.4.4.1.3.3</v>
          </cell>
        </row>
        <row r="1820">
          <cell r="J1820" t="str">
            <v>C.3.7.20</v>
          </cell>
        </row>
        <row r="1821">
          <cell r="J1821" t="str">
            <v>C.3.6.3.11</v>
          </cell>
        </row>
        <row r="1822">
          <cell r="J1822" t="str">
            <v>C.3.6.3.6.1</v>
          </cell>
        </row>
        <row r="1823">
          <cell r="J1823" t="str">
            <v>C.3.6.3.6.2</v>
          </cell>
        </row>
        <row r="1824">
          <cell r="J1824" t="str">
            <v>C.3.6.3.6.3</v>
          </cell>
        </row>
        <row r="1825">
          <cell r="J1825" t="str">
            <v>C.3.6.3.11.1</v>
          </cell>
        </row>
        <row r="1826">
          <cell r="J1826" t="str">
            <v>C.3.7.12.1</v>
          </cell>
        </row>
        <row r="1827">
          <cell r="J1827" t="str">
            <v>C.5.6.4.17</v>
          </cell>
        </row>
        <row r="1828">
          <cell r="J1828" t="str">
            <v>C.5.6.4.17</v>
          </cell>
        </row>
        <row r="1829">
          <cell r="J1829" t="str">
            <v>C.3.4.3.24.1</v>
          </cell>
        </row>
        <row r="1830">
          <cell r="J1830" t="str">
            <v>C.3.4.4.24.1</v>
          </cell>
        </row>
        <row r="1831">
          <cell r="J1831" t="str">
            <v>C.3.4.4.24.2</v>
          </cell>
        </row>
        <row r="1832">
          <cell r="J1832" t="str">
            <v>C.3.5.31</v>
          </cell>
        </row>
        <row r="1833">
          <cell r="J1833" t="str">
            <v>C.3.6.1.41.2</v>
          </cell>
        </row>
        <row r="1834">
          <cell r="J1834" t="str">
            <v>C.3.4.2.5</v>
          </cell>
        </row>
        <row r="1835">
          <cell r="J1835" t="str">
            <v>C.3.4.3.8.1</v>
          </cell>
        </row>
        <row r="1836">
          <cell r="J1836" t="str">
            <v>C.3.4.3.8.2</v>
          </cell>
        </row>
        <row r="1837">
          <cell r="J1837" t="str">
            <v>C.3.4.4.8.1</v>
          </cell>
        </row>
        <row r="1838">
          <cell r="J1838" t="str">
            <v>C.3.4.4.8.2</v>
          </cell>
        </row>
        <row r="1839">
          <cell r="J1839" t="str">
            <v>C.3.5.11</v>
          </cell>
        </row>
        <row r="1840">
          <cell r="J1840" t="str">
            <v>C.3.6.1.13.1</v>
          </cell>
        </row>
        <row r="1841">
          <cell r="J1841" t="str">
            <v>C.3.6.1.13.2</v>
          </cell>
        </row>
        <row r="1842">
          <cell r="J1842" t="str">
            <v>C.3.4.2.5</v>
          </cell>
        </row>
        <row r="1843">
          <cell r="J1843" t="str">
            <v>C.3.4.3.8.1</v>
          </cell>
        </row>
        <row r="1844">
          <cell r="J1844" t="str">
            <v>C.3.4.3.8.2</v>
          </cell>
        </row>
        <row r="1845">
          <cell r="J1845" t="str">
            <v>C.3.8.4.1</v>
          </cell>
        </row>
        <row r="1846">
          <cell r="J1846" t="str">
            <v>C.3.8.4.2</v>
          </cell>
        </row>
        <row r="1847">
          <cell r="J1847" t="str">
            <v>C.3.4.4.8.1</v>
          </cell>
        </row>
        <row r="1848">
          <cell r="J1848" t="str">
            <v>C.3.4.4.8.2</v>
          </cell>
        </row>
        <row r="1849">
          <cell r="J1849" t="str">
            <v>C.3.5.11</v>
          </cell>
        </row>
        <row r="1850">
          <cell r="J1850" t="str">
            <v>C.3.6.1.13.1</v>
          </cell>
        </row>
        <row r="1851">
          <cell r="J1851" t="str">
            <v>C.5.6.4.17.1</v>
          </cell>
        </row>
        <row r="1852">
          <cell r="J1852" t="str">
            <v>C.5.6.4.17</v>
          </cell>
        </row>
        <row r="1853">
          <cell r="J1853" t="str">
            <v>C.3.6.3.11.1</v>
          </cell>
        </row>
        <row r="1854">
          <cell r="J1854" t="str">
            <v>D.4.4.1.3.1</v>
          </cell>
        </row>
        <row r="1855">
          <cell r="J1855" t="str">
            <v>C.3.6.3.22</v>
          </cell>
        </row>
        <row r="1856">
          <cell r="J1856" t="str">
            <v>C.3.6.3.5</v>
          </cell>
        </row>
        <row r="1857">
          <cell r="J1857" t="str">
            <v>C.3.7.18</v>
          </cell>
        </row>
        <row r="1858">
          <cell r="J1858" t="str">
            <v>C.5.6.3.19.1.1</v>
          </cell>
        </row>
        <row r="1859">
          <cell r="J1859" t="str">
            <v>C.5.6.3.19.2.1</v>
          </cell>
        </row>
        <row r="1860">
          <cell r="J1860" t="str">
            <v>C.5.6.4.12</v>
          </cell>
        </row>
        <row r="1861">
          <cell r="J1861" t="str">
            <v>C.3.7.10.1</v>
          </cell>
        </row>
        <row r="1862">
          <cell r="J1862" t="str">
            <v>C.3.6.1.13.2</v>
          </cell>
        </row>
        <row r="1863">
          <cell r="J1863" t="str">
            <v>C.3.6.1.28</v>
          </cell>
        </row>
        <row r="1864">
          <cell r="J1864" t="str">
            <v>C.5.8.1.2.9</v>
          </cell>
        </row>
        <row r="1865">
          <cell r="J1865" t="str">
            <v>C.3.6.1.28</v>
          </cell>
        </row>
        <row r="1866">
          <cell r="J1866" t="str">
            <v>C.5.8.1.2.12</v>
          </cell>
        </row>
        <row r="1867">
          <cell r="J1867" t="str">
            <v>C.5.8.1.2.12</v>
          </cell>
        </row>
        <row r="1868">
          <cell r="J1868" t="str">
            <v>C.3.4.2.10</v>
          </cell>
        </row>
        <row r="1869">
          <cell r="J1869" t="str">
            <v>C.3.7.12.1</v>
          </cell>
        </row>
        <row r="1870">
          <cell r="J1870" t="str">
            <v>C.3.8.2.2</v>
          </cell>
        </row>
        <row r="1871">
          <cell r="J1871" t="str">
            <v>C.3.4.2.5</v>
          </cell>
        </row>
        <row r="1872">
          <cell r="J1872" t="str">
            <v>C.3.4.3.15</v>
          </cell>
        </row>
        <row r="1873">
          <cell r="J1873" t="str">
            <v>C.3.4.3.8.1</v>
          </cell>
        </row>
        <row r="1874">
          <cell r="J1874" t="str">
            <v>C.3.4.3.8.2</v>
          </cell>
        </row>
        <row r="1875">
          <cell r="J1875" t="str">
            <v>C.3.6.1.26</v>
          </cell>
        </row>
        <row r="1876">
          <cell r="J1876" t="str">
            <v>C.3.6.1.27</v>
          </cell>
        </row>
        <row r="1877">
          <cell r="J1877" t="str">
            <v>C.3.4.4.15</v>
          </cell>
        </row>
        <row r="1878">
          <cell r="J1878" t="str">
            <v>C.3.7.10.1</v>
          </cell>
        </row>
        <row r="1879">
          <cell r="J1879" t="str">
            <v>C.5.6.3.12</v>
          </cell>
        </row>
        <row r="1880">
          <cell r="J1880" t="str">
            <v>C.3.4.4.8.1</v>
          </cell>
        </row>
        <row r="1881">
          <cell r="J1881" t="str">
            <v>C.3.4.4.8.2</v>
          </cell>
        </row>
        <row r="1882">
          <cell r="J1882" t="str">
            <v>C.3.5.11</v>
          </cell>
        </row>
        <row r="1883">
          <cell r="J1883" t="str">
            <v>C.3.5.18</v>
          </cell>
        </row>
        <row r="1884">
          <cell r="J1884" t="str">
            <v>C.3.6.1.24</v>
          </cell>
        </row>
        <row r="1885">
          <cell r="J1885" t="str">
            <v>C.3.6.1.28</v>
          </cell>
        </row>
        <row r="1886">
          <cell r="J1886" t="str">
            <v>C.3.4.2.5</v>
          </cell>
        </row>
        <row r="1887">
          <cell r="J1887" t="str">
            <v>C.3.4.4.8.1</v>
          </cell>
        </row>
        <row r="1888">
          <cell r="J1888" t="str">
            <v>C.3.4.4.8.2</v>
          </cell>
        </row>
        <row r="1889">
          <cell r="J1889" t="str">
            <v>C.3.7.12.2</v>
          </cell>
        </row>
        <row r="1890">
          <cell r="J1890" t="str">
            <v>C.5.6.4.17</v>
          </cell>
        </row>
        <row r="1891">
          <cell r="J1891" t="str">
            <v>C.3.7.20</v>
          </cell>
        </row>
        <row r="1892">
          <cell r="J1892" t="str">
            <v>C.5.8.1.2.9</v>
          </cell>
        </row>
        <row r="1893">
          <cell r="J1893" t="str">
            <v>C.5.8.1.2.9</v>
          </cell>
        </row>
        <row r="1894">
          <cell r="J1894" t="str">
            <v>C.5.6.4.17</v>
          </cell>
        </row>
        <row r="1895">
          <cell r="J1895" t="str">
            <v>E.1.6</v>
          </cell>
        </row>
        <row r="1896">
          <cell r="J1896" t="str">
            <v>C.3.7.20</v>
          </cell>
        </row>
        <row r="1897">
          <cell r="J1897" t="str">
            <v>C.3.7.18</v>
          </cell>
        </row>
        <row r="1898">
          <cell r="J1898" t="str">
            <v>C.5.6.2.1</v>
          </cell>
        </row>
        <row r="1899">
          <cell r="J1899" t="str">
            <v>C.3.6.1.28</v>
          </cell>
        </row>
        <row r="1900">
          <cell r="J1900" t="str">
            <v>C.3.4.3.8.1</v>
          </cell>
        </row>
        <row r="1901">
          <cell r="J1901" t="str">
            <v>C.5.8.1.2.9</v>
          </cell>
        </row>
        <row r="1902">
          <cell r="J1902" t="str">
            <v>C.3.4.3.8.2</v>
          </cell>
        </row>
        <row r="1903">
          <cell r="J1903" t="str">
            <v>C.3.5.11</v>
          </cell>
        </row>
        <row r="1904">
          <cell r="J1904" t="str">
            <v>C.3.4.2.15</v>
          </cell>
        </row>
        <row r="1905">
          <cell r="J1905" t="str">
            <v>C.3.5.23</v>
          </cell>
        </row>
        <row r="1906">
          <cell r="J1906" t="str">
            <v>C.3.6.3.6.1</v>
          </cell>
        </row>
        <row r="1907">
          <cell r="J1907" t="str">
            <v>C.3.5.11</v>
          </cell>
        </row>
        <row r="1908">
          <cell r="J1908" t="str">
            <v>C.3.6.1.37</v>
          </cell>
        </row>
        <row r="1909">
          <cell r="J1909" t="str">
            <v>C.3.6.1.23.1</v>
          </cell>
        </row>
        <row r="1910">
          <cell r="J1910" t="str">
            <v>C.3.6.3.6.2</v>
          </cell>
        </row>
        <row r="1911">
          <cell r="J1911" t="str">
            <v>C.3.6.3.6.3</v>
          </cell>
        </row>
        <row r="1912">
          <cell r="J1912" t="str">
            <v>C.5.6.4.3.2</v>
          </cell>
        </row>
        <row r="1913">
          <cell r="J1913" t="str">
            <v>C.5.6.4.11</v>
          </cell>
        </row>
        <row r="1914">
          <cell r="J1914" t="str">
            <v>C.5.6.2.1</v>
          </cell>
        </row>
        <row r="1915">
          <cell r="J1915" t="str">
            <v>C.5.6.4.2</v>
          </cell>
        </row>
        <row r="1916">
          <cell r="J1916" t="str">
            <v>C.5.6.4.5.1</v>
          </cell>
        </row>
        <row r="1917">
          <cell r="J1917" t="str">
            <v>C.5.6.4.5.2</v>
          </cell>
        </row>
        <row r="1918">
          <cell r="J1918" t="str">
            <v>C.3.6.1.23.2</v>
          </cell>
        </row>
        <row r="1919">
          <cell r="J1919" t="str">
            <v>C.5.6.4.5.3</v>
          </cell>
        </row>
        <row r="1920">
          <cell r="J1920" t="str">
            <v>C.3.7.10.1</v>
          </cell>
        </row>
        <row r="1921">
          <cell r="J1921" t="str">
            <v>C.3.7.12.1</v>
          </cell>
        </row>
        <row r="1922">
          <cell r="J1922" t="str">
            <v>C.5.6.4.7</v>
          </cell>
        </row>
        <row r="1923">
          <cell r="J1923" t="str">
            <v>C.5.6.3.18.1</v>
          </cell>
        </row>
        <row r="1924">
          <cell r="J1924" t="str">
            <v>C.5.6.3.18.1</v>
          </cell>
        </row>
        <row r="1925">
          <cell r="J1925" t="str">
            <v>C.3.6.1.3</v>
          </cell>
        </row>
        <row r="1926">
          <cell r="J1926" t="str">
            <v>C.3.4.2.9</v>
          </cell>
        </row>
        <row r="1927">
          <cell r="J1927" t="str">
            <v>C.3.5.34</v>
          </cell>
        </row>
        <row r="1928">
          <cell r="J1928" t="str">
            <v>C.3.6.1.17</v>
          </cell>
        </row>
        <row r="1929">
          <cell r="J1929" t="str">
            <v>C.3.8.1</v>
          </cell>
        </row>
        <row r="1930">
          <cell r="J1930" t="str">
            <v>C.3.4.3.24.2</v>
          </cell>
        </row>
        <row r="1931">
          <cell r="J1931" t="str">
            <v>C.3.4.3.15</v>
          </cell>
        </row>
        <row r="1932">
          <cell r="J1932" t="str">
            <v>C.3.4.3.17</v>
          </cell>
        </row>
        <row r="1933">
          <cell r="J1933" t="str">
            <v>C.5.6.3.15.1</v>
          </cell>
        </row>
        <row r="1934">
          <cell r="J1934" t="str">
            <v>C.3.4.2.10</v>
          </cell>
        </row>
        <row r="1935">
          <cell r="J1935" t="str">
            <v>C.3.5.11</v>
          </cell>
        </row>
        <row r="1936">
          <cell r="J1936" t="str">
            <v>C.3.4.3.8.1</v>
          </cell>
        </row>
        <row r="1937">
          <cell r="J1937" t="str">
            <v>C.3.4.3.8.2</v>
          </cell>
        </row>
        <row r="1938">
          <cell r="J1938" t="str">
            <v>C.3.4.2.10</v>
          </cell>
        </row>
        <row r="1939">
          <cell r="J1939" t="str">
            <v>C.3.5.11</v>
          </cell>
        </row>
        <row r="1940">
          <cell r="J1940" t="str">
            <v>C.5.6.3.15.2</v>
          </cell>
        </row>
        <row r="1941">
          <cell r="J1941" t="str">
            <v>C.5.6.4.2</v>
          </cell>
        </row>
        <row r="1942">
          <cell r="J1942" t="str">
            <v>C.5.6.4.3.1</v>
          </cell>
        </row>
        <row r="1943">
          <cell r="J1943" t="str">
            <v>C.5.6.4.3.2</v>
          </cell>
        </row>
        <row r="1944">
          <cell r="J1944" t="str">
            <v>C.5.6.3.18.1</v>
          </cell>
        </row>
        <row r="1945">
          <cell r="J1945" t="str">
            <v>C.5.6.4.17.1</v>
          </cell>
        </row>
        <row r="1946">
          <cell r="J1946" t="str">
            <v>C.3.7.23</v>
          </cell>
        </row>
        <row r="1947">
          <cell r="J1947" t="str">
            <v>C.5.6.3.18.1</v>
          </cell>
        </row>
        <row r="1948">
          <cell r="J1948" t="str">
            <v>C.5.6.4.17.1</v>
          </cell>
        </row>
        <row r="1949">
          <cell r="J1949" t="str">
            <v>C.5.6.4.17.1</v>
          </cell>
        </row>
        <row r="1950">
          <cell r="J1950" t="str">
            <v>C.3.7.23</v>
          </cell>
        </row>
        <row r="1951">
          <cell r="J1951" t="str">
            <v>C.5.6.4.5.1</v>
          </cell>
        </row>
        <row r="1952">
          <cell r="J1952" t="str">
            <v>C.5.6.4.5.2</v>
          </cell>
        </row>
        <row r="1953">
          <cell r="J1953" t="str">
            <v>C.5.6.4.5.3</v>
          </cell>
        </row>
        <row r="1954">
          <cell r="J1954" t="str">
            <v>C.3.6.3.16</v>
          </cell>
        </row>
        <row r="1955">
          <cell r="J1955" t="str">
            <v>C.5.6.4.6.1</v>
          </cell>
        </row>
        <row r="1956">
          <cell r="J1956" t="str">
            <v>D.2.3.4</v>
          </cell>
        </row>
        <row r="1957">
          <cell r="J1957" t="str">
            <v>C.5.6.4.6.2</v>
          </cell>
        </row>
        <row r="1958">
          <cell r="J1958" t="str">
            <v>C.3.7.20</v>
          </cell>
        </row>
        <row r="1959">
          <cell r="J1959" t="str">
            <v>C.5.6.4.7</v>
          </cell>
        </row>
        <row r="1960">
          <cell r="J1960" t="str">
            <v>C.5.6.4.17</v>
          </cell>
        </row>
        <row r="1961">
          <cell r="J1961" t="str">
            <v>C.5.6.4.17</v>
          </cell>
        </row>
        <row r="1962">
          <cell r="J1962" t="str">
            <v>C.5.6.4.17</v>
          </cell>
        </row>
        <row r="1963">
          <cell r="J1963" t="str">
            <v>C.3.6.1.28</v>
          </cell>
        </row>
        <row r="1964">
          <cell r="J1964" t="str">
            <v>C.3.4.2.5</v>
          </cell>
        </row>
        <row r="1965">
          <cell r="J1965" t="str">
            <v>C.3.4.2.13</v>
          </cell>
        </row>
        <row r="1966">
          <cell r="J1966" t="str">
            <v>C.3.4.2.10</v>
          </cell>
        </row>
        <row r="1967">
          <cell r="J1967" t="str">
            <v>C.3.4.2.22</v>
          </cell>
        </row>
        <row r="1968">
          <cell r="J1968" t="str">
            <v>C.3.5.18</v>
          </cell>
        </row>
        <row r="1969">
          <cell r="J1969" t="str">
            <v>C.5.6.4.17</v>
          </cell>
        </row>
        <row r="1970">
          <cell r="J1970" t="str">
            <v>C.5.6.4.11</v>
          </cell>
        </row>
        <row r="1971">
          <cell r="J1971" t="str">
            <v>C.5.6.3.18.1</v>
          </cell>
        </row>
        <row r="1972">
          <cell r="J1972" t="str">
            <v>C.5.6.3.18.1</v>
          </cell>
        </row>
        <row r="1973">
          <cell r="J1973" t="str">
            <v>C.3.6.3.5</v>
          </cell>
        </row>
        <row r="1974">
          <cell r="J1974" t="str">
            <v>C.5.5.3</v>
          </cell>
        </row>
        <row r="1975">
          <cell r="J1975" t="str">
            <v>C.3.5.29</v>
          </cell>
        </row>
        <row r="1976">
          <cell r="J1976" t="str">
            <v>C.3.4.2.5</v>
          </cell>
        </row>
        <row r="1977">
          <cell r="J1977" t="str">
            <v>C.5.6.3.18.2</v>
          </cell>
        </row>
        <row r="1978">
          <cell r="J1978" t="str">
            <v>C.5.6.4.6.1</v>
          </cell>
        </row>
        <row r="1979">
          <cell r="J1979" t="str">
            <v>C.5.6.4.15</v>
          </cell>
        </row>
        <row r="1980">
          <cell r="J1980" t="str">
            <v>C.5.6.3.18.2</v>
          </cell>
        </row>
        <row r="1981">
          <cell r="J1981" t="str">
            <v>C.5.6.3.14.1</v>
          </cell>
        </row>
        <row r="1982">
          <cell r="J1982" t="str">
            <v>C.5.6.3.14.2</v>
          </cell>
        </row>
        <row r="1983">
          <cell r="J1983" t="str">
            <v>C.3.6.3.22</v>
          </cell>
        </row>
        <row r="1984">
          <cell r="J1984" t="str">
            <v>C.3.7.26</v>
          </cell>
        </row>
        <row r="1985">
          <cell r="J1985" t="str">
            <v>C.3.6.3.11</v>
          </cell>
        </row>
        <row r="1986">
          <cell r="J1986" t="str">
            <v>C.5.6.3.14.3</v>
          </cell>
        </row>
        <row r="1987">
          <cell r="J1987" t="str">
            <v>C.3.4.4.15</v>
          </cell>
        </row>
        <row r="1988">
          <cell r="J1988" t="str">
            <v>C.5.6.2.1</v>
          </cell>
        </row>
        <row r="1989">
          <cell r="J1989" t="str">
            <v>C.5.6.3.15.1</v>
          </cell>
        </row>
        <row r="1990">
          <cell r="J1990" t="str">
            <v>C.5.6.3.15.2</v>
          </cell>
        </row>
        <row r="1991">
          <cell r="J1991" t="str">
            <v>C.5.6.4.5.1</v>
          </cell>
        </row>
        <row r="1992">
          <cell r="J1992" t="str">
            <v>C.5.6.4.5.2</v>
          </cell>
        </row>
        <row r="1993">
          <cell r="J1993" t="str">
            <v>C.5.6.4.5.3</v>
          </cell>
        </row>
        <row r="1994">
          <cell r="J1994" t="str">
            <v>C.5.6.4.6.1</v>
          </cell>
        </row>
        <row r="1995">
          <cell r="J1995" t="str">
            <v>C.5.6.4.6.2</v>
          </cell>
        </row>
        <row r="1996">
          <cell r="J1996" t="str">
            <v>C.5.6.4.7</v>
          </cell>
        </row>
        <row r="1997">
          <cell r="J1997" t="str">
            <v>D.4.4.1.3.2</v>
          </cell>
        </row>
        <row r="1998">
          <cell r="J1998" t="str">
            <v>D.4.4.1.3.3</v>
          </cell>
        </row>
        <row r="1999">
          <cell r="J1999" t="str">
            <v>C.3.4.4.17</v>
          </cell>
        </row>
        <row r="2000">
          <cell r="J2000" t="str">
            <v>C.3.4.4.8.1</v>
          </cell>
        </row>
        <row r="2001">
          <cell r="J2001" t="str">
            <v>C.3.4.4.8.2</v>
          </cell>
        </row>
        <row r="2002">
          <cell r="J2002" t="str">
            <v>C.3.4.4.15</v>
          </cell>
        </row>
        <row r="2003">
          <cell r="J2003" t="str">
            <v>C.3.4.4.8.1</v>
          </cell>
        </row>
        <row r="2004">
          <cell r="J2004" t="str">
            <v>C.3.6.1.24</v>
          </cell>
        </row>
        <row r="2005">
          <cell r="J2005" t="str">
            <v>C.3.6.1.24</v>
          </cell>
        </row>
        <row r="2006">
          <cell r="J2006" t="str">
            <v>C.3.4.3.15</v>
          </cell>
        </row>
        <row r="2007">
          <cell r="J2007" t="str">
            <v>C.5.6.4.5.1</v>
          </cell>
        </row>
        <row r="2008">
          <cell r="J2008" t="str">
            <v>C.5.6.4.5.2</v>
          </cell>
        </row>
        <row r="2009">
          <cell r="J2009" t="str">
            <v>C.5.6.4.5.3</v>
          </cell>
        </row>
        <row r="2010">
          <cell r="J2010" t="str">
            <v>C.5.6.4.6.1</v>
          </cell>
        </row>
        <row r="2011">
          <cell r="J2011" t="str">
            <v>C.5.6.4.6.2</v>
          </cell>
        </row>
        <row r="2012">
          <cell r="J2012" t="str">
            <v>C.5.6.4.7</v>
          </cell>
        </row>
        <row r="2013">
          <cell r="J2013" t="str">
            <v>C.3.4.3.8.1</v>
          </cell>
        </row>
        <row r="2014">
          <cell r="J2014" t="str">
            <v>C.3.6.1.13.1</v>
          </cell>
        </row>
        <row r="2015">
          <cell r="J2015" t="str">
            <v>C.3.6.1.13.2</v>
          </cell>
        </row>
        <row r="2016">
          <cell r="J2016" t="str">
            <v>C.3.6.1.13.1</v>
          </cell>
        </row>
        <row r="2017">
          <cell r="J2017" t="str">
            <v>C.3.6.1.13.2</v>
          </cell>
        </row>
        <row r="2018">
          <cell r="J2018" t="str">
            <v>C.3.4.3.8.1</v>
          </cell>
        </row>
        <row r="2019">
          <cell r="J2019" t="str">
            <v>C.3.5.16.1</v>
          </cell>
        </row>
        <row r="2020">
          <cell r="J2020" t="str">
            <v>C.3.6.1.13.1</v>
          </cell>
        </row>
        <row r="2021">
          <cell r="J2021" t="str">
            <v>C.3.6.1.13.2</v>
          </cell>
        </row>
        <row r="2022">
          <cell r="J2022" t="str">
            <v>C.3.4.2.5</v>
          </cell>
        </row>
        <row r="2023">
          <cell r="J2023" t="str">
            <v>C.3.4.3.8.2</v>
          </cell>
        </row>
        <row r="2024">
          <cell r="J2024" t="str">
            <v>C.3.6.1.10</v>
          </cell>
        </row>
        <row r="2025">
          <cell r="J2025" t="str">
            <v>C.3.5.11</v>
          </cell>
        </row>
        <row r="2026">
          <cell r="J2026" t="str">
            <v>C.3.6.1.24</v>
          </cell>
        </row>
        <row r="2027">
          <cell r="J2027" t="str">
            <v>C.3.4.3.17</v>
          </cell>
        </row>
        <row r="2028">
          <cell r="J2028" t="str">
            <v>C.3.4.4.8.1</v>
          </cell>
        </row>
        <row r="2029">
          <cell r="J2029" t="str">
            <v>C.3.4.4.8.2</v>
          </cell>
        </row>
        <row r="2030">
          <cell r="J2030" t="str">
            <v>C.3.4.2.10</v>
          </cell>
        </row>
        <row r="2031">
          <cell r="J2031" t="str">
            <v>C.3.5.18</v>
          </cell>
        </row>
        <row r="2032">
          <cell r="J2032" t="str">
            <v>C.3.4.3.8.1</v>
          </cell>
        </row>
        <row r="2033">
          <cell r="J2033" t="str">
            <v>C.3.4.4.15</v>
          </cell>
        </row>
        <row r="2034">
          <cell r="J2034" t="str">
            <v>C.3.4.3.15</v>
          </cell>
        </row>
        <row r="2035">
          <cell r="J2035" t="str">
            <v>C.3.6.1.37</v>
          </cell>
        </row>
        <row r="2036">
          <cell r="J2036" t="str">
            <v>C.3.4.2.13</v>
          </cell>
        </row>
        <row r="2037">
          <cell r="J2037" t="str">
            <v>C.3.5.30</v>
          </cell>
        </row>
        <row r="2038">
          <cell r="J2038" t="str">
            <v>C.3.6.1.13.1</v>
          </cell>
        </row>
        <row r="2039">
          <cell r="J2039" t="str">
            <v>C.3.6.1.13.2</v>
          </cell>
        </row>
        <row r="2040">
          <cell r="J2040" t="str">
            <v>C.3.5.15.1</v>
          </cell>
        </row>
        <row r="2041">
          <cell r="J2041" t="str">
            <v>C.3.5.15.2</v>
          </cell>
        </row>
        <row r="2042">
          <cell r="J2042" t="str">
            <v>C.3.5.15.3</v>
          </cell>
        </row>
        <row r="2043">
          <cell r="J2043" t="str">
            <v>C.3.5.15.4</v>
          </cell>
        </row>
        <row r="2044">
          <cell r="J2044" t="str">
            <v>C.3.5.15.5</v>
          </cell>
        </row>
        <row r="2045">
          <cell r="J2045" t="str">
            <v>C.3.5.16.1</v>
          </cell>
        </row>
        <row r="2046">
          <cell r="J2046" t="str">
            <v>C.3.5.16.2</v>
          </cell>
        </row>
        <row r="2047">
          <cell r="J2047" t="str">
            <v>C.3.5.17.1</v>
          </cell>
        </row>
        <row r="2048">
          <cell r="J2048" t="str">
            <v>C.3.5.17.2</v>
          </cell>
        </row>
        <row r="2049">
          <cell r="J2049" t="str">
            <v>C.3.5.17.3</v>
          </cell>
        </row>
        <row r="2050">
          <cell r="J2050" t="str">
            <v>C.3.4.2.10</v>
          </cell>
        </row>
        <row r="2051">
          <cell r="J2051" t="str">
            <v>C.3.4.2.11.1</v>
          </cell>
        </row>
        <row r="2052">
          <cell r="J2052" t="str">
            <v>C.3.4.2.11.10</v>
          </cell>
        </row>
        <row r="2053">
          <cell r="J2053" t="str">
            <v>C.3.4.2.11.11</v>
          </cell>
        </row>
        <row r="2054">
          <cell r="J2054" t="str">
            <v>C.3.4.2.11.12</v>
          </cell>
        </row>
        <row r="2055">
          <cell r="J2055" t="str">
            <v>C.3.4.2.11.2</v>
          </cell>
        </row>
        <row r="2056">
          <cell r="J2056" t="str">
            <v>C.3.4.2.11.3</v>
          </cell>
        </row>
        <row r="2057">
          <cell r="J2057" t="str">
            <v>C.3.4.2.11.4</v>
          </cell>
        </row>
        <row r="2058">
          <cell r="J2058" t="str">
            <v>C.3.4.2.11.5</v>
          </cell>
        </row>
        <row r="2059">
          <cell r="J2059" t="str">
            <v>C.3.4.2.11.6</v>
          </cell>
        </row>
        <row r="2060">
          <cell r="J2060" t="str">
            <v>C.3.4.2.11.7</v>
          </cell>
        </row>
        <row r="2061">
          <cell r="J2061" t="str">
            <v>C.3.4.2.11.8</v>
          </cell>
        </row>
        <row r="2062">
          <cell r="J2062" t="str">
            <v>C.3.4.2.11.9</v>
          </cell>
        </row>
        <row r="2063">
          <cell r="J2063" t="str">
            <v>C.3.4.3.12.1</v>
          </cell>
        </row>
        <row r="2064">
          <cell r="J2064" t="str">
            <v>C.3.4.3.12.10</v>
          </cell>
        </row>
        <row r="2065">
          <cell r="J2065" t="str">
            <v>C.3.4.3.12.11</v>
          </cell>
        </row>
        <row r="2066">
          <cell r="J2066" t="str">
            <v>C.3.4.3.12.12</v>
          </cell>
        </row>
        <row r="2067">
          <cell r="J2067" t="str">
            <v>C.3.4.3.12.13</v>
          </cell>
        </row>
        <row r="2068">
          <cell r="J2068" t="str">
            <v>C.3.4.3.12.2</v>
          </cell>
        </row>
        <row r="2069">
          <cell r="J2069" t="str">
            <v>C.3.4.3.12.3</v>
          </cell>
        </row>
        <row r="2070">
          <cell r="J2070" t="str">
            <v>C.3.4.3.12.4</v>
          </cell>
        </row>
        <row r="2071">
          <cell r="J2071" t="str">
            <v>C.3.4.3.12.5</v>
          </cell>
        </row>
        <row r="2072">
          <cell r="J2072" t="str">
            <v>C.3.4.3.12.6</v>
          </cell>
        </row>
        <row r="2073">
          <cell r="J2073" t="str">
            <v>C.3.4.3.12.7</v>
          </cell>
        </row>
        <row r="2074">
          <cell r="J2074" t="str">
            <v>C.3.4.3.12.8</v>
          </cell>
        </row>
        <row r="2075">
          <cell r="J2075" t="str">
            <v>C.3.4.3.12.9</v>
          </cell>
        </row>
        <row r="2076">
          <cell r="J2076" t="str">
            <v>C.3.4.3.13.1</v>
          </cell>
        </row>
        <row r="2077">
          <cell r="J2077" t="str">
            <v>C.3.4.3.13.2</v>
          </cell>
        </row>
        <row r="2078">
          <cell r="J2078" t="str">
            <v>C.3.4.3.13.3</v>
          </cell>
        </row>
        <row r="2079">
          <cell r="J2079" t="str">
            <v>C.3.6.1.18.1</v>
          </cell>
        </row>
        <row r="2080">
          <cell r="J2080" t="str">
            <v>C.3.6.1.18.2</v>
          </cell>
        </row>
        <row r="2081">
          <cell r="J2081" t="str">
            <v>C.3.6.1.18.3</v>
          </cell>
        </row>
        <row r="2082">
          <cell r="J2082" t="str">
            <v>C.3.6.1.18.4</v>
          </cell>
        </row>
        <row r="2083">
          <cell r="J2083" t="str">
            <v>C.3.6.1.18.5</v>
          </cell>
        </row>
        <row r="2084">
          <cell r="J2084" t="str">
            <v>C.3.6.1.18.6</v>
          </cell>
        </row>
        <row r="2085">
          <cell r="J2085" t="str">
            <v>C.3.6.1.19</v>
          </cell>
        </row>
        <row r="2086">
          <cell r="J2086" t="str">
            <v>C.3.4.3.14.1</v>
          </cell>
        </row>
        <row r="2087">
          <cell r="J2087" t="str">
            <v>C.3.4.3.14.2</v>
          </cell>
        </row>
        <row r="2088">
          <cell r="J2088" t="str">
            <v>C.3.4.3.14.3</v>
          </cell>
        </row>
        <row r="2089">
          <cell r="J2089" t="str">
            <v>C.3.4.3.15</v>
          </cell>
        </row>
        <row r="2090">
          <cell r="J2090" t="str">
            <v>C.3.4.4.12.1</v>
          </cell>
        </row>
        <row r="2091">
          <cell r="J2091" t="str">
            <v>C.3.4.4.12.10</v>
          </cell>
        </row>
        <row r="2092">
          <cell r="J2092" t="str">
            <v>C.3.4.4.13.1</v>
          </cell>
        </row>
        <row r="2093">
          <cell r="J2093" t="str">
            <v>C.3.4.4.13.2</v>
          </cell>
        </row>
        <row r="2094">
          <cell r="J2094" t="str">
            <v>C.3.6.1.31.4</v>
          </cell>
        </row>
        <row r="2095">
          <cell r="J2095" t="str">
            <v>C.3.4.4.13.3</v>
          </cell>
        </row>
        <row r="2096">
          <cell r="J2096" t="str">
            <v>C.3.6.1.31.4</v>
          </cell>
        </row>
        <row r="2097">
          <cell r="J2097" t="str">
            <v>C.3.4.4.13.4</v>
          </cell>
        </row>
        <row r="2098">
          <cell r="J2098" t="str">
            <v>C.3.4.4.14.1</v>
          </cell>
        </row>
        <row r="2099">
          <cell r="J2099" t="str">
            <v>C.3.4.4.14.2</v>
          </cell>
        </row>
        <row r="2100">
          <cell r="J2100" t="str">
            <v>C.3.4.4.14.3</v>
          </cell>
        </row>
        <row r="2101">
          <cell r="J2101" t="str">
            <v>C.3.4.4.14.4</v>
          </cell>
        </row>
        <row r="2102">
          <cell r="J2102" t="str">
            <v>C.3.4.4.15</v>
          </cell>
        </row>
        <row r="2103">
          <cell r="J2103" t="str">
            <v>C.3.5.15.1</v>
          </cell>
        </row>
        <row r="2104">
          <cell r="J2104" t="str">
            <v>C.3.5.15.2</v>
          </cell>
        </row>
        <row r="2105">
          <cell r="J2105" t="str">
            <v>C.3.5.15.3</v>
          </cell>
        </row>
        <row r="2106">
          <cell r="J2106" t="str">
            <v>C.3.5.15.4</v>
          </cell>
        </row>
        <row r="2107">
          <cell r="J2107" t="str">
            <v>C.3.5.15.5</v>
          </cell>
        </row>
        <row r="2108">
          <cell r="J2108" t="str">
            <v>C.3.5.16.1</v>
          </cell>
        </row>
        <row r="2109">
          <cell r="J2109" t="str">
            <v>C.3.8.2.1</v>
          </cell>
        </row>
        <row r="2110">
          <cell r="J2110" t="str">
            <v>C.5.8.1.2.2</v>
          </cell>
        </row>
        <row r="2111">
          <cell r="J2111" t="str">
            <v>C.3.6.3.13</v>
          </cell>
        </row>
        <row r="2112">
          <cell r="J2112" t="str">
            <v>C.3.6.3.6.1</v>
          </cell>
        </row>
        <row r="2113">
          <cell r="J2113" t="str">
            <v>C.3.6.3.6.2</v>
          </cell>
        </row>
        <row r="2114">
          <cell r="J2114" t="str">
            <v>C.3.6.3.6.3</v>
          </cell>
        </row>
        <row r="2115">
          <cell r="J2115" t="str">
            <v>C.3.6.3.11.1</v>
          </cell>
        </row>
        <row r="2116">
          <cell r="J2116" t="str">
            <v>C.3.6.3.6.1</v>
          </cell>
        </row>
        <row r="2117">
          <cell r="J2117" t="str">
            <v>C.3.6.3.6.2</v>
          </cell>
        </row>
        <row r="2118">
          <cell r="J2118" t="str">
            <v>C.3.6.3.6.3</v>
          </cell>
        </row>
        <row r="2119">
          <cell r="J2119" t="str">
            <v>C.3.7.18</v>
          </cell>
        </row>
        <row r="2120">
          <cell r="J2120" t="str">
            <v>C.5.6.2.1</v>
          </cell>
        </row>
        <row r="2121">
          <cell r="J2121" t="str">
            <v>D.4.4.1.3.1</v>
          </cell>
        </row>
        <row r="2122">
          <cell r="J2122" t="str">
            <v>D.4.4.1.3.2</v>
          </cell>
        </row>
        <row r="2123">
          <cell r="J2123" t="str">
            <v>D.4.4.1.3.3</v>
          </cell>
        </row>
        <row r="2124">
          <cell r="J2124" t="str">
            <v>B.5.2</v>
          </cell>
        </row>
        <row r="2125">
          <cell r="J2125" t="str">
            <v>C.3.6.22.1</v>
          </cell>
        </row>
        <row r="2126">
          <cell r="J2126" t="str">
            <v>C.3.7.27.1</v>
          </cell>
        </row>
        <row r="2127">
          <cell r="J2127" t="str">
            <v>C.3.7.27.2</v>
          </cell>
        </row>
        <row r="2128">
          <cell r="J2128" t="str">
            <v>C.3.7.7</v>
          </cell>
        </row>
        <row r="2129">
          <cell r="J2129" t="str">
            <v>C.3.8.2.2</v>
          </cell>
        </row>
        <row r="2130">
          <cell r="J2130" t="str">
            <v>C.5.5.3</v>
          </cell>
        </row>
        <row r="2131">
          <cell r="J2131" t="str">
            <v>C.5.6.3.12</v>
          </cell>
        </row>
        <row r="2132">
          <cell r="J2132" t="str">
            <v>D.2.2.4.3</v>
          </cell>
        </row>
        <row r="2133">
          <cell r="J2133" t="str">
            <v>D.2.3.9</v>
          </cell>
        </row>
        <row r="2134">
          <cell r="J2134" t="str">
            <v>D.3.4.2.2</v>
          </cell>
        </row>
        <row r="2135">
          <cell r="J2135" t="str">
            <v>D.4.5.5</v>
          </cell>
        </row>
        <row r="2136">
          <cell r="J2136" t="str">
            <v>D.4.6.2</v>
          </cell>
        </row>
        <row r="2137">
          <cell r="J2137" t="str">
            <v>C.3.8.4.1</v>
          </cell>
        </row>
        <row r="2138">
          <cell r="J2138" t="str">
            <v>C.3.8.4.2</v>
          </cell>
        </row>
        <row r="2139">
          <cell r="J2139" t="str">
            <v>C.3.5.16.2</v>
          </cell>
        </row>
        <row r="2140">
          <cell r="J2140" t="str">
            <v>C.3.5.17.1</v>
          </cell>
        </row>
        <row r="2141">
          <cell r="J2141" t="str">
            <v>C.3.5.17.2</v>
          </cell>
        </row>
        <row r="2142">
          <cell r="J2142" t="str">
            <v>C.3.5.17.3</v>
          </cell>
        </row>
        <row r="2143">
          <cell r="J2143" t="str">
            <v>C.5.6.4.17</v>
          </cell>
        </row>
        <row r="2144">
          <cell r="J2144" t="str">
            <v>C.3.6.3.11</v>
          </cell>
        </row>
        <row r="2145">
          <cell r="J2145" t="str">
            <v>C.5.6.4.11</v>
          </cell>
        </row>
        <row r="2146">
          <cell r="J2146" t="str">
            <v>C.5.6.4.17</v>
          </cell>
        </row>
        <row r="2147">
          <cell r="J2147" t="str">
            <v>C.5.6.4.5.1</v>
          </cell>
        </row>
        <row r="2148">
          <cell r="J2148" t="str">
            <v>C.5.6.4.5.2</v>
          </cell>
        </row>
        <row r="2149">
          <cell r="J2149" t="str">
            <v>C.5.6.4.5.3</v>
          </cell>
        </row>
        <row r="2150">
          <cell r="J2150" t="str">
            <v>C.5.6.4.6.1</v>
          </cell>
        </row>
        <row r="2151">
          <cell r="J2151" t="str">
            <v>C.5.6.4.6.2</v>
          </cell>
        </row>
        <row r="2152">
          <cell r="J2152" t="str">
            <v>C.5.6.4.7</v>
          </cell>
        </row>
        <row r="2153">
          <cell r="J2153" t="str">
            <v>C.3.6.1.20.1</v>
          </cell>
        </row>
        <row r="2154">
          <cell r="J2154" t="str">
            <v>C.3.6.1.20.2</v>
          </cell>
        </row>
        <row r="2155">
          <cell r="J2155" t="str">
            <v>C.3.6.1.20.3</v>
          </cell>
        </row>
        <row r="2156">
          <cell r="J2156" t="str">
            <v>C.3.6.1.21.1</v>
          </cell>
        </row>
        <row r="2157">
          <cell r="J2157" t="str">
            <v>C.3.6.1.23.1</v>
          </cell>
        </row>
        <row r="2158">
          <cell r="J2158" t="str">
            <v>C.3.6.1.23.2</v>
          </cell>
        </row>
        <row r="2159">
          <cell r="J2159" t="str">
            <v>C.3.6.1.24</v>
          </cell>
        </row>
        <row r="2160">
          <cell r="J2160" t="str">
            <v>C.3.5.30</v>
          </cell>
        </row>
        <row r="2161">
          <cell r="J2161" t="str">
            <v>C.5.6.4.6.1</v>
          </cell>
        </row>
        <row r="2162">
          <cell r="J2162" t="str">
            <v>C.5.6.4.6.2</v>
          </cell>
        </row>
        <row r="2163">
          <cell r="J2163" t="str">
            <v>C.5.6.4.7</v>
          </cell>
        </row>
        <row r="2164">
          <cell r="J2164" t="str">
            <v>C.3.8.2.1</v>
          </cell>
        </row>
        <row r="2165">
          <cell r="J2165" t="str">
            <v>C.5.8.1.2.2</v>
          </cell>
        </row>
        <row r="2166">
          <cell r="J2166" t="str">
            <v>C.5.8.1.2.12</v>
          </cell>
        </row>
        <row r="2167">
          <cell r="J2167" t="str">
            <v>C.3.6.3.11.1</v>
          </cell>
        </row>
        <row r="2168">
          <cell r="J2168" t="str">
            <v>C.3.7.18</v>
          </cell>
        </row>
        <row r="2169">
          <cell r="J2169" t="str">
            <v>C.5.6.4.2</v>
          </cell>
        </row>
        <row r="2170">
          <cell r="J2170" t="str">
            <v>B.5.2</v>
          </cell>
        </row>
        <row r="2171">
          <cell r="J2171" t="str">
            <v>C.3.6.22.1</v>
          </cell>
        </row>
        <row r="2172">
          <cell r="J2172" t="str">
            <v>C.3.7.27.1</v>
          </cell>
        </row>
        <row r="2173">
          <cell r="J2173" t="str">
            <v>C.3.7.27.2</v>
          </cell>
        </row>
        <row r="2174">
          <cell r="J2174" t="str">
            <v>C.3.8.2.2</v>
          </cell>
        </row>
        <row r="2175">
          <cell r="J2175" t="str">
            <v>C.5.5.3</v>
          </cell>
        </row>
        <row r="2176">
          <cell r="J2176" t="str">
            <v>C.5.6.3.12</v>
          </cell>
        </row>
        <row r="2177">
          <cell r="J2177" t="str">
            <v>D.2.2.4.3</v>
          </cell>
        </row>
        <row r="2178">
          <cell r="J2178" t="str">
            <v>D.2.3.9</v>
          </cell>
        </row>
        <row r="2179">
          <cell r="J2179" t="str">
            <v>D.3.4.2.2</v>
          </cell>
        </row>
        <row r="2180">
          <cell r="J2180" t="str">
            <v>D.4.5.5</v>
          </cell>
        </row>
        <row r="2181">
          <cell r="J2181" t="str">
            <v>D.4.6.2</v>
          </cell>
        </row>
        <row r="2182">
          <cell r="J2182" t="str">
            <v>E.1.6</v>
          </cell>
        </row>
        <row r="2183">
          <cell r="J2183" t="str">
            <v>C.3.6.3.5</v>
          </cell>
        </row>
        <row r="2184">
          <cell r="J2184" t="str">
            <v>C.3.4.2.19</v>
          </cell>
        </row>
        <row r="2185">
          <cell r="J2185" t="str">
            <v>C.3.4.3.24.1</v>
          </cell>
        </row>
        <row r="2186">
          <cell r="J2186" t="str">
            <v>C.3.4.3.24.2</v>
          </cell>
        </row>
        <row r="2187">
          <cell r="J2187" t="str">
            <v>C.3.4.3.4</v>
          </cell>
        </row>
        <row r="2188">
          <cell r="J2188" t="str">
            <v>C.3.4.4.24.1</v>
          </cell>
        </row>
        <row r="2189">
          <cell r="J2189" t="str">
            <v>C.3.4.4.24.2</v>
          </cell>
        </row>
        <row r="2190">
          <cell r="J2190" t="str">
            <v>C.3.4.4.4</v>
          </cell>
        </row>
        <row r="2191">
          <cell r="J2191" t="str">
            <v>C.3.6.1.31.4</v>
          </cell>
        </row>
        <row r="2192">
          <cell r="J2192" t="str">
            <v>C.3.8.4.1</v>
          </cell>
        </row>
        <row r="2193">
          <cell r="J2193" t="str">
            <v>C.3.8.4.2</v>
          </cell>
        </row>
        <row r="2194">
          <cell r="J2194" t="str">
            <v>C.3.5.31</v>
          </cell>
        </row>
        <row r="2195">
          <cell r="J2195" t="str">
            <v>C.3.5.7</v>
          </cell>
        </row>
        <row r="2196">
          <cell r="J2196" t="str">
            <v>C.3.6.1.41.1</v>
          </cell>
        </row>
        <row r="2197">
          <cell r="J2197" t="str">
            <v>C.3.6.1.41.2</v>
          </cell>
        </row>
        <row r="2198">
          <cell r="J2198" t="str">
            <v>C.3.6.1.6</v>
          </cell>
        </row>
        <row r="2199">
          <cell r="J2199" t="str">
            <v>C.3.4.2.10</v>
          </cell>
        </row>
        <row r="2200">
          <cell r="J2200" t="str">
            <v>C.3.4.3.15</v>
          </cell>
        </row>
        <row r="2201">
          <cell r="J2201" t="str">
            <v>C.3.4.4.15</v>
          </cell>
        </row>
        <row r="2202">
          <cell r="J2202" t="str">
            <v>C.3.6.1.28</v>
          </cell>
        </row>
        <row r="2203">
          <cell r="J2203" t="str">
            <v>C.3.5.18</v>
          </cell>
        </row>
        <row r="2204">
          <cell r="J2204" t="str">
            <v>C.3.6.1.28</v>
          </cell>
        </row>
        <row r="2205">
          <cell r="J2205" t="str">
            <v>C.3.4.2.19</v>
          </cell>
        </row>
        <row r="2206">
          <cell r="J2206" t="str">
            <v>C.3.4.3.24.1</v>
          </cell>
        </row>
        <row r="2207">
          <cell r="J2207" t="str">
            <v>C.3.4.3.24.2</v>
          </cell>
        </row>
        <row r="2208">
          <cell r="J2208" t="str">
            <v>C.5.8.1.2.9</v>
          </cell>
        </row>
        <row r="2209">
          <cell r="J2209" t="str">
            <v>C.3.4.4.24.1</v>
          </cell>
        </row>
        <row r="2210">
          <cell r="J2210" t="str">
            <v>C.3.4.4.24.2</v>
          </cell>
        </row>
        <row r="2211">
          <cell r="J2211" t="str">
            <v>C.3.5.31</v>
          </cell>
        </row>
        <row r="2212">
          <cell r="J2212" t="str">
            <v>C.3.6.1.10</v>
          </cell>
        </row>
        <row r="2213">
          <cell r="J2213" t="str">
            <v>C.3.6.1.41.1</v>
          </cell>
        </row>
        <row r="2214">
          <cell r="J2214" t="str">
            <v>C.3.6.1.41.2</v>
          </cell>
        </row>
        <row r="2215">
          <cell r="J2215" t="str">
            <v>C.3.7.12.2</v>
          </cell>
        </row>
        <row r="2216">
          <cell r="J2216" t="str">
            <v>D.4.4.1.3.1</v>
          </cell>
        </row>
        <row r="2217">
          <cell r="J2217" t="str">
            <v>C.5.6.4.17</v>
          </cell>
        </row>
        <row r="2218">
          <cell r="J2218" t="str">
            <v>C.3.6.3.7</v>
          </cell>
        </row>
        <row r="2219">
          <cell r="J2219" t="str">
            <v>C.3.7.12.2</v>
          </cell>
        </row>
        <row r="2220">
          <cell r="J2220" t="str">
            <v>C.5.6.3.18.1</v>
          </cell>
        </row>
        <row r="2221">
          <cell r="J2221" t="str">
            <v>C.3.6.3.6.1</v>
          </cell>
        </row>
        <row r="2222">
          <cell r="J2222" t="str">
            <v>C.3.6.3.6.2</v>
          </cell>
        </row>
        <row r="2223">
          <cell r="J2223" t="str">
            <v>C.3.6.3.6.3</v>
          </cell>
        </row>
        <row r="2224">
          <cell r="J2224" t="str">
            <v>C.3.7.18</v>
          </cell>
        </row>
        <row r="2225">
          <cell r="J2225" t="str">
            <v>C.5.6.4.12</v>
          </cell>
        </row>
        <row r="2226">
          <cell r="J2226" t="str">
            <v>C.5.6.4.5.1</v>
          </cell>
        </row>
        <row r="2227">
          <cell r="J2227" t="str">
            <v>C.5.6.4.5.2</v>
          </cell>
        </row>
        <row r="2228">
          <cell r="J2228" t="str">
            <v>C.5.6.4.5.3</v>
          </cell>
        </row>
        <row r="2229">
          <cell r="J2229" t="str">
            <v>C.3.6.3.6.1</v>
          </cell>
        </row>
        <row r="2230">
          <cell r="J2230" t="str">
            <v>C.3.6.3.6.2</v>
          </cell>
        </row>
        <row r="2231">
          <cell r="J2231" t="str">
            <v>C.3.6.3.6.3</v>
          </cell>
        </row>
        <row r="2232">
          <cell r="J2232" t="str">
            <v>C.5.5.16</v>
          </cell>
        </row>
        <row r="2233">
          <cell r="J2233" t="str">
            <v>C.5.5.23</v>
          </cell>
        </row>
        <row r="2234">
          <cell r="J2234" t="str">
            <v>C.3.4.2.5</v>
          </cell>
        </row>
        <row r="2235">
          <cell r="J2235" t="str">
            <v>C.3.6.1.10</v>
          </cell>
        </row>
        <row r="2236">
          <cell r="J2236" t="str">
            <v>C.3.4.3.8.1</v>
          </cell>
        </row>
        <row r="2237">
          <cell r="J2237" t="str">
            <v>C.3.4.3.8.2</v>
          </cell>
        </row>
        <row r="2238">
          <cell r="J2238" t="str">
            <v>C.3.4.4.8.1</v>
          </cell>
        </row>
        <row r="2239">
          <cell r="J2239" t="str">
            <v>C.3.4.4.8.2</v>
          </cell>
        </row>
        <row r="2240">
          <cell r="J2240" t="str">
            <v>C.3.5.11</v>
          </cell>
        </row>
        <row r="2241">
          <cell r="J2241" t="str">
            <v>C.3.5.30</v>
          </cell>
        </row>
        <row r="2242">
          <cell r="J2242" t="str">
            <v>C.3.4.2.5</v>
          </cell>
        </row>
        <row r="2243">
          <cell r="J2243" t="str">
            <v>C.3.4.3.8.1</v>
          </cell>
        </row>
        <row r="2244">
          <cell r="J2244" t="str">
            <v>C.3.6.3.13</v>
          </cell>
        </row>
        <row r="2245">
          <cell r="J2245" t="str">
            <v>C.3.6.3.8.1</v>
          </cell>
        </row>
        <row r="2246">
          <cell r="J2246" t="str">
            <v>C.3.6.3.6.1</v>
          </cell>
        </row>
        <row r="2247">
          <cell r="J2247" t="str">
            <v>C.3.6.3.6.2</v>
          </cell>
        </row>
        <row r="2248">
          <cell r="J2248" t="str">
            <v>C.3.6.3.6.3</v>
          </cell>
        </row>
        <row r="2249">
          <cell r="J2249" t="str">
            <v>C.5.6.2.1</v>
          </cell>
        </row>
        <row r="2250">
          <cell r="J2250" t="str">
            <v>C.5.6.3.14.1</v>
          </cell>
        </row>
        <row r="2251">
          <cell r="J2251" t="str">
            <v>C.5.6.3.14.2</v>
          </cell>
        </row>
        <row r="2252">
          <cell r="J2252" t="str">
            <v>C.3.6.1.28</v>
          </cell>
        </row>
        <row r="2253">
          <cell r="J2253" t="str">
            <v>C.5.6.3.14.3</v>
          </cell>
        </row>
        <row r="2254">
          <cell r="J2254" t="str">
            <v>C.5.6.3.15.1</v>
          </cell>
        </row>
        <row r="2255">
          <cell r="J2255" t="str">
            <v>C.5.6.3.15.2</v>
          </cell>
        </row>
        <row r="2256">
          <cell r="J2256" t="str">
            <v>C.5.6.4.11</v>
          </cell>
        </row>
        <row r="2257">
          <cell r="J2257" t="str">
            <v>C.5.6.4.2</v>
          </cell>
        </row>
        <row r="2258">
          <cell r="J2258" t="str">
            <v>C.5.6.4.3.1</v>
          </cell>
        </row>
        <row r="2259">
          <cell r="J2259" t="str">
            <v>C.5.6.4.3.2</v>
          </cell>
        </row>
        <row r="2260">
          <cell r="J2260" t="str">
            <v>C.5.6.4.5.1</v>
          </cell>
        </row>
        <row r="2261">
          <cell r="J2261" t="str">
            <v>C.5.6.4.5.2</v>
          </cell>
        </row>
        <row r="2262">
          <cell r="J2262" t="str">
            <v>C.5.6.4.5.3</v>
          </cell>
        </row>
        <row r="2263">
          <cell r="J2263" t="str">
            <v>C.5.6.4.6.1</v>
          </cell>
        </row>
        <row r="2264">
          <cell r="J2264" t="str">
            <v>C.5.6.4.6.2</v>
          </cell>
        </row>
        <row r="2265">
          <cell r="J2265" t="str">
            <v>C.5.6.4.7</v>
          </cell>
        </row>
        <row r="2266">
          <cell r="J2266" t="str">
            <v>C.3.4.3.8.2</v>
          </cell>
        </row>
        <row r="2267">
          <cell r="J2267" t="str">
            <v>C.3.4.4.8.1</v>
          </cell>
        </row>
        <row r="2268">
          <cell r="J2268" t="str">
            <v>C.3.4.4.8.2</v>
          </cell>
        </row>
        <row r="2269">
          <cell r="J2269" t="str">
            <v>C.3.6.1.13.1</v>
          </cell>
        </row>
        <row r="2270">
          <cell r="J2270" t="str">
            <v>C.3.6.1.13.2</v>
          </cell>
        </row>
        <row r="2271">
          <cell r="J2271" t="str">
            <v>C.3.4.2.10</v>
          </cell>
        </row>
        <row r="2272">
          <cell r="J2272" t="str">
            <v>C.3.6.3.7</v>
          </cell>
        </row>
        <row r="2273">
          <cell r="J2273" t="str">
            <v>C.3.4.3.15</v>
          </cell>
        </row>
        <row r="2274">
          <cell r="J2274" t="str">
            <v>C.3.4.4.15</v>
          </cell>
        </row>
        <row r="2275">
          <cell r="J2275" t="str">
            <v>C.3.5.18</v>
          </cell>
        </row>
        <row r="2276">
          <cell r="J2276" t="str">
            <v>C.3.4.2.9</v>
          </cell>
        </row>
        <row r="2277">
          <cell r="J2277" t="str">
            <v>C.3.5.34</v>
          </cell>
        </row>
        <row r="2278">
          <cell r="J2278" t="str">
            <v>C.3.6.1.17</v>
          </cell>
        </row>
        <row r="2279">
          <cell r="J2279" t="str">
            <v>C.3.8.1</v>
          </cell>
        </row>
        <row r="2280">
          <cell r="J2280" t="str">
            <v>C.3.4.2.13</v>
          </cell>
        </row>
        <row r="2281">
          <cell r="J2281" t="str">
            <v>C.3.4.2.22</v>
          </cell>
        </row>
        <row r="2282">
          <cell r="J2282" t="str">
            <v>C.3.4.2.6.1</v>
          </cell>
        </row>
        <row r="2283">
          <cell r="J2283" t="str">
            <v>C.3.5.11</v>
          </cell>
        </row>
        <row r="2284">
          <cell r="J2284" t="str">
            <v>C.3.6.1.13.1</v>
          </cell>
        </row>
        <row r="2285">
          <cell r="J2285" t="str">
            <v>C.3.6.1.13.2</v>
          </cell>
        </row>
        <row r="2286">
          <cell r="J2286" t="str">
            <v>C.2.2.4.7.1</v>
          </cell>
        </row>
        <row r="2287">
          <cell r="J2287" t="str">
            <v>C.2.2.4.7.2</v>
          </cell>
        </row>
        <row r="2288">
          <cell r="J2288" t="str">
            <v>C.2.2.4.7.2</v>
          </cell>
        </row>
        <row r="2289">
          <cell r="J2289" t="str">
            <v>C.5.6.3.13</v>
          </cell>
        </row>
        <row r="2290">
          <cell r="J2290" t="str">
            <v>C.5.3.23</v>
          </cell>
        </row>
        <row r="2291">
          <cell r="J2291" t="str">
            <v>C.5.6.4.10</v>
          </cell>
        </row>
        <row r="2292">
          <cell r="J2292" t="str">
            <v>C.5.6.4.8</v>
          </cell>
        </row>
        <row r="2293">
          <cell r="J2293" t="str">
            <v>C.5.6.4.9</v>
          </cell>
        </row>
        <row r="2294">
          <cell r="J2294" t="str">
            <v>C.5.6.4.8</v>
          </cell>
        </row>
        <row r="2295">
          <cell r="J2295" t="str">
            <v>C.5.6.4.9</v>
          </cell>
        </row>
        <row r="2296">
          <cell r="J2296" t="str">
            <v>C.5.6.4.8</v>
          </cell>
        </row>
        <row r="2297">
          <cell r="J2297" t="str">
            <v>C.5.6.4.10</v>
          </cell>
        </row>
        <row r="2298">
          <cell r="J2298" t="str">
            <v>C.5.6.4.8</v>
          </cell>
        </row>
        <row r="2299">
          <cell r="J2299" t="str">
            <v>C.5.6.4.9</v>
          </cell>
        </row>
        <row r="2300">
          <cell r="J2300" t="str">
            <v>C.2.2.3.7</v>
          </cell>
        </row>
        <row r="2301">
          <cell r="J2301" t="str">
            <v>C.2.2.3.8</v>
          </cell>
        </row>
        <row r="2302">
          <cell r="J2302" t="str">
            <v>C.2.2.3.6</v>
          </cell>
        </row>
        <row r="2303">
          <cell r="J2303" t="str">
            <v>C.2.5.2.14</v>
          </cell>
        </row>
        <row r="2304">
          <cell r="J2304" t="str">
            <v>C.2.5.4.18</v>
          </cell>
        </row>
        <row r="2305">
          <cell r="J2305" t="str">
            <v>C.5.8.2.26</v>
          </cell>
        </row>
        <row r="2306">
          <cell r="J2306" t="str">
            <v>C.5.8.2.26</v>
          </cell>
        </row>
        <row r="2307">
          <cell r="J2307" t="str">
            <v>C.2.2.3.6</v>
          </cell>
        </row>
        <row r="2308">
          <cell r="J2308" t="str">
            <v>C.2.5.4.13</v>
          </cell>
        </row>
        <row r="2309">
          <cell r="J2309" t="str">
            <v>C.2.2.2.10</v>
          </cell>
        </row>
        <row r="2310">
          <cell r="J2310" t="str">
            <v>C.2.2.2.9</v>
          </cell>
        </row>
        <row r="2311">
          <cell r="J2311" t="str">
            <v>C.2.2.3.3</v>
          </cell>
        </row>
        <row r="2312">
          <cell r="J2312" t="str">
            <v>C.2.2.3.6</v>
          </cell>
        </row>
        <row r="2313">
          <cell r="J2313" t="str">
            <v>C.2.2.3.13</v>
          </cell>
        </row>
        <row r="2314">
          <cell r="J2314" t="str">
            <v>C.2.2.3.13</v>
          </cell>
        </row>
        <row r="2315">
          <cell r="J2315" t="str">
            <v>C.2.2.3.7</v>
          </cell>
        </row>
        <row r="2316">
          <cell r="J2316" t="str">
            <v>C.3.6.2.8.1</v>
          </cell>
        </row>
        <row r="2317">
          <cell r="J2317" t="str">
            <v>C.4.3.6</v>
          </cell>
        </row>
        <row r="2318">
          <cell r="J2318" t="str">
            <v>C.4.5.16</v>
          </cell>
        </row>
        <row r="2319">
          <cell r="J2319" t="str">
            <v>C.5.7.14</v>
          </cell>
        </row>
        <row r="2320">
          <cell r="J2320" t="str">
            <v>C.5.7.4.1</v>
          </cell>
        </row>
        <row r="2321">
          <cell r="J2321" t="str">
            <v>C.5.7.5.2</v>
          </cell>
        </row>
        <row r="2322">
          <cell r="J2322" t="str">
            <v>C.4.4.1</v>
          </cell>
        </row>
        <row r="2323">
          <cell r="J2323" t="str">
            <v>C.5.7.6</v>
          </cell>
        </row>
        <row r="2324">
          <cell r="J2324" t="str">
            <v>C.4.3.6</v>
          </cell>
        </row>
        <row r="2325">
          <cell r="J2325" t="str">
            <v>C.4.3.5.1</v>
          </cell>
        </row>
        <row r="2326">
          <cell r="J2326" t="str">
            <v>C.4.4.5</v>
          </cell>
        </row>
        <row r="2327">
          <cell r="J2327" t="str">
            <v>C.4.3.5.2</v>
          </cell>
        </row>
        <row r="2328">
          <cell r="J2328" t="str">
            <v>C.5.7.9</v>
          </cell>
        </row>
        <row r="2329">
          <cell r="J2329" t="str">
            <v>C.5.7.14</v>
          </cell>
        </row>
        <row r="2330">
          <cell r="J2330" t="str">
            <v>C.5.7.14</v>
          </cell>
        </row>
        <row r="2331">
          <cell r="J2331" t="str">
            <v>C.5.7.14</v>
          </cell>
        </row>
        <row r="2332">
          <cell r="J2332" t="str">
            <v>C.5.7.14</v>
          </cell>
        </row>
        <row r="2333">
          <cell r="J2333" t="str">
            <v>C.4.3.12.1</v>
          </cell>
        </row>
        <row r="2334">
          <cell r="J2334" t="str">
            <v>C.4.3.12.2</v>
          </cell>
        </row>
        <row r="2335">
          <cell r="J2335" t="str">
            <v>C.4.4.12</v>
          </cell>
        </row>
        <row r="2336">
          <cell r="J2336" t="str">
            <v>C.5.7.29</v>
          </cell>
        </row>
        <row r="2337">
          <cell r="J2337" t="str">
            <v>C.5.7.14</v>
          </cell>
        </row>
        <row r="2338">
          <cell r="J2338" t="str">
            <v>C.5.7.5.1</v>
          </cell>
        </row>
        <row r="2339">
          <cell r="J2339" t="str">
            <v>C.5.7.5.2</v>
          </cell>
        </row>
        <row r="2340">
          <cell r="J2340" t="str">
            <v>C.5.7.5.2.1</v>
          </cell>
        </row>
        <row r="2341">
          <cell r="J2341" t="str">
            <v>C.5.7.11</v>
          </cell>
        </row>
        <row r="2342">
          <cell r="J2342" t="str">
            <v>C.5.7.12</v>
          </cell>
        </row>
        <row r="2343">
          <cell r="J2343" t="str">
            <v>C.5.7.13</v>
          </cell>
        </row>
        <row r="2344">
          <cell r="J2344" t="str">
            <v>C.5.7.4.1</v>
          </cell>
        </row>
        <row r="2345">
          <cell r="J2345" t="str">
            <v>C.5.7.6</v>
          </cell>
        </row>
        <row r="2346">
          <cell r="J2346" t="str">
            <v>C.5.7.9</v>
          </cell>
        </row>
        <row r="2347">
          <cell r="J2347" t="str">
            <v>C.5.7.35</v>
          </cell>
        </row>
        <row r="2348">
          <cell r="J2348" t="str">
            <v>C.5.7.6.1</v>
          </cell>
        </row>
        <row r="2349">
          <cell r="J2349" t="str">
            <v>C.4.5.16</v>
          </cell>
        </row>
        <row r="2350">
          <cell r="J2350" t="str">
            <v>C.3.6.2.12</v>
          </cell>
        </row>
        <row r="2351">
          <cell r="J2351" t="str">
            <v>C.4.5.16</v>
          </cell>
        </row>
        <row r="2352">
          <cell r="J2352" t="str">
            <v>C.5.7.15</v>
          </cell>
        </row>
        <row r="2353">
          <cell r="J2353" t="str">
            <v>C.5.7.15.1</v>
          </cell>
        </row>
        <row r="2354">
          <cell r="J2354" t="str">
            <v>C.5.7.15.1</v>
          </cell>
        </row>
        <row r="2355">
          <cell r="J2355" t="str">
            <v>C.5.7.5.1</v>
          </cell>
        </row>
        <row r="2356">
          <cell r="J2356" t="str">
            <v>C.5.7.5.1</v>
          </cell>
        </row>
        <row r="2357">
          <cell r="J2357" t="str">
            <v>C.5.7.5.2.1</v>
          </cell>
        </row>
        <row r="2358">
          <cell r="J2358" t="str">
            <v>C.5.7.5.2.1</v>
          </cell>
        </row>
        <row r="2359">
          <cell r="J2359" t="str">
            <v>C.4.2.1.1</v>
          </cell>
        </row>
        <row r="2360">
          <cell r="J2360" t="str">
            <v>C.4.2.1.2</v>
          </cell>
        </row>
        <row r="2361">
          <cell r="J2361" t="str">
            <v>C.5.7.5.1</v>
          </cell>
        </row>
        <row r="2362">
          <cell r="J2362" t="str">
            <v>C.5.7.5.2.1</v>
          </cell>
        </row>
        <row r="2363">
          <cell r="J2363" t="str">
            <v>C.4.5.6.2</v>
          </cell>
        </row>
        <row r="2364">
          <cell r="J2364" t="str">
            <v>C.5.7.14</v>
          </cell>
        </row>
        <row r="2365">
          <cell r="J2365" t="str">
            <v>C.5.7.15</v>
          </cell>
        </row>
        <row r="2366">
          <cell r="J2366" t="str">
            <v>C.5.7.15</v>
          </cell>
        </row>
        <row r="2367">
          <cell r="J2367" t="str">
            <v>C.4.5.12.1</v>
          </cell>
        </row>
        <row r="2368">
          <cell r="J2368" t="str">
            <v>C.4.5.12.2</v>
          </cell>
        </row>
        <row r="2369">
          <cell r="J2369" t="str">
            <v>C.5.7.14</v>
          </cell>
        </row>
        <row r="2370">
          <cell r="J2370" t="str">
            <v>C.5.7.5.2</v>
          </cell>
        </row>
        <row r="2371">
          <cell r="J2371" t="str">
            <v>C.5.7.15</v>
          </cell>
        </row>
        <row r="2372">
          <cell r="J2372" t="str">
            <v>C.5.7.14</v>
          </cell>
        </row>
        <row r="2373">
          <cell r="J2373" t="str">
            <v>C.5.7.15</v>
          </cell>
        </row>
        <row r="2374">
          <cell r="J2374" t="str">
            <v>C.5.7.18</v>
          </cell>
        </row>
        <row r="2375">
          <cell r="J2375" t="str">
            <v>H.1.2</v>
          </cell>
        </row>
        <row r="2376">
          <cell r="J2376" t="str">
            <v>C.5.7.12</v>
          </cell>
        </row>
        <row r="2377">
          <cell r="J2377" t="str">
            <v>C.5.7.4.1</v>
          </cell>
        </row>
        <row r="2378">
          <cell r="J2378" t="str">
            <v>C.5.7.5.2</v>
          </cell>
        </row>
        <row r="2379">
          <cell r="J2379" t="str">
            <v>C.3.6.2.12</v>
          </cell>
        </row>
        <row r="2380">
          <cell r="J2380" t="str">
            <v>C.3.6.2.8</v>
          </cell>
        </row>
        <row r="2381">
          <cell r="J2381" t="str">
            <v>C.3.6.2.8.1</v>
          </cell>
        </row>
        <row r="2382">
          <cell r="J2382" t="str">
            <v>C.5.7.10</v>
          </cell>
        </row>
        <row r="2383">
          <cell r="J2383" t="str">
            <v>C.3.6.2.9</v>
          </cell>
        </row>
        <row r="2384">
          <cell r="J2384" t="str">
            <v>C.4.3.3.1</v>
          </cell>
        </row>
        <row r="2385">
          <cell r="J2385" t="str">
            <v>C.4.3.3.2</v>
          </cell>
        </row>
        <row r="2386">
          <cell r="J2386" t="str">
            <v>C.4.3.3.3</v>
          </cell>
        </row>
        <row r="2387">
          <cell r="J2387" t="str">
            <v>C.4.3.3.4</v>
          </cell>
        </row>
        <row r="2388">
          <cell r="J2388" t="str">
            <v>C.4.3.3.5</v>
          </cell>
        </row>
        <row r="2389">
          <cell r="J2389" t="str">
            <v>C.4.3.4</v>
          </cell>
        </row>
        <row r="2390">
          <cell r="J2390" t="str">
            <v>C.4.3.5.1</v>
          </cell>
        </row>
        <row r="2391">
          <cell r="J2391" t="str">
            <v>C.4.3.5.2</v>
          </cell>
        </row>
        <row r="2392">
          <cell r="J2392" t="str">
            <v>C.4.4.1</v>
          </cell>
        </row>
        <row r="2393">
          <cell r="J2393" t="str">
            <v>C.4.4.3.1</v>
          </cell>
        </row>
        <row r="2394">
          <cell r="J2394" t="str">
            <v>C.4.4.3.2</v>
          </cell>
        </row>
        <row r="2395">
          <cell r="J2395" t="str">
            <v>C.4.4.4</v>
          </cell>
        </row>
        <row r="2396">
          <cell r="J2396" t="str">
            <v>C.4.4.5</v>
          </cell>
        </row>
        <row r="2397">
          <cell r="J2397" t="str">
            <v>C.4.5.16</v>
          </cell>
        </row>
        <row r="2398">
          <cell r="J2398" t="str">
            <v>C.4.5.4</v>
          </cell>
        </row>
        <row r="2399">
          <cell r="J2399" t="str">
            <v>C.5.7.6</v>
          </cell>
        </row>
        <row r="2400">
          <cell r="J2400" t="str">
            <v>C.5.7.19</v>
          </cell>
        </row>
        <row r="2401">
          <cell r="J2401" t="str">
            <v>C.5.7.15</v>
          </cell>
        </row>
        <row r="2402">
          <cell r="J2402" t="str">
            <v>C.5.7.14</v>
          </cell>
        </row>
        <row r="2403">
          <cell r="J2403" t="str">
            <v>C.5.7.14</v>
          </cell>
        </row>
        <row r="2404">
          <cell r="J2404" t="str">
            <v>C.5.7.15</v>
          </cell>
        </row>
        <row r="2405">
          <cell r="J2405" t="str">
            <v>C.5.7.14</v>
          </cell>
        </row>
        <row r="2406">
          <cell r="J2406" t="str">
            <v>C.5.7.15</v>
          </cell>
        </row>
        <row r="2407">
          <cell r="J2407" t="str">
            <v>C.5.7.15</v>
          </cell>
        </row>
        <row r="2408">
          <cell r="J2408" t="str">
            <v>C.5.7.5.2.1</v>
          </cell>
        </row>
        <row r="2409">
          <cell r="J2409" t="str">
            <v>C.5.7.5.1</v>
          </cell>
        </row>
        <row r="2410">
          <cell r="J2410" t="str">
            <v>C.5.7.5.2.1</v>
          </cell>
        </row>
        <row r="2411">
          <cell r="J2411" t="str">
            <v>C.4.6.2.1</v>
          </cell>
        </row>
        <row r="2412">
          <cell r="J2412" t="str">
            <v>C.4.6.2.2</v>
          </cell>
        </row>
        <row r="2413">
          <cell r="J2413" t="str">
            <v>C.5.7.14</v>
          </cell>
        </row>
        <row r="2414">
          <cell r="J2414" t="str">
            <v>C.4.6.2.3</v>
          </cell>
        </row>
        <row r="2415">
          <cell r="J2415" t="str">
            <v>C.4.6.2.4</v>
          </cell>
        </row>
        <row r="2416">
          <cell r="J2416" t="str">
            <v>C.4.6.2.5</v>
          </cell>
        </row>
        <row r="2417">
          <cell r="J2417" t="str">
            <v>C.5.7.24</v>
          </cell>
        </row>
        <row r="2418">
          <cell r="J2418" t="str">
            <v>C.5.7.14</v>
          </cell>
        </row>
        <row r="2419">
          <cell r="J2419" t="str">
            <v>D.2.2.3.2</v>
          </cell>
        </row>
        <row r="2420">
          <cell r="J2420" t="str">
            <v>C.5.7.11</v>
          </cell>
        </row>
        <row r="2421">
          <cell r="J2421" t="str">
            <v>H.1.3</v>
          </cell>
        </row>
        <row r="2422">
          <cell r="J2422" t="str">
            <v>C.5.7.20</v>
          </cell>
        </row>
        <row r="2423">
          <cell r="J2423" t="str">
            <v>C.5.7.5.1</v>
          </cell>
        </row>
        <row r="2424">
          <cell r="J2424" t="str">
            <v>C.5.7.5.2.1</v>
          </cell>
        </row>
        <row r="2425">
          <cell r="J2425" t="str">
            <v>C.5.7.29</v>
          </cell>
        </row>
        <row r="2426">
          <cell r="J2426" t="str">
            <v>C.5.3.7</v>
          </cell>
        </row>
        <row r="2427">
          <cell r="J2427" t="str">
            <v>C.5.7.5.1</v>
          </cell>
        </row>
        <row r="2428">
          <cell r="J2428" t="str">
            <v>C.5.7.5.2.1</v>
          </cell>
        </row>
        <row r="2429">
          <cell r="J2429" t="str">
            <v>C.5.7.5.1</v>
          </cell>
        </row>
        <row r="2430">
          <cell r="J2430" t="str">
            <v>C.5.7.5.2.1</v>
          </cell>
        </row>
        <row r="2431">
          <cell r="J2431" t="str">
            <v>C.5.7.14</v>
          </cell>
        </row>
        <row r="2432">
          <cell r="J2432" t="str">
            <v>C.5.7.15</v>
          </cell>
        </row>
        <row r="2433">
          <cell r="J2433" t="str">
            <v>C.4.5.6.2</v>
          </cell>
        </row>
        <row r="2434">
          <cell r="J2434" t="str">
            <v>C.5.7.14</v>
          </cell>
        </row>
        <row r="2435">
          <cell r="J2435" t="str">
            <v>C.5.7.15</v>
          </cell>
        </row>
        <row r="2436">
          <cell r="J2436" t="str">
            <v>C.4.5.1.1</v>
          </cell>
        </row>
        <row r="2437">
          <cell r="J2437" t="str">
            <v>C.4.5.1.2</v>
          </cell>
        </row>
        <row r="2438">
          <cell r="J2438" t="str">
            <v>C.3.6.2.12</v>
          </cell>
        </row>
        <row r="2439">
          <cell r="J2439" t="str">
            <v>C.3.6.2.8</v>
          </cell>
        </row>
        <row r="2440">
          <cell r="J2440" t="str">
            <v>C.4.3.5.1</v>
          </cell>
        </row>
        <row r="2441">
          <cell r="J2441" t="str">
            <v>C.4.3.5.2</v>
          </cell>
        </row>
        <row r="2442">
          <cell r="J2442" t="str">
            <v>C.4.4.5</v>
          </cell>
        </row>
        <row r="2443">
          <cell r="J2443" t="str">
            <v>C.4.5.16</v>
          </cell>
        </row>
        <row r="2444">
          <cell r="J2444" t="str">
            <v>C.5.7.14</v>
          </cell>
        </row>
        <row r="2445">
          <cell r="J2445" t="str">
            <v>C.5.7.5.1</v>
          </cell>
        </row>
        <row r="2446">
          <cell r="J2446" t="str">
            <v>C.5.7.5.2.1</v>
          </cell>
        </row>
        <row r="2447">
          <cell r="J2447" t="str">
            <v>C.5.7.14</v>
          </cell>
        </row>
        <row r="2448">
          <cell r="J2448" t="str">
            <v>C.4.6.2.1</v>
          </cell>
        </row>
        <row r="2449">
          <cell r="J2449" t="str">
            <v>C.4.6.2.2</v>
          </cell>
        </row>
        <row r="2450">
          <cell r="J2450" t="str">
            <v>C.4.6.2.3</v>
          </cell>
        </row>
        <row r="2451">
          <cell r="J2451" t="str">
            <v>C.4.6.2.4</v>
          </cell>
        </row>
        <row r="2452">
          <cell r="J2452" t="str">
            <v>C.4.6.2.5</v>
          </cell>
        </row>
        <row r="2453">
          <cell r="J2453" t="str">
            <v>C.5.7.24</v>
          </cell>
        </row>
        <row r="2454">
          <cell r="J2454" t="str">
            <v>D.2.2.3.2</v>
          </cell>
        </row>
        <row r="2455">
          <cell r="J2455" t="str">
            <v>H.1.3</v>
          </cell>
        </row>
        <row r="2456">
          <cell r="J2456" t="str">
            <v>C.5.7.5.1</v>
          </cell>
        </row>
        <row r="2457">
          <cell r="J2457" t="str">
            <v>C.5.7.5.2.1</v>
          </cell>
        </row>
        <row r="2458">
          <cell r="J2458" t="str">
            <v>C.5.7.14</v>
          </cell>
        </row>
        <row r="2459">
          <cell r="J2459" t="str">
            <v>C.5.7.14</v>
          </cell>
        </row>
        <row r="2460">
          <cell r="J2460" t="str">
            <v>C.5.7.27</v>
          </cell>
        </row>
        <row r="2461">
          <cell r="J2461" t="str">
            <v>C.4.3.8</v>
          </cell>
        </row>
        <row r="2462">
          <cell r="J2462" t="str">
            <v>C.3.6.2.4</v>
          </cell>
        </row>
        <row r="2463">
          <cell r="J2463" t="str">
            <v>C.4.3.8</v>
          </cell>
        </row>
        <row r="2464">
          <cell r="J2464" t="str">
            <v>C.4.4.8</v>
          </cell>
        </row>
        <row r="2465">
          <cell r="J2465" t="str">
            <v>C.5.7.14</v>
          </cell>
        </row>
        <row r="2466">
          <cell r="J2466" t="str">
            <v>C.5.7.15</v>
          </cell>
        </row>
        <row r="2467">
          <cell r="J2467" t="str">
            <v>C.5.7.15</v>
          </cell>
        </row>
        <row r="2468">
          <cell r="J2468" t="str">
            <v>C.5.7.14</v>
          </cell>
        </row>
        <row r="2469">
          <cell r="J2469" t="str">
            <v>C.5.7.15</v>
          </cell>
        </row>
        <row r="2470">
          <cell r="J2470" t="str">
            <v>C.3.6.2.11</v>
          </cell>
        </row>
        <row r="2471">
          <cell r="J2471" t="str">
            <v>C.3.6.2.8</v>
          </cell>
        </row>
        <row r="2472">
          <cell r="J2472" t="str">
            <v>C.3.6.2.8.1</v>
          </cell>
        </row>
        <row r="2473">
          <cell r="J2473" t="str">
            <v>C.4.3.5.1</v>
          </cell>
        </row>
        <row r="2474">
          <cell r="J2474" t="str">
            <v>C.4.3.5.2</v>
          </cell>
        </row>
        <row r="2475">
          <cell r="J2475" t="str">
            <v>C.4.4.5</v>
          </cell>
        </row>
        <row r="2476">
          <cell r="J2476" t="str">
            <v>C.4.5.16</v>
          </cell>
        </row>
        <row r="2477">
          <cell r="J2477" t="str">
            <v>C.4.5.4</v>
          </cell>
        </row>
        <row r="2478">
          <cell r="J2478" t="str">
            <v>C.5.7.29</v>
          </cell>
        </row>
        <row r="2479">
          <cell r="J2479" t="str">
            <v>C.5.7.11</v>
          </cell>
        </row>
        <row r="2480">
          <cell r="J2480" t="str">
            <v>C.3.6.2.12</v>
          </cell>
        </row>
        <row r="2481">
          <cell r="J2481" t="str">
            <v>C.5.7.29</v>
          </cell>
        </row>
        <row r="2482">
          <cell r="J2482" t="str">
            <v>C.5.7.18</v>
          </cell>
        </row>
        <row r="2483">
          <cell r="J2483" t="str">
            <v>C.5.7.19</v>
          </cell>
        </row>
        <row r="2484">
          <cell r="J2484" t="str">
            <v>H.1.2</v>
          </cell>
        </row>
        <row r="2485">
          <cell r="J2485" t="str">
            <v>C.5.7.14</v>
          </cell>
        </row>
        <row r="2486">
          <cell r="J2486" t="str">
            <v>C.5.7.15.1</v>
          </cell>
        </row>
        <row r="2487">
          <cell r="J2487" t="str">
            <v>C.5.7.14</v>
          </cell>
        </row>
        <row r="2488">
          <cell r="J2488" t="str">
            <v>C.5.7.14</v>
          </cell>
        </row>
        <row r="2489">
          <cell r="J2489" t="str">
            <v>C.5.7.14</v>
          </cell>
        </row>
        <row r="2490">
          <cell r="J2490" t="str">
            <v>C.5.7.14</v>
          </cell>
        </row>
        <row r="2491">
          <cell r="J2491" t="str">
            <v>C.5.7.19</v>
          </cell>
        </row>
        <row r="2492">
          <cell r="J2492" t="str">
            <v>C.5.7.15</v>
          </cell>
        </row>
        <row r="2493">
          <cell r="J2493" t="str">
            <v>C.5.7.20</v>
          </cell>
        </row>
        <row r="2494">
          <cell r="J2494" t="str">
            <v>C.5.7.14</v>
          </cell>
        </row>
        <row r="2495">
          <cell r="J2495" t="str">
            <v>C.5.7.15</v>
          </cell>
        </row>
        <row r="2496">
          <cell r="J2496" t="str">
            <v>C.5.7.14</v>
          </cell>
        </row>
        <row r="2497">
          <cell r="J2497" t="str">
            <v>C.5.7.14</v>
          </cell>
        </row>
        <row r="2498">
          <cell r="J2498" t="str">
            <v>C.5.7.15</v>
          </cell>
        </row>
        <row r="2499">
          <cell r="J2499" t="str">
            <v>C.5.7.14</v>
          </cell>
        </row>
        <row r="2500">
          <cell r="J2500" t="str">
            <v>C.5.7.15</v>
          </cell>
        </row>
        <row r="2501">
          <cell r="J2501" t="str">
            <v>C.5.7.15</v>
          </cell>
        </row>
        <row r="2502">
          <cell r="J2502" t="str">
            <v>C.5.7.14</v>
          </cell>
        </row>
        <row r="2503">
          <cell r="J2503" t="str">
            <v>C.5.7.14</v>
          </cell>
        </row>
        <row r="2504">
          <cell r="J2504" t="str">
            <v>C.5.7.20</v>
          </cell>
        </row>
        <row r="2505">
          <cell r="J2505" t="str">
            <v>C.5.7.15</v>
          </cell>
        </row>
        <row r="2506">
          <cell r="J2506" t="str">
            <v>C.5.7.20</v>
          </cell>
        </row>
        <row r="2507">
          <cell r="J2507" t="str">
            <v>C.5.7.5.1</v>
          </cell>
        </row>
        <row r="2508">
          <cell r="J2508" t="str">
            <v>C.5.7.5.2.1</v>
          </cell>
        </row>
        <row r="2509">
          <cell r="J2509" t="str">
            <v>C.5.7.14</v>
          </cell>
        </row>
        <row r="2510">
          <cell r="J2510" t="str">
            <v>C.5.7.29</v>
          </cell>
        </row>
        <row r="2511">
          <cell r="J2511" t="str">
            <v>C.4.3.12.1</v>
          </cell>
        </row>
        <row r="2512">
          <cell r="J2512" t="str">
            <v>C.4.3.12.2</v>
          </cell>
        </row>
        <row r="2513">
          <cell r="J2513" t="str">
            <v>C.4.4.12</v>
          </cell>
        </row>
        <row r="2514">
          <cell r="J2514" t="str">
            <v>C.5.7.14</v>
          </cell>
        </row>
        <row r="2515">
          <cell r="J2515" t="str">
            <v>C.5.7.14</v>
          </cell>
        </row>
        <row r="2516">
          <cell r="J2516" t="str">
            <v>C.5.7.14</v>
          </cell>
        </row>
        <row r="2517">
          <cell r="J2517" t="str">
            <v>C.5.7.15</v>
          </cell>
        </row>
        <row r="2518">
          <cell r="J2518" t="str">
            <v>C.5.7.14</v>
          </cell>
        </row>
        <row r="2519">
          <cell r="J2519" t="str">
            <v>C.5.7.20</v>
          </cell>
        </row>
        <row r="2520">
          <cell r="J2520" t="str">
            <v>C.5.7.14</v>
          </cell>
        </row>
        <row r="2521">
          <cell r="J2521" t="str">
            <v>C.5.7.20</v>
          </cell>
        </row>
        <row r="2522">
          <cell r="J2522" t="str">
            <v>C.5.7.18</v>
          </cell>
        </row>
        <row r="2523">
          <cell r="J2523" t="str">
            <v>C.5.7.15.1</v>
          </cell>
        </row>
        <row r="2524">
          <cell r="J2524" t="str">
            <v>C.5.7.14</v>
          </cell>
        </row>
        <row r="2525">
          <cell r="J2525" t="str">
            <v>C.5.7.14</v>
          </cell>
        </row>
        <row r="2526">
          <cell r="J2526" t="str">
            <v>C.5.7.19</v>
          </cell>
        </row>
        <row r="2527">
          <cell r="J2527" t="str">
            <v>C.5.7.14</v>
          </cell>
        </row>
        <row r="2528">
          <cell r="J2528" t="str">
            <v>C.5.7.15.1</v>
          </cell>
        </row>
        <row r="2529">
          <cell r="J2529" t="str">
            <v>C.5.7.5.1</v>
          </cell>
        </row>
        <row r="2530">
          <cell r="J2530" t="str">
            <v>C.5.7.5.2.1</v>
          </cell>
        </row>
        <row r="2531">
          <cell r="J2531" t="str">
            <v>C.5.7.5.1</v>
          </cell>
        </row>
        <row r="2532">
          <cell r="J2532" t="str">
            <v>C.5.7.5.2.1</v>
          </cell>
        </row>
        <row r="2533">
          <cell r="J2533" t="str">
            <v>C.5.7.29</v>
          </cell>
        </row>
        <row r="2534">
          <cell r="J2534" t="str">
            <v>C.5.7.14</v>
          </cell>
        </row>
        <row r="2535">
          <cell r="J2535" t="str">
            <v>C.5.7.15</v>
          </cell>
        </row>
        <row r="2536">
          <cell r="J2536" t="str">
            <v>C.4.2.10</v>
          </cell>
        </row>
        <row r="2537">
          <cell r="J2537" t="str">
            <v>C.4.2.12</v>
          </cell>
        </row>
        <row r="2538">
          <cell r="J2538" t="str">
            <v>C.4.5.13</v>
          </cell>
        </row>
        <row r="2539">
          <cell r="J2539" t="str">
            <v>C.5.7.35</v>
          </cell>
        </row>
        <row r="2540">
          <cell r="J2540" t="str">
            <v>C.5.7.7</v>
          </cell>
        </row>
        <row r="2541">
          <cell r="J2541" t="str">
            <v>C.5.7.8</v>
          </cell>
        </row>
        <row r="2542">
          <cell r="J2542" t="str">
            <v>C.3.6.2.12</v>
          </cell>
        </row>
        <row r="2543">
          <cell r="J2543" t="str">
            <v>C.4.5.6.2</v>
          </cell>
        </row>
        <row r="2544">
          <cell r="J2544" t="str">
            <v>C.5.7.20</v>
          </cell>
        </row>
        <row r="2545">
          <cell r="J2545" t="str">
            <v>C.4.3.8</v>
          </cell>
        </row>
        <row r="2546">
          <cell r="J2546" t="str">
            <v>C.5.7.14</v>
          </cell>
        </row>
        <row r="2547">
          <cell r="J2547" t="str">
            <v>C.5.7.15</v>
          </cell>
        </row>
        <row r="2548">
          <cell r="J2548" t="str">
            <v>C.5.7.2</v>
          </cell>
        </row>
        <row r="2549">
          <cell r="J2549" t="str">
            <v>C.5.7.18</v>
          </cell>
        </row>
        <row r="2550">
          <cell r="J2550" t="str">
            <v>C.5.7.19</v>
          </cell>
        </row>
        <row r="2551">
          <cell r="J2551" t="str">
            <v>C.5.7.5.1</v>
          </cell>
        </row>
        <row r="2552">
          <cell r="J2552" t="str">
            <v>C.5.7.5.2.1</v>
          </cell>
        </row>
        <row r="2553">
          <cell r="J2553" t="str">
            <v>C.4.5.12.1</v>
          </cell>
        </row>
        <row r="2554">
          <cell r="J2554" t="str">
            <v>C.4.5.12.2</v>
          </cell>
        </row>
        <row r="2555">
          <cell r="J2555" t="str">
            <v>C.3.6.2.12</v>
          </cell>
        </row>
        <row r="2556">
          <cell r="J2556" t="str">
            <v>C.4.5.16</v>
          </cell>
        </row>
        <row r="2557">
          <cell r="J2557" t="str">
            <v>C.3.6.2.12</v>
          </cell>
        </row>
        <row r="2558">
          <cell r="J2558" t="str">
            <v>C.4.5.16</v>
          </cell>
        </row>
        <row r="2559">
          <cell r="J2559" t="str">
            <v>C.3.6.2.12</v>
          </cell>
        </row>
        <row r="2560">
          <cell r="J2560" t="str">
            <v>C.4.5.16</v>
          </cell>
        </row>
        <row r="2561">
          <cell r="J2561" t="str">
            <v>C.3.6.2.12</v>
          </cell>
        </row>
        <row r="2562">
          <cell r="J2562" t="str">
            <v>C.4.5.16</v>
          </cell>
        </row>
        <row r="2563">
          <cell r="J2563" t="str">
            <v>C.5.7.14</v>
          </cell>
        </row>
        <row r="2564">
          <cell r="J2564" t="str">
            <v>C.5.7.15</v>
          </cell>
        </row>
        <row r="2565">
          <cell r="J2565" t="str">
            <v>C.5.7.5.1</v>
          </cell>
        </row>
        <row r="2566">
          <cell r="J2566" t="str">
            <v>C.5.7.5.2.1</v>
          </cell>
        </row>
        <row r="2567">
          <cell r="J2567" t="str">
            <v>C.5.7.14</v>
          </cell>
        </row>
        <row r="2568">
          <cell r="J2568" t="str">
            <v>C.5.7.20</v>
          </cell>
        </row>
        <row r="2569">
          <cell r="J2569" t="str">
            <v>C.4.3.12.1</v>
          </cell>
        </row>
        <row r="2570">
          <cell r="J2570" t="str">
            <v>C.4.3.12.2</v>
          </cell>
        </row>
        <row r="2571">
          <cell r="J2571" t="str">
            <v>C.4.4.12</v>
          </cell>
        </row>
        <row r="2572">
          <cell r="J2572" t="str">
            <v>C.4.5.16</v>
          </cell>
        </row>
        <row r="2573">
          <cell r="J2573" t="str">
            <v>C.5.7.6.1</v>
          </cell>
        </row>
        <row r="2574">
          <cell r="J2574" t="str">
            <v>C.3.6.2.5.1</v>
          </cell>
        </row>
        <row r="2575">
          <cell r="J2575" t="str">
            <v>C.4.4.9.2</v>
          </cell>
        </row>
        <row r="2576">
          <cell r="J2576" t="str">
            <v>C.4.3.9.2</v>
          </cell>
        </row>
        <row r="2577">
          <cell r="J2577" t="str">
            <v>C.5.7.20</v>
          </cell>
        </row>
        <row r="2578">
          <cell r="J2578" t="str">
            <v>C.4.6.2.1</v>
          </cell>
        </row>
        <row r="2579">
          <cell r="J2579" t="str">
            <v>C.4.6.2.2</v>
          </cell>
        </row>
        <row r="2580">
          <cell r="J2580" t="str">
            <v>C.4.6.2.3</v>
          </cell>
        </row>
        <row r="2581">
          <cell r="J2581" t="str">
            <v>C.4.6.2.4</v>
          </cell>
        </row>
        <row r="2582">
          <cell r="J2582" t="str">
            <v>C.4.6.2.5</v>
          </cell>
        </row>
        <row r="2583">
          <cell r="J2583" t="str">
            <v>C.5.7.24</v>
          </cell>
        </row>
        <row r="2584">
          <cell r="J2584" t="str">
            <v>D.2.2.3.2</v>
          </cell>
        </row>
        <row r="2585">
          <cell r="J2585" t="str">
            <v>H.1.3</v>
          </cell>
        </row>
        <row r="2586">
          <cell r="J2586" t="str">
            <v>C.4.3.5.1</v>
          </cell>
        </row>
        <row r="2587">
          <cell r="J2587" t="str">
            <v>C.4.3.5.2</v>
          </cell>
        </row>
        <row r="2588">
          <cell r="J2588" t="str">
            <v>C.4.4.5</v>
          </cell>
        </row>
        <row r="2589">
          <cell r="J2589" t="str">
            <v>C.4.5.4</v>
          </cell>
        </row>
        <row r="2590">
          <cell r="J2590" t="str">
            <v>C.4.3.12.1</v>
          </cell>
        </row>
        <row r="2591">
          <cell r="J2591" t="str">
            <v>C.4.3.12.2</v>
          </cell>
        </row>
        <row r="2592">
          <cell r="J2592" t="str">
            <v>C.4.4.12</v>
          </cell>
        </row>
        <row r="2593">
          <cell r="J2593" t="str">
            <v>C.4.3.12.1</v>
          </cell>
        </row>
        <row r="2594">
          <cell r="J2594" t="str">
            <v>C.4.3.12.2</v>
          </cell>
        </row>
        <row r="2595">
          <cell r="J2595" t="str">
            <v>C.4.3.5.1</v>
          </cell>
        </row>
        <row r="2596">
          <cell r="J2596" t="str">
            <v>C.4.3.5.2</v>
          </cell>
        </row>
        <row r="2597">
          <cell r="J2597" t="str">
            <v>C.4.4.12</v>
          </cell>
        </row>
        <row r="2598">
          <cell r="J2598" t="str">
            <v>C.4.4.5</v>
          </cell>
        </row>
        <row r="2599">
          <cell r="J2599" t="str">
            <v>C.2.4.8</v>
          </cell>
        </row>
        <row r="2600">
          <cell r="J2600" t="str">
            <v>C.3.6.2.12</v>
          </cell>
        </row>
        <row r="2601">
          <cell r="J2601" t="str">
            <v>C.4.3.12.1</v>
          </cell>
        </row>
        <row r="2602">
          <cell r="J2602" t="str">
            <v>C.4.3.12.2</v>
          </cell>
        </row>
        <row r="2603">
          <cell r="J2603" t="str">
            <v>C.4.3.5.1</v>
          </cell>
        </row>
        <row r="2604">
          <cell r="J2604" t="str">
            <v>C.4.3.5.2</v>
          </cell>
        </row>
        <row r="2605">
          <cell r="J2605" t="str">
            <v>C.4.4.12</v>
          </cell>
        </row>
        <row r="2606">
          <cell r="J2606" t="str">
            <v>C.4.4.5</v>
          </cell>
        </row>
        <row r="2607">
          <cell r="J2607" t="str">
            <v>C.4.5.16</v>
          </cell>
        </row>
        <row r="2608">
          <cell r="J2608" t="str">
            <v>C.4.3.12.1</v>
          </cell>
        </row>
        <row r="2609">
          <cell r="J2609" t="str">
            <v>C.4.3.12.2</v>
          </cell>
        </row>
        <row r="2610">
          <cell r="J2610" t="str">
            <v>C.4.3.5.1</v>
          </cell>
        </row>
        <row r="2611">
          <cell r="J2611" t="str">
            <v>C.4.3.5.1</v>
          </cell>
        </row>
        <row r="2612">
          <cell r="J2612" t="str">
            <v>C.4.3.5.1</v>
          </cell>
        </row>
        <row r="2613">
          <cell r="J2613" t="str">
            <v>C.4.3.5.1</v>
          </cell>
        </row>
        <row r="2614">
          <cell r="J2614" t="str">
            <v>C.4.3.5.1</v>
          </cell>
        </row>
        <row r="2615">
          <cell r="J2615" t="str">
            <v>C.4.3.5.1</v>
          </cell>
        </row>
        <row r="2616">
          <cell r="J2616" t="str">
            <v>C.4.3.5.2</v>
          </cell>
        </row>
        <row r="2617">
          <cell r="J2617" t="str">
            <v>C.4.3.5.2</v>
          </cell>
        </row>
        <row r="2618">
          <cell r="J2618" t="str">
            <v>C.4.3.5.2</v>
          </cell>
        </row>
        <row r="2619">
          <cell r="J2619" t="str">
            <v>C.4.3.5.2</v>
          </cell>
        </row>
        <row r="2620">
          <cell r="J2620" t="str">
            <v>C.4.3.5.2</v>
          </cell>
        </row>
        <row r="2621">
          <cell r="J2621" t="str">
            <v>C.4.3.5.2</v>
          </cell>
        </row>
        <row r="2622">
          <cell r="J2622" t="str">
            <v>C.4.4.12</v>
          </cell>
        </row>
        <row r="2623">
          <cell r="J2623" t="str">
            <v>C.4.4.5</v>
          </cell>
        </row>
        <row r="2624">
          <cell r="J2624" t="str">
            <v>C.4.4.5</v>
          </cell>
        </row>
        <row r="2625">
          <cell r="J2625" t="str">
            <v>C.4.4.5</v>
          </cell>
        </row>
        <row r="2626">
          <cell r="J2626" t="str">
            <v>C.4.4.5</v>
          </cell>
        </row>
        <row r="2627">
          <cell r="J2627" t="str">
            <v>C.4.4.5</v>
          </cell>
        </row>
        <row r="2628">
          <cell r="J2628" t="str">
            <v>C.4.4.5</v>
          </cell>
        </row>
        <row r="2629">
          <cell r="J2629" t="str">
            <v>C.3.6.2.12</v>
          </cell>
        </row>
        <row r="2630">
          <cell r="J2630" t="str">
            <v>C.4.5.16</v>
          </cell>
        </row>
        <row r="2631">
          <cell r="J2631" t="str">
            <v>C.4.3.8</v>
          </cell>
        </row>
        <row r="2632">
          <cell r="J2632" t="str">
            <v>C.4.4.8</v>
          </cell>
        </row>
        <row r="2633">
          <cell r="J2633" t="str">
            <v>C.2.4.8</v>
          </cell>
        </row>
        <row r="2634">
          <cell r="J2634" t="str">
            <v>C.4.3.12.1</v>
          </cell>
        </row>
        <row r="2635">
          <cell r="J2635" t="str">
            <v>C.4.3.12.2</v>
          </cell>
        </row>
        <row r="2636">
          <cell r="J2636" t="str">
            <v>C.4.3.5.1</v>
          </cell>
        </row>
        <row r="2637">
          <cell r="J2637" t="str">
            <v>C.4.3.5.2</v>
          </cell>
        </row>
        <row r="2638">
          <cell r="J2638" t="str">
            <v>C.4.4.12</v>
          </cell>
        </row>
        <row r="2639">
          <cell r="J2639" t="str">
            <v>C.4.4.5</v>
          </cell>
        </row>
        <row r="2640">
          <cell r="J2640" t="str">
            <v>C.4.3.12.1</v>
          </cell>
        </row>
        <row r="2641">
          <cell r="J2641" t="str">
            <v>C.4.3.12.2</v>
          </cell>
        </row>
        <row r="2642">
          <cell r="J2642" t="str">
            <v>C.4.3.5.1</v>
          </cell>
        </row>
        <row r="2643">
          <cell r="J2643" t="str">
            <v>C.4.3.5.2</v>
          </cell>
        </row>
        <row r="2644">
          <cell r="J2644" t="str">
            <v>C.4.4.12</v>
          </cell>
        </row>
        <row r="2645">
          <cell r="J2645" t="str">
            <v>C.4.4.5</v>
          </cell>
        </row>
        <row r="2646">
          <cell r="J2646" t="str">
            <v>C.4.5.4</v>
          </cell>
        </row>
        <row r="2647">
          <cell r="J2647" t="str">
            <v>C.4.2.12</v>
          </cell>
        </row>
        <row r="2648">
          <cell r="J2648" t="str">
            <v>C.5.7.35</v>
          </cell>
        </row>
        <row r="2649">
          <cell r="J2649" t="str">
            <v>C.5.7.14</v>
          </cell>
        </row>
        <row r="2650">
          <cell r="J2650" t="str">
            <v>C.5.7.15</v>
          </cell>
        </row>
        <row r="2651">
          <cell r="J2651" t="str">
            <v>C.3.6.2.2</v>
          </cell>
        </row>
        <row r="2652">
          <cell r="J2652" t="str">
            <v>C.3.6.2.10</v>
          </cell>
        </row>
        <row r="2653">
          <cell r="J2653" t="str">
            <v>C.4.3.6</v>
          </cell>
        </row>
        <row r="2654">
          <cell r="J2654" t="str">
            <v>C.4.4.6</v>
          </cell>
        </row>
        <row r="2655">
          <cell r="J2655" t="str">
            <v>C.4.3.5.1</v>
          </cell>
        </row>
        <row r="2656">
          <cell r="J2656" t="str">
            <v>C.4.3.5.2</v>
          </cell>
        </row>
        <row r="2657">
          <cell r="J2657" t="str">
            <v>C.4.4.5</v>
          </cell>
        </row>
        <row r="2658">
          <cell r="J2658" t="str">
            <v>C.4.3.12.1</v>
          </cell>
        </row>
        <row r="2659">
          <cell r="J2659" t="str">
            <v>C.4.3.12.2</v>
          </cell>
        </row>
        <row r="2660">
          <cell r="J2660" t="str">
            <v>C.4.4.12</v>
          </cell>
        </row>
        <row r="2661">
          <cell r="J2661" t="str">
            <v>C.5.7.14</v>
          </cell>
        </row>
        <row r="2662">
          <cell r="J2662" t="str">
            <v>C.5.7.15</v>
          </cell>
        </row>
        <row r="2663">
          <cell r="J2663" t="str">
            <v>C.5.7.12</v>
          </cell>
        </row>
        <row r="2664">
          <cell r="J2664" t="str">
            <v>C.5.6.4.9</v>
          </cell>
        </row>
        <row r="2665">
          <cell r="J2665" t="str">
            <v>C.5.6.3.14.4</v>
          </cell>
        </row>
        <row r="2666">
          <cell r="J2666" t="str">
            <v>C.5.6.3.18.1</v>
          </cell>
        </row>
        <row r="2667">
          <cell r="J2667" t="str">
            <v>C.2.2.4.19.1</v>
          </cell>
        </row>
        <row r="2668">
          <cell r="J2668" t="str">
            <v>C.2.2.4.7.2</v>
          </cell>
        </row>
        <row r="2669">
          <cell r="J2669" t="str">
            <v>C.2.2.3.6</v>
          </cell>
        </row>
        <row r="2670">
          <cell r="J2670" t="str">
            <v>C.2.2.3.13</v>
          </cell>
        </row>
        <row r="2671">
          <cell r="J2671" t="str">
            <v>C.2.2.3.5</v>
          </cell>
        </row>
        <row r="2672">
          <cell r="J2672" t="str">
            <v>C.2.2.3.14.3</v>
          </cell>
        </row>
        <row r="2673">
          <cell r="J2673" t="str">
            <v>C.2.2.3.4</v>
          </cell>
        </row>
        <row r="2674">
          <cell r="J2674" t="str">
            <v>C.2.2.3.6</v>
          </cell>
        </row>
        <row r="2675">
          <cell r="J2675" t="str">
            <v>C.5.6.4.8</v>
          </cell>
        </row>
        <row r="2676">
          <cell r="J2676" t="str">
            <v>C.2.2.3.10</v>
          </cell>
        </row>
        <row r="2677">
          <cell r="J2677" t="str">
            <v>C.2.2.3.11</v>
          </cell>
        </row>
        <row r="2678">
          <cell r="J2678" t="str">
            <v>C.2.2.3.3</v>
          </cell>
        </row>
        <row r="2679">
          <cell r="J2679" t="str">
            <v>C.2.2.3.5</v>
          </cell>
        </row>
        <row r="2680">
          <cell r="J2680" t="str">
            <v>C.2.2.3.5</v>
          </cell>
        </row>
        <row r="2681">
          <cell r="J2681" t="str">
            <v>C.2.2.3.4</v>
          </cell>
        </row>
        <row r="2682">
          <cell r="J2682" t="str">
            <v>C.2.2.3.6</v>
          </cell>
        </row>
        <row r="2683">
          <cell r="J2683" t="str">
            <v>C.2.2.3.10</v>
          </cell>
        </row>
        <row r="2684">
          <cell r="J2684" t="str">
            <v>C.2.2.3.11</v>
          </cell>
        </row>
        <row r="2685">
          <cell r="J2685" t="str">
            <v>C.2.2.3.3</v>
          </cell>
        </row>
        <row r="2686">
          <cell r="J2686" t="str">
            <v>C.2.2.3.19</v>
          </cell>
        </row>
        <row r="2687">
          <cell r="J2687" t="str">
            <v>C.2.2.3.3</v>
          </cell>
        </row>
        <row r="2688">
          <cell r="J2688" t="str">
            <v>C.2.2.3.10</v>
          </cell>
        </row>
        <row r="2689">
          <cell r="J2689" t="str">
            <v>C.2.2.3.11</v>
          </cell>
        </row>
        <row r="2690">
          <cell r="J2690" t="str">
            <v>C.2.2.3.15</v>
          </cell>
        </row>
        <row r="2691">
          <cell r="J2691" t="str">
            <v>C.2.2.3.3</v>
          </cell>
        </row>
        <row r="2692">
          <cell r="J2692" t="str">
            <v>C.2.2.3.4</v>
          </cell>
        </row>
        <row r="2693">
          <cell r="J2693" t="str">
            <v>C.2.2.3.6</v>
          </cell>
        </row>
        <row r="2694">
          <cell r="J2694" t="str">
            <v>C.2.2.3.6</v>
          </cell>
        </row>
        <row r="2695">
          <cell r="J2695" t="str">
            <v>C.2.2.3.4</v>
          </cell>
        </row>
        <row r="2696">
          <cell r="J2696" t="str">
            <v>C.3.4.4.8.1</v>
          </cell>
        </row>
        <row r="2697">
          <cell r="J2697" t="str">
            <v>C.3.4.4.8.2</v>
          </cell>
        </row>
        <row r="2698">
          <cell r="J2698" t="str">
            <v>C.5.2.18</v>
          </cell>
        </row>
        <row r="2699">
          <cell r="J2699" t="str">
            <v>C.5.2.25</v>
          </cell>
        </row>
        <row r="2700">
          <cell r="J2700" t="str">
            <v>C.5.2.31</v>
          </cell>
        </row>
        <row r="2701">
          <cell r="J2701" t="str">
            <v>C.3.4.4.17</v>
          </cell>
        </row>
        <row r="2702">
          <cell r="J2702" t="str">
            <v>C.3.7.12.1</v>
          </cell>
        </row>
        <row r="2703">
          <cell r="J2703" t="str">
            <v>C.3.7.16.1</v>
          </cell>
        </row>
        <row r="2704">
          <cell r="J2704" t="str">
            <v>C.3.7.16.10</v>
          </cell>
        </row>
        <row r="2705">
          <cell r="J2705" t="str">
            <v>C.3.7.16.2</v>
          </cell>
        </row>
        <row r="2706">
          <cell r="J2706" t="str">
            <v>C.3.7.16.3</v>
          </cell>
        </row>
        <row r="2707">
          <cell r="J2707" t="str">
            <v>C.3.7.16.4</v>
          </cell>
        </row>
        <row r="2708">
          <cell r="J2708" t="str">
            <v>C.3.7.16.5</v>
          </cell>
        </row>
        <row r="2709">
          <cell r="J2709" t="str">
            <v>C.3.7.16.6</v>
          </cell>
        </row>
        <row r="2710">
          <cell r="J2710" t="str">
            <v>C.3.7.16.7</v>
          </cell>
        </row>
        <row r="2711">
          <cell r="J2711" t="str">
            <v>C.3.7.16.8</v>
          </cell>
        </row>
        <row r="2712">
          <cell r="J2712" t="str">
            <v>C.3.7.16.9</v>
          </cell>
        </row>
        <row r="2713">
          <cell r="J2713" t="str">
            <v>C.3.7.17.1</v>
          </cell>
        </row>
        <row r="2714">
          <cell r="J2714" t="str">
            <v>C.3.7.17.2</v>
          </cell>
        </row>
        <row r="2715">
          <cell r="J2715" t="str">
            <v>C.2.2.4.19.2</v>
          </cell>
        </row>
        <row r="2716">
          <cell r="J2716" t="str">
            <v>C.2.2.4.19.1</v>
          </cell>
        </row>
        <row r="2717">
          <cell r="J2717" t="str">
            <v>C.2.2.4.16</v>
          </cell>
        </row>
        <row r="2718">
          <cell r="J2718" t="str">
            <v>C.2.2.4.19</v>
          </cell>
        </row>
        <row r="2719">
          <cell r="J2719" t="str">
            <v>C.2.2.4.3</v>
          </cell>
        </row>
        <row r="2720">
          <cell r="J2720" t="str">
            <v>C.2.2.4.16</v>
          </cell>
        </row>
        <row r="2721">
          <cell r="J2721" t="str">
            <v>C.2.2.4.19.1</v>
          </cell>
        </row>
        <row r="2722">
          <cell r="J2722" t="str">
            <v>C.2.2.4.19.1</v>
          </cell>
        </row>
        <row r="2723">
          <cell r="J2723" t="str">
            <v>C.2.2.4.13</v>
          </cell>
        </row>
        <row r="2724">
          <cell r="J2724" t="str">
            <v>C.2.2.4.19.1</v>
          </cell>
        </row>
        <row r="2725">
          <cell r="J2725" t="str">
            <v>C.3.5.26</v>
          </cell>
        </row>
        <row r="2726">
          <cell r="J2726" t="str">
            <v>C.5.6.3.14.4</v>
          </cell>
        </row>
        <row r="2727">
          <cell r="J2727" t="str">
            <v>C.5.6.2.1</v>
          </cell>
        </row>
        <row r="2728">
          <cell r="J2728" t="str">
            <v>C.5.6.3.14.1</v>
          </cell>
        </row>
        <row r="2729">
          <cell r="J2729" t="str">
            <v>C.5.6.3.14.2</v>
          </cell>
        </row>
        <row r="2730">
          <cell r="J2730" t="str">
            <v>C.5.6.3.14.3</v>
          </cell>
        </row>
        <row r="2731">
          <cell r="J2731" t="str">
            <v>C.5.6.4.11</v>
          </cell>
        </row>
        <row r="2732">
          <cell r="J2732" t="str">
            <v>C.3.6.1.13.1</v>
          </cell>
        </row>
        <row r="2733">
          <cell r="J2733" t="str">
            <v>C.3.4.2.13</v>
          </cell>
        </row>
        <row r="2734">
          <cell r="J2734" t="str">
            <v>C.3.6.1.28</v>
          </cell>
        </row>
        <row r="2735">
          <cell r="J2735" t="str">
            <v>C.3.6.1.31.4</v>
          </cell>
        </row>
        <row r="2736">
          <cell r="J2736" t="str">
            <v>C.5.8.1.2.10</v>
          </cell>
        </row>
        <row r="2737">
          <cell r="J2737" t="str">
            <v>C.5.6.3.14.1</v>
          </cell>
        </row>
        <row r="2738">
          <cell r="J2738" t="str">
            <v>C.5.6.3.14.2</v>
          </cell>
        </row>
        <row r="2739">
          <cell r="J2739" t="str">
            <v>C.5.6.3.14.3</v>
          </cell>
        </row>
        <row r="2740">
          <cell r="J2740" t="str">
            <v>C.5.6.3.15.1</v>
          </cell>
        </row>
        <row r="2741">
          <cell r="J2741" t="str">
            <v>C.5.6.3.15.2</v>
          </cell>
        </row>
        <row r="2742">
          <cell r="J2742" t="str">
            <v>C.5.6.3.18.2</v>
          </cell>
        </row>
        <row r="2743">
          <cell r="J2743" t="str">
            <v>C.5.6.4.2</v>
          </cell>
        </row>
        <row r="2744">
          <cell r="J2744" t="str">
            <v>C.5.6.4.3.1</v>
          </cell>
        </row>
        <row r="2745">
          <cell r="J2745" t="str">
            <v>C.5.6.4.3.2</v>
          </cell>
        </row>
        <row r="2746">
          <cell r="J2746" t="str">
            <v>C.5.6.4.5.1</v>
          </cell>
        </row>
        <row r="2747">
          <cell r="J2747" t="str">
            <v>C.5.6.4.5.2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1.- Anexo IA-SSMS"/>
      <sheetName val="Resumen"/>
      <sheetName val="2.- Cronograma"/>
      <sheetName val="Hoja4"/>
      <sheetName val="Hoja3"/>
      <sheetName val="3.- Cronograma SACYR"/>
      <sheetName val="Hoja5"/>
    </sheetNames>
    <sheetDataSet>
      <sheetData sheetId="0"/>
      <sheetData sheetId="1"/>
      <sheetData sheetId="2"/>
      <sheetData sheetId="3">
        <row r="4">
          <cell r="U4">
            <v>46023</v>
          </cell>
        </row>
        <row r="5">
          <cell r="U5">
            <v>46115</v>
          </cell>
        </row>
        <row r="6">
          <cell r="U6">
            <v>46116</v>
          </cell>
        </row>
        <row r="7">
          <cell r="U7">
            <v>46143</v>
          </cell>
        </row>
        <row r="8">
          <cell r="U8">
            <v>46163</v>
          </cell>
        </row>
        <row r="9">
          <cell r="U9">
            <v>46194</v>
          </cell>
        </row>
        <row r="10">
          <cell r="U10">
            <v>46202</v>
          </cell>
        </row>
        <row r="11">
          <cell r="U11">
            <v>46219</v>
          </cell>
        </row>
        <row r="12">
          <cell r="U12">
            <v>46249</v>
          </cell>
        </row>
        <row r="13">
          <cell r="U13">
            <v>46283</v>
          </cell>
        </row>
        <row r="14">
          <cell r="U14">
            <v>46284</v>
          </cell>
        </row>
        <row r="15">
          <cell r="U15">
            <v>46307</v>
          </cell>
        </row>
        <row r="16">
          <cell r="U16">
            <v>46326</v>
          </cell>
        </row>
        <row r="17">
          <cell r="U17">
            <v>46327</v>
          </cell>
        </row>
        <row r="18">
          <cell r="U18">
            <v>46364</v>
          </cell>
        </row>
        <row r="19">
          <cell r="U19">
            <v>46381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Servicios"/>
      <sheetName val="Detalle MNC"/>
      <sheetName val="PISO 1"/>
      <sheetName val="PISO 2"/>
      <sheetName val="PISO 3"/>
      <sheetName val="PISO 4"/>
      <sheetName val="PISO 5"/>
      <sheetName val="PISO 6"/>
      <sheetName val="PISO 7"/>
      <sheetName val="Listado a instalar"/>
      <sheetName val="Recintos entregados 019 CD"/>
      <sheetName val="Hoja2"/>
      <sheetName val="Feri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>
            <v>46023</v>
          </cell>
        </row>
        <row r="4">
          <cell r="B4">
            <v>46115</v>
          </cell>
        </row>
        <row r="5">
          <cell r="B5">
            <v>46116</v>
          </cell>
        </row>
        <row r="6">
          <cell r="B6">
            <v>46143</v>
          </cell>
        </row>
        <row r="7">
          <cell r="B7">
            <v>46163</v>
          </cell>
        </row>
        <row r="8">
          <cell r="B8">
            <v>46193</v>
          </cell>
        </row>
        <row r="9">
          <cell r="B9">
            <v>46202</v>
          </cell>
        </row>
        <row r="10">
          <cell r="B10">
            <v>46219</v>
          </cell>
        </row>
        <row r="11">
          <cell r="B11">
            <v>46249</v>
          </cell>
        </row>
        <row r="12">
          <cell r="B12">
            <v>46283</v>
          </cell>
        </row>
        <row r="13">
          <cell r="B13">
            <v>46284</v>
          </cell>
        </row>
        <row r="14">
          <cell r="B14">
            <v>46307</v>
          </cell>
        </row>
        <row r="15">
          <cell r="B15">
            <v>46326</v>
          </cell>
        </row>
        <row r="16">
          <cell r="B16">
            <v>46327</v>
          </cell>
        </row>
        <row r="17">
          <cell r="B17">
            <v>46364</v>
          </cell>
        </row>
        <row r="18">
          <cell r="B18">
            <v>46381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do Anexo Ib SIN INST"/>
      <sheetName val="INSTRUMENTAL"/>
      <sheetName val="Consolidado Anexo Ib SIN IN (2)"/>
      <sheetName val="Cronograma Proveedores"/>
      <sheetName val="Proveedores"/>
      <sheetName val="BBRAUN INSTRUMENTAL"/>
      <sheetName val="RUDOLF INSTRUMENTAL"/>
      <sheetName val="TECNIGEN INSTRUMENTAL"/>
      <sheetName val="KARL STORZ"/>
      <sheetName val="MEGALABS INSTRUMENTAL"/>
      <sheetName val="ALCON"/>
      <sheetName val="ALLMEDICA"/>
      <sheetName val="ANDOVER"/>
      <sheetName val="ARQUIMED"/>
      <sheetName val="ASP"/>
      <sheetName val="ATM"/>
      <sheetName val="AUDITRON"/>
      <sheetName val="B.BRAUN"/>
      <sheetName val="BIESTER"/>
      <sheetName val="BLUEMEDICAL"/>
      <sheetName val="BTL"/>
      <sheetName val="CENCOMEX"/>
      <sheetName val="DRAGER"/>
      <sheetName val="EC SOLUCIONES"/>
      <sheetName val="FISIOMARKET"/>
      <sheetName val="GE"/>
      <sheetName val="GEMCO"/>
      <sheetName val="HEMISFERIO SUR"/>
      <sheetName val="ICLINICS"/>
      <sheetName val="IMAHE"/>
      <sheetName val="LOGINTEG"/>
      <sheetName val="MALDIVAS"/>
      <sheetName val="MARSOL"/>
      <sheetName val="MEDIPLEX"/>
      <sheetName val="MEGALABS"/>
      <sheetName val="OFTOMED"/>
      <sheetName val="OLYMPUS"/>
      <sheetName val="OPPICI"/>
      <sheetName val="PLUSMEDICAL"/>
      <sheetName val="PM CONSULTING"/>
      <sheetName val="PTM CHILE"/>
      <sheetName val="PV EQUIP"/>
      <sheetName val="RUDOLF"/>
      <sheetName val="STRYKER"/>
      <sheetName val="TECNIGEN"/>
    </sheetNames>
    <sheetDataSet>
      <sheetData sheetId="0" refreshError="1">
        <row r="5">
          <cell r="AM5">
            <v>46023</v>
          </cell>
        </row>
        <row r="6">
          <cell r="AM6">
            <v>46115</v>
          </cell>
        </row>
        <row r="7">
          <cell r="AM7">
            <v>46143</v>
          </cell>
        </row>
        <row r="8">
          <cell r="AM8">
            <v>46163</v>
          </cell>
        </row>
        <row r="9">
          <cell r="AM9">
            <v>46202</v>
          </cell>
        </row>
        <row r="10">
          <cell r="AM10">
            <v>46219</v>
          </cell>
        </row>
        <row r="11">
          <cell r="AM11">
            <v>46283</v>
          </cell>
        </row>
        <row r="12">
          <cell r="AM12">
            <v>46284</v>
          </cell>
        </row>
        <row r="13">
          <cell r="AM13">
            <v>46307</v>
          </cell>
        </row>
        <row r="14">
          <cell r="AM14">
            <v>46364</v>
          </cell>
        </row>
        <row r="15">
          <cell r="AM15">
            <v>46381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DETALLE ENTREGAS"/>
      <sheetName val="EMMC NO 019CD"/>
      <sheetName val="EMMC 019CD+Crítico "/>
      <sheetName val="MNC"/>
      <sheetName val="Observaciones 04122024"/>
    </sheetNames>
    <sheetDataSet>
      <sheetData sheetId="0"/>
      <sheetData sheetId="1"/>
      <sheetData sheetId="2"/>
      <sheetData sheetId="3"/>
      <sheetData sheetId="4">
        <row r="7">
          <cell r="E7">
            <v>201001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A Listado Mobiliario"/>
      <sheetName val="Mob.Adosado"/>
      <sheetName val="Mob. 4.1"/>
      <sheetName val="Mob. 4.2"/>
      <sheetName val="Mob. 4.3"/>
      <sheetName val="Mob. en provisión"/>
      <sheetName val="Mob. (IA)Subcateg."/>
      <sheetName val="Param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Nivel 1</v>
          </cell>
        </row>
        <row r="2">
          <cell r="A2" t="str">
            <v>Nivel -1</v>
          </cell>
        </row>
        <row r="3">
          <cell r="A3" t="str">
            <v>Nivel 2</v>
          </cell>
        </row>
        <row r="4">
          <cell r="A4" t="str">
            <v>Nivel 3</v>
          </cell>
        </row>
        <row r="5">
          <cell r="A5" t="str">
            <v>Nivel 4</v>
          </cell>
        </row>
        <row r="6">
          <cell r="A6" t="str">
            <v>Nivel 5</v>
          </cell>
        </row>
        <row r="7">
          <cell r="A7" t="str">
            <v>Nivel 6</v>
          </cell>
        </row>
        <row r="8">
          <cell r="A8" t="str">
            <v>Nivel 7</v>
          </cell>
        </row>
        <row r="9">
          <cell r="A9" t="str">
            <v>Nivel Aisladores</v>
          </cell>
        </row>
        <row r="10">
          <cell r="A10" t="str">
            <v>Nivel Calle acceso</v>
          </cell>
        </row>
        <row r="11">
          <cell r="A11" t="str">
            <v>Nivel Cubierta Sala Cuna</v>
          </cell>
        </row>
        <row r="12">
          <cell r="A12" t="str">
            <v>Nivel helipuerto</v>
          </cell>
        </row>
        <row r="13">
          <cell r="A13" t="str">
            <v>Nivel NM</v>
          </cell>
        </row>
        <row r="14">
          <cell r="A14" t="str">
            <v>Nivel Sala Cuna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9 CD"/>
      <sheetName val="Crono Adq-Ins"/>
      <sheetName val="EMMC"/>
      <sheetName val="Hoja4"/>
      <sheetName val="Hoja1"/>
      <sheetName val="Hoja2"/>
      <sheetName val="Hoja5"/>
      <sheetName val="MNC"/>
      <sheetName val="N01"/>
      <sheetName val="N02"/>
      <sheetName val="N03"/>
      <sheetName val="N04"/>
      <sheetName val="N05"/>
      <sheetName val="N06"/>
      <sheetName val="N07"/>
      <sheetName val="CRONOGRAMA CONSOLIDADO"/>
      <sheetName val="Hoja3"/>
      <sheetName val="RECINTOS A ENTREGAR"/>
    </sheetNames>
    <sheetDataSet>
      <sheetData sheetId="0" refreshError="1"/>
      <sheetData sheetId="1" refreshError="1"/>
      <sheetData sheetId="2">
        <row r="3">
          <cell r="J3" t="str">
            <v>C.5.5.25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8">
          <cell r="B48" t="str">
            <v>EMMC/MNC</v>
          </cell>
          <cell r="C48" t="str">
            <v>N.º Ítem</v>
          </cell>
          <cell r="D48" t="str">
            <v>Tipo Equipo/ Mobiliario</v>
          </cell>
          <cell r="E48" t="str">
            <v>Nombre Equipo</v>
          </cell>
          <cell r="F48" t="str">
            <v>019CD (SI/NO)</v>
          </cell>
          <cell r="G48" t="str">
            <v xml:space="preserve">Centro de Distribucion </v>
          </cell>
          <cell r="H48" t="str">
            <v>Nombre Recinto</v>
          </cell>
          <cell r="I48" t="str">
            <v>Cantidad</v>
          </cell>
          <cell r="J48" t="str">
            <v>Código de recinto referencial</v>
          </cell>
          <cell r="K48" t="str">
            <v>Servicio clínico</v>
          </cell>
          <cell r="L48" t="str">
            <v>Piso</v>
          </cell>
          <cell r="M48" t="str">
            <v>Recinto Terminado (Fecha)</v>
          </cell>
          <cell r="N48" t="str">
            <v xml:space="preserve">Inicio Instalación (Fecha) </v>
          </cell>
          <cell r="O48" t="str">
            <v>Duración días</v>
          </cell>
          <cell r="P48" t="str">
            <v xml:space="preserve">Fin Instalación (Fecha) </v>
          </cell>
          <cell r="Q48" t="str">
            <v>Pruebas IF (días hábiles)</v>
          </cell>
          <cell r="R48" t="str">
            <v>Seremi EMMC (días hábiles)</v>
          </cell>
          <cell r="S48" t="str">
            <v>Recepción Conforme IF (días hábiles)</v>
          </cell>
        </row>
        <row r="49">
          <cell r="B49" t="str">
            <v>EMMC</v>
          </cell>
          <cell r="C49" t="str">
            <v>HSLB11165</v>
          </cell>
          <cell r="D49">
            <v>108012</v>
          </cell>
          <cell r="E49" t="str">
            <v>Tomógrafo Axial Computarizado</v>
          </cell>
          <cell r="F49" t="str">
            <v>SI</v>
          </cell>
          <cell r="G49" t="str">
            <v>NO</v>
          </cell>
          <cell r="H49" t="str">
            <v>SALA TOMOGRAFO AXIAL COMPUTARIZADO (PREPARACIÓN/EQUIPO/COMANDO/VESTIDOR)</v>
          </cell>
          <cell r="I49">
            <v>1</v>
          </cell>
          <cell r="J49" t="str">
            <v>C.5.3.7</v>
          </cell>
          <cell r="K49" t="str">
            <v>Imagenología</v>
          </cell>
          <cell r="L49">
            <v>1</v>
          </cell>
          <cell r="M49">
            <v>46003</v>
          </cell>
          <cell r="N49">
            <v>46006</v>
          </cell>
          <cell r="O49">
            <v>12</v>
          </cell>
          <cell r="P49">
            <v>46022</v>
          </cell>
          <cell r="Q49">
            <v>5</v>
          </cell>
          <cell r="R49" t="str">
            <v>NA</v>
          </cell>
          <cell r="S49">
            <v>5</v>
          </cell>
        </row>
        <row r="50">
          <cell r="B50" t="str">
            <v>EMMC</v>
          </cell>
          <cell r="C50" t="str">
            <v>HSLB11161</v>
          </cell>
          <cell r="D50">
            <v>108009</v>
          </cell>
          <cell r="E50" t="str">
            <v>Rx Multipropósito</v>
          </cell>
          <cell r="F50" t="str">
            <v>SI</v>
          </cell>
          <cell r="G50" t="str">
            <v>NO</v>
          </cell>
          <cell r="H50" t="str">
            <v>RADIOLOGÍA DIGITAL OSTEOPULMONAR(RX) (SALA EQUIPO/COMANDO/2VESTIDOR)</v>
          </cell>
          <cell r="I50">
            <v>1</v>
          </cell>
          <cell r="J50" t="str">
            <v>C.5.3.5.1</v>
          </cell>
          <cell r="K50" t="str">
            <v>Imagenología</v>
          </cell>
          <cell r="L50">
            <v>1</v>
          </cell>
          <cell r="M50">
            <v>46003</v>
          </cell>
          <cell r="N50">
            <v>46006</v>
          </cell>
          <cell r="O50">
            <v>12</v>
          </cell>
          <cell r="P50">
            <v>46022</v>
          </cell>
          <cell r="Q50">
            <v>5</v>
          </cell>
          <cell r="R50" t="str">
            <v>NA</v>
          </cell>
          <cell r="S50">
            <v>5</v>
          </cell>
        </row>
        <row r="51">
          <cell r="B51" t="str">
            <v>EMMC</v>
          </cell>
          <cell r="C51" t="str">
            <v>HSLB11162</v>
          </cell>
          <cell r="D51">
            <v>108010</v>
          </cell>
          <cell r="E51" t="str">
            <v>RX Osteopulmonar Digital a Techo</v>
          </cell>
          <cell r="F51" t="str">
            <v>SI</v>
          </cell>
          <cell r="G51" t="str">
            <v>NO</v>
          </cell>
          <cell r="H51" t="str">
            <v>RADIOLOGÍA DIGITAL OSTEOPULMONAR (RX) (SALA EQUIPO/COMANDO/2VESTIDOR)</v>
          </cell>
          <cell r="I51">
            <v>1</v>
          </cell>
          <cell r="J51" t="str">
            <v>C.5.3.5.2</v>
          </cell>
          <cell r="K51" t="str">
            <v>Imagenología</v>
          </cell>
          <cell r="L51">
            <v>1</v>
          </cell>
          <cell r="M51">
            <v>46003</v>
          </cell>
          <cell r="N51">
            <v>46006</v>
          </cell>
          <cell r="O51">
            <v>12</v>
          </cell>
          <cell r="P51">
            <v>46022</v>
          </cell>
          <cell r="Q51">
            <v>5</v>
          </cell>
          <cell r="R51" t="str">
            <v>NA</v>
          </cell>
          <cell r="S51">
            <v>5</v>
          </cell>
        </row>
        <row r="52">
          <cell r="B52" t="str">
            <v>EMMC</v>
          </cell>
          <cell r="C52" t="str">
            <v>HSLB11163</v>
          </cell>
          <cell r="D52">
            <v>108010</v>
          </cell>
          <cell r="E52" t="str">
            <v>RX Osteopulmonar Digital a Techo</v>
          </cell>
          <cell r="F52" t="str">
            <v>SI</v>
          </cell>
          <cell r="G52" t="str">
            <v>NO</v>
          </cell>
          <cell r="H52" t="str">
            <v>RADIOLOGÍA DIGITAL OSTEOPULMONAR(RX) (SALA EQUIPO/COMANDO/2VESTIDOR)</v>
          </cell>
          <cell r="I52">
            <v>1</v>
          </cell>
          <cell r="J52" t="str">
            <v>C.5.3.5.3</v>
          </cell>
          <cell r="K52" t="str">
            <v>Imagenología</v>
          </cell>
          <cell r="L52">
            <v>1</v>
          </cell>
          <cell r="M52">
            <v>46003</v>
          </cell>
          <cell r="N52">
            <v>46006</v>
          </cell>
          <cell r="O52">
            <v>12</v>
          </cell>
          <cell r="P52">
            <v>46022</v>
          </cell>
          <cell r="Q52">
            <v>5</v>
          </cell>
          <cell r="R52" t="str">
            <v>NA</v>
          </cell>
          <cell r="S52">
            <v>5</v>
          </cell>
        </row>
        <row r="53">
          <cell r="B53" t="str">
            <v>EMMC</v>
          </cell>
          <cell r="C53" t="str">
            <v>HSLB12828</v>
          </cell>
          <cell r="D53">
            <v>113010</v>
          </cell>
          <cell r="E53" t="str">
            <v>Monitor de Signos Vitales Mediana Complejidad</v>
          </cell>
          <cell r="F53" t="str">
            <v>SI</v>
          </cell>
          <cell r="G53" t="str">
            <v>NO</v>
          </cell>
          <cell r="H53" t="str">
            <v>BOX REANIMACIÓN ADULTO</v>
          </cell>
          <cell r="I53">
            <v>1</v>
          </cell>
          <cell r="J53" t="str">
            <v>C.4.3.12.1</v>
          </cell>
          <cell r="K53" t="str">
            <v>Urgencia</v>
          </cell>
          <cell r="L53">
            <v>1</v>
          </cell>
          <cell r="M53">
            <v>46048</v>
          </cell>
          <cell r="N53">
            <v>46049</v>
          </cell>
          <cell r="O53">
            <v>5</v>
          </cell>
          <cell r="P53">
            <v>46056</v>
          </cell>
          <cell r="Q53">
            <v>5</v>
          </cell>
          <cell r="R53" t="str">
            <v>NA</v>
          </cell>
          <cell r="S53">
            <v>5</v>
          </cell>
        </row>
        <row r="54">
          <cell r="B54" t="str">
            <v>EMMC</v>
          </cell>
          <cell r="C54" t="str">
            <v>HSLB12829</v>
          </cell>
          <cell r="D54">
            <v>113010</v>
          </cell>
          <cell r="E54" t="str">
            <v>Monitor de Signos Vitales Mediana Complejidad</v>
          </cell>
          <cell r="F54" t="str">
            <v>SI</v>
          </cell>
          <cell r="G54" t="str">
            <v>NO</v>
          </cell>
          <cell r="H54" t="str">
            <v>BOX REANIMACIÓN ADULTO</v>
          </cell>
          <cell r="I54">
            <v>1</v>
          </cell>
          <cell r="J54" t="str">
            <v>C.4.3.12.2</v>
          </cell>
          <cell r="K54" t="str">
            <v>Urgencia</v>
          </cell>
          <cell r="L54">
            <v>1</v>
          </cell>
          <cell r="M54">
            <v>46048</v>
          </cell>
          <cell r="N54">
            <v>46049</v>
          </cell>
          <cell r="O54">
            <v>5</v>
          </cell>
          <cell r="P54">
            <v>46056</v>
          </cell>
          <cell r="Q54">
            <v>5</v>
          </cell>
          <cell r="R54" t="str">
            <v>NA</v>
          </cell>
          <cell r="S54">
            <v>5</v>
          </cell>
        </row>
        <row r="55">
          <cell r="B55" t="str">
            <v>EMMC</v>
          </cell>
          <cell r="C55" t="str">
            <v>HSLB12830</v>
          </cell>
          <cell r="D55">
            <v>113010</v>
          </cell>
          <cell r="E55" t="str">
            <v>Monitor de Signos Vitales Mediana Complejidad</v>
          </cell>
          <cell r="F55" t="str">
            <v>SI</v>
          </cell>
          <cell r="G55" t="str">
            <v>NO</v>
          </cell>
          <cell r="H55" t="str">
            <v>SALA DE OBSERVACIONES (ADULTO)</v>
          </cell>
          <cell r="I55">
            <v>2</v>
          </cell>
          <cell r="J55" t="str">
            <v>C.4.3.4</v>
          </cell>
          <cell r="K55" t="str">
            <v>Urgencia</v>
          </cell>
          <cell r="L55">
            <v>1</v>
          </cell>
          <cell r="M55">
            <v>46048</v>
          </cell>
          <cell r="N55">
            <v>46049</v>
          </cell>
          <cell r="O55">
            <v>5</v>
          </cell>
          <cell r="P55">
            <v>46056</v>
          </cell>
          <cell r="Q55">
            <v>5</v>
          </cell>
          <cell r="R55" t="str">
            <v>NA</v>
          </cell>
          <cell r="S55">
            <v>5</v>
          </cell>
        </row>
        <row r="56">
          <cell r="B56" t="str">
            <v>EMMC</v>
          </cell>
          <cell r="C56" t="str">
            <v>HSLB12831</v>
          </cell>
          <cell r="D56">
            <v>113010</v>
          </cell>
          <cell r="E56" t="str">
            <v>Monitor de Signos Vitales Mediana Complejidad</v>
          </cell>
          <cell r="F56" t="str">
            <v>SI</v>
          </cell>
          <cell r="G56" t="str">
            <v>NO</v>
          </cell>
          <cell r="H56" t="str">
            <v>BOX REANIMACIÓN INFANTIL</v>
          </cell>
          <cell r="I56">
            <v>1</v>
          </cell>
          <cell r="J56" t="str">
            <v>C.4.4.12</v>
          </cell>
          <cell r="K56" t="str">
            <v>Urgencia</v>
          </cell>
          <cell r="L56">
            <v>1</v>
          </cell>
          <cell r="M56">
            <v>46048</v>
          </cell>
          <cell r="N56">
            <v>46049</v>
          </cell>
          <cell r="O56">
            <v>5</v>
          </cell>
          <cell r="P56">
            <v>46056</v>
          </cell>
          <cell r="Q56">
            <v>5</v>
          </cell>
          <cell r="R56" t="str">
            <v>NA</v>
          </cell>
          <cell r="S56">
            <v>5</v>
          </cell>
        </row>
        <row r="57">
          <cell r="B57" t="str">
            <v>EMMC</v>
          </cell>
          <cell r="C57" t="str">
            <v>HSLB12832</v>
          </cell>
          <cell r="D57">
            <v>113010</v>
          </cell>
          <cell r="E57" t="str">
            <v>Monitor de Signos Vitales Mediana Complejidad</v>
          </cell>
          <cell r="F57" t="str">
            <v>SI</v>
          </cell>
          <cell r="G57" t="str">
            <v>NO</v>
          </cell>
          <cell r="H57" t="str">
            <v>SALA OBSERVACIÓN (INFANTIL)</v>
          </cell>
          <cell r="I57">
            <v>1</v>
          </cell>
          <cell r="J57" t="str">
            <v>C.4.4.4</v>
          </cell>
          <cell r="K57" t="str">
            <v>Urgencia</v>
          </cell>
          <cell r="L57">
            <v>1</v>
          </cell>
          <cell r="M57">
            <v>46048</v>
          </cell>
          <cell r="N57">
            <v>46049</v>
          </cell>
          <cell r="O57">
            <v>5</v>
          </cell>
          <cell r="P57">
            <v>46056</v>
          </cell>
          <cell r="Q57">
            <v>5</v>
          </cell>
          <cell r="R57" t="str">
            <v>NA</v>
          </cell>
          <cell r="S57">
            <v>5</v>
          </cell>
        </row>
        <row r="58">
          <cell r="B58" t="str">
            <v>EMMC</v>
          </cell>
          <cell r="C58" t="str">
            <v>HSLB11337</v>
          </cell>
          <cell r="D58">
            <v>110011</v>
          </cell>
          <cell r="E58" t="str">
            <v>Cámara Mortuoria</v>
          </cell>
          <cell r="F58" t="str">
            <v>SI</v>
          </cell>
          <cell r="G58" t="str">
            <v>SI</v>
          </cell>
          <cell r="H58" t="str">
            <v>AREA DE REFRIGERACION DE CADAVERES</v>
          </cell>
          <cell r="I58">
            <v>2</v>
          </cell>
          <cell r="J58" t="str">
            <v>C.5.9.6</v>
          </cell>
          <cell r="K58" t="str">
            <v>Morgue</v>
          </cell>
          <cell r="L58">
            <v>1</v>
          </cell>
          <cell r="M58">
            <v>46049</v>
          </cell>
          <cell r="N58">
            <v>46050</v>
          </cell>
          <cell r="O58">
            <v>5</v>
          </cell>
          <cell r="P58">
            <v>46057</v>
          </cell>
          <cell r="Q58">
            <v>5</v>
          </cell>
          <cell r="R58" t="str">
            <v>NA</v>
          </cell>
          <cell r="S58">
            <v>5</v>
          </cell>
        </row>
        <row r="59">
          <cell r="B59" t="str">
            <v>EMMC</v>
          </cell>
          <cell r="C59" t="str">
            <v>HSLB10492</v>
          </cell>
          <cell r="D59">
            <v>104004</v>
          </cell>
          <cell r="E59" t="str">
            <v>Columna Gases Clínicos</v>
          </cell>
          <cell r="F59" t="str">
            <v>SI</v>
          </cell>
          <cell r="G59" t="str">
            <v>NO</v>
          </cell>
          <cell r="H59" t="str">
            <v>BOX REANIMACIÓN ADULTO</v>
          </cell>
          <cell r="I59">
            <v>1</v>
          </cell>
          <cell r="J59" t="str">
            <v>C.4.3.12.1</v>
          </cell>
          <cell r="K59" t="str">
            <v>Urgencia</v>
          </cell>
          <cell r="L59">
            <v>1</v>
          </cell>
          <cell r="M59">
            <v>46021</v>
          </cell>
          <cell r="N59">
            <v>46022</v>
          </cell>
          <cell r="O59">
            <v>15</v>
          </cell>
          <cell r="P59">
            <v>46038</v>
          </cell>
          <cell r="Q59">
            <v>5</v>
          </cell>
          <cell r="R59" t="str">
            <v>NA</v>
          </cell>
          <cell r="S59">
            <v>5</v>
          </cell>
        </row>
        <row r="60">
          <cell r="B60" t="str">
            <v>EMMC</v>
          </cell>
          <cell r="C60" t="str">
            <v>HSLB10493</v>
          </cell>
          <cell r="D60">
            <v>104004</v>
          </cell>
          <cell r="E60" t="str">
            <v>Columna Gases Clínicos</v>
          </cell>
          <cell r="F60" t="str">
            <v>SI</v>
          </cell>
          <cell r="G60" t="str">
            <v>NO</v>
          </cell>
          <cell r="H60" t="str">
            <v>BOX REANIMACIÓN ADULTO</v>
          </cell>
          <cell r="I60">
            <v>1</v>
          </cell>
          <cell r="J60" t="str">
            <v>C.4.3.12.2</v>
          </cell>
          <cell r="K60" t="str">
            <v>Urgencia</v>
          </cell>
          <cell r="L60">
            <v>1</v>
          </cell>
          <cell r="M60">
            <v>46021</v>
          </cell>
          <cell r="N60">
            <v>46022</v>
          </cell>
          <cell r="O60">
            <v>15</v>
          </cell>
          <cell r="P60">
            <v>46038</v>
          </cell>
          <cell r="Q60">
            <v>5</v>
          </cell>
          <cell r="R60" t="str">
            <v>NA</v>
          </cell>
          <cell r="S60">
            <v>5</v>
          </cell>
        </row>
        <row r="61">
          <cell r="B61" t="str">
            <v>EMMC</v>
          </cell>
          <cell r="C61" t="str">
            <v>HSLB10494</v>
          </cell>
          <cell r="D61">
            <v>104004</v>
          </cell>
          <cell r="E61" t="str">
            <v>Columna Gases Clínicos</v>
          </cell>
          <cell r="F61" t="str">
            <v>SI</v>
          </cell>
          <cell r="G61" t="str">
            <v>NO</v>
          </cell>
          <cell r="H61" t="str">
            <v>BOX REANIMACIÓN INFANTIL</v>
          </cell>
          <cell r="I61">
            <v>1</v>
          </cell>
          <cell r="J61" t="str">
            <v>C.4.4.12</v>
          </cell>
          <cell r="K61" t="str">
            <v>Urgencia</v>
          </cell>
          <cell r="L61">
            <v>1</v>
          </cell>
          <cell r="M61">
            <v>46021</v>
          </cell>
          <cell r="N61">
            <v>46022</v>
          </cell>
          <cell r="O61">
            <v>15</v>
          </cell>
          <cell r="P61">
            <v>46038</v>
          </cell>
          <cell r="Q61">
            <v>5</v>
          </cell>
          <cell r="R61" t="str">
            <v>NA</v>
          </cell>
          <cell r="S61">
            <v>5</v>
          </cell>
        </row>
        <row r="62">
          <cell r="B62" t="str">
            <v>EMMC</v>
          </cell>
          <cell r="C62" t="str">
            <v>HSLB10372</v>
          </cell>
          <cell r="D62">
            <v>103032</v>
          </cell>
          <cell r="E62" t="str">
            <v>Lavachatas Automático</v>
          </cell>
          <cell r="F62" t="str">
            <v>SI</v>
          </cell>
          <cell r="G62" t="str">
            <v>NO</v>
          </cell>
          <cell r="H62" t="str">
            <v>LAVACHATA AUTOMATICO</v>
          </cell>
          <cell r="I62">
            <v>1</v>
          </cell>
          <cell r="J62" t="str">
            <v>C.4.5.12.1</v>
          </cell>
          <cell r="K62" t="str">
            <v>Urgencia</v>
          </cell>
          <cell r="L62">
            <v>1</v>
          </cell>
          <cell r="M62">
            <v>46043</v>
          </cell>
          <cell r="N62">
            <v>46044</v>
          </cell>
          <cell r="O62">
            <v>5</v>
          </cell>
          <cell r="P62">
            <v>46062</v>
          </cell>
          <cell r="Q62">
            <v>5</v>
          </cell>
          <cell r="R62">
            <v>15</v>
          </cell>
          <cell r="S62">
            <v>5</v>
          </cell>
        </row>
        <row r="63">
          <cell r="B63" t="str">
            <v>EMMC</v>
          </cell>
          <cell r="C63" t="str">
            <v>HSLB10373</v>
          </cell>
          <cell r="D63">
            <v>103032</v>
          </cell>
          <cell r="E63" t="str">
            <v>Lavachatas Automático</v>
          </cell>
          <cell r="F63" t="str">
            <v>SI</v>
          </cell>
          <cell r="G63" t="str">
            <v>NO</v>
          </cell>
          <cell r="H63" t="str">
            <v>LAVACHATA AUTOMATICO</v>
          </cell>
          <cell r="I63">
            <v>1</v>
          </cell>
          <cell r="J63" t="str">
            <v>C.4.5.12.2</v>
          </cell>
          <cell r="K63" t="str">
            <v>Urgencia</v>
          </cell>
          <cell r="L63">
            <v>1</v>
          </cell>
          <cell r="M63">
            <v>46043</v>
          </cell>
          <cell r="N63">
            <v>46044</v>
          </cell>
          <cell r="O63">
            <v>5</v>
          </cell>
          <cell r="P63">
            <v>46062</v>
          </cell>
          <cell r="Q63">
            <v>5</v>
          </cell>
          <cell r="R63">
            <v>15</v>
          </cell>
          <cell r="S63">
            <v>5</v>
          </cell>
        </row>
        <row r="64">
          <cell r="B64" t="str">
            <v>EMMC</v>
          </cell>
          <cell r="C64" t="str">
            <v>HSLB11351</v>
          </cell>
          <cell r="D64">
            <v>110020</v>
          </cell>
          <cell r="E64" t="str">
            <v>Dispensador Automático de insumos 1 Columna</v>
          </cell>
          <cell r="F64" t="str">
            <v>NO</v>
          </cell>
          <cell r="G64" t="str">
            <v>NO</v>
          </cell>
          <cell r="H64" t="str">
            <v>DISPENSADOR DE MEDICAMENTOS</v>
          </cell>
          <cell r="I64">
            <v>1</v>
          </cell>
          <cell r="J64" t="str">
            <v>C.2.3.17.2</v>
          </cell>
          <cell r="K64" t="str">
            <v>Dialisis</v>
          </cell>
          <cell r="L64">
            <v>1</v>
          </cell>
          <cell r="M64">
            <v>46031</v>
          </cell>
          <cell r="N64">
            <v>46034</v>
          </cell>
          <cell r="O64">
            <v>5</v>
          </cell>
          <cell r="P64">
            <v>46050</v>
          </cell>
          <cell r="Q64">
            <v>5</v>
          </cell>
          <cell r="R64">
            <v>15</v>
          </cell>
          <cell r="S64">
            <v>5</v>
          </cell>
        </row>
        <row r="65">
          <cell r="B65" t="str">
            <v>EMMC</v>
          </cell>
          <cell r="C65" t="str">
            <v>HSLB11353</v>
          </cell>
          <cell r="D65">
            <v>110021</v>
          </cell>
          <cell r="E65" t="str">
            <v>Dispensador Automático de insumos y Medicamentos 1 Columna</v>
          </cell>
          <cell r="F65" t="str">
            <v>SI</v>
          </cell>
          <cell r="G65" t="str">
            <v>NO</v>
          </cell>
          <cell r="H65" t="str">
            <v>DISPENSADOR DE MEDICAMENTOS</v>
          </cell>
          <cell r="I65">
            <v>1</v>
          </cell>
          <cell r="J65" t="str">
            <v>C.2.5.3.26</v>
          </cell>
          <cell r="K65" t="str">
            <v>UHCIP</v>
          </cell>
          <cell r="L65">
            <v>1</v>
          </cell>
          <cell r="M65">
            <v>46037</v>
          </cell>
          <cell r="N65">
            <v>46038</v>
          </cell>
          <cell r="O65">
            <v>5</v>
          </cell>
          <cell r="P65">
            <v>46056</v>
          </cell>
          <cell r="Q65">
            <v>5</v>
          </cell>
          <cell r="R65" t="str">
            <v>NA</v>
          </cell>
          <cell r="S65">
            <v>5</v>
          </cell>
        </row>
        <row r="66">
          <cell r="B66" t="str">
            <v>EMMC</v>
          </cell>
          <cell r="C66" t="str">
            <v>HSLB11361</v>
          </cell>
          <cell r="D66">
            <v>110022</v>
          </cell>
          <cell r="E66" t="str">
            <v>Dispensador Automático de insumos y Medicamentos 2 Columnas</v>
          </cell>
          <cell r="F66" t="str">
            <v>SI</v>
          </cell>
          <cell r="G66" t="str">
            <v>NO</v>
          </cell>
          <cell r="H66" t="str">
            <v>DISPENSADOR DE MEDICAMENTOS</v>
          </cell>
          <cell r="I66">
            <v>1</v>
          </cell>
          <cell r="J66" t="str">
            <v>C.3.6.2.6</v>
          </cell>
          <cell r="K66" t="str">
            <v>Urgencia</v>
          </cell>
          <cell r="L66">
            <v>1</v>
          </cell>
          <cell r="M66">
            <v>46042</v>
          </cell>
          <cell r="N66">
            <v>46043</v>
          </cell>
          <cell r="O66">
            <v>5</v>
          </cell>
          <cell r="P66">
            <v>46059</v>
          </cell>
          <cell r="Q66">
            <v>5</v>
          </cell>
          <cell r="R66" t="str">
            <v>NA</v>
          </cell>
          <cell r="S66">
            <v>5</v>
          </cell>
        </row>
        <row r="67">
          <cell r="B67" t="str">
            <v>EMMC</v>
          </cell>
          <cell r="C67" t="str">
            <v>HSLB11363</v>
          </cell>
          <cell r="D67">
            <v>110022</v>
          </cell>
          <cell r="E67" t="str">
            <v>Dispensador Automático de insumos y Medicamentos 2 Columnas</v>
          </cell>
          <cell r="F67" t="str">
            <v>SI</v>
          </cell>
          <cell r="G67" t="str">
            <v>NO</v>
          </cell>
          <cell r="H67" t="str">
            <v>DISPENSADOR DE MEDICAMENTOS</v>
          </cell>
          <cell r="I67">
            <v>2</v>
          </cell>
          <cell r="J67" t="str">
            <v>C.4.3.10</v>
          </cell>
          <cell r="K67" t="str">
            <v>Urgencia</v>
          </cell>
          <cell r="L67">
            <v>1</v>
          </cell>
          <cell r="M67">
            <v>46042</v>
          </cell>
          <cell r="N67">
            <v>46043</v>
          </cell>
          <cell r="O67">
            <v>5</v>
          </cell>
          <cell r="P67">
            <v>46059</v>
          </cell>
          <cell r="Q67">
            <v>5</v>
          </cell>
          <cell r="R67" t="str">
            <v>NA</v>
          </cell>
          <cell r="S67">
            <v>5</v>
          </cell>
        </row>
        <row r="68">
          <cell r="B68" t="str">
            <v>EMMC</v>
          </cell>
          <cell r="C68" t="str">
            <v>HSLB11364</v>
          </cell>
          <cell r="D68">
            <v>110022</v>
          </cell>
          <cell r="E68" t="str">
            <v>Dispensador Automático de insumos y Medicamentos 2 Columnas</v>
          </cell>
          <cell r="F68" t="str">
            <v>SI</v>
          </cell>
          <cell r="G68" t="str">
            <v>NO</v>
          </cell>
          <cell r="H68" t="str">
            <v>DISPENSADOR MEDICAMENTOS</v>
          </cell>
          <cell r="I68">
            <v>1</v>
          </cell>
          <cell r="J68" t="str">
            <v>C.4.4.10</v>
          </cell>
          <cell r="K68" t="str">
            <v>Urgencia</v>
          </cell>
          <cell r="L68">
            <v>1</v>
          </cell>
          <cell r="M68">
            <v>46042</v>
          </cell>
          <cell r="N68">
            <v>46043</v>
          </cell>
          <cell r="O68">
            <v>5</v>
          </cell>
          <cell r="P68">
            <v>46059</v>
          </cell>
          <cell r="Q68">
            <v>5</v>
          </cell>
          <cell r="R68" t="str">
            <v>NA</v>
          </cell>
          <cell r="S68">
            <v>5</v>
          </cell>
        </row>
        <row r="69">
          <cell r="B69" t="str">
            <v>EMMC</v>
          </cell>
          <cell r="C69" t="str">
            <v>HSLB10511</v>
          </cell>
          <cell r="D69">
            <v>104009</v>
          </cell>
          <cell r="E69" t="str">
            <v>Lámpara de Procedimientos a techo</v>
          </cell>
          <cell r="F69" t="str">
            <v>SI</v>
          </cell>
          <cell r="G69" t="str">
            <v>NO</v>
          </cell>
          <cell r="H69" t="str">
            <v>BOX REANIMACIÓN ADULTO</v>
          </cell>
          <cell r="I69">
            <v>1</v>
          </cell>
          <cell r="J69" t="str">
            <v>C.4.3.12.1</v>
          </cell>
          <cell r="K69" t="str">
            <v>Urgencia</v>
          </cell>
          <cell r="L69">
            <v>1</v>
          </cell>
          <cell r="M69">
            <v>46021</v>
          </cell>
          <cell r="N69">
            <v>46022</v>
          </cell>
          <cell r="O69">
            <v>15</v>
          </cell>
          <cell r="P69">
            <v>46038</v>
          </cell>
          <cell r="Q69">
            <v>5</v>
          </cell>
          <cell r="R69" t="str">
            <v>NA</v>
          </cell>
          <cell r="S69">
            <v>5</v>
          </cell>
        </row>
        <row r="70">
          <cell r="B70" t="str">
            <v>EMMC</v>
          </cell>
          <cell r="C70" t="str">
            <v>HSLB10512</v>
          </cell>
          <cell r="D70">
            <v>104009</v>
          </cell>
          <cell r="E70" t="str">
            <v>Lámpara de Procedimientos a techo</v>
          </cell>
          <cell r="F70" t="str">
            <v>SI</v>
          </cell>
          <cell r="G70" t="str">
            <v>NO</v>
          </cell>
          <cell r="H70" t="str">
            <v>BOX REANIMACIÓN ADULTO</v>
          </cell>
          <cell r="I70">
            <v>1</v>
          </cell>
          <cell r="J70" t="str">
            <v>C.4.3.12.2</v>
          </cell>
          <cell r="K70" t="str">
            <v>Urgencia</v>
          </cell>
          <cell r="L70">
            <v>1</v>
          </cell>
          <cell r="M70">
            <v>46021</v>
          </cell>
          <cell r="N70">
            <v>46022</v>
          </cell>
          <cell r="O70">
            <v>15</v>
          </cell>
          <cell r="P70">
            <v>46038</v>
          </cell>
          <cell r="Q70">
            <v>5</v>
          </cell>
          <cell r="R70" t="str">
            <v>NA</v>
          </cell>
          <cell r="S70">
            <v>5</v>
          </cell>
        </row>
        <row r="71">
          <cell r="B71" t="str">
            <v>EMMC</v>
          </cell>
          <cell r="C71" t="str">
            <v>HSLB10513</v>
          </cell>
          <cell r="D71">
            <v>104009</v>
          </cell>
          <cell r="E71" t="str">
            <v>Lámpara de Procedimientos a techo</v>
          </cell>
          <cell r="F71" t="str">
            <v>SI</v>
          </cell>
          <cell r="G71" t="str">
            <v>NO</v>
          </cell>
          <cell r="H71" t="str">
            <v>BOX REANIMACIÓN INFANTIL</v>
          </cell>
          <cell r="I71">
            <v>1</v>
          </cell>
          <cell r="J71" t="str">
            <v>C.4.4.12</v>
          </cell>
          <cell r="K71" t="str">
            <v>Urgencia</v>
          </cell>
          <cell r="L71">
            <v>1</v>
          </cell>
          <cell r="M71">
            <v>46021</v>
          </cell>
          <cell r="N71">
            <v>46022</v>
          </cell>
          <cell r="O71">
            <v>15</v>
          </cell>
          <cell r="P71">
            <v>46038</v>
          </cell>
          <cell r="Q71">
            <v>5</v>
          </cell>
          <cell r="R71" t="str">
            <v>NA</v>
          </cell>
          <cell r="S71">
            <v>5</v>
          </cell>
        </row>
        <row r="72">
          <cell r="B72" t="str">
            <v>EMMC</v>
          </cell>
          <cell r="C72" t="str">
            <v>HSLB11160</v>
          </cell>
          <cell r="D72">
            <v>108008</v>
          </cell>
          <cell r="E72" t="str">
            <v>Rx Mamógrafo</v>
          </cell>
          <cell r="F72" t="str">
            <v>SI</v>
          </cell>
          <cell r="G72" t="str">
            <v>NO</v>
          </cell>
          <cell r="H72" t="str">
            <v>SALA MAMÓGRAFO</v>
          </cell>
          <cell r="I72">
            <v>1</v>
          </cell>
          <cell r="J72" t="str">
            <v>C.5.3.6</v>
          </cell>
          <cell r="K72" t="str">
            <v>Imagenología</v>
          </cell>
          <cell r="L72">
            <v>1</v>
          </cell>
          <cell r="M72">
            <v>46003</v>
          </cell>
          <cell r="N72">
            <v>46006</v>
          </cell>
          <cell r="O72">
            <v>12</v>
          </cell>
          <cell r="P72">
            <v>46022</v>
          </cell>
          <cell r="Q72">
            <v>5</v>
          </cell>
          <cell r="R72" t="str">
            <v>NA</v>
          </cell>
          <cell r="S72">
            <v>5</v>
          </cell>
        </row>
        <row r="73">
          <cell r="B73" t="str">
            <v>EMMC</v>
          </cell>
          <cell r="C73" t="str">
            <v>HSLB11460</v>
          </cell>
          <cell r="D73">
            <v>111012</v>
          </cell>
          <cell r="E73" t="str">
            <v>Calentador de Compresas</v>
          </cell>
          <cell r="F73" t="str">
            <v>SI</v>
          </cell>
          <cell r="G73" t="str">
            <v>NO</v>
          </cell>
          <cell r="H73" t="str">
            <v>SALA KINESOTERAPIA ZONA COMPRESERO</v>
          </cell>
          <cell r="I73">
            <v>1</v>
          </cell>
          <cell r="J73" t="str">
            <v>C.5.7.10</v>
          </cell>
          <cell r="K73" t="str">
            <v>Med Física y Rehabilitación</v>
          </cell>
          <cell r="L73">
            <v>1</v>
          </cell>
          <cell r="M73">
            <v>46052</v>
          </cell>
          <cell r="N73">
            <v>46055</v>
          </cell>
          <cell r="O73">
            <v>2</v>
          </cell>
          <cell r="P73">
            <v>46057</v>
          </cell>
          <cell r="Q73">
            <v>5</v>
          </cell>
          <cell r="R73" t="str">
            <v>NA</v>
          </cell>
          <cell r="S73">
            <v>5</v>
          </cell>
        </row>
        <row r="74">
          <cell r="B74" t="str">
            <v>EMMC</v>
          </cell>
          <cell r="C74" t="str">
            <v>HSLB11602</v>
          </cell>
          <cell r="D74">
            <v>111108</v>
          </cell>
          <cell r="E74" t="str">
            <v>Turbión Extremidad Inferior</v>
          </cell>
          <cell r="F74" t="str">
            <v>SI</v>
          </cell>
          <cell r="G74" t="str">
            <v>NO</v>
          </cell>
          <cell r="H74" t="str">
            <v>SALA KINESOTERAPIA CUBICULO TURBION ADULTO</v>
          </cell>
          <cell r="I74">
            <v>1</v>
          </cell>
          <cell r="J74" t="str">
            <v>C.5.7.7</v>
          </cell>
          <cell r="K74" t="str">
            <v>Med Física y Rehabilitación</v>
          </cell>
          <cell r="L74">
            <v>1</v>
          </cell>
          <cell r="M74">
            <v>46049</v>
          </cell>
          <cell r="N74">
            <v>46050</v>
          </cell>
          <cell r="O74">
            <v>1</v>
          </cell>
          <cell r="P74">
            <v>46051</v>
          </cell>
          <cell r="Q74">
            <v>5</v>
          </cell>
          <cell r="R74" t="str">
            <v>NA</v>
          </cell>
          <cell r="S74">
            <v>5</v>
          </cell>
        </row>
        <row r="75">
          <cell r="B75" t="str">
            <v>EMMC</v>
          </cell>
          <cell r="C75" t="str">
            <v>HSLB11603</v>
          </cell>
          <cell r="D75">
            <v>111109</v>
          </cell>
          <cell r="E75" t="str">
            <v>Turbión Extremidad Superior</v>
          </cell>
          <cell r="F75" t="str">
            <v>SI</v>
          </cell>
          <cell r="G75" t="str">
            <v>NO</v>
          </cell>
          <cell r="H75" t="str">
            <v>SALA KINESOTERAPIA CUBICULO TURBION INFANTIL</v>
          </cell>
          <cell r="I75">
            <v>1</v>
          </cell>
          <cell r="J75" t="str">
            <v>C.5.7.8</v>
          </cell>
          <cell r="K75" t="str">
            <v>Med Física y Rehabilitación</v>
          </cell>
          <cell r="L75">
            <v>1</v>
          </cell>
          <cell r="M75">
            <v>46049</v>
          </cell>
          <cell r="N75">
            <v>46050</v>
          </cell>
          <cell r="O75">
            <v>1</v>
          </cell>
          <cell r="P75">
            <v>46051</v>
          </cell>
          <cell r="Q75">
            <v>5</v>
          </cell>
          <cell r="R75" t="str">
            <v>NA</v>
          </cell>
          <cell r="S75">
            <v>5</v>
          </cell>
        </row>
        <row r="76">
          <cell r="B76" t="str">
            <v>EMMC</v>
          </cell>
          <cell r="C76" t="str">
            <v>HSLB11834</v>
          </cell>
          <cell r="D76">
            <v>112022</v>
          </cell>
          <cell r="E76" t="str">
            <v>Carro de paro</v>
          </cell>
          <cell r="F76" t="str">
            <v>NO</v>
          </cell>
          <cell r="G76" t="str">
            <v>SI</v>
          </cell>
          <cell r="H76" t="str">
            <v>GIMNASIO ADULTO REHABILITACIÓN CARDIOVASCULAR</v>
          </cell>
          <cell r="I76">
            <v>1</v>
          </cell>
          <cell r="J76" t="str">
            <v>C.5.7.14</v>
          </cell>
          <cell r="K76" t="str">
            <v>Med Física y Rehabilitación</v>
          </cell>
          <cell r="L76">
            <v>1</v>
          </cell>
          <cell r="M76">
            <v>46003</v>
          </cell>
          <cell r="N76">
            <v>46006</v>
          </cell>
          <cell r="O76">
            <v>1</v>
          </cell>
          <cell r="P76">
            <v>46007</v>
          </cell>
          <cell r="Q76">
            <v>1</v>
          </cell>
          <cell r="R76" t="str">
            <v>NA</v>
          </cell>
          <cell r="S76">
            <v>5</v>
          </cell>
        </row>
        <row r="77">
          <cell r="B77" t="str">
            <v>EMMC</v>
          </cell>
          <cell r="C77" t="str">
            <v>HSLB11813</v>
          </cell>
          <cell r="D77">
            <v>112022</v>
          </cell>
          <cell r="E77" t="str">
            <v>Carro de Paro</v>
          </cell>
          <cell r="F77" t="str">
            <v>NO</v>
          </cell>
          <cell r="G77" t="str">
            <v>NO</v>
          </cell>
          <cell r="H77" t="str">
            <v>ESTACIÓN DE ENFERMERÍA</v>
          </cell>
          <cell r="I77">
            <v>1</v>
          </cell>
          <cell r="J77" t="str">
            <v>C.2.3.15.3</v>
          </cell>
          <cell r="K77" t="str">
            <v>Dialisis</v>
          </cell>
          <cell r="L77">
            <v>1</v>
          </cell>
          <cell r="M77">
            <v>46031</v>
          </cell>
          <cell r="N77">
            <v>46034</v>
          </cell>
          <cell r="O77">
            <v>1</v>
          </cell>
          <cell r="P77">
            <v>46035</v>
          </cell>
          <cell r="Q77">
            <v>1</v>
          </cell>
          <cell r="R77" t="str">
            <v>NA</v>
          </cell>
          <cell r="S77">
            <v>5</v>
          </cell>
        </row>
        <row r="78">
          <cell r="B78" t="str">
            <v>EMMC</v>
          </cell>
          <cell r="C78" t="str">
            <v>HSLB12748</v>
          </cell>
          <cell r="D78">
            <v>113008</v>
          </cell>
          <cell r="E78" t="str">
            <v>Monitor de Signos Vitales Baja Complejidad</v>
          </cell>
          <cell r="F78" t="str">
            <v>NO</v>
          </cell>
          <cell r="G78" t="str">
            <v>NO</v>
          </cell>
          <cell r="H78" t="str">
            <v>SALA DE OBSERVACIONES (ADULTO)</v>
          </cell>
          <cell r="I78">
            <v>2</v>
          </cell>
          <cell r="J78" t="str">
            <v>C.4.3.4</v>
          </cell>
          <cell r="K78" t="str">
            <v>Urgencia</v>
          </cell>
          <cell r="L78">
            <v>1</v>
          </cell>
          <cell r="M78">
            <v>46003</v>
          </cell>
          <cell r="N78">
            <v>46006</v>
          </cell>
          <cell r="O78">
            <v>1</v>
          </cell>
          <cell r="P78">
            <v>46007</v>
          </cell>
          <cell r="Q78">
            <v>1</v>
          </cell>
          <cell r="R78" t="str">
            <v>NA</v>
          </cell>
          <cell r="S78">
            <v>5</v>
          </cell>
        </row>
        <row r="79">
          <cell r="B79" t="str">
            <v>EMMC</v>
          </cell>
          <cell r="C79" t="str">
            <v>HSLB12767</v>
          </cell>
          <cell r="D79">
            <v>113009</v>
          </cell>
          <cell r="E79" t="str">
            <v>Monitor de Signos Vitales Básico</v>
          </cell>
          <cell r="F79" t="str">
            <v>NO</v>
          </cell>
          <cell r="G79" t="str">
            <v>SI</v>
          </cell>
          <cell r="H79" t="str">
            <v>SALA DE TRATAMIENTOS TRANSITORIOS</v>
          </cell>
          <cell r="I79">
            <v>2</v>
          </cell>
          <cell r="J79" t="str">
            <v>C.2.4.7</v>
          </cell>
          <cell r="K79" t="str">
            <v>Imagenología</v>
          </cell>
          <cell r="L79">
            <v>1</v>
          </cell>
          <cell r="M79">
            <v>46003</v>
          </cell>
          <cell r="N79">
            <v>46006</v>
          </cell>
          <cell r="O79">
            <v>1</v>
          </cell>
          <cell r="P79">
            <v>46007</v>
          </cell>
          <cell r="Q79">
            <v>1</v>
          </cell>
          <cell r="R79" t="str">
            <v>NA</v>
          </cell>
          <cell r="S79">
            <v>5</v>
          </cell>
        </row>
        <row r="80">
          <cell r="B80" t="str">
            <v>EMMC</v>
          </cell>
          <cell r="C80" t="str">
            <v>HSLB12798</v>
          </cell>
          <cell r="D80">
            <v>113009</v>
          </cell>
          <cell r="E80" t="str">
            <v>Monitor de Signos Vitales Básico</v>
          </cell>
          <cell r="F80" t="str">
            <v>NO</v>
          </cell>
          <cell r="G80" t="str">
            <v>NO</v>
          </cell>
          <cell r="H80" t="str">
            <v>SELECTOR DEMANDA ADULTO</v>
          </cell>
          <cell r="I80">
            <v>2</v>
          </cell>
          <cell r="J80" t="str">
            <v>C.4.3.1</v>
          </cell>
          <cell r="K80" t="str">
            <v>Urgencia</v>
          </cell>
          <cell r="L80">
            <v>1</v>
          </cell>
          <cell r="M80">
            <v>46003</v>
          </cell>
          <cell r="N80">
            <v>46006</v>
          </cell>
          <cell r="O80">
            <v>1</v>
          </cell>
          <cell r="P80">
            <v>46007</v>
          </cell>
          <cell r="Q80">
            <v>1</v>
          </cell>
          <cell r="R80" t="str">
            <v>NA</v>
          </cell>
          <cell r="S80">
            <v>5</v>
          </cell>
        </row>
        <row r="81">
          <cell r="B81" t="str">
            <v>EMMC</v>
          </cell>
          <cell r="C81" t="str">
            <v>HSLB12805</v>
          </cell>
          <cell r="D81">
            <v>113009</v>
          </cell>
          <cell r="E81" t="str">
            <v>Monitor de Signos Vitales Básico</v>
          </cell>
          <cell r="F81" t="str">
            <v>NO</v>
          </cell>
          <cell r="G81" t="str">
            <v>NO</v>
          </cell>
          <cell r="H81" t="str">
            <v>SELECTOR DE DEMANDA (infantil)</v>
          </cell>
          <cell r="I81">
            <v>2</v>
          </cell>
          <cell r="J81" t="str">
            <v>C.4.4.1</v>
          </cell>
          <cell r="K81" t="str">
            <v>Urgencia</v>
          </cell>
          <cell r="L81">
            <v>1</v>
          </cell>
          <cell r="M81">
            <v>46003</v>
          </cell>
          <cell r="N81">
            <v>46006</v>
          </cell>
          <cell r="O81">
            <v>1</v>
          </cell>
          <cell r="P81">
            <v>46007</v>
          </cell>
          <cell r="Q81">
            <v>1</v>
          </cell>
          <cell r="R81" t="str">
            <v>NA</v>
          </cell>
          <cell r="S81">
            <v>5</v>
          </cell>
        </row>
        <row r="82">
          <cell r="B82" t="str">
            <v>EMMC</v>
          </cell>
          <cell r="C82" t="str">
            <v>HSLB12808</v>
          </cell>
          <cell r="D82">
            <v>113009</v>
          </cell>
          <cell r="E82" t="str">
            <v>Monitor de Signos Vitales Básico</v>
          </cell>
          <cell r="F82" t="str">
            <v>NO</v>
          </cell>
          <cell r="G82" t="str">
            <v>NO</v>
          </cell>
          <cell r="H82" t="str">
            <v>BODEGA DE EQUIPOS MEDICOS</v>
          </cell>
          <cell r="I82">
            <v>2</v>
          </cell>
          <cell r="J82" t="str">
            <v>C.4.5.6.2</v>
          </cell>
          <cell r="K82" t="str">
            <v>Urgencia</v>
          </cell>
          <cell r="L82">
            <v>1</v>
          </cell>
          <cell r="M82">
            <v>46003</v>
          </cell>
          <cell r="N82">
            <v>46006</v>
          </cell>
          <cell r="O82">
            <v>1</v>
          </cell>
          <cell r="P82">
            <v>46007</v>
          </cell>
          <cell r="Q82">
            <v>1</v>
          </cell>
          <cell r="R82" t="str">
            <v>NA</v>
          </cell>
          <cell r="S82">
            <v>5</v>
          </cell>
        </row>
        <row r="83">
          <cell r="B83" t="str">
            <v>EMMC</v>
          </cell>
          <cell r="C83" t="str">
            <v>HSLB12836</v>
          </cell>
          <cell r="D83">
            <v>113011</v>
          </cell>
          <cell r="E83" t="str">
            <v>Monitor de Transporte alta complejidad</v>
          </cell>
          <cell r="F83" t="str">
            <v>NO</v>
          </cell>
          <cell r="G83" t="str">
            <v>NO</v>
          </cell>
          <cell r="H83" t="str">
            <v>BODEGA DE EQUIPOS MEDICOS</v>
          </cell>
          <cell r="I83">
            <v>2</v>
          </cell>
          <cell r="J83" t="str">
            <v>C.4.5.6.2</v>
          </cell>
          <cell r="K83" t="str">
            <v>Urgencia</v>
          </cell>
          <cell r="L83">
            <v>1</v>
          </cell>
          <cell r="M83">
            <v>46003</v>
          </cell>
          <cell r="N83">
            <v>46006</v>
          </cell>
          <cell r="O83">
            <v>1</v>
          </cell>
          <cell r="P83">
            <v>46007</v>
          </cell>
          <cell r="Q83">
            <v>1</v>
          </cell>
          <cell r="R83" t="str">
            <v>NA</v>
          </cell>
          <cell r="S83">
            <v>5</v>
          </cell>
        </row>
        <row r="84">
          <cell r="B84" t="str">
            <v>EMMC</v>
          </cell>
          <cell r="C84" t="str">
            <v>HSLB11814</v>
          </cell>
          <cell r="D84">
            <v>112022</v>
          </cell>
          <cell r="E84" t="str">
            <v>Carro de Paro</v>
          </cell>
          <cell r="F84" t="str">
            <v>NO</v>
          </cell>
          <cell r="G84" t="str">
            <v>NO</v>
          </cell>
          <cell r="H84" t="str">
            <v>SALA DE PROCEDIMIENTO</v>
          </cell>
          <cell r="I84">
            <v>1</v>
          </cell>
          <cell r="J84" t="str">
            <v>C.2.5.3.33</v>
          </cell>
          <cell r="K84" t="str">
            <v>UHCIP</v>
          </cell>
          <cell r="L84">
            <v>1</v>
          </cell>
          <cell r="M84">
            <v>46024</v>
          </cell>
          <cell r="N84">
            <v>46027</v>
          </cell>
          <cell r="O84">
            <v>1</v>
          </cell>
          <cell r="P84">
            <v>46028</v>
          </cell>
          <cell r="Q84">
            <v>1</v>
          </cell>
          <cell r="R84" t="str">
            <v>NA</v>
          </cell>
          <cell r="S84">
            <v>5</v>
          </cell>
        </row>
        <row r="85">
          <cell r="B85" t="str">
            <v>EMMC</v>
          </cell>
          <cell r="C85" t="str">
            <v>HSLB12815</v>
          </cell>
          <cell r="D85">
            <v>113009</v>
          </cell>
          <cell r="E85" t="str">
            <v>Monitor de Signos Vitales Básico</v>
          </cell>
          <cell r="F85" t="str">
            <v>NO</v>
          </cell>
          <cell r="G85" t="str">
            <v>SI</v>
          </cell>
          <cell r="H85" t="str">
            <v>GIMNASIO ADULTO REHABILITACIÓN CARDIOVASCULAR</v>
          </cell>
          <cell r="I85">
            <v>1</v>
          </cell>
          <cell r="J85" t="str">
            <v>C.5.7.14</v>
          </cell>
          <cell r="K85" t="str">
            <v>Med Física y Rehabilitación</v>
          </cell>
          <cell r="L85">
            <v>1</v>
          </cell>
          <cell r="M85">
            <v>46003</v>
          </cell>
          <cell r="N85">
            <v>46006</v>
          </cell>
          <cell r="O85">
            <v>1</v>
          </cell>
          <cell r="P85">
            <v>46007</v>
          </cell>
          <cell r="Q85">
            <v>1</v>
          </cell>
          <cell r="R85" t="str">
            <v>NA</v>
          </cell>
          <cell r="S85">
            <v>5</v>
          </cell>
        </row>
        <row r="86">
          <cell r="B86" t="str">
            <v>EMMC</v>
          </cell>
          <cell r="C86" t="str">
            <v>HSLB12816</v>
          </cell>
          <cell r="D86">
            <v>113009</v>
          </cell>
          <cell r="E86" t="str">
            <v>Monitor de Signos Vitales Básico</v>
          </cell>
          <cell r="F86" t="str">
            <v>NO</v>
          </cell>
          <cell r="G86" t="str">
            <v>NO</v>
          </cell>
          <cell r="H86" t="str">
            <v>SALA PREPARACIÓN DE PACIENTES</v>
          </cell>
          <cell r="I86">
            <v>1</v>
          </cell>
          <cell r="J86" t="str">
            <v>C.5.7.6</v>
          </cell>
          <cell r="K86" t="str">
            <v>Med Física y Rehabilitación</v>
          </cell>
          <cell r="L86">
            <v>1</v>
          </cell>
          <cell r="M86">
            <v>46013</v>
          </cell>
          <cell r="N86">
            <v>46014</v>
          </cell>
          <cell r="O86">
            <v>1</v>
          </cell>
          <cell r="P86">
            <v>46015</v>
          </cell>
          <cell r="Q86">
            <v>1</v>
          </cell>
          <cell r="R86" t="str">
            <v>NA</v>
          </cell>
          <cell r="S86">
            <v>5</v>
          </cell>
        </row>
        <row r="87">
          <cell r="B87" t="str">
            <v>EMMC</v>
          </cell>
          <cell r="C87" t="str">
            <v>HSLB12760</v>
          </cell>
          <cell r="D87">
            <v>113009</v>
          </cell>
          <cell r="E87" t="str">
            <v>Monitor de Signos Vitales Básico</v>
          </cell>
          <cell r="F87" t="str">
            <v>NO</v>
          </cell>
          <cell r="G87" t="str">
            <v>NO</v>
          </cell>
          <cell r="H87" t="str">
            <v>BOX EVALUACIÓN</v>
          </cell>
          <cell r="I87">
            <v>1</v>
          </cell>
          <cell r="J87" t="str">
            <v>C.2.3.12</v>
          </cell>
          <cell r="K87" t="str">
            <v>Dialisis</v>
          </cell>
          <cell r="L87">
            <v>1</v>
          </cell>
          <cell r="M87">
            <v>46031</v>
          </cell>
          <cell r="N87">
            <v>46034</v>
          </cell>
          <cell r="O87">
            <v>1</v>
          </cell>
          <cell r="P87">
            <v>46035</v>
          </cell>
          <cell r="Q87">
            <v>1</v>
          </cell>
          <cell r="R87" t="str">
            <v>NA</v>
          </cell>
          <cell r="S87">
            <v>5</v>
          </cell>
        </row>
        <row r="88">
          <cell r="B88" t="str">
            <v>EMMC</v>
          </cell>
          <cell r="C88" t="str">
            <v>HSLB12761</v>
          </cell>
          <cell r="D88">
            <v>113009</v>
          </cell>
          <cell r="E88" t="str">
            <v>Monitor de Signos Vitales Básico</v>
          </cell>
          <cell r="F88" t="str">
            <v>NO</v>
          </cell>
          <cell r="G88" t="str">
            <v>NO</v>
          </cell>
          <cell r="H88" t="str">
            <v>PUESTO DIALISADO AISLADOS</v>
          </cell>
          <cell r="I88">
            <v>1</v>
          </cell>
          <cell r="J88" t="str">
            <v>C.2.3.14</v>
          </cell>
          <cell r="K88" t="str">
            <v>Dialisis</v>
          </cell>
          <cell r="L88">
            <v>1</v>
          </cell>
          <cell r="M88">
            <v>46031</v>
          </cell>
          <cell r="N88">
            <v>46034</v>
          </cell>
          <cell r="O88">
            <v>1</v>
          </cell>
          <cell r="P88">
            <v>46035</v>
          </cell>
          <cell r="Q88">
            <v>1</v>
          </cell>
          <cell r="R88" t="str">
            <v>NA</v>
          </cell>
          <cell r="S88">
            <v>5</v>
          </cell>
        </row>
        <row r="89">
          <cell r="B89" t="str">
            <v>EMMC</v>
          </cell>
          <cell r="C89" t="str">
            <v>HSLB12762</v>
          </cell>
          <cell r="D89">
            <v>113009</v>
          </cell>
          <cell r="E89" t="str">
            <v>Monitor de Signos Vitales Básico</v>
          </cell>
          <cell r="F89" t="str">
            <v>NO</v>
          </cell>
          <cell r="G89" t="str">
            <v>NO</v>
          </cell>
          <cell r="H89" t="str">
            <v>ESTACIÓN DE ENFERMERÍA</v>
          </cell>
          <cell r="I89">
            <v>1</v>
          </cell>
          <cell r="J89" t="str">
            <v>C.2.3.15.1</v>
          </cell>
          <cell r="K89" t="str">
            <v>Dialisis</v>
          </cell>
          <cell r="L89">
            <v>1</v>
          </cell>
          <cell r="M89">
            <v>46031</v>
          </cell>
          <cell r="N89">
            <v>46034</v>
          </cell>
          <cell r="O89">
            <v>1</v>
          </cell>
          <cell r="P89">
            <v>46035</v>
          </cell>
          <cell r="Q89">
            <v>1</v>
          </cell>
          <cell r="R89" t="str">
            <v>NA</v>
          </cell>
          <cell r="S89">
            <v>5</v>
          </cell>
        </row>
        <row r="90">
          <cell r="B90" t="str">
            <v>EMMC</v>
          </cell>
          <cell r="C90" t="str">
            <v>HSLB12763</v>
          </cell>
          <cell r="D90">
            <v>113009</v>
          </cell>
          <cell r="E90" t="str">
            <v>Monitor de Signos Vitales Básico</v>
          </cell>
          <cell r="F90" t="str">
            <v>NO</v>
          </cell>
          <cell r="G90" t="str">
            <v>NO</v>
          </cell>
          <cell r="H90" t="str">
            <v>ESTACIÓN DE ENFERMERÍA</v>
          </cell>
          <cell r="I90">
            <v>1</v>
          </cell>
          <cell r="J90" t="str">
            <v>C.2.3.15.2</v>
          </cell>
          <cell r="K90" t="str">
            <v>Dialisis</v>
          </cell>
          <cell r="L90">
            <v>1</v>
          </cell>
          <cell r="M90">
            <v>46031</v>
          </cell>
          <cell r="N90">
            <v>46034</v>
          </cell>
          <cell r="O90">
            <v>1</v>
          </cell>
          <cell r="P90">
            <v>46035</v>
          </cell>
          <cell r="Q90">
            <v>1</v>
          </cell>
          <cell r="R90" t="str">
            <v>NA</v>
          </cell>
          <cell r="S90">
            <v>5</v>
          </cell>
        </row>
        <row r="91">
          <cell r="B91" t="str">
            <v>EMMC</v>
          </cell>
          <cell r="C91" t="str">
            <v>HSLB12764</v>
          </cell>
          <cell r="D91">
            <v>113009</v>
          </cell>
          <cell r="E91" t="str">
            <v>Monitor de Signos Vitales Básico</v>
          </cell>
          <cell r="F91" t="str">
            <v>NO</v>
          </cell>
          <cell r="G91" t="str">
            <v>NO</v>
          </cell>
          <cell r="H91" t="str">
            <v>ESTACIÓN DE ENFERMERÍA</v>
          </cell>
          <cell r="I91">
            <v>1</v>
          </cell>
          <cell r="J91" t="str">
            <v>C.2.3.15.3</v>
          </cell>
          <cell r="K91" t="str">
            <v>Dialisis</v>
          </cell>
          <cell r="L91">
            <v>1</v>
          </cell>
          <cell r="M91">
            <v>46031</v>
          </cell>
          <cell r="N91">
            <v>46034</v>
          </cell>
          <cell r="O91">
            <v>1</v>
          </cell>
          <cell r="P91">
            <v>46035</v>
          </cell>
          <cell r="Q91">
            <v>1</v>
          </cell>
          <cell r="R91" t="str">
            <v>NA</v>
          </cell>
          <cell r="S91">
            <v>5</v>
          </cell>
        </row>
        <row r="92">
          <cell r="B92" t="str">
            <v>EMMC</v>
          </cell>
          <cell r="C92" t="str">
            <v>HSLB12765</v>
          </cell>
          <cell r="D92">
            <v>113009</v>
          </cell>
          <cell r="E92" t="str">
            <v>Monitor de Signos Vitales Básico</v>
          </cell>
          <cell r="F92" t="str">
            <v>NO</v>
          </cell>
          <cell r="G92" t="str">
            <v>NO</v>
          </cell>
          <cell r="H92" t="str">
            <v xml:space="preserve">SALA PROCEDIMIENTOS </v>
          </cell>
          <cell r="I92">
            <v>1</v>
          </cell>
          <cell r="J92" t="str">
            <v>C.2.3.21</v>
          </cell>
          <cell r="K92" t="str">
            <v>Dialisis</v>
          </cell>
          <cell r="L92">
            <v>1</v>
          </cell>
          <cell r="M92">
            <v>46031</v>
          </cell>
          <cell r="N92">
            <v>46034</v>
          </cell>
          <cell r="O92">
            <v>1</v>
          </cell>
          <cell r="P92">
            <v>46035</v>
          </cell>
          <cell r="Q92">
            <v>1</v>
          </cell>
          <cell r="R92" t="str">
            <v>NA</v>
          </cell>
          <cell r="S92">
            <v>5</v>
          </cell>
        </row>
        <row r="93">
          <cell r="B93" t="str">
            <v>EMMC</v>
          </cell>
          <cell r="C93" t="str">
            <v>HSLB12766</v>
          </cell>
          <cell r="D93">
            <v>113009</v>
          </cell>
          <cell r="E93" t="str">
            <v>Monitor de Signos Vitales Básico</v>
          </cell>
          <cell r="F93" t="str">
            <v>NO</v>
          </cell>
          <cell r="G93" t="str">
            <v>NO</v>
          </cell>
          <cell r="H93" t="str">
            <v>BODEGA DE EQUIPOS</v>
          </cell>
          <cell r="I93">
            <v>1</v>
          </cell>
          <cell r="J93" t="str">
            <v>C.2.3.26</v>
          </cell>
          <cell r="K93" t="str">
            <v>Dialisis</v>
          </cell>
          <cell r="L93">
            <v>1</v>
          </cell>
          <cell r="M93">
            <v>46031</v>
          </cell>
          <cell r="N93">
            <v>46034</v>
          </cell>
          <cell r="O93">
            <v>1</v>
          </cell>
          <cell r="P93">
            <v>46035</v>
          </cell>
          <cell r="Q93">
            <v>1</v>
          </cell>
          <cell r="R93" t="str">
            <v>NA</v>
          </cell>
          <cell r="S93">
            <v>5</v>
          </cell>
        </row>
        <row r="94">
          <cell r="B94" t="str">
            <v>EMMC</v>
          </cell>
          <cell r="C94" t="str">
            <v>HSLB12768</v>
          </cell>
          <cell r="D94">
            <v>113009</v>
          </cell>
          <cell r="E94" t="str">
            <v>Monitor de Signos Vitales Básico</v>
          </cell>
          <cell r="F94" t="str">
            <v>NO</v>
          </cell>
          <cell r="G94" t="str">
            <v>NO</v>
          </cell>
          <cell r="H94" t="str">
            <v>SALA DE PROCEDIMIENTOS</v>
          </cell>
          <cell r="I94">
            <v>1</v>
          </cell>
          <cell r="J94" t="str">
            <v>C.2.4.8</v>
          </cell>
          <cell r="K94" t="str">
            <v>Imagenología</v>
          </cell>
          <cell r="L94">
            <v>1</v>
          </cell>
          <cell r="M94">
            <v>46008</v>
          </cell>
          <cell r="N94">
            <v>46009</v>
          </cell>
          <cell r="O94">
            <v>1</v>
          </cell>
          <cell r="P94">
            <v>46010</v>
          </cell>
          <cell r="Q94">
            <v>1</v>
          </cell>
          <cell r="R94" t="str">
            <v>NA</v>
          </cell>
          <cell r="S94">
            <v>5</v>
          </cell>
        </row>
        <row r="95">
          <cell r="B95" t="str">
            <v>EMMC</v>
          </cell>
          <cell r="C95" t="str">
            <v>HSLB12772</v>
          </cell>
          <cell r="D95">
            <v>113009</v>
          </cell>
          <cell r="E95" t="str">
            <v>Monitor de Signos Vitales Básico</v>
          </cell>
          <cell r="F95" t="str">
            <v>NO</v>
          </cell>
          <cell r="G95" t="str">
            <v>NO</v>
          </cell>
          <cell r="H95" t="str">
            <v>BOX MULTIPROPÓSITO</v>
          </cell>
          <cell r="I95">
            <v>1</v>
          </cell>
          <cell r="J95" t="str">
            <v>C.2.5.3.12.1</v>
          </cell>
          <cell r="K95" t="str">
            <v>UHCIP</v>
          </cell>
          <cell r="L95">
            <v>1</v>
          </cell>
          <cell r="M95">
            <v>46024</v>
          </cell>
          <cell r="N95">
            <v>46027</v>
          </cell>
          <cell r="O95">
            <v>1</v>
          </cell>
          <cell r="P95">
            <v>46028</v>
          </cell>
          <cell r="Q95">
            <v>1</v>
          </cell>
          <cell r="R95" t="str">
            <v>NA</v>
          </cell>
          <cell r="S95">
            <v>5</v>
          </cell>
        </row>
        <row r="96">
          <cell r="B96" t="str">
            <v>EMMC</v>
          </cell>
          <cell r="C96" t="str">
            <v>HSLB12773</v>
          </cell>
          <cell r="D96">
            <v>113009</v>
          </cell>
          <cell r="E96" t="str">
            <v>Monitor de Signos Vitales Básico</v>
          </cell>
          <cell r="F96" t="str">
            <v>NO</v>
          </cell>
          <cell r="G96" t="str">
            <v>NO</v>
          </cell>
          <cell r="H96" t="str">
            <v>BOX MULTIPROPÓSITO</v>
          </cell>
          <cell r="I96">
            <v>1</v>
          </cell>
          <cell r="J96" t="str">
            <v>C.2.5.3.12.2</v>
          </cell>
          <cell r="K96" t="str">
            <v>UHCIP</v>
          </cell>
          <cell r="L96">
            <v>1</v>
          </cell>
          <cell r="M96">
            <v>46024</v>
          </cell>
          <cell r="N96">
            <v>46027</v>
          </cell>
          <cell r="O96">
            <v>1</v>
          </cell>
          <cell r="P96">
            <v>46028</v>
          </cell>
          <cell r="Q96">
            <v>1</v>
          </cell>
          <cell r="R96" t="str">
            <v>NA</v>
          </cell>
          <cell r="S96">
            <v>5</v>
          </cell>
        </row>
        <row r="97">
          <cell r="B97" t="str">
            <v>EMMC</v>
          </cell>
          <cell r="C97" t="str">
            <v>HSLB12789</v>
          </cell>
          <cell r="D97">
            <v>113009</v>
          </cell>
          <cell r="E97" t="str">
            <v>Monitor de Signos Vitales Básico</v>
          </cell>
          <cell r="F97" t="str">
            <v>NO</v>
          </cell>
          <cell r="G97" t="str">
            <v>NO</v>
          </cell>
          <cell r="H97" t="str">
            <v>SALA DE OBSERVACIONES</v>
          </cell>
          <cell r="I97">
            <v>1</v>
          </cell>
          <cell r="J97" t="str">
            <v>C.3.6.2.10</v>
          </cell>
          <cell r="K97" t="str">
            <v>Urgencia</v>
          </cell>
          <cell r="L97">
            <v>1</v>
          </cell>
          <cell r="M97">
            <v>46003</v>
          </cell>
          <cell r="N97">
            <v>46006</v>
          </cell>
          <cell r="O97">
            <v>1</v>
          </cell>
          <cell r="P97">
            <v>46007</v>
          </cell>
          <cell r="Q97">
            <v>1</v>
          </cell>
          <cell r="R97" t="str">
            <v>NA</v>
          </cell>
          <cell r="S97">
            <v>5</v>
          </cell>
        </row>
        <row r="98">
          <cell r="B98" t="str">
            <v>EMMC</v>
          </cell>
          <cell r="C98" t="str">
            <v>HSLB12790</v>
          </cell>
          <cell r="D98">
            <v>113009</v>
          </cell>
          <cell r="E98" t="str">
            <v>Monitor de Signos Vitales Básico</v>
          </cell>
          <cell r="F98" t="str">
            <v>NO</v>
          </cell>
          <cell r="G98" t="str">
            <v>NO</v>
          </cell>
          <cell r="H98" t="str">
            <v>SALA DE PROCEDIMIENTOS</v>
          </cell>
          <cell r="I98">
            <v>1</v>
          </cell>
          <cell r="J98" t="str">
            <v>C.3.6.2.12</v>
          </cell>
          <cell r="K98" t="str">
            <v>Urgencia</v>
          </cell>
          <cell r="L98">
            <v>1</v>
          </cell>
          <cell r="M98">
            <v>46003</v>
          </cell>
          <cell r="N98">
            <v>46006</v>
          </cell>
          <cell r="O98">
            <v>1</v>
          </cell>
          <cell r="P98">
            <v>46007</v>
          </cell>
          <cell r="Q98">
            <v>1</v>
          </cell>
          <cell r="R98" t="str">
            <v>NA</v>
          </cell>
          <cell r="S98">
            <v>5</v>
          </cell>
        </row>
        <row r="99">
          <cell r="B99" t="str">
            <v>EMMC</v>
          </cell>
          <cell r="C99" t="str">
            <v>HSLB12791</v>
          </cell>
          <cell r="D99">
            <v>113009</v>
          </cell>
          <cell r="E99" t="str">
            <v>Monitor de Signos Vitales Básico</v>
          </cell>
          <cell r="F99" t="str">
            <v>NO</v>
          </cell>
          <cell r="G99" t="str">
            <v>NO</v>
          </cell>
          <cell r="H99" t="str">
            <v>SELECTOR DE DEMANDA GINECOLOGÍA</v>
          </cell>
          <cell r="I99">
            <v>1</v>
          </cell>
          <cell r="J99" t="str">
            <v>C.3.6.2.2</v>
          </cell>
          <cell r="K99" t="str">
            <v>Urgencia</v>
          </cell>
          <cell r="L99">
            <v>1</v>
          </cell>
          <cell r="M99">
            <v>46003</v>
          </cell>
          <cell r="N99">
            <v>46006</v>
          </cell>
          <cell r="O99">
            <v>1</v>
          </cell>
          <cell r="P99">
            <v>46007</v>
          </cell>
          <cell r="Q99">
            <v>1</v>
          </cell>
          <cell r="R99" t="str">
            <v>NA</v>
          </cell>
          <cell r="S99">
            <v>5</v>
          </cell>
        </row>
        <row r="100">
          <cell r="B100" t="str">
            <v>EMMC</v>
          </cell>
          <cell r="C100" t="str">
            <v>HSLB12792</v>
          </cell>
          <cell r="D100">
            <v>113009</v>
          </cell>
          <cell r="E100" t="str">
            <v>Monitor de Signos Vitales Básico</v>
          </cell>
          <cell r="F100" t="str">
            <v>NO</v>
          </cell>
          <cell r="G100" t="str">
            <v>NO</v>
          </cell>
          <cell r="H100" t="str">
            <v>ESTACIÓN DE ENFERMERÍA</v>
          </cell>
          <cell r="I100">
            <v>1</v>
          </cell>
          <cell r="J100" t="str">
            <v>C.3.6.2.4</v>
          </cell>
          <cell r="K100" t="str">
            <v>Urgencia</v>
          </cell>
          <cell r="L100">
            <v>1</v>
          </cell>
          <cell r="M100">
            <v>46003</v>
          </cell>
          <cell r="N100">
            <v>46006</v>
          </cell>
          <cell r="O100">
            <v>1</v>
          </cell>
          <cell r="P100">
            <v>46007</v>
          </cell>
          <cell r="Q100">
            <v>1</v>
          </cell>
          <cell r="R100" t="str">
            <v>NA</v>
          </cell>
          <cell r="S100">
            <v>5</v>
          </cell>
        </row>
        <row r="101">
          <cell r="B101" t="str">
            <v>EMMC</v>
          </cell>
          <cell r="C101" t="str">
            <v>HSLB12793</v>
          </cell>
          <cell r="D101">
            <v>113009</v>
          </cell>
          <cell r="E101" t="str">
            <v>Monitor de Signos Vitales Básico</v>
          </cell>
          <cell r="F101" t="str">
            <v>NO</v>
          </cell>
          <cell r="G101" t="str">
            <v>NO</v>
          </cell>
          <cell r="H101" t="str">
            <v>SALA DE OBSERVACIONES</v>
          </cell>
          <cell r="I101">
            <v>1</v>
          </cell>
          <cell r="J101" t="str">
            <v>C.3.6.2.9</v>
          </cell>
          <cell r="K101" t="str">
            <v>Urgencia</v>
          </cell>
          <cell r="L101">
            <v>1</v>
          </cell>
          <cell r="M101">
            <v>46003</v>
          </cell>
          <cell r="N101">
            <v>46006</v>
          </cell>
          <cell r="O101">
            <v>1</v>
          </cell>
          <cell r="P101">
            <v>46007</v>
          </cell>
          <cell r="Q101">
            <v>1</v>
          </cell>
          <cell r="R101" t="str">
            <v>NA</v>
          </cell>
          <cell r="S101">
            <v>5</v>
          </cell>
        </row>
        <row r="102">
          <cell r="B102" t="str">
            <v>EMMC</v>
          </cell>
          <cell r="C102" t="str">
            <v>HSLB12799</v>
          </cell>
          <cell r="D102">
            <v>113009</v>
          </cell>
          <cell r="E102" t="str">
            <v>Monitor de Signos Vitales Básico</v>
          </cell>
          <cell r="F102" t="str">
            <v>NO</v>
          </cell>
          <cell r="G102" t="str">
            <v>NO</v>
          </cell>
          <cell r="H102" t="str">
            <v>BOX URGENCIA(1)</v>
          </cell>
          <cell r="I102">
            <v>1</v>
          </cell>
          <cell r="J102" t="str">
            <v>C.4.3.3.1</v>
          </cell>
          <cell r="K102" t="str">
            <v>Urgencia</v>
          </cell>
          <cell r="L102">
            <v>1</v>
          </cell>
          <cell r="M102">
            <v>46003</v>
          </cell>
          <cell r="N102">
            <v>46006</v>
          </cell>
          <cell r="O102">
            <v>1</v>
          </cell>
          <cell r="P102">
            <v>46007</v>
          </cell>
          <cell r="Q102">
            <v>1</v>
          </cell>
          <cell r="R102" t="str">
            <v>NA</v>
          </cell>
          <cell r="S102">
            <v>5</v>
          </cell>
        </row>
        <row r="103">
          <cell r="B103" t="str">
            <v>EMMC</v>
          </cell>
          <cell r="C103" t="str">
            <v>HSLB12800</v>
          </cell>
          <cell r="D103">
            <v>113009</v>
          </cell>
          <cell r="E103" t="str">
            <v>Monitor de Signos Vitales Básico</v>
          </cell>
          <cell r="F103" t="str">
            <v>NO</v>
          </cell>
          <cell r="G103" t="str">
            <v>NO</v>
          </cell>
          <cell r="H103" t="str">
            <v>BOX URGENCIA(5)</v>
          </cell>
          <cell r="I103">
            <v>1</v>
          </cell>
          <cell r="J103" t="str">
            <v>C.4.3.3.5</v>
          </cell>
          <cell r="K103" t="str">
            <v>Urgencia</v>
          </cell>
          <cell r="L103">
            <v>1</v>
          </cell>
          <cell r="M103">
            <v>46003</v>
          </cell>
          <cell r="N103">
            <v>46006</v>
          </cell>
          <cell r="O103">
            <v>1</v>
          </cell>
          <cell r="P103">
            <v>46007</v>
          </cell>
          <cell r="Q103">
            <v>1</v>
          </cell>
          <cell r="R103" t="str">
            <v>NA</v>
          </cell>
          <cell r="S103">
            <v>5</v>
          </cell>
        </row>
        <row r="104">
          <cell r="B104" t="str">
            <v>EMMC</v>
          </cell>
          <cell r="C104" t="str">
            <v>HSLB12801</v>
          </cell>
          <cell r="D104">
            <v>113009</v>
          </cell>
          <cell r="E104" t="str">
            <v>Monitor de Signos Vitales Básico</v>
          </cell>
          <cell r="F104" t="str">
            <v>NO</v>
          </cell>
          <cell r="G104" t="str">
            <v>NO</v>
          </cell>
          <cell r="H104" t="str">
            <v>SALA DE OBSERVACIONES (ADULTO)</v>
          </cell>
          <cell r="I104">
            <v>1</v>
          </cell>
          <cell r="J104" t="str">
            <v>C.4.3.4</v>
          </cell>
          <cell r="K104" t="str">
            <v>Urgencia</v>
          </cell>
          <cell r="L104">
            <v>1</v>
          </cell>
          <cell r="M104">
            <v>46003</v>
          </cell>
          <cell r="N104">
            <v>46006</v>
          </cell>
          <cell r="O104">
            <v>1</v>
          </cell>
          <cell r="P104">
            <v>46007</v>
          </cell>
          <cell r="Q104">
            <v>1</v>
          </cell>
          <cell r="R104" t="str">
            <v>NA</v>
          </cell>
          <cell r="S104">
            <v>5</v>
          </cell>
        </row>
        <row r="105">
          <cell r="B105" t="str">
            <v>EMMC</v>
          </cell>
          <cell r="C105" t="str">
            <v>HSLB12802</v>
          </cell>
          <cell r="D105">
            <v>113009</v>
          </cell>
          <cell r="E105" t="str">
            <v>Monitor de Signos Vitales Básico</v>
          </cell>
          <cell r="F105" t="str">
            <v>NO</v>
          </cell>
          <cell r="G105" t="str">
            <v>NO</v>
          </cell>
          <cell r="H105" t="str">
            <v xml:space="preserve">SALA DE PROCEDIMIENTO </v>
          </cell>
          <cell r="I105">
            <v>1</v>
          </cell>
          <cell r="J105" t="str">
            <v>C.4.3.5.1</v>
          </cell>
          <cell r="K105" t="str">
            <v>Urgencia</v>
          </cell>
          <cell r="L105">
            <v>1</v>
          </cell>
          <cell r="M105">
            <v>46003</v>
          </cell>
          <cell r="N105">
            <v>46006</v>
          </cell>
          <cell r="O105">
            <v>1</v>
          </cell>
          <cell r="P105">
            <v>46007</v>
          </cell>
          <cell r="Q105">
            <v>1</v>
          </cell>
          <cell r="R105" t="str">
            <v>NA</v>
          </cell>
          <cell r="S105">
            <v>5</v>
          </cell>
        </row>
        <row r="106">
          <cell r="B106" t="str">
            <v>EMMC</v>
          </cell>
          <cell r="C106" t="str">
            <v>HSLB12803</v>
          </cell>
          <cell r="D106">
            <v>113009</v>
          </cell>
          <cell r="E106" t="str">
            <v>Monitor de Signos Vitales Básico</v>
          </cell>
          <cell r="F106" t="str">
            <v>NO</v>
          </cell>
          <cell r="G106" t="str">
            <v>NO</v>
          </cell>
          <cell r="H106" t="str">
            <v>SALA DE PROCEDIMIENTO</v>
          </cell>
          <cell r="I106">
            <v>1</v>
          </cell>
          <cell r="J106" t="str">
            <v>C.4.3.5.2</v>
          </cell>
          <cell r="K106" t="str">
            <v>Urgencia</v>
          </cell>
          <cell r="L106">
            <v>1</v>
          </cell>
          <cell r="M106">
            <v>46003</v>
          </cell>
          <cell r="N106">
            <v>46006</v>
          </cell>
          <cell r="O106">
            <v>1</v>
          </cell>
          <cell r="P106">
            <v>46007</v>
          </cell>
          <cell r="Q106">
            <v>1</v>
          </cell>
          <cell r="R106" t="str">
            <v>NA</v>
          </cell>
          <cell r="S106">
            <v>5</v>
          </cell>
        </row>
        <row r="107">
          <cell r="B107" t="str">
            <v>EMMC</v>
          </cell>
          <cell r="C107" t="str">
            <v>HSLB12804</v>
          </cell>
          <cell r="D107">
            <v>113009</v>
          </cell>
          <cell r="E107" t="str">
            <v>Monitor de Signos Vitales Básico</v>
          </cell>
          <cell r="F107" t="str">
            <v>NO</v>
          </cell>
          <cell r="G107" t="str">
            <v>NO</v>
          </cell>
          <cell r="H107" t="str">
            <v>ESTACIÓN DE ENFERMERÍA</v>
          </cell>
          <cell r="I107">
            <v>1</v>
          </cell>
          <cell r="J107" t="str">
            <v>C.4.3.8</v>
          </cell>
          <cell r="K107" t="str">
            <v>Urgencia</v>
          </cell>
          <cell r="L107">
            <v>1</v>
          </cell>
          <cell r="M107">
            <v>46003</v>
          </cell>
          <cell r="N107">
            <v>46006</v>
          </cell>
          <cell r="O107">
            <v>1</v>
          </cell>
          <cell r="P107">
            <v>46007</v>
          </cell>
          <cell r="Q107">
            <v>1</v>
          </cell>
          <cell r="R107" t="str">
            <v>NA</v>
          </cell>
          <cell r="S107">
            <v>5</v>
          </cell>
        </row>
        <row r="108">
          <cell r="B108" t="str">
            <v>EMMC</v>
          </cell>
          <cell r="C108" t="str">
            <v>HSLB12806</v>
          </cell>
          <cell r="D108">
            <v>113009</v>
          </cell>
          <cell r="E108" t="str">
            <v>Monitor de Signos Vitales Básico</v>
          </cell>
          <cell r="F108" t="str">
            <v>NO</v>
          </cell>
          <cell r="G108" t="str">
            <v>NO</v>
          </cell>
          <cell r="H108" t="str">
            <v>BOX URGENCIA (infantil)</v>
          </cell>
          <cell r="I108">
            <v>1</v>
          </cell>
          <cell r="J108" t="str">
            <v>C.4.4.3.2</v>
          </cell>
          <cell r="K108" t="str">
            <v>Urgencia</v>
          </cell>
          <cell r="L108">
            <v>1</v>
          </cell>
          <cell r="M108">
            <v>46003</v>
          </cell>
          <cell r="N108">
            <v>46006</v>
          </cell>
          <cell r="O108">
            <v>1</v>
          </cell>
          <cell r="P108">
            <v>46007</v>
          </cell>
          <cell r="Q108">
            <v>1</v>
          </cell>
          <cell r="R108" t="str">
            <v>NA</v>
          </cell>
          <cell r="S108">
            <v>5</v>
          </cell>
        </row>
        <row r="109">
          <cell r="B109" t="str">
            <v>EMMC</v>
          </cell>
          <cell r="C109" t="str">
            <v>HSLB12807</v>
          </cell>
          <cell r="D109">
            <v>113009</v>
          </cell>
          <cell r="E109" t="str">
            <v>Monitor de Signos Vitales Básico</v>
          </cell>
          <cell r="F109" t="str">
            <v>NO</v>
          </cell>
          <cell r="G109" t="str">
            <v>NO</v>
          </cell>
          <cell r="H109" t="str">
            <v>ESTACIÓN DE ENFERMERÍA</v>
          </cell>
          <cell r="I109">
            <v>1</v>
          </cell>
          <cell r="J109" t="str">
            <v>C.4.4.8</v>
          </cell>
          <cell r="K109" t="str">
            <v>Urgencia</v>
          </cell>
          <cell r="L109">
            <v>1</v>
          </cell>
          <cell r="M109">
            <v>46003</v>
          </cell>
          <cell r="N109">
            <v>46006</v>
          </cell>
          <cell r="O109">
            <v>1</v>
          </cell>
          <cell r="P109">
            <v>46007</v>
          </cell>
          <cell r="Q109">
            <v>1</v>
          </cell>
          <cell r="R109" t="str">
            <v>NA</v>
          </cell>
          <cell r="S109">
            <v>5</v>
          </cell>
        </row>
        <row r="110">
          <cell r="B110" t="str">
            <v>EMMC</v>
          </cell>
          <cell r="C110" t="str">
            <v>HSLB12809</v>
          </cell>
          <cell r="D110">
            <v>113009</v>
          </cell>
          <cell r="E110" t="str">
            <v>Monitor de Signos Vitales Básico</v>
          </cell>
          <cell r="F110" t="str">
            <v>NO</v>
          </cell>
          <cell r="G110" t="str">
            <v>NO</v>
          </cell>
          <cell r="H110" t="str">
            <v>SALA TOMOGRAFO AXIAL COMPUTARIZADO (PREPARACIÓN/EQUIPO/COMANDO/VESTIDOR)</v>
          </cell>
          <cell r="I110">
            <v>1</v>
          </cell>
          <cell r="J110" t="str">
            <v>C.5.3.7</v>
          </cell>
          <cell r="K110" t="str">
            <v>Imagenología</v>
          </cell>
          <cell r="L110">
            <v>1</v>
          </cell>
          <cell r="M110">
            <v>46008</v>
          </cell>
          <cell r="N110">
            <v>46009</v>
          </cell>
          <cell r="O110">
            <v>1</v>
          </cell>
          <cell r="P110">
            <v>46010</v>
          </cell>
          <cell r="Q110">
            <v>1</v>
          </cell>
          <cell r="R110" t="str">
            <v>NA</v>
          </cell>
          <cell r="S110">
            <v>5</v>
          </cell>
        </row>
        <row r="111">
          <cell r="B111" t="str">
            <v>EMMC</v>
          </cell>
          <cell r="C111" t="str">
            <v>HSLB12817</v>
          </cell>
          <cell r="D111">
            <v>113009</v>
          </cell>
          <cell r="E111" t="str">
            <v>Monitor de Signos Vitales Básico</v>
          </cell>
          <cell r="F111" t="str">
            <v>NO</v>
          </cell>
          <cell r="G111" t="str">
            <v>NO</v>
          </cell>
          <cell r="H111" t="str">
            <v>SALA PROCEDIMIENTOS C/BAÑO</v>
          </cell>
          <cell r="I111">
            <v>1</v>
          </cell>
          <cell r="J111" t="str">
            <v>C.5.7.6.1</v>
          </cell>
          <cell r="K111" t="str">
            <v>Med Física y Rehabilitación</v>
          </cell>
          <cell r="L111">
            <v>1</v>
          </cell>
          <cell r="M111">
            <v>46013</v>
          </cell>
          <cell r="N111">
            <v>46014</v>
          </cell>
          <cell r="O111">
            <v>1</v>
          </cell>
          <cell r="P111">
            <v>46015</v>
          </cell>
          <cell r="Q111">
            <v>1</v>
          </cell>
          <cell r="R111" t="str">
            <v>NA</v>
          </cell>
          <cell r="S111">
            <v>5</v>
          </cell>
        </row>
        <row r="112">
          <cell r="B112" t="str">
            <v>EMMC</v>
          </cell>
          <cell r="C112" t="str">
            <v>HSLB12869</v>
          </cell>
          <cell r="D112">
            <v>113013</v>
          </cell>
          <cell r="E112" t="str">
            <v>Monitor Desfibrilador</v>
          </cell>
          <cell r="F112" t="str">
            <v>NO</v>
          </cell>
          <cell r="G112" t="str">
            <v>SI</v>
          </cell>
          <cell r="H112" t="str">
            <v>GIMNASIO ADULTO REHABILITACIÓN CARDIOVASCULAR</v>
          </cell>
          <cell r="I112">
            <v>1</v>
          </cell>
          <cell r="J112" t="str">
            <v>C.5.7.14</v>
          </cell>
          <cell r="K112" t="str">
            <v>Med Física y Rehabilitación</v>
          </cell>
          <cell r="L112">
            <v>1</v>
          </cell>
          <cell r="M112">
            <v>46003</v>
          </cell>
          <cell r="N112">
            <v>46006</v>
          </cell>
          <cell r="O112">
            <v>1</v>
          </cell>
          <cell r="P112">
            <v>46007</v>
          </cell>
          <cell r="Q112">
            <v>1</v>
          </cell>
          <cell r="R112" t="str">
            <v>NA</v>
          </cell>
          <cell r="S112">
            <v>5</v>
          </cell>
        </row>
        <row r="113">
          <cell r="B113" t="str">
            <v>EMMC</v>
          </cell>
          <cell r="C113" t="str">
            <v>HSLB12845</v>
          </cell>
          <cell r="D113">
            <v>113013</v>
          </cell>
          <cell r="E113" t="str">
            <v>Monitor Desfibrilador</v>
          </cell>
          <cell r="F113" t="str">
            <v>NO</v>
          </cell>
          <cell r="G113" t="str">
            <v>NO</v>
          </cell>
          <cell r="H113" t="str">
            <v>ESTACIÓN DE ENFERMERÍA</v>
          </cell>
          <cell r="I113">
            <v>1</v>
          </cell>
          <cell r="J113" t="str">
            <v>C.2.3.15.3</v>
          </cell>
          <cell r="K113" t="str">
            <v>Dialisis</v>
          </cell>
          <cell r="L113">
            <v>1</v>
          </cell>
          <cell r="M113">
            <v>46031</v>
          </cell>
          <cell r="N113">
            <v>46034</v>
          </cell>
          <cell r="O113">
            <v>1</v>
          </cell>
          <cell r="P113">
            <v>46035</v>
          </cell>
          <cell r="Q113">
            <v>1</v>
          </cell>
          <cell r="R113" t="str">
            <v>NA</v>
          </cell>
          <cell r="S113">
            <v>5</v>
          </cell>
        </row>
        <row r="114">
          <cell r="B114" t="str">
            <v>EMMC</v>
          </cell>
          <cell r="C114" t="str">
            <v>HSLB12846</v>
          </cell>
          <cell r="D114">
            <v>113013</v>
          </cell>
          <cell r="E114" t="str">
            <v>Monitor Desfibrilador</v>
          </cell>
          <cell r="F114" t="str">
            <v>NO</v>
          </cell>
          <cell r="G114" t="str">
            <v>NO</v>
          </cell>
          <cell r="H114" t="str">
            <v>SALA DE PROCEDIMIENTO</v>
          </cell>
          <cell r="I114">
            <v>1</v>
          </cell>
          <cell r="J114" t="str">
            <v>C.2.5.3.33</v>
          </cell>
          <cell r="K114" t="str">
            <v>UHCIP</v>
          </cell>
          <cell r="L114">
            <v>1</v>
          </cell>
          <cell r="M114">
            <v>46024</v>
          </cell>
          <cell r="N114">
            <v>46027</v>
          </cell>
          <cell r="O114">
            <v>1</v>
          </cell>
          <cell r="P114">
            <v>46028</v>
          </cell>
          <cell r="Q114">
            <v>1</v>
          </cell>
          <cell r="R114" t="str">
            <v>NA</v>
          </cell>
          <cell r="S114">
            <v>5</v>
          </cell>
        </row>
        <row r="115">
          <cell r="B115" t="str">
            <v>EMMC</v>
          </cell>
          <cell r="C115" t="str">
            <v>HSLB12857</v>
          </cell>
          <cell r="D115">
            <v>113013</v>
          </cell>
          <cell r="E115" t="str">
            <v>Monitor Desfibrilador</v>
          </cell>
          <cell r="F115" t="str">
            <v>NO</v>
          </cell>
          <cell r="G115" t="str">
            <v>NO</v>
          </cell>
          <cell r="H115" t="str">
            <v>ESTACIÓN DE ENFERMERÍA</v>
          </cell>
          <cell r="I115">
            <v>1</v>
          </cell>
          <cell r="J115" t="str">
            <v>C.3.6.2.4</v>
          </cell>
          <cell r="K115" t="str">
            <v>Urgencia</v>
          </cell>
          <cell r="L115">
            <v>1</v>
          </cell>
          <cell r="M115">
            <v>46003</v>
          </cell>
          <cell r="N115">
            <v>46006</v>
          </cell>
          <cell r="O115">
            <v>1</v>
          </cell>
          <cell r="P115">
            <v>46007</v>
          </cell>
          <cell r="Q115">
            <v>1</v>
          </cell>
          <cell r="R115" t="str">
            <v>NA</v>
          </cell>
          <cell r="S115">
            <v>5</v>
          </cell>
        </row>
        <row r="116">
          <cell r="B116" t="str">
            <v>EMMC</v>
          </cell>
          <cell r="C116" t="str">
            <v>HSLB12861</v>
          </cell>
          <cell r="D116">
            <v>113013</v>
          </cell>
          <cell r="E116" t="str">
            <v>Monitor Desfibrilador</v>
          </cell>
          <cell r="F116" t="str">
            <v>NO</v>
          </cell>
          <cell r="G116" t="str">
            <v>NO</v>
          </cell>
          <cell r="H116" t="str">
            <v>BOX REANIMACIÓN ADULTO</v>
          </cell>
          <cell r="I116">
            <v>1</v>
          </cell>
          <cell r="J116" t="str">
            <v>C.4.3.12.1</v>
          </cell>
          <cell r="K116" t="str">
            <v>Urgencia</v>
          </cell>
          <cell r="L116">
            <v>1</v>
          </cell>
          <cell r="M116">
            <v>46003</v>
          </cell>
          <cell r="N116">
            <v>46006</v>
          </cell>
          <cell r="O116">
            <v>1</v>
          </cell>
          <cell r="P116">
            <v>46007</v>
          </cell>
          <cell r="Q116">
            <v>1</v>
          </cell>
          <cell r="R116" t="str">
            <v>NA</v>
          </cell>
          <cell r="S116">
            <v>5</v>
          </cell>
        </row>
        <row r="117">
          <cell r="B117" t="str">
            <v>EMMC</v>
          </cell>
          <cell r="C117" t="str">
            <v>HSLB12862</v>
          </cell>
          <cell r="D117">
            <v>113013</v>
          </cell>
          <cell r="E117" t="str">
            <v>Monitor Desfibrilador</v>
          </cell>
          <cell r="F117" t="str">
            <v>NO</v>
          </cell>
          <cell r="G117" t="str">
            <v>NO</v>
          </cell>
          <cell r="H117" t="str">
            <v>BOX REANIMACIÓN ADULTO</v>
          </cell>
          <cell r="I117">
            <v>1</v>
          </cell>
          <cell r="J117" t="str">
            <v>C.4.3.12.2</v>
          </cell>
          <cell r="K117" t="str">
            <v>Urgencia</v>
          </cell>
          <cell r="L117">
            <v>1</v>
          </cell>
          <cell r="M117">
            <v>46003</v>
          </cell>
          <cell r="N117">
            <v>46006</v>
          </cell>
          <cell r="O117">
            <v>1</v>
          </cell>
          <cell r="P117">
            <v>46007</v>
          </cell>
          <cell r="Q117">
            <v>1</v>
          </cell>
          <cell r="R117" t="str">
            <v>NA</v>
          </cell>
          <cell r="S117">
            <v>5</v>
          </cell>
        </row>
        <row r="118">
          <cell r="B118" t="str">
            <v>EMMC</v>
          </cell>
          <cell r="C118" t="str">
            <v>HSLB12863</v>
          </cell>
          <cell r="D118">
            <v>113013</v>
          </cell>
          <cell r="E118" t="str">
            <v>Monitor Desfibrilador</v>
          </cell>
          <cell r="F118" t="str">
            <v>NO</v>
          </cell>
          <cell r="G118" t="str">
            <v>NO</v>
          </cell>
          <cell r="H118" t="str">
            <v>ESTACIÓN DE ENFERMERÍA</v>
          </cell>
          <cell r="I118">
            <v>1</v>
          </cell>
          <cell r="J118" t="str">
            <v>C.4.3.8</v>
          </cell>
          <cell r="K118" t="str">
            <v>Urgencia</v>
          </cell>
          <cell r="L118">
            <v>1</v>
          </cell>
          <cell r="M118">
            <v>46003</v>
          </cell>
          <cell r="N118">
            <v>46006</v>
          </cell>
          <cell r="O118">
            <v>1</v>
          </cell>
          <cell r="P118">
            <v>46007</v>
          </cell>
          <cell r="Q118">
            <v>1</v>
          </cell>
          <cell r="R118" t="str">
            <v>NA</v>
          </cell>
          <cell r="S118">
            <v>5</v>
          </cell>
        </row>
        <row r="119">
          <cell r="B119" t="str">
            <v>EMMC</v>
          </cell>
          <cell r="C119" t="str">
            <v>HSLB12864</v>
          </cell>
          <cell r="D119">
            <v>113013</v>
          </cell>
          <cell r="E119" t="str">
            <v>Monitor Desfibrilador</v>
          </cell>
          <cell r="F119" t="str">
            <v>NO</v>
          </cell>
          <cell r="G119" t="str">
            <v>NO</v>
          </cell>
          <cell r="H119" t="str">
            <v>BOX REANIMACIÓN INFANTIL</v>
          </cell>
          <cell r="I119">
            <v>1</v>
          </cell>
          <cell r="J119" t="str">
            <v>C.4.4.12</v>
          </cell>
          <cell r="K119" t="str">
            <v>Urgencia</v>
          </cell>
          <cell r="L119">
            <v>1</v>
          </cell>
          <cell r="M119">
            <v>46003</v>
          </cell>
          <cell r="N119">
            <v>46006</v>
          </cell>
          <cell r="O119">
            <v>1</v>
          </cell>
          <cell r="P119">
            <v>46007</v>
          </cell>
          <cell r="Q119">
            <v>1</v>
          </cell>
          <cell r="R119" t="str">
            <v>NA</v>
          </cell>
          <cell r="S119">
            <v>5</v>
          </cell>
        </row>
        <row r="120">
          <cell r="B120" t="str">
            <v>EMMC</v>
          </cell>
          <cell r="C120" t="str">
            <v>HSLB12865</v>
          </cell>
          <cell r="D120">
            <v>113013</v>
          </cell>
          <cell r="E120" t="str">
            <v>Monitor Desfibrilador</v>
          </cell>
          <cell r="F120" t="str">
            <v>NO</v>
          </cell>
          <cell r="G120" t="str">
            <v>NO</v>
          </cell>
          <cell r="H120" t="str">
            <v>ESTACIÓN DE ENFERMERÍA</v>
          </cell>
          <cell r="I120">
            <v>1</v>
          </cell>
          <cell r="J120" t="str">
            <v>C.4.4.8</v>
          </cell>
          <cell r="K120" t="str">
            <v>Urgencia</v>
          </cell>
          <cell r="L120">
            <v>1</v>
          </cell>
          <cell r="M120">
            <v>46003</v>
          </cell>
          <cell r="N120">
            <v>46006</v>
          </cell>
          <cell r="O120">
            <v>1</v>
          </cell>
          <cell r="P120">
            <v>46007</v>
          </cell>
          <cell r="Q120">
            <v>1</v>
          </cell>
          <cell r="R120" t="str">
            <v>NA</v>
          </cell>
          <cell r="S120">
            <v>5</v>
          </cell>
        </row>
        <row r="121">
          <cell r="B121" t="str">
            <v>EMMC</v>
          </cell>
          <cell r="C121" t="str">
            <v>HSLB12866</v>
          </cell>
          <cell r="D121">
            <v>113013</v>
          </cell>
          <cell r="E121" t="str">
            <v>Monitor Desfibrilador</v>
          </cell>
          <cell r="F121" t="str">
            <v>NO</v>
          </cell>
          <cell r="G121" t="str">
            <v>NO</v>
          </cell>
          <cell r="H121" t="str">
            <v>SALA TOMOGRAFO AXIAL COMPUTARIZADO (PREPARACIÓN/EQUIPO/COMANDO/VESTIDOR)</v>
          </cell>
          <cell r="I121">
            <v>1</v>
          </cell>
          <cell r="J121" t="str">
            <v>C.5.3.7</v>
          </cell>
          <cell r="K121" t="str">
            <v>Imagenología</v>
          </cell>
          <cell r="L121">
            <v>1</v>
          </cell>
          <cell r="M121">
            <v>46008</v>
          </cell>
          <cell r="N121">
            <v>46009</v>
          </cell>
          <cell r="O121">
            <v>1</v>
          </cell>
          <cell r="P121">
            <v>46010</v>
          </cell>
          <cell r="Q121">
            <v>1</v>
          </cell>
          <cell r="R121" t="str">
            <v>NA</v>
          </cell>
          <cell r="S121">
            <v>5</v>
          </cell>
        </row>
        <row r="122">
          <cell r="B122" t="str">
            <v>EMMC</v>
          </cell>
          <cell r="C122" t="str">
            <v>HSLB11825</v>
          </cell>
          <cell r="D122">
            <v>112022</v>
          </cell>
          <cell r="E122" t="str">
            <v>Carro de Paro</v>
          </cell>
          <cell r="F122" t="str">
            <v>NO</v>
          </cell>
          <cell r="G122" t="str">
            <v>NO</v>
          </cell>
          <cell r="H122" t="str">
            <v>ESTACIÓN DE ENFERMERÍA</v>
          </cell>
          <cell r="I122">
            <v>1</v>
          </cell>
          <cell r="J122" t="str">
            <v>C.3.6.2.4</v>
          </cell>
          <cell r="K122" t="str">
            <v>Urgencia</v>
          </cell>
          <cell r="L122">
            <v>1</v>
          </cell>
          <cell r="M122">
            <v>46003</v>
          </cell>
          <cell r="N122">
            <v>46006</v>
          </cell>
          <cell r="O122">
            <v>1</v>
          </cell>
          <cell r="P122">
            <v>46007</v>
          </cell>
          <cell r="Q122">
            <v>1</v>
          </cell>
          <cell r="R122" t="str">
            <v>NA</v>
          </cell>
          <cell r="S122">
            <v>5</v>
          </cell>
        </row>
        <row r="123">
          <cell r="B123" t="str">
            <v>EMMC</v>
          </cell>
          <cell r="C123" t="str">
            <v>HSLB11156</v>
          </cell>
          <cell r="D123">
            <v>108005</v>
          </cell>
          <cell r="E123" t="str">
            <v>Ecotomógrafo Multipropósito Full</v>
          </cell>
          <cell r="F123" t="str">
            <v>NO</v>
          </cell>
          <cell r="G123" t="str">
            <v>NO</v>
          </cell>
          <cell r="H123" t="str">
            <v>SALA ECOTOMOGRAFO INDIFERENCIADO (EQUIPO/VESTIDOR)</v>
          </cell>
          <cell r="I123">
            <v>1</v>
          </cell>
          <cell r="J123" t="str">
            <v>C.5.3.9.1</v>
          </cell>
          <cell r="K123" t="str">
            <v>Imagenología</v>
          </cell>
          <cell r="L123">
            <v>1</v>
          </cell>
          <cell r="M123">
            <v>46008</v>
          </cell>
          <cell r="N123">
            <v>46009</v>
          </cell>
          <cell r="O123">
            <v>1</v>
          </cell>
          <cell r="P123">
            <v>46010</v>
          </cell>
          <cell r="Q123">
            <v>1</v>
          </cell>
          <cell r="R123" t="str">
            <v>NA</v>
          </cell>
          <cell r="S123">
            <v>5</v>
          </cell>
        </row>
        <row r="124">
          <cell r="B124" t="str">
            <v>EMMC</v>
          </cell>
          <cell r="C124" t="str">
            <v>HSLB11157</v>
          </cell>
          <cell r="D124">
            <v>108005</v>
          </cell>
          <cell r="E124" t="str">
            <v>Ecotomógrafo Multipropósito Full</v>
          </cell>
          <cell r="F124" t="str">
            <v>NO</v>
          </cell>
          <cell r="G124" t="str">
            <v>NO</v>
          </cell>
          <cell r="H124" t="str">
            <v>SALA ECOTOMOGRAFO INDIFERENCIADO (EQUIPO/VESTIDOR)</v>
          </cell>
          <cell r="I124">
            <v>1</v>
          </cell>
          <cell r="J124" t="str">
            <v>C.5.3.9.2</v>
          </cell>
          <cell r="K124" t="str">
            <v>Imagenología</v>
          </cell>
          <cell r="L124">
            <v>1</v>
          </cell>
          <cell r="M124">
            <v>46008</v>
          </cell>
          <cell r="N124">
            <v>46009</v>
          </cell>
          <cell r="O124">
            <v>1</v>
          </cell>
          <cell r="P124">
            <v>46010</v>
          </cell>
          <cell r="Q124">
            <v>1</v>
          </cell>
          <cell r="R124" t="str">
            <v>NA</v>
          </cell>
          <cell r="S124">
            <v>5</v>
          </cell>
        </row>
        <row r="125">
          <cell r="B125" t="str">
            <v>EMMC</v>
          </cell>
          <cell r="C125" t="str">
            <v>HSLB11828</v>
          </cell>
          <cell r="D125">
            <v>112022</v>
          </cell>
          <cell r="E125" t="str">
            <v>Carro de Paro</v>
          </cell>
          <cell r="F125" t="str">
            <v>NO</v>
          </cell>
          <cell r="G125" t="str">
            <v>NO</v>
          </cell>
          <cell r="H125" t="str">
            <v>BOX REANIMACIÓN ADULTO</v>
          </cell>
          <cell r="I125">
            <v>1</v>
          </cell>
          <cell r="J125" t="str">
            <v>C.4.3.12.1</v>
          </cell>
          <cell r="K125" t="str">
            <v>Urgencia</v>
          </cell>
          <cell r="L125">
            <v>1</v>
          </cell>
          <cell r="M125">
            <v>46003</v>
          </cell>
          <cell r="N125">
            <v>46006</v>
          </cell>
          <cell r="O125">
            <v>1</v>
          </cell>
          <cell r="P125">
            <v>46007</v>
          </cell>
          <cell r="Q125">
            <v>1</v>
          </cell>
          <cell r="R125" t="str">
            <v>NA</v>
          </cell>
          <cell r="S125">
            <v>5</v>
          </cell>
        </row>
        <row r="126">
          <cell r="B126" t="str">
            <v>EMMC</v>
          </cell>
          <cell r="C126" t="str">
            <v>HSLB11152</v>
          </cell>
          <cell r="D126">
            <v>108003</v>
          </cell>
          <cell r="E126" t="str">
            <v>Ecotomógrafo Gineco- Obstétrico</v>
          </cell>
          <cell r="F126" t="str">
            <v>NO</v>
          </cell>
          <cell r="G126" t="str">
            <v>NO</v>
          </cell>
          <cell r="H126" t="str">
            <v>BOX ATENCIÓN MEDICO C/BAÑO Y ECO</v>
          </cell>
          <cell r="I126">
            <v>1</v>
          </cell>
          <cell r="J126" t="str">
            <v>C.3.6.2.8</v>
          </cell>
          <cell r="K126" t="str">
            <v>Urgencia</v>
          </cell>
          <cell r="L126">
            <v>1</v>
          </cell>
          <cell r="M126">
            <v>46003</v>
          </cell>
          <cell r="N126">
            <v>46006</v>
          </cell>
          <cell r="O126">
            <v>1</v>
          </cell>
          <cell r="P126">
            <v>46007</v>
          </cell>
          <cell r="Q126">
            <v>1</v>
          </cell>
          <cell r="R126" t="str">
            <v>NA</v>
          </cell>
          <cell r="S126">
            <v>5</v>
          </cell>
        </row>
        <row r="127">
          <cell r="B127" t="str">
            <v>EMMC</v>
          </cell>
          <cell r="C127" t="str">
            <v>HSLB11153</v>
          </cell>
          <cell r="D127">
            <v>108004</v>
          </cell>
          <cell r="E127" t="str">
            <v>Ecotomógrafo Multipropósito Básico</v>
          </cell>
          <cell r="F127" t="str">
            <v>NO</v>
          </cell>
          <cell r="G127" t="str">
            <v>NO</v>
          </cell>
          <cell r="H127" t="str">
            <v>BODEGA DE EQUIPOS MEDICOS</v>
          </cell>
          <cell r="I127">
            <v>1</v>
          </cell>
          <cell r="J127" t="str">
            <v>C.4.5.6.2</v>
          </cell>
          <cell r="K127" t="str">
            <v>Urgencia</v>
          </cell>
          <cell r="L127">
            <v>1</v>
          </cell>
          <cell r="M127">
            <v>46003</v>
          </cell>
          <cell r="N127">
            <v>46006</v>
          </cell>
          <cell r="O127">
            <v>1</v>
          </cell>
          <cell r="P127">
            <v>46007</v>
          </cell>
          <cell r="Q127">
            <v>1</v>
          </cell>
          <cell r="R127" t="str">
            <v>NA</v>
          </cell>
          <cell r="S127">
            <v>5</v>
          </cell>
        </row>
        <row r="128">
          <cell r="B128" t="str">
            <v>EMMC</v>
          </cell>
          <cell r="C128" t="str">
            <v>HSLB11155</v>
          </cell>
          <cell r="D128">
            <v>108005</v>
          </cell>
          <cell r="E128" t="str">
            <v>Ecotomógrafo Multipropósito Full</v>
          </cell>
          <cell r="F128" t="str">
            <v>NO</v>
          </cell>
          <cell r="G128" t="str">
            <v>NO</v>
          </cell>
          <cell r="H128" t="str">
            <v>SALA ECOTOMOGRAFO GINECO-OBSTETRICO (EQUIPO/VESTIDOR)</v>
          </cell>
          <cell r="I128">
            <v>1</v>
          </cell>
          <cell r="J128" t="str">
            <v>C.5.3.8</v>
          </cell>
          <cell r="K128" t="str">
            <v>Imagenología</v>
          </cell>
          <cell r="L128">
            <v>1</v>
          </cell>
          <cell r="M128">
            <v>46008</v>
          </cell>
          <cell r="N128">
            <v>46009</v>
          </cell>
          <cell r="O128">
            <v>1</v>
          </cell>
          <cell r="P128">
            <v>46010</v>
          </cell>
          <cell r="Q128">
            <v>1</v>
          </cell>
          <cell r="R128" t="str">
            <v>NA</v>
          </cell>
          <cell r="S128">
            <v>5</v>
          </cell>
        </row>
        <row r="129">
          <cell r="B129" t="str">
            <v>EMMC</v>
          </cell>
          <cell r="C129" t="str">
            <v>HSLB10361</v>
          </cell>
          <cell r="D129">
            <v>103032</v>
          </cell>
          <cell r="E129" t="str">
            <v>Lavachatas Automático</v>
          </cell>
          <cell r="F129" t="str">
            <v>SI</v>
          </cell>
          <cell r="G129" t="str">
            <v>NO</v>
          </cell>
          <cell r="H129" t="str">
            <v>LAVACHATA MANUAL</v>
          </cell>
          <cell r="I129">
            <v>1</v>
          </cell>
          <cell r="J129" t="str">
            <v>C.2.5.3.39</v>
          </cell>
          <cell r="K129" t="str">
            <v>UHCIP</v>
          </cell>
          <cell r="L129">
            <v>1</v>
          </cell>
          <cell r="M129">
            <v>46043</v>
          </cell>
          <cell r="N129">
            <v>46044</v>
          </cell>
          <cell r="O129">
            <v>5</v>
          </cell>
          <cell r="P129">
            <v>46051</v>
          </cell>
          <cell r="Q129">
            <v>5</v>
          </cell>
          <cell r="R129" t="str">
            <v>NA</v>
          </cell>
          <cell r="S129">
            <v>5</v>
          </cell>
        </row>
        <row r="130">
          <cell r="B130" t="str">
            <v>EMMC</v>
          </cell>
          <cell r="C130" t="str">
            <v>HSLB11829</v>
          </cell>
          <cell r="D130">
            <v>112022</v>
          </cell>
          <cell r="E130" t="str">
            <v>Carro de Paro</v>
          </cell>
          <cell r="F130" t="str">
            <v>NO</v>
          </cell>
          <cell r="G130" t="str">
            <v>NO</v>
          </cell>
          <cell r="H130" t="str">
            <v>ESTACIÓN DE ENFERMERÍA</v>
          </cell>
          <cell r="I130">
            <v>1</v>
          </cell>
          <cell r="J130" t="str">
            <v>C.4.3.8</v>
          </cell>
          <cell r="K130" t="str">
            <v>Urgencia</v>
          </cell>
          <cell r="L130">
            <v>1</v>
          </cell>
          <cell r="M130">
            <v>46003</v>
          </cell>
          <cell r="N130">
            <v>46006</v>
          </cell>
          <cell r="O130">
            <v>1</v>
          </cell>
          <cell r="P130">
            <v>46007</v>
          </cell>
          <cell r="Q130">
            <v>1</v>
          </cell>
          <cell r="R130" t="str">
            <v>NA</v>
          </cell>
          <cell r="S130">
            <v>5</v>
          </cell>
        </row>
        <row r="131">
          <cell r="B131" t="str">
            <v>EMMC</v>
          </cell>
          <cell r="C131" t="str">
            <v>HSLB11830</v>
          </cell>
          <cell r="D131">
            <v>112022</v>
          </cell>
          <cell r="E131" t="str">
            <v>Carro de Paro</v>
          </cell>
          <cell r="F131" t="str">
            <v>NO</v>
          </cell>
          <cell r="G131" t="str">
            <v>NO</v>
          </cell>
          <cell r="H131" t="str">
            <v>BOX REANIMACIÓN INFANTIL</v>
          </cell>
          <cell r="I131">
            <v>1</v>
          </cell>
          <cell r="J131" t="str">
            <v>C.4.4.12</v>
          </cell>
          <cell r="K131" t="str">
            <v>Urgencia</v>
          </cell>
          <cell r="L131">
            <v>1</v>
          </cell>
          <cell r="M131">
            <v>46003</v>
          </cell>
          <cell r="N131">
            <v>46006</v>
          </cell>
          <cell r="O131">
            <v>1</v>
          </cell>
          <cell r="P131">
            <v>46007</v>
          </cell>
          <cell r="Q131">
            <v>1</v>
          </cell>
          <cell r="R131" t="str">
            <v>NA</v>
          </cell>
          <cell r="S131">
            <v>5</v>
          </cell>
        </row>
        <row r="132">
          <cell r="B132" t="str">
            <v>EMMC</v>
          </cell>
          <cell r="C132" t="str">
            <v>HSLB10084</v>
          </cell>
          <cell r="D132">
            <v>101024</v>
          </cell>
          <cell r="E132" t="str">
            <v>Electrocardiógrafo</v>
          </cell>
          <cell r="F132" t="str">
            <v>NO</v>
          </cell>
          <cell r="G132" t="str">
            <v>NO</v>
          </cell>
          <cell r="H132" t="str">
            <v>SALA DE PROCEDIMIENTO</v>
          </cell>
          <cell r="I132">
            <v>1</v>
          </cell>
          <cell r="J132" t="str">
            <v>C.2.5.3.33</v>
          </cell>
          <cell r="K132" t="str">
            <v>UHCIP</v>
          </cell>
          <cell r="L132">
            <v>1</v>
          </cell>
          <cell r="M132">
            <v>46024</v>
          </cell>
          <cell r="N132">
            <v>46027</v>
          </cell>
          <cell r="O132">
            <v>1</v>
          </cell>
          <cell r="P132">
            <v>46028</v>
          </cell>
          <cell r="Q132">
            <v>1</v>
          </cell>
          <cell r="R132" t="str">
            <v>NA</v>
          </cell>
          <cell r="S132">
            <v>5</v>
          </cell>
        </row>
        <row r="133">
          <cell r="B133" t="str">
            <v>EMMC</v>
          </cell>
          <cell r="C133" t="str">
            <v>HSLB10095</v>
          </cell>
          <cell r="D133">
            <v>101024</v>
          </cell>
          <cell r="E133" t="str">
            <v>Electrocardiógrafo</v>
          </cell>
          <cell r="F133" t="str">
            <v>NO</v>
          </cell>
          <cell r="G133" t="str">
            <v>NO</v>
          </cell>
          <cell r="H133" t="str">
            <v>ESTACIÓN DE ENFERMERÍA</v>
          </cell>
          <cell r="I133">
            <v>1</v>
          </cell>
          <cell r="J133" t="str">
            <v>C.3.6.2.4</v>
          </cell>
          <cell r="K133" t="str">
            <v>Urgencia</v>
          </cell>
          <cell r="L133">
            <v>1</v>
          </cell>
          <cell r="M133">
            <v>46003</v>
          </cell>
          <cell r="N133">
            <v>46006</v>
          </cell>
          <cell r="O133">
            <v>1</v>
          </cell>
          <cell r="P133">
            <v>46007</v>
          </cell>
          <cell r="Q133">
            <v>1</v>
          </cell>
          <cell r="R133" t="str">
            <v>NA</v>
          </cell>
          <cell r="S133">
            <v>5</v>
          </cell>
        </row>
        <row r="134">
          <cell r="B134" t="str">
            <v>EMMC</v>
          </cell>
          <cell r="C134" t="str">
            <v>HSLB10098</v>
          </cell>
          <cell r="D134">
            <v>101024</v>
          </cell>
          <cell r="E134" t="str">
            <v>Electrocardiógrafo</v>
          </cell>
          <cell r="F134" t="str">
            <v>NO</v>
          </cell>
          <cell r="G134" t="str">
            <v>NO</v>
          </cell>
          <cell r="H134" t="str">
            <v>BOX REANIMACIÓN ADULTO</v>
          </cell>
          <cell r="I134">
            <v>1</v>
          </cell>
          <cell r="J134" t="str">
            <v>C.4.3.12.1</v>
          </cell>
          <cell r="K134" t="str">
            <v>Urgencia</v>
          </cell>
          <cell r="L134">
            <v>1</v>
          </cell>
          <cell r="M134">
            <v>46003</v>
          </cell>
          <cell r="N134">
            <v>46006</v>
          </cell>
          <cell r="O134">
            <v>1</v>
          </cell>
          <cell r="P134">
            <v>46007</v>
          </cell>
          <cell r="Q134">
            <v>1</v>
          </cell>
          <cell r="R134" t="str">
            <v>NA</v>
          </cell>
          <cell r="S134">
            <v>5</v>
          </cell>
        </row>
        <row r="135">
          <cell r="B135" t="str">
            <v>EMMC</v>
          </cell>
          <cell r="C135" t="str">
            <v>HSLB10099</v>
          </cell>
          <cell r="D135">
            <v>101024</v>
          </cell>
          <cell r="E135" t="str">
            <v>Electrocardiógrafo</v>
          </cell>
          <cell r="F135" t="str">
            <v>NO</v>
          </cell>
          <cell r="G135" t="str">
            <v>NO</v>
          </cell>
          <cell r="H135" t="str">
            <v xml:space="preserve">SALA DE PROCEDIMIENTO </v>
          </cell>
          <cell r="I135">
            <v>1</v>
          </cell>
          <cell r="J135" t="str">
            <v>C.4.3.5.1</v>
          </cell>
          <cell r="K135" t="str">
            <v>Urgencia</v>
          </cell>
          <cell r="L135">
            <v>1</v>
          </cell>
          <cell r="M135">
            <v>46003</v>
          </cell>
          <cell r="N135">
            <v>46006</v>
          </cell>
          <cell r="O135">
            <v>1</v>
          </cell>
          <cell r="P135">
            <v>46007</v>
          </cell>
          <cell r="Q135">
            <v>1</v>
          </cell>
          <cell r="R135" t="str">
            <v>NA</v>
          </cell>
          <cell r="S135">
            <v>5</v>
          </cell>
        </row>
        <row r="136">
          <cell r="B136" t="str">
            <v>EMMC</v>
          </cell>
          <cell r="C136" t="str">
            <v>HSLB10100</v>
          </cell>
          <cell r="D136">
            <v>101024</v>
          </cell>
          <cell r="E136" t="str">
            <v>Electrocardiógrafo</v>
          </cell>
          <cell r="F136" t="str">
            <v>NO</v>
          </cell>
          <cell r="G136" t="str">
            <v>NO</v>
          </cell>
          <cell r="H136" t="str">
            <v>SALA DE PROCEDIMIENTO</v>
          </cell>
          <cell r="I136">
            <v>1</v>
          </cell>
          <cell r="J136" t="str">
            <v>C.4.3.5.2</v>
          </cell>
          <cell r="K136" t="str">
            <v>Urgencia</v>
          </cell>
          <cell r="L136">
            <v>1</v>
          </cell>
          <cell r="M136">
            <v>46003</v>
          </cell>
          <cell r="N136">
            <v>46006</v>
          </cell>
          <cell r="O136">
            <v>1</v>
          </cell>
          <cell r="P136">
            <v>46007</v>
          </cell>
          <cell r="Q136">
            <v>1</v>
          </cell>
          <cell r="R136" t="str">
            <v>NA</v>
          </cell>
          <cell r="S136">
            <v>5</v>
          </cell>
        </row>
        <row r="137">
          <cell r="B137" t="str">
            <v>EMMC</v>
          </cell>
          <cell r="C137" t="str">
            <v>HSLB10101</v>
          </cell>
          <cell r="D137">
            <v>101024</v>
          </cell>
          <cell r="E137" t="str">
            <v>Electrocardiógrafo</v>
          </cell>
          <cell r="F137" t="str">
            <v>NO</v>
          </cell>
          <cell r="G137" t="str">
            <v>NO</v>
          </cell>
          <cell r="H137" t="str">
            <v>ESTACIÓN DE ENFERMERÍA</v>
          </cell>
          <cell r="I137">
            <v>1</v>
          </cell>
          <cell r="J137" t="str">
            <v>C.4.3.8</v>
          </cell>
          <cell r="K137" t="str">
            <v>Urgencia</v>
          </cell>
          <cell r="L137">
            <v>1</v>
          </cell>
          <cell r="M137">
            <v>46003</v>
          </cell>
          <cell r="N137">
            <v>46006</v>
          </cell>
          <cell r="O137">
            <v>1</v>
          </cell>
          <cell r="P137">
            <v>46007</v>
          </cell>
          <cell r="Q137">
            <v>1</v>
          </cell>
          <cell r="R137" t="str">
            <v>NA</v>
          </cell>
          <cell r="S137">
            <v>5</v>
          </cell>
        </row>
        <row r="138">
          <cell r="B138" t="str">
            <v>EMMC</v>
          </cell>
          <cell r="C138" t="str">
            <v>HSLB10102</v>
          </cell>
          <cell r="D138">
            <v>101024</v>
          </cell>
          <cell r="E138" t="str">
            <v>Electrocardiógrafo</v>
          </cell>
          <cell r="F138" t="str">
            <v>NO</v>
          </cell>
          <cell r="G138" t="str">
            <v>NO</v>
          </cell>
          <cell r="H138" t="str">
            <v>BOX REANIMACIÓN INFANTIL</v>
          </cell>
          <cell r="I138">
            <v>1</v>
          </cell>
          <cell r="J138" t="str">
            <v>C.4.4.12</v>
          </cell>
          <cell r="K138" t="str">
            <v>Urgencia</v>
          </cell>
          <cell r="L138">
            <v>1</v>
          </cell>
          <cell r="M138">
            <v>46003</v>
          </cell>
          <cell r="N138">
            <v>46006</v>
          </cell>
          <cell r="O138">
            <v>1</v>
          </cell>
          <cell r="P138">
            <v>46007</v>
          </cell>
          <cell r="Q138">
            <v>1</v>
          </cell>
          <cell r="R138" t="str">
            <v>NA</v>
          </cell>
          <cell r="S138">
            <v>5</v>
          </cell>
        </row>
        <row r="139">
          <cell r="B139" t="str">
            <v>EMMC</v>
          </cell>
          <cell r="C139" t="str">
            <v>HSLB10103</v>
          </cell>
          <cell r="D139">
            <v>101024</v>
          </cell>
          <cell r="E139" t="str">
            <v>Electrocardiógrafo</v>
          </cell>
          <cell r="F139" t="str">
            <v>NO</v>
          </cell>
          <cell r="G139" t="str">
            <v>NO</v>
          </cell>
          <cell r="H139" t="str">
            <v>ESTACIÓN DE ENFERMERÍA</v>
          </cell>
          <cell r="I139">
            <v>1</v>
          </cell>
          <cell r="J139" t="str">
            <v>C.4.4.8</v>
          </cell>
          <cell r="K139" t="str">
            <v>Urgencia</v>
          </cell>
          <cell r="L139">
            <v>1</v>
          </cell>
          <cell r="M139">
            <v>46003</v>
          </cell>
          <cell r="N139">
            <v>46006</v>
          </cell>
          <cell r="O139">
            <v>1</v>
          </cell>
          <cell r="P139">
            <v>46007</v>
          </cell>
          <cell r="Q139">
            <v>1</v>
          </cell>
          <cell r="R139" t="str">
            <v>NA</v>
          </cell>
          <cell r="S139">
            <v>5</v>
          </cell>
        </row>
        <row r="140">
          <cell r="B140" t="str">
            <v>EMMC</v>
          </cell>
          <cell r="C140" t="str">
            <v>HSLB10110</v>
          </cell>
          <cell r="D140">
            <v>101028</v>
          </cell>
          <cell r="E140" t="str">
            <v>Equipo Telemedicina con accesorios</v>
          </cell>
          <cell r="F140" t="str">
            <v>NO</v>
          </cell>
          <cell r="G140" t="str">
            <v>NO</v>
          </cell>
          <cell r="H140" t="str">
            <v>SALA TELEMEDICINA</v>
          </cell>
          <cell r="I140">
            <v>1</v>
          </cell>
          <cell r="J140" t="str">
            <v>C.4.5.1.1</v>
          </cell>
          <cell r="K140" t="str">
            <v>Urgencia</v>
          </cell>
          <cell r="L140">
            <v>1</v>
          </cell>
          <cell r="M140">
            <v>46003</v>
          </cell>
          <cell r="N140">
            <v>46006</v>
          </cell>
          <cell r="O140">
            <v>1</v>
          </cell>
          <cell r="P140">
            <v>46007</v>
          </cell>
          <cell r="Q140">
            <v>1</v>
          </cell>
          <cell r="R140" t="str">
            <v>NA</v>
          </cell>
          <cell r="S140">
            <v>5</v>
          </cell>
        </row>
        <row r="141">
          <cell r="B141" t="str">
            <v>EMMC</v>
          </cell>
          <cell r="C141" t="str">
            <v>HSLB10111</v>
          </cell>
          <cell r="D141">
            <v>101028</v>
          </cell>
          <cell r="E141" t="str">
            <v>Equipo Telemedicina con accesorios</v>
          </cell>
          <cell r="F141" t="str">
            <v>NO</v>
          </cell>
          <cell r="G141" t="str">
            <v>NO</v>
          </cell>
          <cell r="H141" t="str">
            <v>SALA TELEMEDICINA</v>
          </cell>
          <cell r="I141">
            <v>1</v>
          </cell>
          <cell r="J141" t="str">
            <v>C.4.5.1.2</v>
          </cell>
          <cell r="K141" t="str">
            <v>Urgencia</v>
          </cell>
          <cell r="L141">
            <v>1</v>
          </cell>
          <cell r="M141">
            <v>46003</v>
          </cell>
          <cell r="N141">
            <v>46006</v>
          </cell>
          <cell r="O141">
            <v>1</v>
          </cell>
          <cell r="P141">
            <v>46007</v>
          </cell>
          <cell r="Q141">
            <v>1</v>
          </cell>
          <cell r="R141" t="str">
            <v>NA</v>
          </cell>
          <cell r="S141">
            <v>5</v>
          </cell>
        </row>
        <row r="142">
          <cell r="B142" t="str">
            <v>EMMC</v>
          </cell>
          <cell r="C142" t="str">
            <v>HSLB10385</v>
          </cell>
          <cell r="D142">
            <v>103038</v>
          </cell>
          <cell r="E142" t="str">
            <v>MÁQUINA DE COSER INDUSTRIAL</v>
          </cell>
          <cell r="F142" t="str">
            <v>NO</v>
          </cell>
          <cell r="G142" t="str">
            <v>NO</v>
          </cell>
          <cell r="H142" t="str">
            <v>ZONA DE COSTURA Y REMIENDO</v>
          </cell>
          <cell r="I142">
            <v>1</v>
          </cell>
          <cell r="J142" t="str">
            <v>D.2.2.5.14</v>
          </cell>
          <cell r="K142" t="str">
            <v>Vestuario</v>
          </cell>
          <cell r="L142">
            <v>1</v>
          </cell>
          <cell r="M142">
            <v>46037</v>
          </cell>
          <cell r="N142">
            <v>46038</v>
          </cell>
          <cell r="O142">
            <v>1</v>
          </cell>
          <cell r="P142">
            <v>46041</v>
          </cell>
          <cell r="Q142">
            <v>1</v>
          </cell>
          <cell r="R142" t="str">
            <v>NA</v>
          </cell>
          <cell r="S142">
            <v>5</v>
          </cell>
        </row>
        <row r="143">
          <cell r="B143" t="str">
            <v>EMMC</v>
          </cell>
          <cell r="C143" t="str">
            <v>HSLB11479</v>
          </cell>
          <cell r="D143">
            <v>111028</v>
          </cell>
          <cell r="E143" t="str">
            <v>Electroestimulador Portátil</v>
          </cell>
          <cell r="F143" t="str">
            <v>NO</v>
          </cell>
          <cell r="G143" t="str">
            <v>SI</v>
          </cell>
          <cell r="H143" t="str">
            <v>GIMNASIO ADULTO REHABILITACIÓN CARDIOVASCULAR</v>
          </cell>
          <cell r="I143">
            <v>5</v>
          </cell>
          <cell r="J143" t="str">
            <v>C.5.7.14</v>
          </cell>
          <cell r="K143" t="str">
            <v>Med Física y Rehabilitación</v>
          </cell>
          <cell r="L143">
            <v>1</v>
          </cell>
          <cell r="M143">
            <v>46003</v>
          </cell>
          <cell r="N143">
            <v>46006</v>
          </cell>
          <cell r="O143">
            <v>1</v>
          </cell>
          <cell r="P143">
            <v>46007</v>
          </cell>
          <cell r="Q143">
            <v>1</v>
          </cell>
          <cell r="R143" t="str">
            <v>NA</v>
          </cell>
          <cell r="S143">
            <v>5</v>
          </cell>
        </row>
        <row r="144">
          <cell r="B144" t="str">
            <v>EMMC</v>
          </cell>
          <cell r="C144" t="str">
            <v>HSLB12774</v>
          </cell>
          <cell r="D144">
            <v>113009</v>
          </cell>
          <cell r="E144" t="str">
            <v>Monitor de Signos Vitales Básico</v>
          </cell>
          <cell r="F144" t="str">
            <v>NO</v>
          </cell>
          <cell r="G144" t="str">
            <v>NO</v>
          </cell>
          <cell r="H144" t="str">
            <v>SALA DE PROCEDIMIENTO</v>
          </cell>
          <cell r="I144">
            <v>3</v>
          </cell>
          <cell r="J144" t="str">
            <v>C.2.5.3.33</v>
          </cell>
          <cell r="K144" t="str">
            <v>UHCIP</v>
          </cell>
          <cell r="L144">
            <v>1</v>
          </cell>
          <cell r="M144">
            <v>46024</v>
          </cell>
          <cell r="N144">
            <v>46027</v>
          </cell>
          <cell r="O144">
            <v>1</v>
          </cell>
          <cell r="P144">
            <v>46028</v>
          </cell>
          <cell r="Q144">
            <v>1</v>
          </cell>
          <cell r="R144" t="str">
            <v>NA</v>
          </cell>
          <cell r="S144">
            <v>5</v>
          </cell>
        </row>
        <row r="145">
          <cell r="B145" t="str">
            <v>EMMC</v>
          </cell>
          <cell r="C145" t="str">
            <v>HSLB11831</v>
          </cell>
          <cell r="D145">
            <v>112022</v>
          </cell>
          <cell r="E145" t="str">
            <v>Carro de Paro</v>
          </cell>
          <cell r="F145" t="str">
            <v>NO</v>
          </cell>
          <cell r="G145" t="str">
            <v>NO</v>
          </cell>
          <cell r="H145" t="str">
            <v>ESTACIÓN DE ENFERMERÍA</v>
          </cell>
          <cell r="I145">
            <v>1</v>
          </cell>
          <cell r="J145" t="str">
            <v>C.4.4.8</v>
          </cell>
          <cell r="K145" t="str">
            <v>Urgencia</v>
          </cell>
          <cell r="L145">
            <v>1</v>
          </cell>
          <cell r="M145">
            <v>46003</v>
          </cell>
          <cell r="N145">
            <v>46006</v>
          </cell>
          <cell r="O145">
            <v>1</v>
          </cell>
          <cell r="P145">
            <v>46007</v>
          </cell>
          <cell r="Q145">
            <v>1</v>
          </cell>
          <cell r="R145" t="str">
            <v>NA</v>
          </cell>
          <cell r="S145">
            <v>5</v>
          </cell>
        </row>
        <row r="146">
          <cell r="B146" t="str">
            <v>EMMC</v>
          </cell>
          <cell r="C146" t="str">
            <v>HSLB12718</v>
          </cell>
          <cell r="D146">
            <v>113005</v>
          </cell>
          <cell r="E146" t="str">
            <v>Monitor cardiofetal</v>
          </cell>
          <cell r="F146" t="str">
            <v>NO</v>
          </cell>
          <cell r="G146" t="str">
            <v>NO</v>
          </cell>
          <cell r="H146" t="str">
            <v>BOX ATENCIÓN MEDICO C/BAÑO Y ECO</v>
          </cell>
          <cell r="I146">
            <v>1</v>
          </cell>
          <cell r="J146" t="str">
            <v>C.3.6.2.8</v>
          </cell>
          <cell r="K146" t="str">
            <v>Urgencia</v>
          </cell>
          <cell r="L146">
            <v>1</v>
          </cell>
          <cell r="M146">
            <v>46003</v>
          </cell>
          <cell r="N146">
            <v>46006</v>
          </cell>
          <cell r="O146">
            <v>1</v>
          </cell>
          <cell r="P146">
            <v>46007</v>
          </cell>
          <cell r="Q146">
            <v>1</v>
          </cell>
          <cell r="R146" t="str">
            <v>NA</v>
          </cell>
          <cell r="S146">
            <v>5</v>
          </cell>
        </row>
        <row r="147">
          <cell r="B147" t="str">
            <v>EMMC</v>
          </cell>
          <cell r="C147" t="str">
            <v>HSLB12724</v>
          </cell>
          <cell r="D147">
            <v>113006</v>
          </cell>
          <cell r="E147" t="str">
            <v>Monitor Cardiofetal Gemelar</v>
          </cell>
          <cell r="F147" t="str">
            <v>NO</v>
          </cell>
          <cell r="G147" t="str">
            <v>NO</v>
          </cell>
          <cell r="H147" t="str">
            <v>BOX MONITOREO FETAL C / BAÑO</v>
          </cell>
          <cell r="I147">
            <v>1</v>
          </cell>
          <cell r="J147" t="str">
            <v>C.3.6.2.11</v>
          </cell>
          <cell r="K147" t="str">
            <v>Urgencia</v>
          </cell>
          <cell r="L147">
            <v>1</v>
          </cell>
          <cell r="M147">
            <v>46003</v>
          </cell>
          <cell r="N147">
            <v>46006</v>
          </cell>
          <cell r="O147">
            <v>1</v>
          </cell>
          <cell r="P147">
            <v>46007</v>
          </cell>
          <cell r="Q147">
            <v>1</v>
          </cell>
          <cell r="R147" t="str">
            <v>NA</v>
          </cell>
          <cell r="S147">
            <v>5</v>
          </cell>
        </row>
        <row r="148">
          <cell r="B148" t="str">
            <v>EMMC</v>
          </cell>
          <cell r="C148" t="str">
            <v>HSLB12731</v>
          </cell>
          <cell r="D148">
            <v>113008</v>
          </cell>
          <cell r="E148" t="str">
            <v>Monitor de Signos Vitales Baja Complejidad</v>
          </cell>
          <cell r="F148" t="str">
            <v>NO</v>
          </cell>
          <cell r="G148" t="str">
            <v>NO</v>
          </cell>
          <cell r="H148" t="str">
            <v>ESTACIÓN DE ENFERMERÍA</v>
          </cell>
          <cell r="I148">
            <v>1</v>
          </cell>
          <cell r="J148" t="str">
            <v>C.2.3.15.1</v>
          </cell>
          <cell r="K148" t="str">
            <v>Dialisis</v>
          </cell>
          <cell r="L148">
            <v>1</v>
          </cell>
          <cell r="M148">
            <v>46031</v>
          </cell>
          <cell r="N148">
            <v>46034</v>
          </cell>
          <cell r="O148">
            <v>1</v>
          </cell>
          <cell r="P148">
            <v>46035</v>
          </cell>
          <cell r="Q148">
            <v>1</v>
          </cell>
          <cell r="R148" t="str">
            <v>NA</v>
          </cell>
          <cell r="S148">
            <v>5</v>
          </cell>
        </row>
        <row r="149">
          <cell r="B149" t="str">
            <v>EMMC</v>
          </cell>
          <cell r="C149" t="str">
            <v>HSLB12732</v>
          </cell>
          <cell r="D149">
            <v>113008</v>
          </cell>
          <cell r="E149" t="str">
            <v>Monitor de Signos Vitales Baja Complejidad</v>
          </cell>
          <cell r="F149" t="str">
            <v>NO</v>
          </cell>
          <cell r="G149" t="str">
            <v>NO</v>
          </cell>
          <cell r="H149" t="str">
            <v>ESTACIÓN DE ENFERMERÍA</v>
          </cell>
          <cell r="I149">
            <v>1</v>
          </cell>
          <cell r="J149" t="str">
            <v>C.2.3.15.2</v>
          </cell>
          <cell r="K149" t="str">
            <v>Dialisis</v>
          </cell>
          <cell r="L149">
            <v>1</v>
          </cell>
          <cell r="M149">
            <v>46031</v>
          </cell>
          <cell r="N149">
            <v>46034</v>
          </cell>
          <cell r="O149">
            <v>1</v>
          </cell>
          <cell r="P149">
            <v>46035</v>
          </cell>
          <cell r="Q149">
            <v>1</v>
          </cell>
          <cell r="R149" t="str">
            <v>NA</v>
          </cell>
          <cell r="S149">
            <v>5</v>
          </cell>
        </row>
        <row r="150">
          <cell r="B150" t="str">
            <v>EMMC</v>
          </cell>
          <cell r="C150" t="str">
            <v>HSLB12733</v>
          </cell>
          <cell r="D150">
            <v>113008</v>
          </cell>
          <cell r="E150" t="str">
            <v>Monitor de Signos Vitales Baja Complejidad</v>
          </cell>
          <cell r="F150" t="str">
            <v>NO</v>
          </cell>
          <cell r="G150" t="str">
            <v>NO</v>
          </cell>
          <cell r="H150" t="str">
            <v>ESTACIÓN DE ENFERMERÍA</v>
          </cell>
          <cell r="I150">
            <v>1</v>
          </cell>
          <cell r="J150" t="str">
            <v>C.2.3.15.3</v>
          </cell>
          <cell r="K150" t="str">
            <v>Dialisis</v>
          </cell>
          <cell r="L150">
            <v>1</v>
          </cell>
          <cell r="M150">
            <v>46031</v>
          </cell>
          <cell r="N150">
            <v>46034</v>
          </cell>
          <cell r="O150">
            <v>1</v>
          </cell>
          <cell r="P150">
            <v>46035</v>
          </cell>
          <cell r="Q150">
            <v>1</v>
          </cell>
          <cell r="R150" t="str">
            <v>NA</v>
          </cell>
          <cell r="S150">
            <v>5</v>
          </cell>
        </row>
        <row r="151">
          <cell r="B151" t="str">
            <v>EMMC</v>
          </cell>
          <cell r="C151" t="str">
            <v>HSLB12734</v>
          </cell>
          <cell r="D151">
            <v>113008</v>
          </cell>
          <cell r="E151" t="str">
            <v>Monitor de Signos Vitales Baja Complejidad</v>
          </cell>
          <cell r="F151" t="str">
            <v>NO</v>
          </cell>
          <cell r="G151" t="str">
            <v>NO</v>
          </cell>
          <cell r="H151" t="str">
            <v>BODEGA DE EQUIPOS</v>
          </cell>
          <cell r="I151">
            <v>1</v>
          </cell>
          <cell r="J151" t="str">
            <v>C.2.3.26</v>
          </cell>
          <cell r="K151" t="str">
            <v>Dialisis</v>
          </cell>
          <cell r="L151">
            <v>1</v>
          </cell>
          <cell r="M151">
            <v>46031</v>
          </cell>
          <cell r="N151">
            <v>46034</v>
          </cell>
          <cell r="O151">
            <v>1</v>
          </cell>
          <cell r="P151">
            <v>46035</v>
          </cell>
          <cell r="Q151">
            <v>1</v>
          </cell>
          <cell r="R151" t="str">
            <v>NA</v>
          </cell>
          <cell r="S151">
            <v>5</v>
          </cell>
        </row>
        <row r="152">
          <cell r="B152" t="str">
            <v>EMMC</v>
          </cell>
          <cell r="C152" t="str">
            <v>HSLB12749</v>
          </cell>
          <cell r="D152">
            <v>113008</v>
          </cell>
          <cell r="E152" t="str">
            <v>Monitor de Signos Vitales Baja Complejidad</v>
          </cell>
          <cell r="F152" t="str">
            <v>NO</v>
          </cell>
          <cell r="G152" t="str">
            <v>NO</v>
          </cell>
          <cell r="H152" t="str">
            <v>SALA OBSERVACIÓN (INFANTIL)</v>
          </cell>
          <cell r="I152">
            <v>1</v>
          </cell>
          <cell r="J152" t="str">
            <v>C.4.4.4</v>
          </cell>
          <cell r="K152" t="str">
            <v>Urgencia</v>
          </cell>
          <cell r="L152">
            <v>1</v>
          </cell>
          <cell r="M152">
            <v>46003</v>
          </cell>
          <cell r="N152">
            <v>46006</v>
          </cell>
          <cell r="O152">
            <v>1</v>
          </cell>
          <cell r="P152">
            <v>46007</v>
          </cell>
          <cell r="Q152">
            <v>1</v>
          </cell>
          <cell r="R152" t="str">
            <v>NA</v>
          </cell>
          <cell r="S152">
            <v>5</v>
          </cell>
        </row>
        <row r="153">
          <cell r="B153" t="str">
            <v>EMMC</v>
          </cell>
          <cell r="C153" t="str">
            <v>HSLB12750</v>
          </cell>
          <cell r="D153">
            <v>113008</v>
          </cell>
          <cell r="E153" t="str">
            <v>Monitor de Signos Vitales Baja Complejidad</v>
          </cell>
          <cell r="F153" t="str">
            <v>NO</v>
          </cell>
          <cell r="G153" t="str">
            <v>NO</v>
          </cell>
          <cell r="H153" t="str">
            <v>SALA DE PROCEDIMIENTO (infantil)</v>
          </cell>
          <cell r="I153">
            <v>1</v>
          </cell>
          <cell r="J153" t="str">
            <v>C.4.4.5</v>
          </cell>
          <cell r="K153" t="str">
            <v>Urgencia</v>
          </cell>
          <cell r="L153">
            <v>1</v>
          </cell>
          <cell r="M153">
            <v>46003</v>
          </cell>
          <cell r="N153">
            <v>46006</v>
          </cell>
          <cell r="O153">
            <v>1</v>
          </cell>
          <cell r="P153">
            <v>46007</v>
          </cell>
          <cell r="Q153">
            <v>1</v>
          </cell>
          <cell r="R153" t="str">
            <v>NA</v>
          </cell>
          <cell r="S153">
            <v>5</v>
          </cell>
        </row>
        <row r="154">
          <cell r="B154" t="str">
            <v>EMMC</v>
          </cell>
          <cell r="C154" t="str">
            <v>HSLB10605</v>
          </cell>
          <cell r="D154">
            <v>105001</v>
          </cell>
          <cell r="E154" t="str">
            <v>Acelerador Infusión</v>
          </cell>
          <cell r="F154" t="str">
            <v>NO</v>
          </cell>
          <cell r="G154" t="str">
            <v>NO</v>
          </cell>
          <cell r="H154" t="str">
            <v>BOX REANIMACIÓN ADULTO</v>
          </cell>
          <cell r="I154">
            <v>2</v>
          </cell>
          <cell r="J154" t="str">
            <v>C.4.3.12.1</v>
          </cell>
          <cell r="K154" t="str">
            <v>Urgencia</v>
          </cell>
          <cell r="L154">
            <v>1</v>
          </cell>
          <cell r="M154">
            <v>46003</v>
          </cell>
          <cell r="N154">
            <v>46006</v>
          </cell>
          <cell r="O154">
            <v>1</v>
          </cell>
          <cell r="P154">
            <v>46007</v>
          </cell>
          <cell r="Q154">
            <v>1</v>
          </cell>
          <cell r="R154" t="str">
            <v>NA</v>
          </cell>
          <cell r="S154">
            <v>5</v>
          </cell>
        </row>
        <row r="155">
          <cell r="B155" t="str">
            <v>EMMC</v>
          </cell>
          <cell r="C155" t="str">
            <v>HSLB10608</v>
          </cell>
          <cell r="D155">
            <v>105001</v>
          </cell>
          <cell r="E155" t="str">
            <v>Acelerador Infusión</v>
          </cell>
          <cell r="F155" t="str">
            <v>NO</v>
          </cell>
          <cell r="G155" t="str">
            <v>NO</v>
          </cell>
          <cell r="H155" t="str">
            <v>BOX REANIMACIÓN INFANTIL</v>
          </cell>
          <cell r="I155">
            <v>2</v>
          </cell>
          <cell r="J155" t="str">
            <v>C.4.4.12</v>
          </cell>
          <cell r="K155" t="str">
            <v>Urgencia</v>
          </cell>
          <cell r="L155">
            <v>1</v>
          </cell>
          <cell r="M155">
            <v>46003</v>
          </cell>
          <cell r="N155">
            <v>46006</v>
          </cell>
          <cell r="O155">
            <v>1</v>
          </cell>
          <cell r="P155">
            <v>46007</v>
          </cell>
          <cell r="Q155">
            <v>1</v>
          </cell>
          <cell r="R155" t="str">
            <v>NA</v>
          </cell>
          <cell r="S155">
            <v>5</v>
          </cell>
        </row>
        <row r="156">
          <cell r="B156" t="str">
            <v>EMMC</v>
          </cell>
          <cell r="C156" t="str">
            <v>HSLB10592</v>
          </cell>
          <cell r="D156">
            <v>105001</v>
          </cell>
          <cell r="E156" t="str">
            <v>Acelerador Infusión</v>
          </cell>
          <cell r="F156" t="str">
            <v>NO</v>
          </cell>
          <cell r="G156" t="str">
            <v>NO</v>
          </cell>
          <cell r="H156" t="str">
            <v>ESTACIÓN DE ENFERMERÍA</v>
          </cell>
          <cell r="I156">
            <v>1</v>
          </cell>
          <cell r="J156" t="str">
            <v>C.3.6.2.4</v>
          </cell>
          <cell r="K156" t="str">
            <v>Urgencia</v>
          </cell>
          <cell r="L156">
            <v>1</v>
          </cell>
          <cell r="M156">
            <v>46003</v>
          </cell>
          <cell r="N156">
            <v>46006</v>
          </cell>
          <cell r="O156">
            <v>1</v>
          </cell>
          <cell r="P156">
            <v>46007</v>
          </cell>
          <cell r="Q156">
            <v>1</v>
          </cell>
          <cell r="R156" t="str">
            <v>NA</v>
          </cell>
          <cell r="S156">
            <v>5</v>
          </cell>
        </row>
        <row r="157">
          <cell r="B157" t="str">
            <v>EMMC</v>
          </cell>
          <cell r="C157" t="str">
            <v>HSLB10607</v>
          </cell>
          <cell r="D157">
            <v>105001</v>
          </cell>
          <cell r="E157" t="str">
            <v>Acelerador Infusión</v>
          </cell>
          <cell r="F157" t="str">
            <v>NO</v>
          </cell>
          <cell r="G157" t="str">
            <v>NO</v>
          </cell>
          <cell r="H157" t="str">
            <v>ESTACIÓN DE ENFERMERÍA</v>
          </cell>
          <cell r="I157">
            <v>1</v>
          </cell>
          <cell r="J157" t="str">
            <v>C.4.3.8</v>
          </cell>
          <cell r="K157" t="str">
            <v>Urgencia</v>
          </cell>
          <cell r="L157">
            <v>1</v>
          </cell>
          <cell r="M157">
            <v>46003</v>
          </cell>
          <cell r="N157">
            <v>46006</v>
          </cell>
          <cell r="O157">
            <v>1</v>
          </cell>
          <cell r="P157">
            <v>46007</v>
          </cell>
          <cell r="Q157">
            <v>1</v>
          </cell>
          <cell r="R157" t="str">
            <v>NA</v>
          </cell>
          <cell r="S157">
            <v>5</v>
          </cell>
        </row>
        <row r="158">
          <cell r="B158" t="str">
            <v>EMMC</v>
          </cell>
          <cell r="C158" t="str">
            <v>HSLB10609</v>
          </cell>
          <cell r="D158">
            <v>105001</v>
          </cell>
          <cell r="E158" t="str">
            <v>Acelerador Infusión</v>
          </cell>
          <cell r="F158" t="str">
            <v>NO</v>
          </cell>
          <cell r="G158" t="str">
            <v>NO</v>
          </cell>
          <cell r="H158" t="str">
            <v>ESTACIÓN DE ENFERMERÍA</v>
          </cell>
          <cell r="I158">
            <v>1</v>
          </cell>
          <cell r="J158" t="str">
            <v>C.4.4.8</v>
          </cell>
          <cell r="K158" t="str">
            <v>Urgencia</v>
          </cell>
          <cell r="L158">
            <v>1</v>
          </cell>
          <cell r="M158">
            <v>46003</v>
          </cell>
          <cell r="N158">
            <v>46006</v>
          </cell>
          <cell r="O158">
            <v>1</v>
          </cell>
          <cell r="P158">
            <v>46007</v>
          </cell>
          <cell r="Q158">
            <v>1</v>
          </cell>
          <cell r="R158" t="str">
            <v>NA</v>
          </cell>
          <cell r="S158">
            <v>5</v>
          </cell>
        </row>
        <row r="159">
          <cell r="B159" t="str">
            <v>EMMC</v>
          </cell>
          <cell r="C159" t="str">
            <v>HSLB10063</v>
          </cell>
          <cell r="D159">
            <v>103011</v>
          </cell>
          <cell r="E159" t="str">
            <v>Cámara Fotográfica Digital</v>
          </cell>
          <cell r="F159" t="str">
            <v>NO</v>
          </cell>
          <cell r="G159" t="str">
            <v>NO</v>
          </cell>
          <cell r="H159" t="str">
            <v>BOX AT. ACOGIDA C/BAÑO Y DUCHA</v>
          </cell>
          <cell r="I159">
            <v>1</v>
          </cell>
          <cell r="J159" t="str">
            <v>C.4.5.16</v>
          </cell>
          <cell r="K159" t="str">
            <v>Urgencia</v>
          </cell>
          <cell r="L159">
            <v>1</v>
          </cell>
          <cell r="M159">
            <v>46003</v>
          </cell>
          <cell r="N159">
            <v>46006</v>
          </cell>
          <cell r="O159">
            <v>1</v>
          </cell>
          <cell r="P159">
            <v>46007</v>
          </cell>
          <cell r="Q159">
            <v>1</v>
          </cell>
          <cell r="R159" t="str">
            <v>NA</v>
          </cell>
          <cell r="S159">
            <v>5</v>
          </cell>
        </row>
        <row r="160">
          <cell r="B160" t="str">
            <v>EMMC</v>
          </cell>
          <cell r="C160" t="str">
            <v>HSLB11471</v>
          </cell>
          <cell r="D160">
            <v>111022</v>
          </cell>
          <cell r="E160" t="str">
            <v>Consola de Juegos</v>
          </cell>
          <cell r="F160" t="str">
            <v>NO</v>
          </cell>
          <cell r="G160" t="str">
            <v>SI</v>
          </cell>
          <cell r="H160" t="str">
            <v>GIMNASIO ADULTO REHABILITACIÓN CARDIOVASCULAR</v>
          </cell>
          <cell r="I160">
            <v>1</v>
          </cell>
          <cell r="J160" t="str">
            <v>C.5.7.14</v>
          </cell>
          <cell r="K160" t="str">
            <v>Med Física y Rehabilitación</v>
          </cell>
          <cell r="L160">
            <v>1</v>
          </cell>
          <cell r="M160">
            <v>46003</v>
          </cell>
          <cell r="N160">
            <v>46006</v>
          </cell>
          <cell r="O160">
            <v>1</v>
          </cell>
          <cell r="P160">
            <v>46007</v>
          </cell>
          <cell r="Q160">
            <v>1</v>
          </cell>
          <cell r="R160" t="str">
            <v>NA</v>
          </cell>
          <cell r="S160">
            <v>5</v>
          </cell>
        </row>
        <row r="161">
          <cell r="B161" t="str">
            <v>EMMC</v>
          </cell>
          <cell r="C161" t="str">
            <v>HSLB10235</v>
          </cell>
          <cell r="D161">
            <v>101055</v>
          </cell>
          <cell r="E161" t="str">
            <v>Otoscopio</v>
          </cell>
          <cell r="F161" t="str">
            <v>NO</v>
          </cell>
          <cell r="G161" t="str">
            <v>NO</v>
          </cell>
          <cell r="H161" t="str">
            <v>BOX INDIFERENCIADO (FONOAUDIO Y TERAPIA OCU)(1)</v>
          </cell>
          <cell r="I161">
            <v>1</v>
          </cell>
          <cell r="J161" t="str">
            <v>C.5.7.5.1</v>
          </cell>
          <cell r="K161" t="str">
            <v>Med Física y Rehabilitación</v>
          </cell>
          <cell r="L161">
            <v>1</v>
          </cell>
          <cell r="M161">
            <v>46013</v>
          </cell>
          <cell r="N161">
            <v>46014</v>
          </cell>
          <cell r="O161">
            <v>1</v>
          </cell>
          <cell r="P161">
            <v>46015</v>
          </cell>
          <cell r="Q161">
            <v>1</v>
          </cell>
          <cell r="R161" t="str">
            <v>NA</v>
          </cell>
          <cell r="S161">
            <v>5</v>
          </cell>
        </row>
        <row r="162">
          <cell r="B162" t="str">
            <v>EMMC</v>
          </cell>
          <cell r="C162" t="str">
            <v>HSLB10236</v>
          </cell>
          <cell r="D162">
            <v>101055</v>
          </cell>
          <cell r="E162" t="str">
            <v>Otoscopio</v>
          </cell>
          <cell r="F162" t="str">
            <v>NO</v>
          </cell>
          <cell r="G162" t="str">
            <v>NO</v>
          </cell>
          <cell r="H162" t="str">
            <v>BOX FONOAUDIO PEDIATRICO</v>
          </cell>
          <cell r="I162">
            <v>1</v>
          </cell>
          <cell r="J162" t="str">
            <v>C.5.7.5.2.1</v>
          </cell>
          <cell r="K162" t="str">
            <v>Med Física y Rehabilitación</v>
          </cell>
          <cell r="L162">
            <v>1</v>
          </cell>
          <cell r="M162">
            <v>46013</v>
          </cell>
          <cell r="N162">
            <v>46014</v>
          </cell>
          <cell r="O162">
            <v>1</v>
          </cell>
          <cell r="P162">
            <v>46015</v>
          </cell>
          <cell r="Q162">
            <v>1</v>
          </cell>
          <cell r="R162" t="str">
            <v>NA</v>
          </cell>
          <cell r="S162">
            <v>5</v>
          </cell>
        </row>
        <row r="163">
          <cell r="B163" t="str">
            <v>EMMC</v>
          </cell>
          <cell r="C163" t="str">
            <v>HSLB11520</v>
          </cell>
          <cell r="D163">
            <v>111058</v>
          </cell>
          <cell r="E163" t="str">
            <v>Podómetro</v>
          </cell>
          <cell r="F163" t="str">
            <v>NO</v>
          </cell>
          <cell r="G163" t="str">
            <v>NO</v>
          </cell>
          <cell r="H163" t="str">
            <v>BOX KINESIOLOGO(1)</v>
          </cell>
          <cell r="I163">
            <v>1</v>
          </cell>
          <cell r="J163" t="str">
            <v>C.5.7.4.1</v>
          </cell>
          <cell r="K163" t="str">
            <v>Med Física y Rehabilitación</v>
          </cell>
          <cell r="L163">
            <v>1</v>
          </cell>
          <cell r="M163">
            <v>46013</v>
          </cell>
          <cell r="N163">
            <v>46014</v>
          </cell>
          <cell r="O163">
            <v>1</v>
          </cell>
          <cell r="P163">
            <v>46015</v>
          </cell>
          <cell r="Q163">
            <v>1</v>
          </cell>
          <cell r="R163" t="str">
            <v>NA</v>
          </cell>
          <cell r="S163">
            <v>5</v>
          </cell>
        </row>
        <row r="164">
          <cell r="B164" t="str">
            <v>EMMC</v>
          </cell>
          <cell r="C164" t="str">
            <v>HSLB11521</v>
          </cell>
          <cell r="D164">
            <v>111058</v>
          </cell>
          <cell r="E164" t="str">
            <v>Podómetro</v>
          </cell>
          <cell r="F164" t="str">
            <v>NO</v>
          </cell>
          <cell r="G164" t="str">
            <v>NO</v>
          </cell>
          <cell r="H164" t="str">
            <v>BOX INDIFERENCIADO (FONOAUDIO Y TERAPIA OCU)(2)</v>
          </cell>
          <cell r="I164">
            <v>1</v>
          </cell>
          <cell r="J164" t="str">
            <v>C.5.7.5.2</v>
          </cell>
          <cell r="K164" t="str">
            <v>Med Física y Rehabilitación</v>
          </cell>
          <cell r="L164">
            <v>1</v>
          </cell>
          <cell r="M164">
            <v>46013</v>
          </cell>
          <cell r="N164">
            <v>46014</v>
          </cell>
          <cell r="O164">
            <v>1</v>
          </cell>
          <cell r="P164">
            <v>46015</v>
          </cell>
          <cell r="Q164">
            <v>1</v>
          </cell>
          <cell r="R164" t="str">
            <v>NA</v>
          </cell>
          <cell r="S164">
            <v>5</v>
          </cell>
        </row>
        <row r="165">
          <cell r="B165" t="str">
            <v>EMMC</v>
          </cell>
          <cell r="C165" t="str">
            <v>HSLB10259</v>
          </cell>
          <cell r="D165">
            <v>102001</v>
          </cell>
          <cell r="E165" t="str">
            <v>Anoscopio</v>
          </cell>
          <cell r="F165" t="str">
            <v>NO</v>
          </cell>
          <cell r="G165" t="str">
            <v>NO</v>
          </cell>
          <cell r="H165" t="str">
            <v>BOX AT. ACOGIDA C/BAÑO Y DUCHA</v>
          </cell>
          <cell r="I165">
            <v>1</v>
          </cell>
          <cell r="J165" t="str">
            <v>C.4.5.16</v>
          </cell>
          <cell r="K165" t="str">
            <v>Urgencia</v>
          </cell>
          <cell r="L165">
            <v>1</v>
          </cell>
          <cell r="M165">
            <v>46003</v>
          </cell>
          <cell r="N165">
            <v>46006</v>
          </cell>
          <cell r="O165">
            <v>1</v>
          </cell>
          <cell r="P165">
            <v>46007</v>
          </cell>
          <cell r="Q165">
            <v>1</v>
          </cell>
          <cell r="R165" t="str">
            <v>NA</v>
          </cell>
          <cell r="S165">
            <v>5</v>
          </cell>
        </row>
        <row r="166">
          <cell r="B166" t="str">
            <v>EMMC</v>
          </cell>
          <cell r="C166" t="str">
            <v>HSLB12704</v>
          </cell>
          <cell r="D166">
            <v>113001</v>
          </cell>
          <cell r="E166" t="str">
            <v>Capnógrafo</v>
          </cell>
          <cell r="F166" t="str">
            <v>NO</v>
          </cell>
          <cell r="G166" t="str">
            <v>NO</v>
          </cell>
          <cell r="H166" t="str">
            <v>ESTACIÓN DE ENFERMERÍA</v>
          </cell>
          <cell r="I166">
            <v>1</v>
          </cell>
          <cell r="J166" t="str">
            <v>C.4.3.8</v>
          </cell>
          <cell r="K166" t="str">
            <v>Urgencia</v>
          </cell>
          <cell r="L166">
            <v>1</v>
          </cell>
          <cell r="M166">
            <v>46003</v>
          </cell>
          <cell r="N166">
            <v>46006</v>
          </cell>
          <cell r="O166">
            <v>1</v>
          </cell>
          <cell r="P166">
            <v>46007</v>
          </cell>
          <cell r="Q166">
            <v>1</v>
          </cell>
          <cell r="R166" t="str">
            <v>NA</v>
          </cell>
          <cell r="S166">
            <v>5</v>
          </cell>
        </row>
        <row r="167">
          <cell r="B167" t="str">
            <v>EMMC</v>
          </cell>
          <cell r="C167" t="str">
            <v>HSLB12705</v>
          </cell>
          <cell r="D167">
            <v>113001</v>
          </cell>
          <cell r="E167" t="str">
            <v>Capnógrafo</v>
          </cell>
          <cell r="F167" t="str">
            <v>NO</v>
          </cell>
          <cell r="G167" t="str">
            <v>NO</v>
          </cell>
          <cell r="H167" t="str">
            <v>ESTACIÓN DE ENFERMERÍA</v>
          </cell>
          <cell r="I167">
            <v>1</v>
          </cell>
          <cell r="J167" t="str">
            <v>C.4.4.8</v>
          </cell>
          <cell r="K167" t="str">
            <v>Urgencia</v>
          </cell>
          <cell r="L167">
            <v>1</v>
          </cell>
          <cell r="M167">
            <v>46003</v>
          </cell>
          <cell r="N167">
            <v>46006</v>
          </cell>
          <cell r="O167">
            <v>1</v>
          </cell>
          <cell r="P167">
            <v>46007</v>
          </cell>
          <cell r="Q167">
            <v>1</v>
          </cell>
          <cell r="R167" t="str">
            <v>NA</v>
          </cell>
          <cell r="S167">
            <v>5</v>
          </cell>
        </row>
        <row r="168">
          <cell r="B168" t="str">
            <v>EMMC</v>
          </cell>
          <cell r="C168" t="str">
            <v>HSLB11832</v>
          </cell>
          <cell r="D168">
            <v>112022</v>
          </cell>
          <cell r="E168" t="str">
            <v>Carro de Paro</v>
          </cell>
          <cell r="F168" t="str">
            <v>NO</v>
          </cell>
          <cell r="G168" t="str">
            <v>NO</v>
          </cell>
          <cell r="H168" t="str">
            <v>SALA TOMOGRAFO AXIAL COMPUTARIZADO (PREPARACIÓN/EQUIPO/COMANDO/VESTIDOR)</v>
          </cell>
          <cell r="I168">
            <v>1</v>
          </cell>
          <cell r="J168" t="str">
            <v>C.5.3.7</v>
          </cell>
          <cell r="K168" t="str">
            <v>Imagenología</v>
          </cell>
          <cell r="L168">
            <v>1</v>
          </cell>
          <cell r="M168">
            <v>46008</v>
          </cell>
          <cell r="N168">
            <v>46009</v>
          </cell>
          <cell r="O168">
            <v>1</v>
          </cell>
          <cell r="P168">
            <v>46010</v>
          </cell>
          <cell r="Q168">
            <v>1</v>
          </cell>
          <cell r="R168" t="str">
            <v>NA</v>
          </cell>
          <cell r="S168">
            <v>5</v>
          </cell>
        </row>
        <row r="169">
          <cell r="B169" t="str">
            <v>EMMC</v>
          </cell>
          <cell r="C169" t="str">
            <v>HSLB10077</v>
          </cell>
          <cell r="D169">
            <v>101023</v>
          </cell>
          <cell r="E169" t="str">
            <v>DETECTOR DE LATIDOS CARDIOFETALES</v>
          </cell>
          <cell r="F169" t="str">
            <v>NO</v>
          </cell>
          <cell r="G169" t="str">
            <v>NO</v>
          </cell>
          <cell r="H169" t="str">
            <v>SELECTOR DE DEMANDA GINECOLOGÍA</v>
          </cell>
          <cell r="I169">
            <v>1</v>
          </cell>
          <cell r="J169" t="str">
            <v>C.3.6.2.2</v>
          </cell>
          <cell r="K169" t="str">
            <v>Urgencia</v>
          </cell>
          <cell r="L169">
            <v>1</v>
          </cell>
          <cell r="M169">
            <v>46003</v>
          </cell>
          <cell r="N169">
            <v>46006</v>
          </cell>
          <cell r="O169">
            <v>1</v>
          </cell>
          <cell r="P169">
            <v>46007</v>
          </cell>
          <cell r="Q169">
            <v>1</v>
          </cell>
          <cell r="R169" t="str">
            <v>NA</v>
          </cell>
          <cell r="S169">
            <v>5</v>
          </cell>
        </row>
        <row r="170">
          <cell r="B170" t="str">
            <v>EMMC</v>
          </cell>
          <cell r="C170" t="str">
            <v>HSLB10078</v>
          </cell>
          <cell r="D170">
            <v>101023</v>
          </cell>
          <cell r="E170" t="str">
            <v>DETECTOR DE LATIDOS CARDIOFETALES</v>
          </cell>
          <cell r="F170" t="str">
            <v>NO</v>
          </cell>
          <cell r="G170" t="str">
            <v>NO</v>
          </cell>
          <cell r="H170" t="str">
            <v>BOX MATRONA</v>
          </cell>
          <cell r="I170">
            <v>1</v>
          </cell>
          <cell r="J170" t="str">
            <v>C.3.6.2.8.1</v>
          </cell>
          <cell r="K170" t="str">
            <v>Urgencia</v>
          </cell>
          <cell r="L170">
            <v>1</v>
          </cell>
          <cell r="M170">
            <v>46003</v>
          </cell>
          <cell r="N170">
            <v>46006</v>
          </cell>
          <cell r="O170">
            <v>1</v>
          </cell>
          <cell r="P170">
            <v>46007</v>
          </cell>
          <cell r="Q170">
            <v>1</v>
          </cell>
          <cell r="R170" t="str">
            <v>NA</v>
          </cell>
          <cell r="S170">
            <v>5</v>
          </cell>
        </row>
        <row r="171">
          <cell r="B171" t="str">
            <v>EMMC</v>
          </cell>
          <cell r="C171" t="str">
            <v>HSLB11477</v>
          </cell>
          <cell r="D171">
            <v>111027</v>
          </cell>
          <cell r="E171" t="str">
            <v>Electroestimulador</v>
          </cell>
          <cell r="F171" t="str">
            <v>NO</v>
          </cell>
          <cell r="G171" t="str">
            <v>SI</v>
          </cell>
          <cell r="H171" t="str">
            <v>GIMNASIO ADULTO REHABILITACIÓN CARDIOVASCULAR</v>
          </cell>
          <cell r="I171">
            <v>1</v>
          </cell>
          <cell r="J171" t="str">
            <v>C.5.7.14</v>
          </cell>
          <cell r="K171" t="str">
            <v>Med Física y Rehabilitación</v>
          </cell>
          <cell r="L171">
            <v>1</v>
          </cell>
          <cell r="M171">
            <v>46003</v>
          </cell>
          <cell r="N171">
            <v>46006</v>
          </cell>
          <cell r="O171">
            <v>1</v>
          </cell>
          <cell r="P171">
            <v>46007</v>
          </cell>
          <cell r="Q171">
            <v>1</v>
          </cell>
          <cell r="R171" t="str">
            <v>NA</v>
          </cell>
          <cell r="S171">
            <v>5</v>
          </cell>
        </row>
        <row r="172">
          <cell r="B172" t="str">
            <v>EMMC</v>
          </cell>
          <cell r="C172" t="str">
            <v>HSLB11478</v>
          </cell>
          <cell r="D172">
            <v>111027</v>
          </cell>
          <cell r="E172" t="str">
            <v>Electroestimulador</v>
          </cell>
          <cell r="F172" t="str">
            <v>NO</v>
          </cell>
          <cell r="G172" t="str">
            <v>NO</v>
          </cell>
          <cell r="H172" t="str">
            <v>SALA PROCEDIMIENTOS C/BAÑO</v>
          </cell>
          <cell r="I172">
            <v>1</v>
          </cell>
          <cell r="J172" t="str">
            <v>C.5.7.6.1</v>
          </cell>
          <cell r="K172" t="str">
            <v>Med Física y Rehabilitación</v>
          </cell>
          <cell r="L172">
            <v>1</v>
          </cell>
          <cell r="M172">
            <v>46013</v>
          </cell>
          <cell r="N172">
            <v>46014</v>
          </cell>
          <cell r="O172">
            <v>1</v>
          </cell>
          <cell r="P172">
            <v>46015</v>
          </cell>
          <cell r="Q172">
            <v>1</v>
          </cell>
          <cell r="R172" t="str">
            <v>NA</v>
          </cell>
          <cell r="S172">
            <v>5</v>
          </cell>
        </row>
        <row r="173">
          <cell r="B173" t="str">
            <v>EMMC</v>
          </cell>
          <cell r="C173" t="str">
            <v>HSLB11480</v>
          </cell>
          <cell r="D173">
            <v>111028</v>
          </cell>
          <cell r="E173" t="str">
            <v>Electroestimulador Portátil</v>
          </cell>
          <cell r="F173" t="str">
            <v>NO</v>
          </cell>
          <cell r="G173" t="str">
            <v>NO</v>
          </cell>
          <cell r="H173" t="str">
            <v>BOX INDIFERENCIADO (FONOAUDIO Y TERAPIA OCU)(1)</v>
          </cell>
          <cell r="I173">
            <v>1</v>
          </cell>
          <cell r="J173" t="str">
            <v>C.5.7.5.1</v>
          </cell>
          <cell r="K173" t="str">
            <v>Med Física y Rehabilitación</v>
          </cell>
          <cell r="L173">
            <v>1</v>
          </cell>
          <cell r="M173">
            <v>46013</v>
          </cell>
          <cell r="N173">
            <v>46014</v>
          </cell>
          <cell r="O173">
            <v>1</v>
          </cell>
          <cell r="P173">
            <v>46015</v>
          </cell>
          <cell r="Q173">
            <v>1</v>
          </cell>
          <cell r="R173" t="str">
            <v>NA</v>
          </cell>
          <cell r="S173">
            <v>5</v>
          </cell>
        </row>
        <row r="174">
          <cell r="B174" t="str">
            <v>EMMC</v>
          </cell>
          <cell r="C174" t="str">
            <v>HSLB11481</v>
          </cell>
          <cell r="D174">
            <v>111028</v>
          </cell>
          <cell r="E174" t="str">
            <v>Electroestimulador Portátil</v>
          </cell>
          <cell r="F174" t="str">
            <v>NO</v>
          </cell>
          <cell r="G174" t="str">
            <v>NO</v>
          </cell>
          <cell r="H174" t="str">
            <v>BOX FONOAUDIO PEDIATRICO</v>
          </cell>
          <cell r="I174">
            <v>1</v>
          </cell>
          <cell r="J174" t="str">
            <v>C.5.7.5.2.1</v>
          </cell>
          <cell r="K174" t="str">
            <v>Med Física y Rehabilitación</v>
          </cell>
          <cell r="L174">
            <v>1</v>
          </cell>
          <cell r="M174">
            <v>46013</v>
          </cell>
          <cell r="N174">
            <v>46014</v>
          </cell>
          <cell r="O174">
            <v>1</v>
          </cell>
          <cell r="P174">
            <v>46015</v>
          </cell>
          <cell r="Q174">
            <v>1</v>
          </cell>
          <cell r="R174" t="str">
            <v>NA</v>
          </cell>
          <cell r="S174">
            <v>5</v>
          </cell>
        </row>
        <row r="175">
          <cell r="B175" t="str">
            <v>EMMC</v>
          </cell>
          <cell r="C175" t="str">
            <v>HSLB11483</v>
          </cell>
          <cell r="D175">
            <v>111030</v>
          </cell>
          <cell r="E175" t="str">
            <v>Equipo de Laserterapia</v>
          </cell>
          <cell r="F175" t="str">
            <v>NO</v>
          </cell>
          <cell r="G175" t="str">
            <v>SI</v>
          </cell>
          <cell r="H175" t="str">
            <v>GIMNASIO ADULTO REHABILITACIÓN CARDIOVASCULAR</v>
          </cell>
          <cell r="I175">
            <v>1</v>
          </cell>
          <cell r="J175" t="str">
            <v>C.5.7.14</v>
          </cell>
          <cell r="K175" t="str">
            <v>Med Física y Rehabilitación</v>
          </cell>
          <cell r="L175">
            <v>1</v>
          </cell>
          <cell r="M175">
            <v>46003</v>
          </cell>
          <cell r="N175">
            <v>46006</v>
          </cell>
          <cell r="O175">
            <v>1</v>
          </cell>
          <cell r="P175">
            <v>46007</v>
          </cell>
          <cell r="Q175">
            <v>1</v>
          </cell>
          <cell r="R175" t="str">
            <v>NA</v>
          </cell>
          <cell r="S175">
            <v>5</v>
          </cell>
        </row>
        <row r="176">
          <cell r="B176" t="str">
            <v>EMMC</v>
          </cell>
          <cell r="C176" t="str">
            <v>HSLB10166</v>
          </cell>
          <cell r="D176">
            <v>101037</v>
          </cell>
          <cell r="E176" t="str">
            <v>LÁMPARA DE EXAMEN RODABLE</v>
          </cell>
          <cell r="F176" t="str">
            <v>NO</v>
          </cell>
          <cell r="G176" t="str">
            <v>NO</v>
          </cell>
          <cell r="H176" t="str">
            <v>BOX INDIFERENCIADO (FONOAUDIO Y TERAPIA OCU)(1)</v>
          </cell>
          <cell r="I176">
            <v>1</v>
          </cell>
          <cell r="J176" t="str">
            <v>C.5.7.5.1</v>
          </cell>
          <cell r="K176" t="str">
            <v>Med Física y Rehabilitación</v>
          </cell>
          <cell r="L176">
            <v>1</v>
          </cell>
          <cell r="M176">
            <v>46013</v>
          </cell>
          <cell r="N176">
            <v>46014</v>
          </cell>
          <cell r="O176">
            <v>1</v>
          </cell>
          <cell r="P176">
            <v>46015</v>
          </cell>
          <cell r="Q176">
            <v>1</v>
          </cell>
          <cell r="R176" t="str">
            <v>NA</v>
          </cell>
          <cell r="S176">
            <v>5</v>
          </cell>
        </row>
        <row r="177">
          <cell r="B177" t="str">
            <v>EMMC</v>
          </cell>
          <cell r="C177" t="str">
            <v>HSLB10167</v>
          </cell>
          <cell r="D177">
            <v>101037</v>
          </cell>
          <cell r="E177" t="str">
            <v>LÁMPARA DE EXAMEN RODABLE</v>
          </cell>
          <cell r="F177" t="str">
            <v>NO</v>
          </cell>
          <cell r="G177" t="str">
            <v>NO</v>
          </cell>
          <cell r="H177" t="str">
            <v>BOX FONOAUDIO PEDIATRICO</v>
          </cell>
          <cell r="I177">
            <v>1</v>
          </cell>
          <cell r="J177" t="str">
            <v>C.5.7.5.2.1</v>
          </cell>
          <cell r="K177" t="str">
            <v>Med Física y Rehabilitación</v>
          </cell>
          <cell r="L177">
            <v>1</v>
          </cell>
          <cell r="M177">
            <v>46013</v>
          </cell>
          <cell r="N177">
            <v>46014</v>
          </cell>
          <cell r="O177">
            <v>1</v>
          </cell>
          <cell r="P177">
            <v>46015</v>
          </cell>
          <cell r="Q177">
            <v>1</v>
          </cell>
          <cell r="R177" t="str">
            <v>NA</v>
          </cell>
          <cell r="S177">
            <v>5</v>
          </cell>
        </row>
        <row r="178">
          <cell r="B178" t="str">
            <v>EMMC</v>
          </cell>
          <cell r="C178" t="str">
            <v>HSLB10139</v>
          </cell>
          <cell r="D178">
            <v>101037</v>
          </cell>
          <cell r="E178" t="str">
            <v>LÁMPARA DE EXAMEN RODABLE</v>
          </cell>
          <cell r="F178" t="str">
            <v>NO</v>
          </cell>
          <cell r="G178" t="str">
            <v>NO</v>
          </cell>
          <cell r="H178" t="str">
            <v>ESTACIÓN DE ENFERMERÍA</v>
          </cell>
          <cell r="I178">
            <v>1</v>
          </cell>
          <cell r="J178" t="str">
            <v>C.2.3.15.3</v>
          </cell>
          <cell r="K178" t="str">
            <v>Dialisis</v>
          </cell>
          <cell r="L178">
            <v>1</v>
          </cell>
          <cell r="M178">
            <v>46031</v>
          </cell>
          <cell r="N178">
            <v>46034</v>
          </cell>
          <cell r="O178">
            <v>1</v>
          </cell>
          <cell r="P178">
            <v>46035</v>
          </cell>
          <cell r="Q178">
            <v>1</v>
          </cell>
          <cell r="R178" t="str">
            <v>NA</v>
          </cell>
          <cell r="S178">
            <v>5</v>
          </cell>
        </row>
        <row r="179">
          <cell r="B179" t="str">
            <v>EMMC</v>
          </cell>
          <cell r="C179" t="str">
            <v>HSLB10140</v>
          </cell>
          <cell r="D179">
            <v>101037</v>
          </cell>
          <cell r="E179" t="str">
            <v>LÁMPARA DE EXAMEN RODABLE</v>
          </cell>
          <cell r="F179" t="str">
            <v>NO</v>
          </cell>
          <cell r="G179" t="str">
            <v>NO</v>
          </cell>
          <cell r="H179" t="str">
            <v>SALA DE PROCEDIMIENTOS</v>
          </cell>
          <cell r="I179">
            <v>1</v>
          </cell>
          <cell r="J179" t="str">
            <v>C.2.4.8</v>
          </cell>
          <cell r="K179" t="str">
            <v>Imagenología</v>
          </cell>
          <cell r="L179">
            <v>1</v>
          </cell>
          <cell r="M179">
            <v>46008</v>
          </cell>
          <cell r="N179">
            <v>46009</v>
          </cell>
          <cell r="O179">
            <v>1</v>
          </cell>
          <cell r="P179">
            <v>46010</v>
          </cell>
          <cell r="Q179">
            <v>1</v>
          </cell>
          <cell r="R179" t="str">
            <v>NA</v>
          </cell>
          <cell r="S179">
            <v>5</v>
          </cell>
        </row>
        <row r="180">
          <cell r="B180" t="str">
            <v>EMMC</v>
          </cell>
          <cell r="C180" t="str">
            <v>HSLB10142</v>
          </cell>
          <cell r="D180">
            <v>101037</v>
          </cell>
          <cell r="E180" t="str">
            <v>LÁMPARA DE EXAMEN RODABLE</v>
          </cell>
          <cell r="F180" t="str">
            <v>NO</v>
          </cell>
          <cell r="G180" t="str">
            <v>NO</v>
          </cell>
          <cell r="H180" t="str">
            <v>BOX MULTIPROPÓSITO</v>
          </cell>
          <cell r="I180">
            <v>1</v>
          </cell>
          <cell r="J180" t="str">
            <v>C.2.5.3.12.1</v>
          </cell>
          <cell r="K180" t="str">
            <v>UHCIP</v>
          </cell>
          <cell r="L180">
            <v>1</v>
          </cell>
          <cell r="M180">
            <v>46024</v>
          </cell>
          <cell r="N180">
            <v>46027</v>
          </cell>
          <cell r="O180">
            <v>1</v>
          </cell>
          <cell r="P180">
            <v>46028</v>
          </cell>
          <cell r="Q180">
            <v>1</v>
          </cell>
          <cell r="R180" t="str">
            <v>NA</v>
          </cell>
          <cell r="S180">
            <v>5</v>
          </cell>
        </row>
        <row r="181">
          <cell r="B181" t="str">
            <v>EMMC</v>
          </cell>
          <cell r="C181" t="str">
            <v>HSLB10143</v>
          </cell>
          <cell r="D181">
            <v>101037</v>
          </cell>
          <cell r="E181" t="str">
            <v>LÁMPARA DE EXAMEN RODABLE</v>
          </cell>
          <cell r="F181" t="str">
            <v>NO</v>
          </cell>
          <cell r="G181" t="str">
            <v>NO</v>
          </cell>
          <cell r="H181" t="str">
            <v>BOX MULTIPROPÓSITO</v>
          </cell>
          <cell r="I181">
            <v>1</v>
          </cell>
          <cell r="J181" t="str">
            <v>C.2.5.3.12.2</v>
          </cell>
          <cell r="K181" t="str">
            <v>UHCIP</v>
          </cell>
          <cell r="L181">
            <v>1</v>
          </cell>
          <cell r="M181">
            <v>46024</v>
          </cell>
          <cell r="N181">
            <v>46027</v>
          </cell>
          <cell r="O181">
            <v>1</v>
          </cell>
          <cell r="P181">
            <v>46028</v>
          </cell>
          <cell r="Q181">
            <v>1</v>
          </cell>
          <cell r="R181" t="str">
            <v>NA</v>
          </cell>
          <cell r="S181">
            <v>5</v>
          </cell>
        </row>
        <row r="182">
          <cell r="B182" t="str">
            <v>EMMC</v>
          </cell>
          <cell r="C182" t="str">
            <v>HSLB10151</v>
          </cell>
          <cell r="D182">
            <v>101037</v>
          </cell>
          <cell r="E182" t="str">
            <v>LÁMPARA DE EXAMEN RODABLE</v>
          </cell>
          <cell r="F182" t="str">
            <v>NO</v>
          </cell>
          <cell r="G182" t="str">
            <v>NO</v>
          </cell>
          <cell r="H182" t="str">
            <v>ESTACIÓN DE ENFERMERÍA</v>
          </cell>
          <cell r="I182">
            <v>1</v>
          </cell>
          <cell r="J182" t="str">
            <v>C.3.6.2.4</v>
          </cell>
          <cell r="K182" t="str">
            <v>Urgencia</v>
          </cell>
          <cell r="L182">
            <v>1</v>
          </cell>
          <cell r="M182">
            <v>46003</v>
          </cell>
          <cell r="N182">
            <v>46006</v>
          </cell>
          <cell r="O182">
            <v>1</v>
          </cell>
          <cell r="P182">
            <v>46007</v>
          </cell>
          <cell r="Q182">
            <v>1</v>
          </cell>
          <cell r="R182" t="str">
            <v>NA</v>
          </cell>
          <cell r="S182">
            <v>5</v>
          </cell>
        </row>
        <row r="183">
          <cell r="B183" t="str">
            <v>EMMC</v>
          </cell>
          <cell r="C183" t="str">
            <v>HSLB10152</v>
          </cell>
          <cell r="D183">
            <v>101037</v>
          </cell>
          <cell r="E183" t="str">
            <v>LÁMPARA DE EXAMEN RODABLE</v>
          </cell>
          <cell r="F183" t="str">
            <v>NO</v>
          </cell>
          <cell r="G183" t="str">
            <v>NO</v>
          </cell>
          <cell r="H183" t="str">
            <v>BOX ATENCIÓN MEDICO C/BAÑO Y ECO</v>
          </cell>
          <cell r="I183">
            <v>1</v>
          </cell>
          <cell r="J183" t="str">
            <v>C.3.6.2.8</v>
          </cell>
          <cell r="K183" t="str">
            <v>Urgencia</v>
          </cell>
          <cell r="L183">
            <v>1</v>
          </cell>
          <cell r="M183">
            <v>46003</v>
          </cell>
          <cell r="N183">
            <v>46006</v>
          </cell>
          <cell r="O183">
            <v>1</v>
          </cell>
          <cell r="P183">
            <v>46007</v>
          </cell>
          <cell r="Q183">
            <v>1</v>
          </cell>
          <cell r="R183" t="str">
            <v>NA</v>
          </cell>
          <cell r="S183">
            <v>5</v>
          </cell>
        </row>
        <row r="184">
          <cell r="B184" t="str">
            <v>EMMC</v>
          </cell>
          <cell r="C184" t="str">
            <v>HSLB10153</v>
          </cell>
          <cell r="D184">
            <v>101037</v>
          </cell>
          <cell r="E184" t="str">
            <v>LÁMPARA DE EXAMEN RODABLE</v>
          </cell>
          <cell r="F184" t="str">
            <v>NO</v>
          </cell>
          <cell r="G184" t="str">
            <v>NO</v>
          </cell>
          <cell r="H184" t="str">
            <v>BOX MATRONA</v>
          </cell>
          <cell r="I184">
            <v>1</v>
          </cell>
          <cell r="J184" t="str">
            <v>C.3.6.2.8.1</v>
          </cell>
          <cell r="K184" t="str">
            <v>Urgencia</v>
          </cell>
          <cell r="L184">
            <v>1</v>
          </cell>
          <cell r="M184">
            <v>46003</v>
          </cell>
          <cell r="N184">
            <v>46006</v>
          </cell>
          <cell r="O184">
            <v>1</v>
          </cell>
          <cell r="P184">
            <v>46007</v>
          </cell>
          <cell r="Q184">
            <v>1</v>
          </cell>
          <cell r="R184" t="str">
            <v>NA</v>
          </cell>
          <cell r="S184">
            <v>5</v>
          </cell>
        </row>
        <row r="185">
          <cell r="B185" t="str">
            <v>EMMC</v>
          </cell>
          <cell r="C185" t="str">
            <v>HSLB10158</v>
          </cell>
          <cell r="D185">
            <v>101037</v>
          </cell>
          <cell r="E185" t="str">
            <v>LÁMPARA DE EXAMEN RODABLE</v>
          </cell>
          <cell r="F185" t="str">
            <v>NO</v>
          </cell>
          <cell r="G185" t="str">
            <v>NO</v>
          </cell>
          <cell r="H185" t="str">
            <v>BOX URGENCIA(1)</v>
          </cell>
          <cell r="I185">
            <v>1</v>
          </cell>
          <cell r="J185" t="str">
            <v>C.4.3.3.1</v>
          </cell>
          <cell r="K185" t="str">
            <v>Urgencia</v>
          </cell>
          <cell r="L185">
            <v>1</v>
          </cell>
          <cell r="M185">
            <v>46003</v>
          </cell>
          <cell r="N185">
            <v>46006</v>
          </cell>
          <cell r="O185">
            <v>1</v>
          </cell>
          <cell r="P185">
            <v>46007</v>
          </cell>
          <cell r="Q185">
            <v>1</v>
          </cell>
          <cell r="R185" t="str">
            <v>NA</v>
          </cell>
          <cell r="S185">
            <v>5</v>
          </cell>
        </row>
        <row r="186">
          <cell r="B186" t="str">
            <v>EMMC</v>
          </cell>
          <cell r="C186" t="str">
            <v>HSLB10159</v>
          </cell>
          <cell r="D186">
            <v>101037</v>
          </cell>
          <cell r="E186" t="str">
            <v>LÁMPARA DE EXAMEN RODABLE</v>
          </cell>
          <cell r="F186" t="str">
            <v>NO</v>
          </cell>
          <cell r="G186" t="str">
            <v>NO</v>
          </cell>
          <cell r="H186" t="str">
            <v>BOX URGENCIA(5)</v>
          </cell>
          <cell r="I186">
            <v>1</v>
          </cell>
          <cell r="J186" t="str">
            <v>C.4.3.3.5</v>
          </cell>
          <cell r="K186" t="str">
            <v>Urgencia</v>
          </cell>
          <cell r="L186">
            <v>1</v>
          </cell>
          <cell r="M186">
            <v>46003</v>
          </cell>
          <cell r="N186">
            <v>46006</v>
          </cell>
          <cell r="O186">
            <v>1</v>
          </cell>
          <cell r="P186">
            <v>46007</v>
          </cell>
          <cell r="Q186">
            <v>1</v>
          </cell>
          <cell r="R186" t="str">
            <v>NA</v>
          </cell>
          <cell r="S186">
            <v>5</v>
          </cell>
        </row>
        <row r="187">
          <cell r="B187" t="str">
            <v>EMMC</v>
          </cell>
          <cell r="C187" t="str">
            <v>HSLB10160</v>
          </cell>
          <cell r="D187">
            <v>101037</v>
          </cell>
          <cell r="E187" t="str">
            <v>LÁMPARA DE EXAMEN RODABLE</v>
          </cell>
          <cell r="F187" t="str">
            <v>NO</v>
          </cell>
          <cell r="G187" t="str">
            <v>NO</v>
          </cell>
          <cell r="H187" t="str">
            <v>BOX URGENCIA (infantil)</v>
          </cell>
          <cell r="I187">
            <v>1</v>
          </cell>
          <cell r="J187" t="str">
            <v>C.4.4.3.2</v>
          </cell>
          <cell r="K187" t="str">
            <v>Urgencia</v>
          </cell>
          <cell r="L187">
            <v>1</v>
          </cell>
          <cell r="M187">
            <v>46003</v>
          </cell>
          <cell r="N187">
            <v>46006</v>
          </cell>
          <cell r="O187">
            <v>1</v>
          </cell>
          <cell r="P187">
            <v>46007</v>
          </cell>
          <cell r="Q187">
            <v>1</v>
          </cell>
          <cell r="R187" t="str">
            <v>NA</v>
          </cell>
          <cell r="S187">
            <v>5</v>
          </cell>
        </row>
        <row r="188">
          <cell r="B188" t="str">
            <v>EMMC</v>
          </cell>
          <cell r="C188" t="str">
            <v>HSLB10161</v>
          </cell>
          <cell r="D188">
            <v>101037</v>
          </cell>
          <cell r="E188" t="str">
            <v>LÁMPARA DE EXAMEN RODABLE</v>
          </cell>
          <cell r="F188" t="str">
            <v>NO</v>
          </cell>
          <cell r="G188" t="str">
            <v>NO</v>
          </cell>
          <cell r="H188" t="str">
            <v>SALA TELEMEDICINA</v>
          </cell>
          <cell r="I188">
            <v>1</v>
          </cell>
          <cell r="J188" t="str">
            <v>C.4.5.1.1</v>
          </cell>
          <cell r="K188" t="str">
            <v>Urgencia</v>
          </cell>
          <cell r="L188">
            <v>1</v>
          </cell>
          <cell r="M188">
            <v>46003</v>
          </cell>
          <cell r="N188">
            <v>46006</v>
          </cell>
          <cell r="O188">
            <v>1</v>
          </cell>
          <cell r="P188">
            <v>46007</v>
          </cell>
          <cell r="Q188">
            <v>1</v>
          </cell>
          <cell r="R188" t="str">
            <v>NA</v>
          </cell>
          <cell r="S188">
            <v>5</v>
          </cell>
        </row>
        <row r="189">
          <cell r="B189" t="str">
            <v>EMMC</v>
          </cell>
          <cell r="C189" t="str">
            <v>HSLB10162</v>
          </cell>
          <cell r="D189">
            <v>101037</v>
          </cell>
          <cell r="E189" t="str">
            <v>LÁMPARA DE EXAMEN RODABLE</v>
          </cell>
          <cell r="F189" t="str">
            <v>NO</v>
          </cell>
          <cell r="G189" t="str">
            <v>NO</v>
          </cell>
          <cell r="H189" t="str">
            <v>SALA TELEMEDICINA</v>
          </cell>
          <cell r="I189">
            <v>1</v>
          </cell>
          <cell r="J189" t="str">
            <v>C.4.5.1.2</v>
          </cell>
          <cell r="K189" t="str">
            <v>Urgencia</v>
          </cell>
          <cell r="L189">
            <v>1</v>
          </cell>
          <cell r="M189">
            <v>46003</v>
          </cell>
          <cell r="N189">
            <v>46006</v>
          </cell>
          <cell r="O189">
            <v>1</v>
          </cell>
          <cell r="P189">
            <v>46007</v>
          </cell>
          <cell r="Q189">
            <v>1</v>
          </cell>
          <cell r="R189" t="str">
            <v>NA</v>
          </cell>
          <cell r="S189">
            <v>5</v>
          </cell>
        </row>
        <row r="190">
          <cell r="B190" t="str">
            <v>EMMC</v>
          </cell>
          <cell r="C190" t="str">
            <v>HSLB10163</v>
          </cell>
          <cell r="D190">
            <v>101037</v>
          </cell>
          <cell r="E190" t="str">
            <v>LÁMPARA DE EXAMEN RODABLE</v>
          </cell>
          <cell r="F190" t="str">
            <v>NO</v>
          </cell>
          <cell r="G190" t="str">
            <v>NO</v>
          </cell>
          <cell r="H190" t="str">
            <v>BOX AT. ACOGIDA C/BAÑO Y DUCHA</v>
          </cell>
          <cell r="I190">
            <v>1</v>
          </cell>
          <cell r="J190" t="str">
            <v>C.4.5.16</v>
          </cell>
          <cell r="K190" t="str">
            <v>Urgencia</v>
          </cell>
          <cell r="L190">
            <v>1</v>
          </cell>
          <cell r="M190">
            <v>46003</v>
          </cell>
          <cell r="N190">
            <v>46006</v>
          </cell>
          <cell r="O190">
            <v>1</v>
          </cell>
          <cell r="P190">
            <v>46007</v>
          </cell>
          <cell r="Q190">
            <v>1</v>
          </cell>
          <cell r="R190" t="str">
            <v>NA</v>
          </cell>
          <cell r="S190">
            <v>5</v>
          </cell>
        </row>
        <row r="191">
          <cell r="B191" t="str">
            <v>EMMC</v>
          </cell>
          <cell r="C191" t="str">
            <v>HSLB11504</v>
          </cell>
          <cell r="D191">
            <v>111047</v>
          </cell>
          <cell r="E191" t="str">
            <v>Máquina de Coser</v>
          </cell>
          <cell r="F191" t="str">
            <v>NO</v>
          </cell>
          <cell r="G191" t="str">
            <v>NO</v>
          </cell>
          <cell r="H191" t="str">
            <v>SALA TERÁPIA OCUP. ADULTO E INFANTIL</v>
          </cell>
          <cell r="I191">
            <v>1</v>
          </cell>
          <cell r="J191" t="str">
            <v>C.5.7.19</v>
          </cell>
          <cell r="K191" t="str">
            <v>Med Física y Rehabilitación</v>
          </cell>
          <cell r="L191">
            <v>1</v>
          </cell>
          <cell r="M191">
            <v>46013</v>
          </cell>
          <cell r="N191">
            <v>46014</v>
          </cell>
          <cell r="O191">
            <v>1</v>
          </cell>
          <cell r="P191">
            <v>46015</v>
          </cell>
          <cell r="Q191">
            <v>1</v>
          </cell>
          <cell r="R191" t="str">
            <v>NA</v>
          </cell>
          <cell r="S191">
            <v>5</v>
          </cell>
        </row>
        <row r="192">
          <cell r="B192" t="str">
            <v>EMMC</v>
          </cell>
          <cell r="C192" t="str">
            <v>HSLB11505</v>
          </cell>
          <cell r="D192">
            <v>111047</v>
          </cell>
          <cell r="E192" t="str">
            <v>Máquina de Coser</v>
          </cell>
          <cell r="F192" t="str">
            <v>NO</v>
          </cell>
          <cell r="G192" t="str">
            <v>NO</v>
          </cell>
          <cell r="H192" t="str">
            <v>TALLER DE ÓRTESIS (MUEBLE)</v>
          </cell>
          <cell r="I192">
            <v>1</v>
          </cell>
          <cell r="J192" t="str">
            <v>C.5.7.29</v>
          </cell>
          <cell r="K192" t="str">
            <v>Med Física y Rehabilitación</v>
          </cell>
          <cell r="L192">
            <v>1</v>
          </cell>
          <cell r="M192">
            <v>46013</v>
          </cell>
          <cell r="N192">
            <v>46014</v>
          </cell>
          <cell r="O192">
            <v>1</v>
          </cell>
          <cell r="P192">
            <v>46015</v>
          </cell>
          <cell r="Q192">
            <v>1</v>
          </cell>
          <cell r="R192" t="str">
            <v>NA</v>
          </cell>
          <cell r="S192">
            <v>5</v>
          </cell>
        </row>
        <row r="193">
          <cell r="B193" t="str">
            <v>EMMC</v>
          </cell>
          <cell r="C193" t="str">
            <v>HSLB10182</v>
          </cell>
          <cell r="D193">
            <v>101048</v>
          </cell>
          <cell r="E193" t="str">
            <v>MONITOR DE OXÍMETRO DE PULSO</v>
          </cell>
          <cell r="F193" t="str">
            <v>NO</v>
          </cell>
          <cell r="G193" t="str">
            <v>NO</v>
          </cell>
          <cell r="H193" t="str">
            <v>BOX INDIFERENCIADO (FONOAUDIO Y TERAPIA OCU)(1)</v>
          </cell>
          <cell r="I193">
            <v>1</v>
          </cell>
          <cell r="J193" t="str">
            <v>C.5.7.5.1</v>
          </cell>
          <cell r="K193" t="str">
            <v>Med Física y Rehabilitación</v>
          </cell>
          <cell r="L193">
            <v>1</v>
          </cell>
          <cell r="M193">
            <v>46013</v>
          </cell>
          <cell r="N193">
            <v>46014</v>
          </cell>
          <cell r="O193">
            <v>1</v>
          </cell>
          <cell r="P193">
            <v>46015</v>
          </cell>
          <cell r="Q193">
            <v>1</v>
          </cell>
          <cell r="R193" t="str">
            <v>NA</v>
          </cell>
          <cell r="S193">
            <v>5</v>
          </cell>
        </row>
        <row r="194">
          <cell r="B194" t="str">
            <v>EMMC</v>
          </cell>
          <cell r="C194" t="str">
            <v>HSLB10183</v>
          </cell>
          <cell r="D194">
            <v>101048</v>
          </cell>
          <cell r="E194" t="str">
            <v>MONITOR DE OXÍMETRO DE PULSO</v>
          </cell>
          <cell r="F194" t="str">
            <v>NO</v>
          </cell>
          <cell r="G194" t="str">
            <v>NO</v>
          </cell>
          <cell r="H194" t="str">
            <v>BOX FONOAUDIO PEDIATRICO</v>
          </cell>
          <cell r="I194">
            <v>1</v>
          </cell>
          <cell r="J194" t="str">
            <v>C.5.7.5.2.1</v>
          </cell>
          <cell r="K194" t="str">
            <v>Med Física y Rehabilitación</v>
          </cell>
          <cell r="L194">
            <v>1</v>
          </cell>
          <cell r="M194">
            <v>46013</v>
          </cell>
          <cell r="N194">
            <v>46014</v>
          </cell>
          <cell r="O194">
            <v>1</v>
          </cell>
          <cell r="P194">
            <v>46015</v>
          </cell>
          <cell r="Q194">
            <v>1</v>
          </cell>
          <cell r="R194" t="str">
            <v>NA</v>
          </cell>
          <cell r="S194">
            <v>5</v>
          </cell>
        </row>
        <row r="195">
          <cell r="B195" t="str">
            <v>EMMC</v>
          </cell>
          <cell r="C195" t="str">
            <v>HSLB11596</v>
          </cell>
          <cell r="D195">
            <v>111103</v>
          </cell>
          <cell r="E195" t="str">
            <v>Sistema de Suspensión para la Marcha</v>
          </cell>
          <cell r="F195" t="str">
            <v>NO</v>
          </cell>
          <cell r="G195" t="str">
            <v>SI</v>
          </cell>
          <cell r="H195" t="str">
            <v>GIMNASIO ADULTO REHABILITACIÓN CARDIOVASCULAR</v>
          </cell>
          <cell r="I195">
            <v>1</v>
          </cell>
          <cell r="J195" t="str">
            <v>C.5.7.14</v>
          </cell>
          <cell r="K195" t="str">
            <v>Med Física y Rehabilitación</v>
          </cell>
          <cell r="L195">
            <v>1</v>
          </cell>
          <cell r="M195">
            <v>46003</v>
          </cell>
          <cell r="N195">
            <v>46006</v>
          </cell>
          <cell r="O195">
            <v>1</v>
          </cell>
          <cell r="P195">
            <v>46007</v>
          </cell>
          <cell r="Q195">
            <v>1</v>
          </cell>
          <cell r="R195" t="str">
            <v>NA</v>
          </cell>
          <cell r="S195">
            <v>5</v>
          </cell>
        </row>
        <row r="196">
          <cell r="B196" t="str">
            <v>EMMC</v>
          </cell>
          <cell r="C196" t="str">
            <v>HSLB10682</v>
          </cell>
          <cell r="D196">
            <v>105018</v>
          </cell>
          <cell r="E196" t="str">
            <v>Ventilador de Transporte</v>
          </cell>
          <cell r="F196" t="str">
            <v>NO</v>
          </cell>
          <cell r="G196" t="str">
            <v>NO</v>
          </cell>
          <cell r="H196" t="str">
            <v>BOX REANIMACIÓN ADULTO</v>
          </cell>
          <cell r="I196">
            <v>1</v>
          </cell>
          <cell r="J196" t="str">
            <v>C.4.3.12.1</v>
          </cell>
          <cell r="K196" t="str">
            <v>Urgencia</v>
          </cell>
          <cell r="L196">
            <v>1</v>
          </cell>
          <cell r="M196">
            <v>46003</v>
          </cell>
          <cell r="N196">
            <v>46006</v>
          </cell>
          <cell r="O196">
            <v>1</v>
          </cell>
          <cell r="P196">
            <v>46007</v>
          </cell>
          <cell r="Q196">
            <v>1</v>
          </cell>
          <cell r="R196" t="str">
            <v>NA</v>
          </cell>
          <cell r="S196">
            <v>5</v>
          </cell>
        </row>
        <row r="197">
          <cell r="B197" t="str">
            <v>EMMC</v>
          </cell>
          <cell r="C197" t="str">
            <v>HSLB10683</v>
          </cell>
          <cell r="D197">
            <v>105018</v>
          </cell>
          <cell r="E197" t="str">
            <v>Ventilador de Transporte</v>
          </cell>
          <cell r="F197" t="str">
            <v>NO</v>
          </cell>
          <cell r="G197" t="str">
            <v>NO</v>
          </cell>
          <cell r="H197" t="str">
            <v>BOX REANIMACIÓN ADULTO</v>
          </cell>
          <cell r="I197">
            <v>1</v>
          </cell>
          <cell r="J197" t="str">
            <v>C.4.3.12.2</v>
          </cell>
          <cell r="K197" t="str">
            <v>Urgencia</v>
          </cell>
          <cell r="L197">
            <v>1</v>
          </cell>
          <cell r="M197">
            <v>46003</v>
          </cell>
          <cell r="N197">
            <v>46006</v>
          </cell>
          <cell r="O197">
            <v>1</v>
          </cell>
          <cell r="P197">
            <v>46007</v>
          </cell>
          <cell r="Q197">
            <v>1</v>
          </cell>
          <cell r="R197" t="str">
            <v>NA</v>
          </cell>
          <cell r="S197">
            <v>5</v>
          </cell>
        </row>
        <row r="198">
          <cell r="B198" t="str">
            <v>EMMC</v>
          </cell>
          <cell r="C198" t="str">
            <v>HSLB10684</v>
          </cell>
          <cell r="D198">
            <v>105018</v>
          </cell>
          <cell r="E198" t="str">
            <v>Ventilador de Transporte</v>
          </cell>
          <cell r="F198" t="str">
            <v>NO</v>
          </cell>
          <cell r="G198" t="str">
            <v>NO</v>
          </cell>
          <cell r="H198" t="str">
            <v>BOX REANIMACIÓN INFANTIL</v>
          </cell>
          <cell r="I198">
            <v>1</v>
          </cell>
          <cell r="J198" t="str">
            <v>C.4.4.12</v>
          </cell>
          <cell r="K198" t="str">
            <v>Urgencia</v>
          </cell>
          <cell r="L198">
            <v>1</v>
          </cell>
          <cell r="M198">
            <v>46003</v>
          </cell>
          <cell r="N198">
            <v>46006</v>
          </cell>
          <cell r="O198">
            <v>1</v>
          </cell>
          <cell r="P198">
            <v>46007</v>
          </cell>
          <cell r="Q198">
            <v>1</v>
          </cell>
          <cell r="R198" t="str">
            <v>NA</v>
          </cell>
          <cell r="S198">
            <v>5</v>
          </cell>
        </row>
        <row r="199">
          <cell r="B199" t="str">
            <v>EMMC</v>
          </cell>
          <cell r="C199" t="str">
            <v>HSLB11786</v>
          </cell>
          <cell r="D199">
            <v>112021</v>
          </cell>
          <cell r="E199" t="str">
            <v>Carro Curación</v>
          </cell>
          <cell r="F199" t="str">
            <v>NO</v>
          </cell>
          <cell r="G199" t="str">
            <v>NO</v>
          </cell>
          <cell r="H199" t="str">
            <v>SALA DE PROCEDIMIENTOS</v>
          </cell>
          <cell r="I199">
            <v>1</v>
          </cell>
          <cell r="J199" t="str">
            <v>C.2.4.8</v>
          </cell>
          <cell r="K199" t="str">
            <v>Imagenología</v>
          </cell>
          <cell r="L199">
            <v>1</v>
          </cell>
          <cell r="M199">
            <v>46008</v>
          </cell>
          <cell r="N199">
            <v>46009</v>
          </cell>
          <cell r="O199">
            <v>1</v>
          </cell>
          <cell r="P199">
            <v>46010</v>
          </cell>
          <cell r="Q199">
            <v>1</v>
          </cell>
          <cell r="R199" t="str">
            <v>NA</v>
          </cell>
          <cell r="S199">
            <v>5</v>
          </cell>
        </row>
        <row r="200">
          <cell r="B200" t="str">
            <v>EMMC</v>
          </cell>
          <cell r="C200" t="str">
            <v>HSLB11787</v>
          </cell>
          <cell r="D200">
            <v>112021</v>
          </cell>
          <cell r="E200" t="str">
            <v>Carro Curación</v>
          </cell>
          <cell r="F200" t="str">
            <v>NO</v>
          </cell>
          <cell r="G200" t="str">
            <v>SI</v>
          </cell>
          <cell r="H200" t="str">
            <v>SALA DE PREPARACION DE INSUMOS</v>
          </cell>
          <cell r="I200">
            <v>1</v>
          </cell>
          <cell r="J200" t="str">
            <v>C.2.4.9</v>
          </cell>
          <cell r="K200" t="str">
            <v>Imagenología</v>
          </cell>
          <cell r="L200">
            <v>1</v>
          </cell>
          <cell r="M200">
            <v>46003</v>
          </cell>
          <cell r="N200">
            <v>46006</v>
          </cell>
          <cell r="O200">
            <v>1</v>
          </cell>
          <cell r="P200">
            <v>46007</v>
          </cell>
          <cell r="Q200">
            <v>1</v>
          </cell>
          <cell r="R200" t="str">
            <v>NA</v>
          </cell>
          <cell r="S200">
            <v>5</v>
          </cell>
        </row>
        <row r="201">
          <cell r="B201" t="str">
            <v>EMMC</v>
          </cell>
          <cell r="C201" t="str">
            <v>HSLB11870</v>
          </cell>
          <cell r="D201">
            <v>112023</v>
          </cell>
          <cell r="E201" t="str">
            <v>Carro de Procedimientos</v>
          </cell>
          <cell r="F201" t="str">
            <v>NO</v>
          </cell>
          <cell r="G201" t="str">
            <v>NO</v>
          </cell>
          <cell r="H201" t="str">
            <v>SALA TOMOGRAFO AXIAL COMPUTARIZADO (PREPARACIÓN/EQUIPO/COMANDO/VESTIDOR)</v>
          </cell>
          <cell r="I201">
            <v>1</v>
          </cell>
          <cell r="J201" t="str">
            <v>C.5.3.7</v>
          </cell>
          <cell r="K201" t="str">
            <v>Imagenología</v>
          </cell>
          <cell r="L201">
            <v>1</v>
          </cell>
          <cell r="M201">
            <v>46008</v>
          </cell>
          <cell r="N201">
            <v>46009</v>
          </cell>
          <cell r="O201">
            <v>1</v>
          </cell>
          <cell r="P201">
            <v>46010</v>
          </cell>
          <cell r="Q201">
            <v>1</v>
          </cell>
          <cell r="R201" t="str">
            <v>NA</v>
          </cell>
          <cell r="S201">
            <v>5</v>
          </cell>
        </row>
        <row r="202">
          <cell r="B202" t="str">
            <v>EMMC</v>
          </cell>
          <cell r="C202" t="str">
            <v>HSLB11923</v>
          </cell>
          <cell r="D202">
            <v>112039</v>
          </cell>
          <cell r="E202" t="str">
            <v>Carro Transporte Ropa Sucia Tipo I</v>
          </cell>
          <cell r="F202" t="str">
            <v>NO</v>
          </cell>
          <cell r="G202" t="str">
            <v>NO</v>
          </cell>
          <cell r="H202" t="str">
            <v>ROPA SUCIA (INCLUYE EST. DE CARRO)</v>
          </cell>
          <cell r="I202">
            <v>1</v>
          </cell>
          <cell r="J202" t="str">
            <v>C.5.3.20</v>
          </cell>
          <cell r="K202" t="str">
            <v>Imagenología</v>
          </cell>
          <cell r="L202">
            <v>1</v>
          </cell>
          <cell r="M202">
            <v>46008</v>
          </cell>
          <cell r="N202">
            <v>46009</v>
          </cell>
          <cell r="O202">
            <v>1</v>
          </cell>
          <cell r="P202">
            <v>46010</v>
          </cell>
          <cell r="Q202">
            <v>1</v>
          </cell>
          <cell r="R202" t="str">
            <v>NA</v>
          </cell>
          <cell r="S202">
            <v>5</v>
          </cell>
        </row>
        <row r="203">
          <cell r="B203" t="str">
            <v>EMMC</v>
          </cell>
          <cell r="C203" t="str">
            <v>HSLB12064</v>
          </cell>
          <cell r="D203">
            <v>112054</v>
          </cell>
          <cell r="E203" t="str">
            <v>Escabel</v>
          </cell>
          <cell r="F203" t="str">
            <v>NO</v>
          </cell>
          <cell r="G203" t="str">
            <v>NO</v>
          </cell>
          <cell r="H203" t="str">
            <v>BOX MÉDICO</v>
          </cell>
          <cell r="I203">
            <v>1</v>
          </cell>
          <cell r="J203" t="str">
            <v>C.2.4.5</v>
          </cell>
          <cell r="K203" t="str">
            <v>Imagenología</v>
          </cell>
          <cell r="L203">
            <v>1</v>
          </cell>
          <cell r="M203">
            <v>46008</v>
          </cell>
          <cell r="N203">
            <v>46009</v>
          </cell>
          <cell r="O203">
            <v>1</v>
          </cell>
          <cell r="P203">
            <v>46010</v>
          </cell>
          <cell r="Q203">
            <v>1</v>
          </cell>
          <cell r="R203" t="str">
            <v>NA</v>
          </cell>
          <cell r="S203">
            <v>5</v>
          </cell>
        </row>
        <row r="204">
          <cell r="B204" t="str">
            <v>EMMC</v>
          </cell>
          <cell r="C204" t="str">
            <v>HSLB12065</v>
          </cell>
          <cell r="D204">
            <v>112054</v>
          </cell>
          <cell r="E204" t="str">
            <v>Escabel</v>
          </cell>
          <cell r="F204" t="str">
            <v>NO</v>
          </cell>
          <cell r="G204" t="str">
            <v>NO</v>
          </cell>
          <cell r="H204" t="str">
            <v>BOX MULTIPROPÓSITO (2)</v>
          </cell>
          <cell r="I204">
            <v>1</v>
          </cell>
          <cell r="J204" t="str">
            <v>C.2.4.6.2</v>
          </cell>
          <cell r="K204" t="str">
            <v>Imagenología</v>
          </cell>
          <cell r="L204">
            <v>1</v>
          </cell>
          <cell r="M204">
            <v>46008</v>
          </cell>
          <cell r="N204">
            <v>46009</v>
          </cell>
          <cell r="O204">
            <v>1</v>
          </cell>
          <cell r="P204">
            <v>46010</v>
          </cell>
          <cell r="Q204">
            <v>1</v>
          </cell>
          <cell r="R204" t="str">
            <v>NA</v>
          </cell>
          <cell r="S204">
            <v>5</v>
          </cell>
        </row>
        <row r="205">
          <cell r="B205" t="str">
            <v>EMMC</v>
          </cell>
          <cell r="C205" t="str">
            <v>HSLB12066</v>
          </cell>
          <cell r="D205">
            <v>112054</v>
          </cell>
          <cell r="E205" t="str">
            <v>Escabel</v>
          </cell>
          <cell r="F205" t="str">
            <v>NO</v>
          </cell>
          <cell r="G205" t="str">
            <v>NO</v>
          </cell>
          <cell r="H205" t="str">
            <v>SALA DE PROCEDIMIENTOS</v>
          </cell>
          <cell r="I205">
            <v>1</v>
          </cell>
          <cell r="J205" t="str">
            <v>C.2.4.8</v>
          </cell>
          <cell r="K205" t="str">
            <v>Imagenología</v>
          </cell>
          <cell r="L205">
            <v>1</v>
          </cell>
          <cell r="M205">
            <v>46008</v>
          </cell>
          <cell r="N205">
            <v>46009</v>
          </cell>
          <cell r="O205">
            <v>1</v>
          </cell>
          <cell r="P205">
            <v>46010</v>
          </cell>
          <cell r="Q205">
            <v>1</v>
          </cell>
          <cell r="R205" t="str">
            <v>NA</v>
          </cell>
          <cell r="S205">
            <v>5</v>
          </cell>
        </row>
        <row r="206">
          <cell r="B206" t="str">
            <v>EMMC</v>
          </cell>
          <cell r="C206" t="str">
            <v>HSLB12173</v>
          </cell>
          <cell r="D206">
            <v>112054</v>
          </cell>
          <cell r="E206" t="str">
            <v>Escabel</v>
          </cell>
          <cell r="F206" t="str">
            <v>NO</v>
          </cell>
          <cell r="G206" t="str">
            <v>NO</v>
          </cell>
          <cell r="H206" t="str">
            <v>SALA ECOTOMOGRAFO INDIFERENCIADO (EQUIPO/VESTIDOR)</v>
          </cell>
          <cell r="I206">
            <v>2</v>
          </cell>
          <cell r="J206" t="str">
            <v>C.5.3.9.1</v>
          </cell>
          <cell r="K206" t="str">
            <v>Imagenología</v>
          </cell>
          <cell r="L206">
            <v>1</v>
          </cell>
          <cell r="M206">
            <v>46008</v>
          </cell>
          <cell r="N206">
            <v>46009</v>
          </cell>
          <cell r="O206">
            <v>1</v>
          </cell>
          <cell r="P206">
            <v>46010</v>
          </cell>
          <cell r="Q206">
            <v>1</v>
          </cell>
          <cell r="R206" t="str">
            <v>NA</v>
          </cell>
          <cell r="S206">
            <v>5</v>
          </cell>
        </row>
        <row r="207">
          <cell r="B207" t="str">
            <v>EMMC</v>
          </cell>
          <cell r="C207" t="str">
            <v>HSLB12174</v>
          </cell>
          <cell r="D207">
            <v>112054</v>
          </cell>
          <cell r="E207" t="str">
            <v>Escabel</v>
          </cell>
          <cell r="F207" t="str">
            <v>NO</v>
          </cell>
          <cell r="G207" t="str">
            <v>NO</v>
          </cell>
          <cell r="H207" t="str">
            <v>SALA ECOTOMOGRAFO INDIFERENCIADO (EQUIPO/VESTIDOR)</v>
          </cell>
          <cell r="I207">
            <v>2</v>
          </cell>
          <cell r="J207" t="str">
            <v>C.5.3.9.2</v>
          </cell>
          <cell r="K207" t="str">
            <v>Imagenología</v>
          </cell>
          <cell r="L207">
            <v>1</v>
          </cell>
          <cell r="M207">
            <v>46008</v>
          </cell>
          <cell r="N207">
            <v>46009</v>
          </cell>
          <cell r="O207">
            <v>1</v>
          </cell>
          <cell r="P207">
            <v>46010</v>
          </cell>
          <cell r="Q207">
            <v>1</v>
          </cell>
          <cell r="R207" t="str">
            <v>NA</v>
          </cell>
          <cell r="S207">
            <v>5</v>
          </cell>
        </row>
        <row r="208">
          <cell r="B208" t="str">
            <v>EMMC</v>
          </cell>
          <cell r="C208" t="str">
            <v>HSLB10806</v>
          </cell>
          <cell r="D208">
            <v>106007</v>
          </cell>
          <cell r="E208" t="str">
            <v>Hervidor Eléctrico</v>
          </cell>
          <cell r="F208" t="str">
            <v>NO</v>
          </cell>
          <cell r="G208" t="str">
            <v>NO</v>
          </cell>
          <cell r="H208" t="str">
            <v>ESTAR PERSONAL C/ KITCHENETTE</v>
          </cell>
          <cell r="I208">
            <v>1</v>
          </cell>
          <cell r="J208" t="str">
            <v>C.5.3.17</v>
          </cell>
          <cell r="K208" t="str">
            <v>Imagenología</v>
          </cell>
          <cell r="L208">
            <v>1</v>
          </cell>
          <cell r="M208">
            <v>46008</v>
          </cell>
          <cell r="N208">
            <v>46009</v>
          </cell>
          <cell r="O208">
            <v>1</v>
          </cell>
          <cell r="P208">
            <v>46010</v>
          </cell>
          <cell r="Q208">
            <v>1</v>
          </cell>
          <cell r="R208" t="str">
            <v>NA</v>
          </cell>
          <cell r="S208">
            <v>5</v>
          </cell>
        </row>
        <row r="209">
          <cell r="B209" t="str">
            <v>EMMC</v>
          </cell>
          <cell r="C209" t="str">
            <v>HSLB12186</v>
          </cell>
          <cell r="D209">
            <v>112057</v>
          </cell>
          <cell r="E209" t="str">
            <v>Kit Protección Radiológica Imagenología</v>
          </cell>
          <cell r="F209" t="str">
            <v>NO</v>
          </cell>
          <cell r="G209" t="str">
            <v>SI</v>
          </cell>
          <cell r="H209" t="str">
            <v>BODEGA DE EQUIPOS MEDICOS</v>
          </cell>
          <cell r="I209">
            <v>1</v>
          </cell>
          <cell r="J209" t="str">
            <v>C.5.3.23</v>
          </cell>
          <cell r="K209" t="str">
            <v>Imagenología</v>
          </cell>
          <cell r="L209">
            <v>1</v>
          </cell>
          <cell r="M209">
            <v>46003</v>
          </cell>
          <cell r="N209">
            <v>46006</v>
          </cell>
          <cell r="O209">
            <v>1</v>
          </cell>
          <cell r="P209">
            <v>46007</v>
          </cell>
          <cell r="Q209">
            <v>1</v>
          </cell>
          <cell r="R209" t="str">
            <v>NA</v>
          </cell>
          <cell r="S209">
            <v>5</v>
          </cell>
        </row>
        <row r="210">
          <cell r="B210" t="str">
            <v>EMMC</v>
          </cell>
          <cell r="C210" t="str">
            <v>HSLB12187</v>
          </cell>
          <cell r="D210">
            <v>112057</v>
          </cell>
          <cell r="E210" t="str">
            <v>Kit Protección Radiológica Imagenología</v>
          </cell>
          <cell r="F210" t="str">
            <v>NO</v>
          </cell>
          <cell r="G210" t="str">
            <v>NO</v>
          </cell>
          <cell r="H210" t="str">
            <v>RADIOLOGÍA DIGITAL OSTEOPULMONAR(RX) (SALA EQUIPO/COMANDO/2VESTIDOR)</v>
          </cell>
          <cell r="I210">
            <v>1</v>
          </cell>
          <cell r="J210" t="str">
            <v>C.5.3.5.1</v>
          </cell>
          <cell r="K210" t="str">
            <v>Imagenología</v>
          </cell>
          <cell r="L210">
            <v>1</v>
          </cell>
          <cell r="M210">
            <v>46008</v>
          </cell>
          <cell r="N210">
            <v>46009</v>
          </cell>
          <cell r="O210">
            <v>1</v>
          </cell>
          <cell r="P210">
            <v>46010</v>
          </cell>
          <cell r="Q210">
            <v>1</v>
          </cell>
          <cell r="R210" t="str">
            <v>NA</v>
          </cell>
          <cell r="S210">
            <v>5</v>
          </cell>
        </row>
        <row r="211">
          <cell r="B211" t="str">
            <v>EMMC</v>
          </cell>
          <cell r="C211" t="str">
            <v>HSLB12188</v>
          </cell>
          <cell r="D211">
            <v>112057</v>
          </cell>
          <cell r="E211" t="str">
            <v>Kit Protección Radiológica Imagenología</v>
          </cell>
          <cell r="F211" t="str">
            <v>NO</v>
          </cell>
          <cell r="G211" t="str">
            <v>NO</v>
          </cell>
          <cell r="H211" t="str">
            <v>RADIOLOGÍA DIGITAL OSTEOPULMONAR (RX) (SALA EQUIPO/COMANDO/2VESTIDOR)</v>
          </cell>
          <cell r="I211">
            <v>1</v>
          </cell>
          <cell r="J211" t="str">
            <v>C.5.3.5.2</v>
          </cell>
          <cell r="K211" t="str">
            <v>Imagenología</v>
          </cell>
          <cell r="L211">
            <v>1</v>
          </cell>
          <cell r="M211">
            <v>46008</v>
          </cell>
          <cell r="N211">
            <v>46009</v>
          </cell>
          <cell r="O211">
            <v>1</v>
          </cell>
          <cell r="P211">
            <v>46010</v>
          </cell>
          <cell r="Q211">
            <v>1</v>
          </cell>
          <cell r="R211" t="str">
            <v>NA</v>
          </cell>
          <cell r="S211">
            <v>5</v>
          </cell>
        </row>
        <row r="212">
          <cell r="B212" t="str">
            <v>EMMC</v>
          </cell>
          <cell r="C212" t="str">
            <v>HSLB12189</v>
          </cell>
          <cell r="D212">
            <v>112057</v>
          </cell>
          <cell r="E212" t="str">
            <v>Kit Protección Radiológica Imagenología</v>
          </cell>
          <cell r="F212" t="str">
            <v>NO</v>
          </cell>
          <cell r="G212" t="str">
            <v>NO</v>
          </cell>
          <cell r="H212" t="str">
            <v>RADIOLOGÍA DIGITAL OSTEOPULMONAR(RX) (SALA EQUIPO/COMANDO/2VESTIDOR)</v>
          </cell>
          <cell r="I212">
            <v>1</v>
          </cell>
          <cell r="J212" t="str">
            <v>C.5.3.5.3</v>
          </cell>
          <cell r="K212" t="str">
            <v>Imagenología</v>
          </cell>
          <cell r="L212">
            <v>1</v>
          </cell>
          <cell r="M212">
            <v>46008</v>
          </cell>
          <cell r="N212">
            <v>46009</v>
          </cell>
          <cell r="O212">
            <v>1</v>
          </cell>
          <cell r="P212">
            <v>46010</v>
          </cell>
          <cell r="Q212">
            <v>1</v>
          </cell>
          <cell r="R212" t="str">
            <v>NA</v>
          </cell>
          <cell r="S212">
            <v>5</v>
          </cell>
        </row>
        <row r="213">
          <cell r="B213" t="str">
            <v>EMMC</v>
          </cell>
          <cell r="C213" t="str">
            <v>HSLB12311</v>
          </cell>
          <cell r="D213">
            <v>112063</v>
          </cell>
          <cell r="E213" t="str">
            <v>Mesa Mayo</v>
          </cell>
          <cell r="F213" t="str">
            <v>NO</v>
          </cell>
          <cell r="G213" t="str">
            <v>NO</v>
          </cell>
          <cell r="H213" t="str">
            <v>SALA DE PROCEDIMIENTOS</v>
          </cell>
          <cell r="I213">
            <v>1</v>
          </cell>
          <cell r="J213" t="str">
            <v>C.2.4.8</v>
          </cell>
          <cell r="K213" t="str">
            <v>Imagenología</v>
          </cell>
          <cell r="L213">
            <v>1</v>
          </cell>
          <cell r="M213">
            <v>46008</v>
          </cell>
          <cell r="N213">
            <v>46009</v>
          </cell>
          <cell r="O213">
            <v>1</v>
          </cell>
          <cell r="P213">
            <v>46010</v>
          </cell>
          <cell r="Q213">
            <v>1</v>
          </cell>
          <cell r="R213" t="str">
            <v>NA</v>
          </cell>
          <cell r="S213">
            <v>5</v>
          </cell>
        </row>
        <row r="214">
          <cell r="B214" t="str">
            <v>EMMC</v>
          </cell>
          <cell r="C214" t="str">
            <v>HSLB12328</v>
          </cell>
          <cell r="D214">
            <v>112063</v>
          </cell>
          <cell r="E214" t="str">
            <v>Mesa Mayo</v>
          </cell>
          <cell r="F214" t="str">
            <v>NO</v>
          </cell>
          <cell r="G214" t="str">
            <v>NO</v>
          </cell>
          <cell r="H214" t="str">
            <v>SALA ECOTOMOGRAFO GINECO-OBSTETRICO (EQUIPO/VESTIDOR)</v>
          </cell>
          <cell r="I214">
            <v>1</v>
          </cell>
          <cell r="J214" t="str">
            <v>C.5.3.8</v>
          </cell>
          <cell r="K214" t="str">
            <v>Imagenología</v>
          </cell>
          <cell r="L214">
            <v>1</v>
          </cell>
          <cell r="M214">
            <v>46008</v>
          </cell>
          <cell r="N214">
            <v>46009</v>
          </cell>
          <cell r="O214">
            <v>1</v>
          </cell>
          <cell r="P214">
            <v>46010</v>
          </cell>
          <cell r="Q214">
            <v>1</v>
          </cell>
          <cell r="R214" t="str">
            <v>NA</v>
          </cell>
          <cell r="S214">
            <v>5</v>
          </cell>
        </row>
        <row r="215">
          <cell r="B215" t="str">
            <v>EMMC</v>
          </cell>
          <cell r="C215" t="str">
            <v>HSLB12329</v>
          </cell>
          <cell r="D215">
            <v>112063</v>
          </cell>
          <cell r="E215" t="str">
            <v>Mesa Mayo</v>
          </cell>
          <cell r="F215" t="str">
            <v>NO</v>
          </cell>
          <cell r="G215" t="str">
            <v>NO</v>
          </cell>
          <cell r="H215" t="str">
            <v>SALA ECOTOMOGRAFO INDIFERENCIADO (EQUIPO/VESTIDOR)</v>
          </cell>
          <cell r="I215">
            <v>1</v>
          </cell>
          <cell r="J215" t="str">
            <v>C.5.3.9.1</v>
          </cell>
          <cell r="K215" t="str">
            <v>Imagenología</v>
          </cell>
          <cell r="L215">
            <v>1</v>
          </cell>
          <cell r="M215">
            <v>46008</v>
          </cell>
          <cell r="N215">
            <v>46009</v>
          </cell>
          <cell r="O215">
            <v>1</v>
          </cell>
          <cell r="P215">
            <v>46010</v>
          </cell>
          <cell r="Q215">
            <v>1</v>
          </cell>
          <cell r="R215" t="str">
            <v>NA</v>
          </cell>
          <cell r="S215">
            <v>5</v>
          </cell>
        </row>
        <row r="216">
          <cell r="B216" t="str">
            <v>EMMC</v>
          </cell>
          <cell r="C216" t="str">
            <v>HSLB12330</v>
          </cell>
          <cell r="D216">
            <v>112063</v>
          </cell>
          <cell r="E216" t="str">
            <v>Mesa Mayo</v>
          </cell>
          <cell r="F216" t="str">
            <v>NO</v>
          </cell>
          <cell r="G216" t="str">
            <v>NO</v>
          </cell>
          <cell r="H216" t="str">
            <v>SALA ECOTOMOGRAFO INDIFERENCIADO (EQUIPO/VESTIDOR)</v>
          </cell>
          <cell r="I216">
            <v>1</v>
          </cell>
          <cell r="J216" t="str">
            <v>C.5.3.9.2</v>
          </cell>
          <cell r="K216" t="str">
            <v>Imagenología</v>
          </cell>
          <cell r="L216">
            <v>1</v>
          </cell>
          <cell r="M216">
            <v>46008</v>
          </cell>
          <cell r="N216">
            <v>46009</v>
          </cell>
          <cell r="O216">
            <v>1</v>
          </cell>
          <cell r="P216">
            <v>46010</v>
          </cell>
          <cell r="Q216">
            <v>1</v>
          </cell>
          <cell r="R216" t="str">
            <v>NA</v>
          </cell>
          <cell r="S216">
            <v>5</v>
          </cell>
        </row>
        <row r="217">
          <cell r="B217" t="str">
            <v>EMMC</v>
          </cell>
          <cell r="C217" t="str">
            <v>HSLB10859</v>
          </cell>
          <cell r="D217">
            <v>106010</v>
          </cell>
          <cell r="E217" t="str">
            <v>Microondas</v>
          </cell>
          <cell r="F217" t="str">
            <v>NO</v>
          </cell>
          <cell r="G217" t="str">
            <v>NO</v>
          </cell>
          <cell r="H217" t="str">
            <v>ESTAR PERSONAL C/ KITCHENETTE</v>
          </cell>
          <cell r="I217">
            <v>1</v>
          </cell>
          <cell r="J217" t="str">
            <v>C.5.3.17</v>
          </cell>
          <cell r="K217" t="str">
            <v>Imagenología</v>
          </cell>
          <cell r="L217">
            <v>1</v>
          </cell>
          <cell r="M217">
            <v>46008</v>
          </cell>
          <cell r="N217">
            <v>46009</v>
          </cell>
          <cell r="O217">
            <v>1</v>
          </cell>
          <cell r="P217">
            <v>46010</v>
          </cell>
          <cell r="Q217">
            <v>1</v>
          </cell>
          <cell r="R217" t="str">
            <v>NA</v>
          </cell>
          <cell r="S217">
            <v>5</v>
          </cell>
        </row>
        <row r="218">
          <cell r="B218" t="str">
            <v>EMMC</v>
          </cell>
          <cell r="C218" t="str">
            <v>HSLB12403</v>
          </cell>
          <cell r="D218">
            <v>112068</v>
          </cell>
          <cell r="E218" t="str">
            <v>Piso Taburete Clínico</v>
          </cell>
          <cell r="F218" t="str">
            <v>NO</v>
          </cell>
          <cell r="G218" t="str">
            <v>NO</v>
          </cell>
          <cell r="H218" t="str">
            <v>RADIOLOGÍA DIGITAL OSTEOPULMONAR(RX) (SALA EQUIPO/COMANDO/2VESTIDOR)</v>
          </cell>
          <cell r="I218">
            <v>1</v>
          </cell>
          <cell r="J218" t="str">
            <v>C.5.3.5.1</v>
          </cell>
          <cell r="K218" t="str">
            <v>Imagenología</v>
          </cell>
          <cell r="L218">
            <v>1</v>
          </cell>
          <cell r="M218">
            <v>46008</v>
          </cell>
          <cell r="N218">
            <v>46009</v>
          </cell>
          <cell r="O218">
            <v>1</v>
          </cell>
          <cell r="P218">
            <v>46010</v>
          </cell>
          <cell r="Q218">
            <v>1</v>
          </cell>
          <cell r="R218" t="str">
            <v>NA</v>
          </cell>
          <cell r="S218">
            <v>5</v>
          </cell>
        </row>
        <row r="219">
          <cell r="B219" t="str">
            <v>EMMC</v>
          </cell>
          <cell r="C219" t="str">
            <v>HSLB12404</v>
          </cell>
          <cell r="D219">
            <v>112068</v>
          </cell>
          <cell r="E219" t="str">
            <v>Piso Taburete Clínico</v>
          </cell>
          <cell r="F219" t="str">
            <v>NO</v>
          </cell>
          <cell r="G219" t="str">
            <v>NO</v>
          </cell>
          <cell r="H219" t="str">
            <v>RADIOLOGÍA DIGITAL OSTEOPULMONAR (RX) (SALA EQUIPO/COMANDO/2VESTIDOR)</v>
          </cell>
          <cell r="I219">
            <v>1</v>
          </cell>
          <cell r="J219" t="str">
            <v>C.5.3.5.2</v>
          </cell>
          <cell r="K219" t="str">
            <v>Imagenología</v>
          </cell>
          <cell r="L219">
            <v>1</v>
          </cell>
          <cell r="M219">
            <v>46008</v>
          </cell>
          <cell r="N219">
            <v>46009</v>
          </cell>
          <cell r="O219">
            <v>1</v>
          </cell>
          <cell r="P219">
            <v>46010</v>
          </cell>
          <cell r="Q219">
            <v>1</v>
          </cell>
          <cell r="R219" t="str">
            <v>NA</v>
          </cell>
          <cell r="S219">
            <v>5</v>
          </cell>
        </row>
        <row r="220">
          <cell r="B220" t="str">
            <v>EMMC</v>
          </cell>
          <cell r="C220" t="str">
            <v>HSLB12405</v>
          </cell>
          <cell r="D220">
            <v>112068</v>
          </cell>
          <cell r="E220" t="str">
            <v>Piso Taburete Clínico</v>
          </cell>
          <cell r="F220" t="str">
            <v>NO</v>
          </cell>
          <cell r="G220" t="str">
            <v>NO</v>
          </cell>
          <cell r="H220" t="str">
            <v>RADIOLOGÍA DIGITAL OSTEOPULMONAR(RX) (SALA EQUIPO/COMANDO/2VESTIDOR)</v>
          </cell>
          <cell r="I220">
            <v>1</v>
          </cell>
          <cell r="J220" t="str">
            <v>C.5.3.5.3</v>
          </cell>
          <cell r="K220" t="str">
            <v>Imagenología</v>
          </cell>
          <cell r="L220">
            <v>1</v>
          </cell>
          <cell r="M220">
            <v>46008</v>
          </cell>
          <cell r="N220">
            <v>46009</v>
          </cell>
          <cell r="O220">
            <v>1</v>
          </cell>
          <cell r="P220">
            <v>46010</v>
          </cell>
          <cell r="Q220">
            <v>1</v>
          </cell>
          <cell r="R220" t="str">
            <v>NA</v>
          </cell>
          <cell r="S220">
            <v>5</v>
          </cell>
        </row>
        <row r="221">
          <cell r="B221" t="str">
            <v>EMMC</v>
          </cell>
          <cell r="C221" t="str">
            <v>HSLB12406</v>
          </cell>
          <cell r="D221">
            <v>112068</v>
          </cell>
          <cell r="E221" t="str">
            <v>Piso Taburete Clínico</v>
          </cell>
          <cell r="F221" t="str">
            <v>NO</v>
          </cell>
          <cell r="G221" t="str">
            <v>NO</v>
          </cell>
          <cell r="H221" t="str">
            <v>SALA ECOTOMOGRAFO GINECO-OBSTETRICO (EQUIPO/VESTIDOR)</v>
          </cell>
          <cell r="I221">
            <v>1</v>
          </cell>
          <cell r="J221" t="str">
            <v>C.5.3.8</v>
          </cell>
          <cell r="K221" t="str">
            <v>Imagenología</v>
          </cell>
          <cell r="L221">
            <v>1</v>
          </cell>
          <cell r="M221">
            <v>46008</v>
          </cell>
          <cell r="N221">
            <v>46009</v>
          </cell>
          <cell r="O221">
            <v>1</v>
          </cell>
          <cell r="P221">
            <v>46010</v>
          </cell>
          <cell r="Q221">
            <v>1</v>
          </cell>
          <cell r="R221" t="str">
            <v>NA</v>
          </cell>
          <cell r="S221">
            <v>5</v>
          </cell>
        </row>
        <row r="222">
          <cell r="B222" t="str">
            <v>EMMC</v>
          </cell>
          <cell r="C222" t="str">
            <v>HSLB12407</v>
          </cell>
          <cell r="D222">
            <v>112068</v>
          </cell>
          <cell r="E222" t="str">
            <v>Piso Taburete Clínico</v>
          </cell>
          <cell r="F222" t="str">
            <v>NO</v>
          </cell>
          <cell r="G222" t="str">
            <v>NO</v>
          </cell>
          <cell r="H222" t="str">
            <v>SALA ECOTOMOGRAFO INDIFERENCIADO (EQUIPO/VESTIDOR)</v>
          </cell>
          <cell r="I222">
            <v>2</v>
          </cell>
          <cell r="J222" t="str">
            <v>C.5.3.9.1</v>
          </cell>
          <cell r="K222" t="str">
            <v>Imagenología</v>
          </cell>
          <cell r="L222">
            <v>1</v>
          </cell>
          <cell r="M222">
            <v>46008</v>
          </cell>
          <cell r="N222">
            <v>46009</v>
          </cell>
          <cell r="O222">
            <v>1</v>
          </cell>
          <cell r="P222">
            <v>46010</v>
          </cell>
          <cell r="Q222">
            <v>1</v>
          </cell>
          <cell r="R222" t="str">
            <v>NA</v>
          </cell>
          <cell r="S222">
            <v>5</v>
          </cell>
        </row>
        <row r="223">
          <cell r="B223" t="str">
            <v>EMMC</v>
          </cell>
          <cell r="C223" t="str">
            <v>HSLB12408</v>
          </cell>
          <cell r="D223">
            <v>112068</v>
          </cell>
          <cell r="E223" t="str">
            <v>Piso Taburete Clínico</v>
          </cell>
          <cell r="F223" t="str">
            <v>NO</v>
          </cell>
          <cell r="G223" t="str">
            <v>NO</v>
          </cell>
          <cell r="H223" t="str">
            <v>SALA ECOTOMOGRAFO INDIFERENCIADO (EQUIPO/VESTIDOR)</v>
          </cell>
          <cell r="I223">
            <v>2</v>
          </cell>
          <cell r="J223" t="str">
            <v>C.5.3.9.2</v>
          </cell>
          <cell r="K223" t="str">
            <v>Imagenología</v>
          </cell>
          <cell r="L223">
            <v>1</v>
          </cell>
          <cell r="M223">
            <v>46008</v>
          </cell>
          <cell r="N223">
            <v>46009</v>
          </cell>
          <cell r="O223">
            <v>1</v>
          </cell>
          <cell r="P223">
            <v>46010</v>
          </cell>
          <cell r="Q223">
            <v>1</v>
          </cell>
          <cell r="R223" t="str">
            <v>NA</v>
          </cell>
          <cell r="S223">
            <v>5</v>
          </cell>
        </row>
        <row r="224">
          <cell r="B224" t="str">
            <v>EMMC</v>
          </cell>
          <cell r="C224" t="str">
            <v>HSLB12452</v>
          </cell>
          <cell r="D224">
            <v>112077</v>
          </cell>
          <cell r="E224" t="str">
            <v>Silla de Ruedas</v>
          </cell>
          <cell r="F224" t="str">
            <v>NO</v>
          </cell>
          <cell r="G224" t="str">
            <v>NO</v>
          </cell>
          <cell r="H224" t="str">
            <v>ESTACIONAMIENTO SILLAS DE RUEDAS</v>
          </cell>
          <cell r="I224">
            <v>3</v>
          </cell>
          <cell r="J224" t="str">
            <v>C.2.4.12</v>
          </cell>
          <cell r="K224" t="str">
            <v>Imagenología</v>
          </cell>
          <cell r="L224">
            <v>1</v>
          </cell>
          <cell r="M224">
            <v>46008</v>
          </cell>
          <cell r="N224">
            <v>46009</v>
          </cell>
          <cell r="O224">
            <v>1</v>
          </cell>
          <cell r="P224">
            <v>46010</v>
          </cell>
          <cell r="Q224">
            <v>1</v>
          </cell>
          <cell r="R224" t="str">
            <v>NA</v>
          </cell>
          <cell r="S224">
            <v>5</v>
          </cell>
        </row>
        <row r="225">
          <cell r="B225" t="str">
            <v>EMMC</v>
          </cell>
          <cell r="C225" t="str">
            <v>HSLB12591</v>
          </cell>
          <cell r="D225">
            <v>112089</v>
          </cell>
          <cell r="E225" t="str">
            <v>Soporte Universal</v>
          </cell>
          <cell r="F225" t="str">
            <v>NO</v>
          </cell>
          <cell r="G225" t="str">
            <v>SI</v>
          </cell>
          <cell r="H225" t="str">
            <v>BODEGA DE EQUIPOS MEDICOS</v>
          </cell>
          <cell r="I225">
            <v>3</v>
          </cell>
          <cell r="J225" t="str">
            <v>C.5.3.23</v>
          </cell>
          <cell r="K225" t="str">
            <v>Imagenología</v>
          </cell>
          <cell r="L225">
            <v>1</v>
          </cell>
          <cell r="M225">
            <v>46003</v>
          </cell>
          <cell r="N225">
            <v>46006</v>
          </cell>
          <cell r="O225">
            <v>1</v>
          </cell>
          <cell r="P225">
            <v>46007</v>
          </cell>
          <cell r="Q225">
            <v>1</v>
          </cell>
          <cell r="R225" t="str">
            <v>NA</v>
          </cell>
          <cell r="S225">
            <v>5</v>
          </cell>
        </row>
        <row r="226">
          <cell r="B226" t="str">
            <v>EMMC</v>
          </cell>
          <cell r="C226" t="str">
            <v>HSLB10941</v>
          </cell>
          <cell r="D226">
            <v>106019</v>
          </cell>
          <cell r="E226" t="str">
            <v>Televisor 32'</v>
          </cell>
          <cell r="F226" t="str">
            <v>NO</v>
          </cell>
          <cell r="G226" t="str">
            <v>NO</v>
          </cell>
          <cell r="H226" t="str">
            <v>SALA DE ESPERA</v>
          </cell>
          <cell r="I226">
            <v>1</v>
          </cell>
          <cell r="J226" t="str">
            <v>C.2.4.2</v>
          </cell>
          <cell r="K226" t="str">
            <v>Imagenología</v>
          </cell>
          <cell r="L226">
            <v>1</v>
          </cell>
          <cell r="M226">
            <v>46008</v>
          </cell>
          <cell r="N226">
            <v>46009</v>
          </cell>
          <cell r="O226">
            <v>1</v>
          </cell>
          <cell r="P226">
            <v>46010</v>
          </cell>
          <cell r="Q226">
            <v>1</v>
          </cell>
          <cell r="R226" t="str">
            <v>NA</v>
          </cell>
          <cell r="S226">
            <v>5</v>
          </cell>
        </row>
        <row r="227">
          <cell r="B227" t="str">
            <v>EMMC</v>
          </cell>
          <cell r="C227" t="str">
            <v>HSLB10942</v>
          </cell>
          <cell r="D227">
            <v>106019</v>
          </cell>
          <cell r="E227" t="str">
            <v>Televisor 32'</v>
          </cell>
          <cell r="F227" t="str">
            <v>NO</v>
          </cell>
          <cell r="G227" t="str">
            <v>SI</v>
          </cell>
          <cell r="H227" t="str">
            <v>SALA DE TRATAMIENTOS TRANSITORIOS</v>
          </cell>
          <cell r="I227">
            <v>1</v>
          </cell>
          <cell r="J227" t="str">
            <v>C.2.4.7</v>
          </cell>
          <cell r="K227" t="str">
            <v>Imagenología</v>
          </cell>
          <cell r="L227">
            <v>1</v>
          </cell>
          <cell r="M227">
            <v>46003</v>
          </cell>
          <cell r="N227">
            <v>46006</v>
          </cell>
          <cell r="O227">
            <v>1</v>
          </cell>
          <cell r="P227">
            <v>46007</v>
          </cell>
          <cell r="Q227">
            <v>1</v>
          </cell>
          <cell r="R227" t="str">
            <v>NA</v>
          </cell>
          <cell r="S227">
            <v>5</v>
          </cell>
        </row>
        <row r="228">
          <cell r="B228" t="str">
            <v>EMMC</v>
          </cell>
          <cell r="C228" t="str">
            <v>HSLB11035</v>
          </cell>
          <cell r="D228">
            <v>106019</v>
          </cell>
          <cell r="E228" t="str">
            <v>Televisor 32'</v>
          </cell>
          <cell r="F228" t="str">
            <v>NO</v>
          </cell>
          <cell r="G228" t="str">
            <v>NO</v>
          </cell>
          <cell r="H228" t="str">
            <v>SALA DE ESPERA</v>
          </cell>
          <cell r="I228">
            <v>1</v>
          </cell>
          <cell r="J228" t="str">
            <v>C.5.3.2</v>
          </cell>
          <cell r="K228" t="str">
            <v>Imagenología</v>
          </cell>
          <cell r="L228">
            <v>1</v>
          </cell>
          <cell r="M228">
            <v>46008</v>
          </cell>
          <cell r="N228">
            <v>46009</v>
          </cell>
          <cell r="O228">
            <v>1</v>
          </cell>
          <cell r="P228">
            <v>46010</v>
          </cell>
          <cell r="Q228">
            <v>1</v>
          </cell>
          <cell r="R228" t="str">
            <v>NA</v>
          </cell>
          <cell r="S228">
            <v>5</v>
          </cell>
        </row>
        <row r="229">
          <cell r="B229" t="str">
            <v>EMMC</v>
          </cell>
          <cell r="C229" t="str">
            <v>HSLB11036</v>
          </cell>
          <cell r="D229">
            <v>106019</v>
          </cell>
          <cell r="E229" t="str">
            <v>Televisor 32'</v>
          </cell>
          <cell r="F229" t="str">
            <v>NO</v>
          </cell>
          <cell r="G229" t="str">
            <v>NO</v>
          </cell>
          <cell r="H229" t="str">
            <v>SALA DE ESPERA PACIENTE HOSPITALIZADO (CAMILLAS-SILLA DE RUEDAS)</v>
          </cell>
          <cell r="I229">
            <v>2</v>
          </cell>
          <cell r="J229" t="str">
            <v>C.5.3.3</v>
          </cell>
          <cell r="K229" t="str">
            <v>Imagenología</v>
          </cell>
          <cell r="L229">
            <v>1</v>
          </cell>
          <cell r="M229">
            <v>46008</v>
          </cell>
          <cell r="N229">
            <v>46009</v>
          </cell>
          <cell r="O229">
            <v>1</v>
          </cell>
          <cell r="P229">
            <v>46010</v>
          </cell>
          <cell r="Q229">
            <v>1</v>
          </cell>
          <cell r="R229" t="str">
            <v>NA</v>
          </cell>
          <cell r="S229">
            <v>5</v>
          </cell>
        </row>
        <row r="230">
          <cell r="B230" t="str">
            <v>EMMC</v>
          </cell>
          <cell r="C230" t="str">
            <v>HSLB11037</v>
          </cell>
          <cell r="D230">
            <v>106019</v>
          </cell>
          <cell r="E230" t="str">
            <v>Televisor 32'</v>
          </cell>
          <cell r="F230" t="str">
            <v>NO</v>
          </cell>
          <cell r="G230" t="str">
            <v>NO</v>
          </cell>
          <cell r="H230" t="str">
            <v>SALA ECOTOMOGRAFO GINECO-OBSTETRICO (EQUIPO/VESTIDOR)</v>
          </cell>
          <cell r="I230">
            <v>1</v>
          </cell>
          <cell r="J230" t="str">
            <v>C.5.3.8</v>
          </cell>
          <cell r="K230" t="str">
            <v>Imagenología</v>
          </cell>
          <cell r="L230">
            <v>1</v>
          </cell>
          <cell r="M230">
            <v>46008</v>
          </cell>
          <cell r="N230">
            <v>46009</v>
          </cell>
          <cell r="O230">
            <v>1</v>
          </cell>
          <cell r="P230">
            <v>46010</v>
          </cell>
          <cell r="Q230">
            <v>1</v>
          </cell>
          <cell r="R230" t="str">
            <v>NA</v>
          </cell>
          <cell r="S230">
            <v>5</v>
          </cell>
        </row>
        <row r="231">
          <cell r="B231" t="str">
            <v>EMMC</v>
          </cell>
          <cell r="C231" t="str">
            <v>HSLB11038</v>
          </cell>
          <cell r="D231">
            <v>106019</v>
          </cell>
          <cell r="E231" t="str">
            <v>Televisor 32'</v>
          </cell>
          <cell r="F231" t="str">
            <v>NO</v>
          </cell>
          <cell r="G231" t="str">
            <v>NO</v>
          </cell>
          <cell r="H231" t="str">
            <v>SALA ECOTOMOGRAFO INDIFERENCIADO (EQUIPO/VESTIDOR)</v>
          </cell>
          <cell r="I231">
            <v>2</v>
          </cell>
          <cell r="J231" t="str">
            <v>C.5.3.9.1</v>
          </cell>
          <cell r="K231" t="str">
            <v>Imagenología</v>
          </cell>
          <cell r="L231">
            <v>1</v>
          </cell>
          <cell r="M231">
            <v>46008</v>
          </cell>
          <cell r="N231">
            <v>46009</v>
          </cell>
          <cell r="O231">
            <v>1</v>
          </cell>
          <cell r="P231">
            <v>46010</v>
          </cell>
          <cell r="Q231">
            <v>1</v>
          </cell>
          <cell r="R231" t="str">
            <v>NA</v>
          </cell>
          <cell r="S231">
            <v>5</v>
          </cell>
        </row>
        <row r="232">
          <cell r="B232" t="str">
            <v>EMMC</v>
          </cell>
          <cell r="C232" t="str">
            <v>HSLB11039</v>
          </cell>
          <cell r="D232">
            <v>106019</v>
          </cell>
          <cell r="E232" t="str">
            <v>Televisor 32'</v>
          </cell>
          <cell r="F232" t="str">
            <v>NO</v>
          </cell>
          <cell r="G232" t="str">
            <v>NO</v>
          </cell>
          <cell r="H232" t="str">
            <v>SALA ECOTOMOGRAFO INDIFERENCIADO (EQUIPO/VESTIDOR)</v>
          </cell>
          <cell r="I232">
            <v>2</v>
          </cell>
          <cell r="J232" t="str">
            <v>C.5.3.9.2</v>
          </cell>
          <cell r="K232" t="str">
            <v>Imagenología</v>
          </cell>
          <cell r="L232">
            <v>1</v>
          </cell>
          <cell r="M232">
            <v>46008</v>
          </cell>
          <cell r="N232">
            <v>46009</v>
          </cell>
          <cell r="O232">
            <v>1</v>
          </cell>
          <cell r="P232">
            <v>46010</v>
          </cell>
          <cell r="Q232">
            <v>1</v>
          </cell>
          <cell r="R232" t="str">
            <v>NA</v>
          </cell>
          <cell r="S232">
            <v>5</v>
          </cell>
        </row>
        <row r="233">
          <cell r="B233" t="str">
            <v>EMMC</v>
          </cell>
          <cell r="C233" t="str">
            <v>HSLB11082</v>
          </cell>
          <cell r="D233">
            <v>106021</v>
          </cell>
          <cell r="E233" t="str">
            <v>Telón</v>
          </cell>
          <cell r="F233" t="str">
            <v>NO</v>
          </cell>
          <cell r="G233" t="str">
            <v>NO</v>
          </cell>
          <cell r="H233" t="str">
            <v>SALA MULTIPROPÓSITO</v>
          </cell>
          <cell r="I233">
            <v>1</v>
          </cell>
          <cell r="J233" t="str">
            <v>C.2.4.17</v>
          </cell>
          <cell r="K233" t="str">
            <v>Imagenología</v>
          </cell>
          <cell r="L233">
            <v>1</v>
          </cell>
          <cell r="M233">
            <v>46008</v>
          </cell>
          <cell r="N233">
            <v>46009</v>
          </cell>
          <cell r="O233">
            <v>1</v>
          </cell>
          <cell r="P233">
            <v>46010</v>
          </cell>
          <cell r="Q233">
            <v>1</v>
          </cell>
          <cell r="R233" t="str">
            <v>NA</v>
          </cell>
          <cell r="S233">
            <v>5</v>
          </cell>
        </row>
        <row r="234">
          <cell r="B234" t="str">
            <v>EMMC</v>
          </cell>
          <cell r="C234" t="str">
            <v>HSLB10009</v>
          </cell>
          <cell r="D234">
            <v>101005</v>
          </cell>
          <cell r="E234" t="str">
            <v>Balanza Adulto con Tallímetro</v>
          </cell>
          <cell r="F234" t="str">
            <v>NO</v>
          </cell>
          <cell r="G234" t="str">
            <v>NO</v>
          </cell>
          <cell r="H234" t="str">
            <v>BOX MULTIPROPÓSITO (2)</v>
          </cell>
          <cell r="I234">
            <v>1</v>
          </cell>
          <cell r="J234" t="str">
            <v>C.2.4.6.2</v>
          </cell>
          <cell r="K234" t="str">
            <v>Imagenología</v>
          </cell>
          <cell r="L234">
            <v>1</v>
          </cell>
          <cell r="M234">
            <v>46008</v>
          </cell>
          <cell r="N234">
            <v>46009</v>
          </cell>
          <cell r="O234">
            <v>1</v>
          </cell>
          <cell r="P234">
            <v>46010</v>
          </cell>
          <cell r="Q234">
            <v>1</v>
          </cell>
          <cell r="R234" t="str">
            <v>NA</v>
          </cell>
          <cell r="S234">
            <v>5</v>
          </cell>
        </row>
        <row r="235">
          <cell r="B235" t="str">
            <v>EMMC</v>
          </cell>
          <cell r="C235" t="str">
            <v>HSLB11619</v>
          </cell>
          <cell r="D235">
            <v>112003</v>
          </cell>
          <cell r="E235" t="str">
            <v>Biombo Clínico 3 Cuerpos</v>
          </cell>
          <cell r="F235" t="str">
            <v>NO</v>
          </cell>
          <cell r="G235" t="str">
            <v>NO</v>
          </cell>
          <cell r="H235" t="str">
            <v>BODEGA DE EQUIPOS</v>
          </cell>
          <cell r="I235">
            <v>2</v>
          </cell>
          <cell r="J235" t="str">
            <v>C.2.3.26</v>
          </cell>
          <cell r="K235" t="str">
            <v>Dialisis</v>
          </cell>
          <cell r="L235">
            <v>1</v>
          </cell>
          <cell r="M235">
            <v>46031</v>
          </cell>
          <cell r="N235">
            <v>46034</v>
          </cell>
          <cell r="O235">
            <v>1</v>
          </cell>
          <cell r="P235">
            <v>46035</v>
          </cell>
          <cell r="Q235">
            <v>1</v>
          </cell>
          <cell r="R235" t="str">
            <v>NA</v>
          </cell>
          <cell r="S235">
            <v>5</v>
          </cell>
        </row>
        <row r="236">
          <cell r="B236" t="str">
            <v>EMMC</v>
          </cell>
          <cell r="C236" t="str">
            <v>HSLB11653</v>
          </cell>
          <cell r="D236">
            <v>112008</v>
          </cell>
          <cell r="E236" t="str">
            <v>Camilla Examen</v>
          </cell>
          <cell r="F236" t="str">
            <v>NO</v>
          </cell>
          <cell r="G236" t="str">
            <v>NO</v>
          </cell>
          <cell r="H236" t="str">
            <v>BOX EVALUACIÓN</v>
          </cell>
          <cell r="I236">
            <v>1</v>
          </cell>
          <cell r="J236" t="str">
            <v>C.2.3.12</v>
          </cell>
          <cell r="K236" t="str">
            <v>Dialisis</v>
          </cell>
          <cell r="L236">
            <v>1</v>
          </cell>
          <cell r="M236">
            <v>46031</v>
          </cell>
          <cell r="N236">
            <v>46034</v>
          </cell>
          <cell r="O236">
            <v>1</v>
          </cell>
          <cell r="P236">
            <v>46035</v>
          </cell>
          <cell r="Q236">
            <v>1</v>
          </cell>
          <cell r="R236" t="str">
            <v>NA</v>
          </cell>
          <cell r="S236">
            <v>5</v>
          </cell>
        </row>
        <row r="237">
          <cell r="B237" t="str">
            <v>EMMC</v>
          </cell>
          <cell r="C237" t="str">
            <v>HSLB10054</v>
          </cell>
          <cell r="D237">
            <v>101011</v>
          </cell>
          <cell r="E237" t="str">
            <v>Balanza Plataforma Multifuncional</v>
          </cell>
          <cell r="F237" t="str">
            <v>NO</v>
          </cell>
          <cell r="G237" t="str">
            <v>SI</v>
          </cell>
          <cell r="H237" t="str">
            <v>SALA DE TRATAMIENTOS TRANSITORIOS</v>
          </cell>
          <cell r="I237">
            <v>1</v>
          </cell>
          <cell r="J237" t="str">
            <v>C.2.4.7</v>
          </cell>
          <cell r="K237" t="str">
            <v>Imagenología</v>
          </cell>
          <cell r="L237">
            <v>1</v>
          </cell>
          <cell r="M237">
            <v>46003</v>
          </cell>
          <cell r="N237">
            <v>46006</v>
          </cell>
          <cell r="O237">
            <v>1</v>
          </cell>
          <cell r="P237">
            <v>46007</v>
          </cell>
          <cell r="Q237">
            <v>1</v>
          </cell>
          <cell r="R237" t="str">
            <v>NA</v>
          </cell>
          <cell r="S237">
            <v>5</v>
          </cell>
        </row>
        <row r="238">
          <cell r="B238" t="str">
            <v>EMMC</v>
          </cell>
          <cell r="C238" t="str">
            <v>HSLB11785</v>
          </cell>
          <cell r="D238">
            <v>112021</v>
          </cell>
          <cell r="E238" t="str">
            <v>Carro Curación</v>
          </cell>
          <cell r="F238" t="str">
            <v>NO</v>
          </cell>
          <cell r="G238" t="str">
            <v>NO</v>
          </cell>
          <cell r="H238" t="str">
            <v xml:space="preserve">SALA PROCEDIMIENTOS </v>
          </cell>
          <cell r="I238">
            <v>1</v>
          </cell>
          <cell r="J238" t="str">
            <v>C.2.3.21</v>
          </cell>
          <cell r="K238" t="str">
            <v>Dialisis</v>
          </cell>
          <cell r="L238">
            <v>1</v>
          </cell>
          <cell r="M238">
            <v>46031</v>
          </cell>
          <cell r="N238">
            <v>46034</v>
          </cell>
          <cell r="O238">
            <v>1</v>
          </cell>
          <cell r="P238">
            <v>46035</v>
          </cell>
          <cell r="Q238">
            <v>1</v>
          </cell>
          <cell r="R238" t="str">
            <v>NA</v>
          </cell>
          <cell r="S238">
            <v>5</v>
          </cell>
        </row>
        <row r="239">
          <cell r="B239" t="str">
            <v>EMMC</v>
          </cell>
          <cell r="C239" t="str">
            <v>HSLB11841</v>
          </cell>
          <cell r="D239">
            <v>112023</v>
          </cell>
          <cell r="E239" t="str">
            <v>Carro de Procedimientos</v>
          </cell>
          <cell r="F239" t="str">
            <v>NO</v>
          </cell>
          <cell r="G239" t="str">
            <v>NO</v>
          </cell>
          <cell r="H239" t="str">
            <v>ESTACIÓN DE ENFERMERÍA</v>
          </cell>
          <cell r="I239">
            <v>1</v>
          </cell>
          <cell r="J239" t="str">
            <v>C.2.3.15.1</v>
          </cell>
          <cell r="K239" t="str">
            <v>Dialisis</v>
          </cell>
          <cell r="L239">
            <v>1</v>
          </cell>
          <cell r="M239">
            <v>46031</v>
          </cell>
          <cell r="N239">
            <v>46034</v>
          </cell>
          <cell r="O239">
            <v>1</v>
          </cell>
          <cell r="P239">
            <v>46035</v>
          </cell>
          <cell r="Q239">
            <v>1</v>
          </cell>
          <cell r="R239" t="str">
            <v>NA</v>
          </cell>
          <cell r="S239">
            <v>5</v>
          </cell>
        </row>
        <row r="240">
          <cell r="B240" t="str">
            <v>EMMC</v>
          </cell>
          <cell r="C240" t="str">
            <v>HSLB11842</v>
          </cell>
          <cell r="D240">
            <v>112023</v>
          </cell>
          <cell r="E240" t="str">
            <v>Carro de Procedimientos</v>
          </cell>
          <cell r="F240" t="str">
            <v>NO</v>
          </cell>
          <cell r="G240" t="str">
            <v>NO</v>
          </cell>
          <cell r="H240" t="str">
            <v>ESTACIÓN DE ENFERMERÍA</v>
          </cell>
          <cell r="I240">
            <v>1</v>
          </cell>
          <cell r="J240" t="str">
            <v>C.2.3.15.2</v>
          </cell>
          <cell r="K240" t="str">
            <v>Dialisis</v>
          </cell>
          <cell r="L240">
            <v>1</v>
          </cell>
          <cell r="M240">
            <v>46031</v>
          </cell>
          <cell r="N240">
            <v>46034</v>
          </cell>
          <cell r="O240">
            <v>1</v>
          </cell>
          <cell r="P240">
            <v>46035</v>
          </cell>
          <cell r="Q240">
            <v>1</v>
          </cell>
          <cell r="R240" t="str">
            <v>NA</v>
          </cell>
          <cell r="S240">
            <v>5</v>
          </cell>
        </row>
        <row r="241">
          <cell r="B241" t="str">
            <v>EMMC</v>
          </cell>
          <cell r="C241" t="str">
            <v>HSLB11843</v>
          </cell>
          <cell r="D241">
            <v>112023</v>
          </cell>
          <cell r="E241" t="str">
            <v>Carro de Procedimientos</v>
          </cell>
          <cell r="F241" t="str">
            <v>NO</v>
          </cell>
          <cell r="G241" t="str">
            <v>NO</v>
          </cell>
          <cell r="H241" t="str">
            <v>ESTACIÓN DE ENFERMERÍA</v>
          </cell>
          <cell r="I241">
            <v>1</v>
          </cell>
          <cell r="J241" t="str">
            <v>C.2.3.15.3</v>
          </cell>
          <cell r="K241" t="str">
            <v>Dialisis</v>
          </cell>
          <cell r="L241">
            <v>1</v>
          </cell>
          <cell r="M241">
            <v>46031</v>
          </cell>
          <cell r="N241">
            <v>46034</v>
          </cell>
          <cell r="O241">
            <v>1</v>
          </cell>
          <cell r="P241">
            <v>46035</v>
          </cell>
          <cell r="Q241">
            <v>1</v>
          </cell>
          <cell r="R241" t="str">
            <v>NA</v>
          </cell>
          <cell r="S241">
            <v>5</v>
          </cell>
        </row>
        <row r="242">
          <cell r="B242" t="str">
            <v>EMMC</v>
          </cell>
          <cell r="C242" t="str">
            <v>HSLB11909</v>
          </cell>
          <cell r="D242">
            <v>112039</v>
          </cell>
          <cell r="E242" t="str">
            <v>Carro Transporte Ropa Sucia Tipo I</v>
          </cell>
          <cell r="F242" t="str">
            <v>NO</v>
          </cell>
          <cell r="G242" t="str">
            <v>NO</v>
          </cell>
          <cell r="H242" t="str">
            <v>ROPA SUCIA (INCLUYE EST. DE CARRO)</v>
          </cell>
          <cell r="I242">
            <v>1</v>
          </cell>
          <cell r="J242" t="str">
            <v>C.2.3.29</v>
          </cell>
          <cell r="K242" t="str">
            <v>Dialisis</v>
          </cell>
          <cell r="L242">
            <v>1</v>
          </cell>
          <cell r="M242">
            <v>46031</v>
          </cell>
          <cell r="N242">
            <v>46034</v>
          </cell>
          <cell r="O242">
            <v>1</v>
          </cell>
          <cell r="P242">
            <v>46035</v>
          </cell>
          <cell r="Q242">
            <v>1</v>
          </cell>
          <cell r="R242" t="str">
            <v>NA</v>
          </cell>
          <cell r="S242">
            <v>5</v>
          </cell>
        </row>
        <row r="243">
          <cell r="B243" t="str">
            <v>EMMC</v>
          </cell>
          <cell r="C243" t="str">
            <v>HSLB10309</v>
          </cell>
          <cell r="D243">
            <v>103017</v>
          </cell>
          <cell r="E243" t="str">
            <v>Carro Utilitario</v>
          </cell>
          <cell r="F243" t="str">
            <v>NO</v>
          </cell>
          <cell r="G243" t="str">
            <v>NO</v>
          </cell>
          <cell r="H243" t="str">
            <v>ESTACIÓN DE ENFERMERÍA</v>
          </cell>
          <cell r="I243">
            <v>1</v>
          </cell>
          <cell r="J243" t="str">
            <v>C.2.3.15.1</v>
          </cell>
          <cell r="K243" t="str">
            <v>Dialisis</v>
          </cell>
          <cell r="L243">
            <v>1</v>
          </cell>
          <cell r="M243">
            <v>46031</v>
          </cell>
          <cell r="N243">
            <v>46034</v>
          </cell>
          <cell r="O243">
            <v>1</v>
          </cell>
          <cell r="P243">
            <v>46035</v>
          </cell>
          <cell r="Q243">
            <v>1</v>
          </cell>
          <cell r="R243" t="str">
            <v>NA</v>
          </cell>
          <cell r="S243">
            <v>5</v>
          </cell>
        </row>
        <row r="244">
          <cell r="B244" t="str">
            <v>EMMC</v>
          </cell>
          <cell r="C244" t="str">
            <v>HSLB10310</v>
          </cell>
          <cell r="D244">
            <v>103017</v>
          </cell>
          <cell r="E244" t="str">
            <v>Carro Utilitario</v>
          </cell>
          <cell r="F244" t="str">
            <v>NO</v>
          </cell>
          <cell r="G244" t="str">
            <v>NO</v>
          </cell>
          <cell r="H244" t="str">
            <v>ESTACIÓN DE ENFERMERÍA</v>
          </cell>
          <cell r="I244">
            <v>1</v>
          </cell>
          <cell r="J244" t="str">
            <v>C.2.3.15.2</v>
          </cell>
          <cell r="K244" t="str">
            <v>Dialisis</v>
          </cell>
          <cell r="L244">
            <v>1</v>
          </cell>
          <cell r="M244">
            <v>46031</v>
          </cell>
          <cell r="N244">
            <v>46034</v>
          </cell>
          <cell r="O244">
            <v>1</v>
          </cell>
          <cell r="P244">
            <v>46035</v>
          </cell>
          <cell r="Q244">
            <v>1</v>
          </cell>
          <cell r="R244" t="str">
            <v>NA</v>
          </cell>
          <cell r="S244">
            <v>5</v>
          </cell>
        </row>
        <row r="245">
          <cell r="B245" t="str">
            <v>EMMC</v>
          </cell>
          <cell r="C245" t="str">
            <v>HSLB10311</v>
          </cell>
          <cell r="D245">
            <v>103017</v>
          </cell>
          <cell r="E245" t="str">
            <v>Carro Utilitario</v>
          </cell>
          <cell r="F245" t="str">
            <v>NO</v>
          </cell>
          <cell r="G245" t="str">
            <v>NO</v>
          </cell>
          <cell r="H245" t="str">
            <v>ESTACIÓN DE ENFERMERÍA</v>
          </cell>
          <cell r="I245">
            <v>1</v>
          </cell>
          <cell r="J245" t="str">
            <v>C.2.3.15.3</v>
          </cell>
          <cell r="K245" t="str">
            <v>Dialisis</v>
          </cell>
          <cell r="L245">
            <v>1</v>
          </cell>
          <cell r="M245">
            <v>46031</v>
          </cell>
          <cell r="N245">
            <v>46034</v>
          </cell>
          <cell r="O245">
            <v>1</v>
          </cell>
          <cell r="P245">
            <v>46035</v>
          </cell>
          <cell r="Q245">
            <v>1</v>
          </cell>
          <cell r="R245" t="str">
            <v>NA</v>
          </cell>
          <cell r="S245">
            <v>5</v>
          </cell>
        </row>
        <row r="246">
          <cell r="B246" t="str">
            <v>EMMC</v>
          </cell>
          <cell r="C246" t="str">
            <v>HSLB12061</v>
          </cell>
          <cell r="D246">
            <v>112054</v>
          </cell>
          <cell r="E246" t="str">
            <v>Escabel</v>
          </cell>
          <cell r="F246" t="str">
            <v>NO</v>
          </cell>
          <cell r="G246" t="str">
            <v>NO</v>
          </cell>
          <cell r="H246" t="str">
            <v>BOX EVALUACIÓN</v>
          </cell>
          <cell r="I246">
            <v>1</v>
          </cell>
          <cell r="J246" t="str">
            <v>C.2.3.12</v>
          </cell>
          <cell r="K246" t="str">
            <v>Dialisis</v>
          </cell>
          <cell r="L246">
            <v>1</v>
          </cell>
          <cell r="M246">
            <v>46031</v>
          </cell>
          <cell r="N246">
            <v>46034</v>
          </cell>
          <cell r="O246">
            <v>1</v>
          </cell>
          <cell r="P246">
            <v>46035</v>
          </cell>
          <cell r="Q246">
            <v>1</v>
          </cell>
          <cell r="R246" t="str">
            <v>NA</v>
          </cell>
          <cell r="S246">
            <v>5</v>
          </cell>
        </row>
        <row r="247">
          <cell r="B247" t="str">
            <v>EMMC</v>
          </cell>
          <cell r="C247" t="str">
            <v>HSLB12062</v>
          </cell>
          <cell r="D247">
            <v>112054</v>
          </cell>
          <cell r="E247" t="str">
            <v>Escabel</v>
          </cell>
          <cell r="F247" t="str">
            <v>NO</v>
          </cell>
          <cell r="G247" t="str">
            <v>NO</v>
          </cell>
          <cell r="H247" t="str">
            <v>SALA EDUCACIÓN PERITONEODIÁLISIS C/ BAÑO</v>
          </cell>
          <cell r="I247">
            <v>1</v>
          </cell>
          <cell r="J247" t="str">
            <v>C.2.3.20</v>
          </cell>
          <cell r="K247" t="str">
            <v>Dialisis</v>
          </cell>
          <cell r="L247">
            <v>1</v>
          </cell>
          <cell r="M247">
            <v>46031</v>
          </cell>
          <cell r="N247">
            <v>46034</v>
          </cell>
          <cell r="O247">
            <v>1</v>
          </cell>
          <cell r="P247">
            <v>46035</v>
          </cell>
          <cell r="Q247">
            <v>1</v>
          </cell>
          <cell r="R247" t="str">
            <v>NA</v>
          </cell>
          <cell r="S247">
            <v>5</v>
          </cell>
        </row>
        <row r="248">
          <cell r="B248" t="str">
            <v>EMMC</v>
          </cell>
          <cell r="C248" t="str">
            <v>HSLB12063</v>
          </cell>
          <cell r="D248">
            <v>112054</v>
          </cell>
          <cell r="E248" t="str">
            <v>Escabel</v>
          </cell>
          <cell r="F248" t="str">
            <v>NO</v>
          </cell>
          <cell r="G248" t="str">
            <v>NO</v>
          </cell>
          <cell r="H248" t="str">
            <v xml:space="preserve">SALA PROCEDIMIENTOS </v>
          </cell>
          <cell r="I248">
            <v>1</v>
          </cell>
          <cell r="J248" t="str">
            <v>C.2.3.21</v>
          </cell>
          <cell r="K248" t="str">
            <v>Dialisis</v>
          </cell>
          <cell r="L248">
            <v>1</v>
          </cell>
          <cell r="M248">
            <v>46031</v>
          </cell>
          <cell r="N248">
            <v>46034</v>
          </cell>
          <cell r="O248">
            <v>1</v>
          </cell>
          <cell r="P248">
            <v>46035</v>
          </cell>
          <cell r="Q248">
            <v>1</v>
          </cell>
          <cell r="R248" t="str">
            <v>NA</v>
          </cell>
          <cell r="S248">
            <v>5</v>
          </cell>
        </row>
        <row r="249">
          <cell r="B249" t="str">
            <v>EMMC</v>
          </cell>
          <cell r="C249" t="str">
            <v>HSLB12292</v>
          </cell>
          <cell r="D249">
            <v>112062</v>
          </cell>
          <cell r="E249" t="str">
            <v>Mesa Lateral Rodable</v>
          </cell>
          <cell r="F249" t="str">
            <v>NO</v>
          </cell>
          <cell r="G249" t="str">
            <v>NO</v>
          </cell>
          <cell r="H249" t="str">
            <v>PUESTO DIALISADOS CRÓNICOS</v>
          </cell>
          <cell r="I249">
            <v>6</v>
          </cell>
          <cell r="J249" t="str">
            <v>C.2.3.13.1</v>
          </cell>
          <cell r="K249" t="str">
            <v>Dialisis</v>
          </cell>
          <cell r="L249">
            <v>1</v>
          </cell>
          <cell r="M249">
            <v>46031</v>
          </cell>
          <cell r="N249">
            <v>46034</v>
          </cell>
          <cell r="O249">
            <v>1</v>
          </cell>
          <cell r="P249">
            <v>46035</v>
          </cell>
          <cell r="Q249">
            <v>1</v>
          </cell>
          <cell r="R249" t="str">
            <v>NA</v>
          </cell>
          <cell r="S249">
            <v>5</v>
          </cell>
        </row>
        <row r="250">
          <cell r="B250" t="str">
            <v>EMMC</v>
          </cell>
          <cell r="C250" t="str">
            <v>HSLB12293</v>
          </cell>
          <cell r="D250">
            <v>112062</v>
          </cell>
          <cell r="E250" t="str">
            <v>Mesa Lateral Rodable</v>
          </cell>
          <cell r="F250" t="str">
            <v>NO</v>
          </cell>
          <cell r="G250" t="str">
            <v>NO</v>
          </cell>
          <cell r="H250" t="str">
            <v>PUESTO DIALISADOS CRÓNICOS</v>
          </cell>
          <cell r="I250">
            <v>6</v>
          </cell>
          <cell r="J250" t="str">
            <v>C.2.3.13.2</v>
          </cell>
          <cell r="K250" t="str">
            <v>Dialisis</v>
          </cell>
          <cell r="L250">
            <v>1</v>
          </cell>
          <cell r="M250">
            <v>46031</v>
          </cell>
          <cell r="N250">
            <v>46034</v>
          </cell>
          <cell r="O250">
            <v>1</v>
          </cell>
          <cell r="P250">
            <v>46035</v>
          </cell>
          <cell r="Q250">
            <v>1</v>
          </cell>
          <cell r="R250" t="str">
            <v>NA</v>
          </cell>
          <cell r="S250">
            <v>5</v>
          </cell>
        </row>
        <row r="251">
          <cell r="B251" t="str">
            <v>EMMC</v>
          </cell>
          <cell r="C251" t="str">
            <v>HSLB12294</v>
          </cell>
          <cell r="D251">
            <v>112062</v>
          </cell>
          <cell r="E251" t="str">
            <v>Mesa Lateral Rodable</v>
          </cell>
          <cell r="F251" t="str">
            <v>NO</v>
          </cell>
          <cell r="G251" t="str">
            <v>NO</v>
          </cell>
          <cell r="H251" t="str">
            <v>PUESTO DIALISADOS CRÓNICOS</v>
          </cell>
          <cell r="I251">
            <v>5</v>
          </cell>
          <cell r="J251" t="str">
            <v>C.2.3.13.3</v>
          </cell>
          <cell r="K251" t="str">
            <v>Dialisis</v>
          </cell>
          <cell r="L251">
            <v>1</v>
          </cell>
          <cell r="M251">
            <v>46031</v>
          </cell>
          <cell r="N251">
            <v>46034</v>
          </cell>
          <cell r="O251">
            <v>1</v>
          </cell>
          <cell r="P251">
            <v>46035</v>
          </cell>
          <cell r="Q251">
            <v>1</v>
          </cell>
          <cell r="R251" t="str">
            <v>NA</v>
          </cell>
          <cell r="S251">
            <v>5</v>
          </cell>
        </row>
        <row r="252">
          <cell r="B252" t="str">
            <v>EMMC</v>
          </cell>
          <cell r="C252" t="str">
            <v>HSLB12295</v>
          </cell>
          <cell r="D252">
            <v>112062</v>
          </cell>
          <cell r="E252" t="str">
            <v>Mesa Lateral Rodable</v>
          </cell>
          <cell r="F252" t="str">
            <v>NO</v>
          </cell>
          <cell r="G252" t="str">
            <v>NO</v>
          </cell>
          <cell r="H252" t="str">
            <v>PUESTO DIALISADO AISLADOS</v>
          </cell>
          <cell r="I252">
            <v>1</v>
          </cell>
          <cell r="J252" t="str">
            <v>C.2.3.14</v>
          </cell>
          <cell r="K252" t="str">
            <v>Dialisis</v>
          </cell>
          <cell r="L252">
            <v>1</v>
          </cell>
          <cell r="M252">
            <v>46031</v>
          </cell>
          <cell r="N252">
            <v>46034</v>
          </cell>
          <cell r="O252">
            <v>1</v>
          </cell>
          <cell r="P252">
            <v>46035</v>
          </cell>
          <cell r="Q252">
            <v>1</v>
          </cell>
          <cell r="R252" t="str">
            <v>NA</v>
          </cell>
          <cell r="S252">
            <v>5</v>
          </cell>
        </row>
        <row r="253">
          <cell r="B253" t="str">
            <v>EMMC</v>
          </cell>
          <cell r="C253" t="str">
            <v>HSLB12308</v>
          </cell>
          <cell r="D253">
            <v>112063</v>
          </cell>
          <cell r="E253" t="str">
            <v>Mesa Mayo</v>
          </cell>
          <cell r="F253" t="str">
            <v>NO</v>
          </cell>
          <cell r="G253" t="str">
            <v>NO</v>
          </cell>
          <cell r="H253" t="str">
            <v>PUESTO DIALISADO AISLADOS</v>
          </cell>
          <cell r="I253">
            <v>1</v>
          </cell>
          <cell r="J253" t="str">
            <v>C.2.3.14</v>
          </cell>
          <cell r="K253" t="str">
            <v>Dialisis</v>
          </cell>
          <cell r="L253">
            <v>1</v>
          </cell>
          <cell r="M253">
            <v>46031</v>
          </cell>
          <cell r="N253">
            <v>46034</v>
          </cell>
          <cell r="O253">
            <v>1</v>
          </cell>
          <cell r="P253">
            <v>46035</v>
          </cell>
          <cell r="Q253">
            <v>1</v>
          </cell>
          <cell r="R253" t="str">
            <v>NA</v>
          </cell>
          <cell r="S253">
            <v>5</v>
          </cell>
        </row>
        <row r="254">
          <cell r="B254" t="str">
            <v>EMMC</v>
          </cell>
          <cell r="C254" t="str">
            <v>HSLB11149</v>
          </cell>
          <cell r="D254">
            <v>108002</v>
          </cell>
          <cell r="E254" t="str">
            <v>Biombo Plomado Rodable</v>
          </cell>
          <cell r="F254" t="str">
            <v>NO</v>
          </cell>
          <cell r="G254" t="str">
            <v>SI</v>
          </cell>
          <cell r="H254" t="str">
            <v>BODEGA DE EQUIPOS MEDICOS</v>
          </cell>
          <cell r="I254">
            <v>2</v>
          </cell>
          <cell r="J254" t="str">
            <v>C.5.3.23</v>
          </cell>
          <cell r="K254" t="str">
            <v>Imagenología</v>
          </cell>
          <cell r="L254">
            <v>1</v>
          </cell>
          <cell r="M254">
            <v>46003</v>
          </cell>
          <cell r="N254">
            <v>46006</v>
          </cell>
          <cell r="O254">
            <v>1</v>
          </cell>
          <cell r="P254">
            <v>46007</v>
          </cell>
          <cell r="Q254">
            <v>1</v>
          </cell>
          <cell r="R254" t="str">
            <v>NA</v>
          </cell>
          <cell r="S254">
            <v>5</v>
          </cell>
        </row>
        <row r="255">
          <cell r="B255" t="str">
            <v>EMMC</v>
          </cell>
          <cell r="C255" t="str">
            <v>HSLB12309</v>
          </cell>
          <cell r="D255">
            <v>112063</v>
          </cell>
          <cell r="E255" t="str">
            <v>Mesa Mayo</v>
          </cell>
          <cell r="F255" t="str">
            <v>NO</v>
          </cell>
          <cell r="G255" t="str">
            <v>NO</v>
          </cell>
          <cell r="H255" t="str">
            <v>SALA EDUCACIÓN PERITONEODIÁLISIS C/ BAÑO</v>
          </cell>
          <cell r="I255">
            <v>1</v>
          </cell>
          <cell r="J255" t="str">
            <v>C.2.3.20</v>
          </cell>
          <cell r="K255" t="str">
            <v>Dialisis</v>
          </cell>
          <cell r="L255">
            <v>1</v>
          </cell>
          <cell r="M255">
            <v>46031</v>
          </cell>
          <cell r="N255">
            <v>46034</v>
          </cell>
          <cell r="O255">
            <v>1</v>
          </cell>
          <cell r="P255">
            <v>46035</v>
          </cell>
          <cell r="Q255">
            <v>1</v>
          </cell>
          <cell r="R255" t="str">
            <v>NA</v>
          </cell>
          <cell r="S255">
            <v>5</v>
          </cell>
        </row>
        <row r="256">
          <cell r="B256" t="str">
            <v>EMMC</v>
          </cell>
          <cell r="C256" t="str">
            <v>HSLB12310</v>
          </cell>
          <cell r="D256">
            <v>112063</v>
          </cell>
          <cell r="E256" t="str">
            <v>Mesa Mayo</v>
          </cell>
          <cell r="F256" t="str">
            <v>NO</v>
          </cell>
          <cell r="G256" t="str">
            <v>NO</v>
          </cell>
          <cell r="H256" t="str">
            <v xml:space="preserve">SALA PROCEDIMIENTOS </v>
          </cell>
          <cell r="I256">
            <v>1</v>
          </cell>
          <cell r="J256" t="str">
            <v>C.2.3.21</v>
          </cell>
          <cell r="K256" t="str">
            <v>Dialisis</v>
          </cell>
          <cell r="L256">
            <v>1</v>
          </cell>
          <cell r="M256">
            <v>46031</v>
          </cell>
          <cell r="N256">
            <v>46034</v>
          </cell>
          <cell r="O256">
            <v>1</v>
          </cell>
          <cell r="P256">
            <v>46035</v>
          </cell>
          <cell r="Q256">
            <v>1</v>
          </cell>
          <cell r="R256" t="str">
            <v>NA</v>
          </cell>
          <cell r="S256">
            <v>5</v>
          </cell>
        </row>
        <row r="257">
          <cell r="B257" t="str">
            <v>EMMC</v>
          </cell>
          <cell r="C257" t="str">
            <v>HSLB10199</v>
          </cell>
          <cell r="D257">
            <v>101053</v>
          </cell>
          <cell r="E257" t="str">
            <v>Otooftalmoscopio Mural</v>
          </cell>
          <cell r="F257" t="str">
            <v>NO</v>
          </cell>
          <cell r="G257" t="str">
            <v>NO</v>
          </cell>
          <cell r="H257" t="str">
            <v>BOX EVALUACIÓN</v>
          </cell>
          <cell r="I257">
            <v>1</v>
          </cell>
          <cell r="J257" t="str">
            <v>C.2.3.12</v>
          </cell>
          <cell r="K257" t="str">
            <v>Dialisis</v>
          </cell>
          <cell r="L257">
            <v>1</v>
          </cell>
          <cell r="M257">
            <v>46031</v>
          </cell>
          <cell r="N257">
            <v>46034</v>
          </cell>
          <cell r="O257">
            <v>1</v>
          </cell>
          <cell r="P257">
            <v>46035</v>
          </cell>
          <cell r="Q257">
            <v>1</v>
          </cell>
          <cell r="R257" t="str">
            <v>NA</v>
          </cell>
          <cell r="S257">
            <v>5</v>
          </cell>
        </row>
        <row r="258">
          <cell r="B258" t="str">
            <v>EMMC</v>
          </cell>
          <cell r="C258" t="str">
            <v>HSLB10200</v>
          </cell>
          <cell r="D258">
            <v>101053</v>
          </cell>
          <cell r="E258" t="str">
            <v>Otooftalmoscopio Mural</v>
          </cell>
          <cell r="F258" t="str">
            <v>NO</v>
          </cell>
          <cell r="G258" t="str">
            <v>NO</v>
          </cell>
          <cell r="H258" t="str">
            <v>BOX MÉDICO</v>
          </cell>
          <cell r="I258">
            <v>1</v>
          </cell>
          <cell r="J258" t="str">
            <v>C.2.4.5</v>
          </cell>
          <cell r="K258" t="str">
            <v>Imagenología</v>
          </cell>
          <cell r="L258">
            <v>1</v>
          </cell>
          <cell r="M258">
            <v>46008</v>
          </cell>
          <cell r="N258">
            <v>46009</v>
          </cell>
          <cell r="O258">
            <v>1</v>
          </cell>
          <cell r="P258">
            <v>46010</v>
          </cell>
          <cell r="Q258">
            <v>1</v>
          </cell>
          <cell r="R258" t="str">
            <v>NA</v>
          </cell>
          <cell r="S258">
            <v>5</v>
          </cell>
        </row>
        <row r="259">
          <cell r="B259" t="str">
            <v>EMMC</v>
          </cell>
          <cell r="C259" t="str">
            <v>HSLB10217</v>
          </cell>
          <cell r="D259">
            <v>101054</v>
          </cell>
          <cell r="E259" t="str">
            <v>Otooftalmoscopio Portátil</v>
          </cell>
          <cell r="F259" t="str">
            <v>NO</v>
          </cell>
          <cell r="G259" t="str">
            <v>NO</v>
          </cell>
          <cell r="H259" t="str">
            <v>ESTACIÓN DE ENFERMERÍA</v>
          </cell>
          <cell r="I259">
            <v>1</v>
          </cell>
          <cell r="J259" t="str">
            <v>C.2.3.15.1</v>
          </cell>
          <cell r="K259" t="str">
            <v>Dialisis</v>
          </cell>
          <cell r="L259">
            <v>1</v>
          </cell>
          <cell r="M259">
            <v>46031</v>
          </cell>
          <cell r="N259">
            <v>46034</v>
          </cell>
          <cell r="O259">
            <v>1</v>
          </cell>
          <cell r="P259">
            <v>46035</v>
          </cell>
          <cell r="Q259">
            <v>1</v>
          </cell>
          <cell r="R259" t="str">
            <v>NA</v>
          </cell>
          <cell r="S259">
            <v>5</v>
          </cell>
        </row>
        <row r="260">
          <cell r="B260" t="str">
            <v>EMMC</v>
          </cell>
          <cell r="C260" t="str">
            <v>HSLB10218</v>
          </cell>
          <cell r="D260">
            <v>101054</v>
          </cell>
          <cell r="E260" t="str">
            <v>Otooftalmoscopio Portátil</v>
          </cell>
          <cell r="F260" t="str">
            <v>NO</v>
          </cell>
          <cell r="G260" t="str">
            <v>NO</v>
          </cell>
          <cell r="H260" t="str">
            <v>ESTACIÓN DE ENFERMERÍA</v>
          </cell>
          <cell r="I260">
            <v>1</v>
          </cell>
          <cell r="J260" t="str">
            <v>C.2.3.15.2</v>
          </cell>
          <cell r="K260" t="str">
            <v>Dialisis</v>
          </cell>
          <cell r="L260">
            <v>1</v>
          </cell>
          <cell r="M260">
            <v>46031</v>
          </cell>
          <cell r="N260">
            <v>46034</v>
          </cell>
          <cell r="O260">
            <v>1</v>
          </cell>
          <cell r="P260">
            <v>46035</v>
          </cell>
          <cell r="Q260">
            <v>1</v>
          </cell>
          <cell r="R260" t="str">
            <v>NA</v>
          </cell>
          <cell r="S260">
            <v>5</v>
          </cell>
        </row>
        <row r="261">
          <cell r="B261" t="str">
            <v>EMMC</v>
          </cell>
          <cell r="C261" t="str">
            <v>HSLB10219</v>
          </cell>
          <cell r="D261">
            <v>101054</v>
          </cell>
          <cell r="E261" t="str">
            <v>Otooftalmoscopio Portátil</v>
          </cell>
          <cell r="F261" t="str">
            <v>NO</v>
          </cell>
          <cell r="G261" t="str">
            <v>NO</v>
          </cell>
          <cell r="H261" t="str">
            <v>ESTACIÓN DE ENFERMERÍA</v>
          </cell>
          <cell r="I261">
            <v>1</v>
          </cell>
          <cell r="J261" t="str">
            <v>C.2.3.15.3</v>
          </cell>
          <cell r="K261" t="str">
            <v>Dialisis</v>
          </cell>
          <cell r="L261">
            <v>1</v>
          </cell>
          <cell r="M261">
            <v>46031</v>
          </cell>
          <cell r="N261">
            <v>46034</v>
          </cell>
          <cell r="O261">
            <v>1</v>
          </cell>
          <cell r="P261">
            <v>46035</v>
          </cell>
          <cell r="Q261">
            <v>1</v>
          </cell>
          <cell r="R261" t="str">
            <v>NA</v>
          </cell>
          <cell r="S261">
            <v>5</v>
          </cell>
        </row>
        <row r="262">
          <cell r="B262" t="str">
            <v>EMMC</v>
          </cell>
          <cell r="C262" t="str">
            <v>HSLB12377</v>
          </cell>
          <cell r="D262">
            <v>112068</v>
          </cell>
          <cell r="E262" t="str">
            <v>Piso Taburete Clínico</v>
          </cell>
          <cell r="F262" t="str">
            <v>NO</v>
          </cell>
          <cell r="G262" t="str">
            <v>NO</v>
          </cell>
          <cell r="H262" t="str">
            <v xml:space="preserve">SALA PROCEDIMIENTOS </v>
          </cell>
          <cell r="I262">
            <v>1</v>
          </cell>
          <cell r="J262" t="str">
            <v>C.2.3.21</v>
          </cell>
          <cell r="K262" t="str">
            <v>Dialisis</v>
          </cell>
          <cell r="L262">
            <v>1</v>
          </cell>
          <cell r="M262">
            <v>46031</v>
          </cell>
          <cell r="N262">
            <v>46034</v>
          </cell>
          <cell r="O262">
            <v>1</v>
          </cell>
          <cell r="P262">
            <v>46035</v>
          </cell>
          <cell r="Q262">
            <v>1</v>
          </cell>
          <cell r="R262" t="str">
            <v>NA</v>
          </cell>
          <cell r="S262">
            <v>5</v>
          </cell>
        </row>
        <row r="263">
          <cell r="B263" t="str">
            <v>EMMC</v>
          </cell>
          <cell r="C263" t="str">
            <v>HSLB10895</v>
          </cell>
          <cell r="D263">
            <v>106013</v>
          </cell>
          <cell r="E263" t="str">
            <v>Proyector</v>
          </cell>
          <cell r="F263" t="str">
            <v>NO</v>
          </cell>
          <cell r="G263" t="str">
            <v>NO</v>
          </cell>
          <cell r="H263" t="str">
            <v>SALA MULTIPROPÓSITO</v>
          </cell>
          <cell r="I263">
            <v>1</v>
          </cell>
          <cell r="J263" t="str">
            <v>C.2.4.17</v>
          </cell>
          <cell r="K263" t="str">
            <v>Imagenología</v>
          </cell>
          <cell r="L263">
            <v>1</v>
          </cell>
          <cell r="M263">
            <v>46008</v>
          </cell>
          <cell r="N263">
            <v>46009</v>
          </cell>
          <cell r="O263">
            <v>1</v>
          </cell>
          <cell r="P263">
            <v>46010</v>
          </cell>
          <cell r="Q263">
            <v>1</v>
          </cell>
          <cell r="R263" t="str">
            <v>NA</v>
          </cell>
          <cell r="S263">
            <v>5</v>
          </cell>
        </row>
        <row r="264">
          <cell r="B264" t="str">
            <v>EMMC</v>
          </cell>
          <cell r="C264" t="str">
            <v>HSLB12451</v>
          </cell>
          <cell r="D264">
            <v>112077</v>
          </cell>
          <cell r="E264" t="str">
            <v>Silla de Ruedas</v>
          </cell>
          <cell r="F264" t="str">
            <v>NO</v>
          </cell>
          <cell r="G264" t="str">
            <v>NO</v>
          </cell>
          <cell r="H264" t="str">
            <v>EST. CAMILLAS Y SILLAS DE RUEDAS</v>
          </cell>
          <cell r="I264">
            <v>1</v>
          </cell>
          <cell r="J264" t="str">
            <v>C.2.3.9</v>
          </cell>
          <cell r="K264" t="str">
            <v>Dialisis</v>
          </cell>
          <cell r="L264">
            <v>1</v>
          </cell>
          <cell r="M264">
            <v>46031</v>
          </cell>
          <cell r="N264">
            <v>46034</v>
          </cell>
          <cell r="O264">
            <v>1</v>
          </cell>
          <cell r="P264">
            <v>46035</v>
          </cell>
          <cell r="Q264">
            <v>1</v>
          </cell>
          <cell r="R264" t="str">
            <v>NA</v>
          </cell>
          <cell r="S264">
            <v>5</v>
          </cell>
        </row>
        <row r="265">
          <cell r="B265" t="str">
            <v>EMMC</v>
          </cell>
          <cell r="C265" t="str">
            <v>HSLB12501</v>
          </cell>
          <cell r="D265">
            <v>112089</v>
          </cell>
          <cell r="E265" t="str">
            <v>Soporte Universal</v>
          </cell>
          <cell r="F265" t="str">
            <v>NO</v>
          </cell>
          <cell r="G265" t="str">
            <v>NO</v>
          </cell>
          <cell r="H265" t="str">
            <v>PUESTO DIALISADOS CRÓNICOS</v>
          </cell>
          <cell r="I265">
            <v>1</v>
          </cell>
          <cell r="J265" t="str">
            <v>C.2.3.13.1</v>
          </cell>
          <cell r="K265" t="str">
            <v>Dialisis</v>
          </cell>
          <cell r="L265">
            <v>1</v>
          </cell>
          <cell r="M265">
            <v>46031</v>
          </cell>
          <cell r="N265">
            <v>46034</v>
          </cell>
          <cell r="O265">
            <v>1</v>
          </cell>
          <cell r="P265">
            <v>46035</v>
          </cell>
          <cell r="Q265">
            <v>1</v>
          </cell>
          <cell r="R265" t="str">
            <v>NA</v>
          </cell>
          <cell r="S265">
            <v>5</v>
          </cell>
        </row>
        <row r="266">
          <cell r="B266" t="str">
            <v>EMMC</v>
          </cell>
          <cell r="C266" t="str">
            <v>HSLB12502</v>
          </cell>
          <cell r="D266">
            <v>112089</v>
          </cell>
          <cell r="E266" t="str">
            <v>Soporte Universal</v>
          </cell>
          <cell r="F266" t="str">
            <v>NO</v>
          </cell>
          <cell r="G266" t="str">
            <v>NO</v>
          </cell>
          <cell r="H266" t="str">
            <v>PUESTO DIALISADOS CRÓNICOS</v>
          </cell>
          <cell r="I266">
            <v>1</v>
          </cell>
          <cell r="J266" t="str">
            <v>C.2.3.13.2</v>
          </cell>
          <cell r="K266" t="str">
            <v>Dialisis</v>
          </cell>
          <cell r="L266">
            <v>1</v>
          </cell>
          <cell r="M266">
            <v>46031</v>
          </cell>
          <cell r="N266">
            <v>46034</v>
          </cell>
          <cell r="O266">
            <v>1</v>
          </cell>
          <cell r="P266">
            <v>46035</v>
          </cell>
          <cell r="Q266">
            <v>1</v>
          </cell>
          <cell r="R266" t="str">
            <v>NA</v>
          </cell>
          <cell r="S266">
            <v>5</v>
          </cell>
        </row>
        <row r="267">
          <cell r="B267" t="str">
            <v>EMMC</v>
          </cell>
          <cell r="C267" t="str">
            <v>HSLB12503</v>
          </cell>
          <cell r="D267">
            <v>112089</v>
          </cell>
          <cell r="E267" t="str">
            <v>Soporte Universal</v>
          </cell>
          <cell r="F267" t="str">
            <v>NO</v>
          </cell>
          <cell r="G267" t="str">
            <v>NO</v>
          </cell>
          <cell r="H267" t="str">
            <v>PUESTO DIALISADOS CRÓNICOS</v>
          </cell>
          <cell r="I267">
            <v>1</v>
          </cell>
          <cell r="J267" t="str">
            <v>C.2.3.13.3</v>
          </cell>
          <cell r="K267" t="str">
            <v>Dialisis</v>
          </cell>
          <cell r="L267">
            <v>1</v>
          </cell>
          <cell r="M267">
            <v>46031</v>
          </cell>
          <cell r="N267">
            <v>46034</v>
          </cell>
          <cell r="O267">
            <v>1</v>
          </cell>
          <cell r="P267">
            <v>46035</v>
          </cell>
          <cell r="Q267">
            <v>1</v>
          </cell>
          <cell r="R267" t="str">
            <v>NA</v>
          </cell>
          <cell r="S267">
            <v>5</v>
          </cell>
        </row>
        <row r="268">
          <cell r="B268" t="str">
            <v>EMMC</v>
          </cell>
          <cell r="C268" t="str">
            <v>HSLB12504</v>
          </cell>
          <cell r="D268">
            <v>112089</v>
          </cell>
          <cell r="E268" t="str">
            <v>Soporte Universal</v>
          </cell>
          <cell r="F268" t="str">
            <v>NO</v>
          </cell>
          <cell r="G268" t="str">
            <v>NO</v>
          </cell>
          <cell r="H268" t="str">
            <v>PUESTO DIALISADO AISLADOS</v>
          </cell>
          <cell r="I268">
            <v>1</v>
          </cell>
          <cell r="J268" t="str">
            <v>C.2.3.14</v>
          </cell>
          <cell r="K268" t="str">
            <v>Dialisis</v>
          </cell>
          <cell r="L268">
            <v>1</v>
          </cell>
          <cell r="M268">
            <v>46031</v>
          </cell>
          <cell r="N268">
            <v>46034</v>
          </cell>
          <cell r="O268">
            <v>1</v>
          </cell>
          <cell r="P268">
            <v>46035</v>
          </cell>
          <cell r="Q268">
            <v>1</v>
          </cell>
          <cell r="R268" t="str">
            <v>NA</v>
          </cell>
          <cell r="S268">
            <v>5</v>
          </cell>
        </row>
        <row r="269">
          <cell r="B269" t="str">
            <v>EMMC</v>
          </cell>
          <cell r="C269" t="str">
            <v>HSLB12505</v>
          </cell>
          <cell r="D269">
            <v>112089</v>
          </cell>
          <cell r="E269" t="str">
            <v>Soporte Universal</v>
          </cell>
          <cell r="F269" t="str">
            <v>NO</v>
          </cell>
          <cell r="G269" t="str">
            <v>NO</v>
          </cell>
          <cell r="H269" t="str">
            <v xml:space="preserve">SALA PROCEDIMIENTOS </v>
          </cell>
          <cell r="I269">
            <v>1</v>
          </cell>
          <cell r="J269" t="str">
            <v>C.2.3.21</v>
          </cell>
          <cell r="K269" t="str">
            <v>Dialisis</v>
          </cell>
          <cell r="L269">
            <v>1</v>
          </cell>
          <cell r="M269">
            <v>46031</v>
          </cell>
          <cell r="N269">
            <v>46034</v>
          </cell>
          <cell r="O269">
            <v>1</v>
          </cell>
          <cell r="P269">
            <v>46035</v>
          </cell>
          <cell r="Q269">
            <v>1</v>
          </cell>
          <cell r="R269" t="str">
            <v>NA</v>
          </cell>
          <cell r="S269">
            <v>5</v>
          </cell>
        </row>
        <row r="270">
          <cell r="B270" t="str">
            <v>EMMC</v>
          </cell>
          <cell r="C270" t="str">
            <v>HSLB11048</v>
          </cell>
          <cell r="D270">
            <v>106020</v>
          </cell>
          <cell r="E270" t="str">
            <v>Televisor 42'</v>
          </cell>
          <cell r="F270" t="str">
            <v>NO</v>
          </cell>
          <cell r="G270" t="str">
            <v>NO</v>
          </cell>
          <cell r="H270" t="str">
            <v>PUESTO DIALISADOS CRÓNICOS</v>
          </cell>
          <cell r="I270">
            <v>2</v>
          </cell>
          <cell r="J270" t="str">
            <v>C.2.3.13.1</v>
          </cell>
          <cell r="K270" t="str">
            <v>Dialisis</v>
          </cell>
          <cell r="L270">
            <v>1</v>
          </cell>
          <cell r="M270">
            <v>46031</v>
          </cell>
          <cell r="N270">
            <v>46034</v>
          </cell>
          <cell r="O270">
            <v>1</v>
          </cell>
          <cell r="P270">
            <v>46035</v>
          </cell>
          <cell r="Q270">
            <v>1</v>
          </cell>
          <cell r="R270" t="str">
            <v>NA</v>
          </cell>
          <cell r="S270">
            <v>5</v>
          </cell>
        </row>
        <row r="271">
          <cell r="B271" t="str">
            <v>EMMC</v>
          </cell>
          <cell r="C271" t="str">
            <v>HSLB11049</v>
          </cell>
          <cell r="D271">
            <v>106020</v>
          </cell>
          <cell r="E271" t="str">
            <v>Televisor 42'</v>
          </cell>
          <cell r="F271" t="str">
            <v>NO</v>
          </cell>
          <cell r="G271" t="str">
            <v>NO</v>
          </cell>
          <cell r="H271" t="str">
            <v>PUESTO DIALISADOS CRÓNICOS</v>
          </cell>
          <cell r="I271">
            <v>2</v>
          </cell>
          <cell r="J271" t="str">
            <v>C.2.3.13.2</v>
          </cell>
          <cell r="K271" t="str">
            <v>Dialisis</v>
          </cell>
          <cell r="L271">
            <v>1</v>
          </cell>
          <cell r="M271">
            <v>46031</v>
          </cell>
          <cell r="N271">
            <v>46034</v>
          </cell>
          <cell r="O271">
            <v>1</v>
          </cell>
          <cell r="P271">
            <v>46035</v>
          </cell>
          <cell r="Q271">
            <v>1</v>
          </cell>
          <cell r="R271" t="str">
            <v>NA</v>
          </cell>
          <cell r="S271">
            <v>5</v>
          </cell>
        </row>
        <row r="272">
          <cell r="B272" t="str">
            <v>EMMC</v>
          </cell>
          <cell r="C272" t="str">
            <v>HSLB11050</v>
          </cell>
          <cell r="D272">
            <v>106020</v>
          </cell>
          <cell r="E272" t="str">
            <v>Televisor 42'</v>
          </cell>
          <cell r="F272" t="str">
            <v>NO</v>
          </cell>
          <cell r="G272" t="str">
            <v>NO</v>
          </cell>
          <cell r="H272" t="str">
            <v>PUESTO DIALISADOS CRÓNICOS</v>
          </cell>
          <cell r="I272">
            <v>2</v>
          </cell>
          <cell r="J272" t="str">
            <v>C.2.3.13.3</v>
          </cell>
          <cell r="K272" t="str">
            <v>Dialisis</v>
          </cell>
          <cell r="L272">
            <v>1</v>
          </cell>
          <cell r="M272">
            <v>46031</v>
          </cell>
          <cell r="N272">
            <v>46034</v>
          </cell>
          <cell r="O272">
            <v>1</v>
          </cell>
          <cell r="P272">
            <v>46035</v>
          </cell>
          <cell r="Q272">
            <v>1</v>
          </cell>
          <cell r="R272" t="str">
            <v>NA</v>
          </cell>
          <cell r="S272">
            <v>5</v>
          </cell>
        </row>
        <row r="273">
          <cell r="B273" t="str">
            <v>EMMC</v>
          </cell>
          <cell r="C273" t="str">
            <v>HSLB11051</v>
          </cell>
          <cell r="D273">
            <v>106020</v>
          </cell>
          <cell r="E273" t="str">
            <v>Televisor 42'</v>
          </cell>
          <cell r="F273" t="str">
            <v>NO</v>
          </cell>
          <cell r="G273" t="str">
            <v>NO</v>
          </cell>
          <cell r="H273" t="str">
            <v>PUESTO DIALISADO AISLADOS</v>
          </cell>
          <cell r="I273">
            <v>1</v>
          </cell>
          <cell r="J273" t="str">
            <v>C.2.3.14</v>
          </cell>
          <cell r="K273" t="str">
            <v>Dialisis</v>
          </cell>
          <cell r="L273">
            <v>1</v>
          </cell>
          <cell r="M273">
            <v>46031</v>
          </cell>
          <cell r="N273">
            <v>46034</v>
          </cell>
          <cell r="O273">
            <v>1</v>
          </cell>
          <cell r="P273">
            <v>46035</v>
          </cell>
          <cell r="Q273">
            <v>1</v>
          </cell>
          <cell r="R273" t="str">
            <v>NA</v>
          </cell>
          <cell r="S273">
            <v>5</v>
          </cell>
        </row>
        <row r="274">
          <cell r="B274" t="str">
            <v>EMMC</v>
          </cell>
          <cell r="C274" t="str">
            <v>HSLB11052</v>
          </cell>
          <cell r="D274">
            <v>106020</v>
          </cell>
          <cell r="E274" t="str">
            <v>Televisor 42'</v>
          </cell>
          <cell r="F274" t="str">
            <v>NO</v>
          </cell>
          <cell r="G274" t="str">
            <v>NO</v>
          </cell>
          <cell r="H274" t="str">
            <v>SALA DE ESPERA DIÁLISIS</v>
          </cell>
          <cell r="I274">
            <v>1</v>
          </cell>
          <cell r="J274" t="str">
            <v>C.2.3.7</v>
          </cell>
          <cell r="K274" t="str">
            <v>Dialisis</v>
          </cell>
          <cell r="L274">
            <v>1</v>
          </cell>
          <cell r="M274">
            <v>46031</v>
          </cell>
          <cell r="N274">
            <v>46034</v>
          </cell>
          <cell r="O274">
            <v>1</v>
          </cell>
          <cell r="P274">
            <v>46035</v>
          </cell>
          <cell r="Q274">
            <v>1</v>
          </cell>
          <cell r="R274" t="str">
            <v>NA</v>
          </cell>
          <cell r="S274">
            <v>5</v>
          </cell>
        </row>
        <row r="275">
          <cell r="B275" t="str">
            <v>EMMC</v>
          </cell>
          <cell r="C275" t="str">
            <v>HSLB11119</v>
          </cell>
          <cell r="D275">
            <v>106023</v>
          </cell>
          <cell r="E275" t="str">
            <v>Urinarios</v>
          </cell>
          <cell r="F275" t="str">
            <v>NO</v>
          </cell>
          <cell r="G275" t="str">
            <v>NO</v>
          </cell>
          <cell r="H275" t="str">
            <v>LAVACHATA MANUAL</v>
          </cell>
          <cell r="I275">
            <v>3</v>
          </cell>
          <cell r="J275" t="str">
            <v>C.2.3.30</v>
          </cell>
          <cell r="K275" t="str">
            <v>Dialisis</v>
          </cell>
          <cell r="L275">
            <v>1</v>
          </cell>
          <cell r="M275">
            <v>46031</v>
          </cell>
          <cell r="N275">
            <v>46034</v>
          </cell>
          <cell r="O275">
            <v>1</v>
          </cell>
          <cell r="P275">
            <v>46035</v>
          </cell>
          <cell r="Q275">
            <v>1</v>
          </cell>
          <cell r="R275" t="str">
            <v>NA</v>
          </cell>
          <cell r="S275">
            <v>5</v>
          </cell>
        </row>
        <row r="276">
          <cell r="B276" t="str">
            <v>EMMC</v>
          </cell>
          <cell r="C276" t="str">
            <v>HSLB11665</v>
          </cell>
          <cell r="D276">
            <v>112009</v>
          </cell>
          <cell r="E276" t="str">
            <v>Camilla Examen Ajustable en Altura</v>
          </cell>
          <cell r="F276" t="str">
            <v>NO</v>
          </cell>
          <cell r="G276" t="str">
            <v>NO</v>
          </cell>
          <cell r="H276" t="str">
            <v>BOX MÉDICO</v>
          </cell>
          <cell r="I276">
            <v>1</v>
          </cell>
          <cell r="J276" t="str">
            <v>C.2.4.5</v>
          </cell>
          <cell r="K276" t="str">
            <v>Imagenología</v>
          </cell>
          <cell r="L276">
            <v>1</v>
          </cell>
          <cell r="M276">
            <v>46008</v>
          </cell>
          <cell r="N276">
            <v>46009</v>
          </cell>
          <cell r="O276">
            <v>1</v>
          </cell>
          <cell r="P276">
            <v>46010</v>
          </cell>
          <cell r="Q276">
            <v>1</v>
          </cell>
          <cell r="R276" t="str">
            <v>NA</v>
          </cell>
          <cell r="S276">
            <v>5</v>
          </cell>
        </row>
        <row r="277">
          <cell r="B277" t="str">
            <v>EMMC</v>
          </cell>
          <cell r="C277" t="str">
            <v>HSLB11666</v>
          </cell>
          <cell r="D277">
            <v>112009</v>
          </cell>
          <cell r="E277" t="str">
            <v>Camilla Examen Ajustable en Altura</v>
          </cell>
          <cell r="F277" t="str">
            <v>NO</v>
          </cell>
          <cell r="G277" t="str">
            <v>NO</v>
          </cell>
          <cell r="H277" t="str">
            <v>BOX MULTIPROPÓSITO (2)</v>
          </cell>
          <cell r="I277">
            <v>1</v>
          </cell>
          <cell r="J277" t="str">
            <v>C.2.4.6.2</v>
          </cell>
          <cell r="K277" t="str">
            <v>Imagenología</v>
          </cell>
          <cell r="L277">
            <v>1</v>
          </cell>
          <cell r="M277">
            <v>46008</v>
          </cell>
          <cell r="N277">
            <v>46009</v>
          </cell>
          <cell r="O277">
            <v>1</v>
          </cell>
          <cell r="P277">
            <v>46010</v>
          </cell>
          <cell r="Q277">
            <v>1</v>
          </cell>
          <cell r="R277" t="str">
            <v>NA</v>
          </cell>
          <cell r="S277">
            <v>5</v>
          </cell>
        </row>
        <row r="278">
          <cell r="B278" t="str">
            <v>EMMC</v>
          </cell>
          <cell r="C278" t="str">
            <v>HSLB11704</v>
          </cell>
          <cell r="D278">
            <v>112016</v>
          </cell>
          <cell r="E278" t="str">
            <v>Camilla Transporte Paciente</v>
          </cell>
          <cell r="F278" t="str">
            <v>NO</v>
          </cell>
          <cell r="G278" t="str">
            <v>NO</v>
          </cell>
          <cell r="H278" t="str">
            <v>SALA DE PROCEDIMIENTOS</v>
          </cell>
          <cell r="I278">
            <v>1</v>
          </cell>
          <cell r="J278" t="str">
            <v>C.2.4.8</v>
          </cell>
          <cell r="K278" t="str">
            <v>Imagenología</v>
          </cell>
          <cell r="L278">
            <v>1</v>
          </cell>
          <cell r="M278">
            <v>46008</v>
          </cell>
          <cell r="N278">
            <v>46009</v>
          </cell>
          <cell r="O278">
            <v>1</v>
          </cell>
          <cell r="P278">
            <v>46010</v>
          </cell>
          <cell r="Q278">
            <v>1</v>
          </cell>
          <cell r="R278" t="str">
            <v>NA</v>
          </cell>
          <cell r="S278">
            <v>5</v>
          </cell>
        </row>
        <row r="279">
          <cell r="B279" t="str">
            <v>EMMC</v>
          </cell>
          <cell r="C279" t="str">
            <v>HSLB11745</v>
          </cell>
          <cell r="D279">
            <v>112016</v>
          </cell>
          <cell r="E279" t="str">
            <v>Camilla Transporte Paciente</v>
          </cell>
          <cell r="F279" t="str">
            <v>NO</v>
          </cell>
          <cell r="G279" t="str">
            <v>NO</v>
          </cell>
          <cell r="H279" t="str">
            <v>SALA ECOTOMOGRAFO GINECO-OBSTETRICO (EQUIPO/VESTIDOR)</v>
          </cell>
          <cell r="I279">
            <v>1</v>
          </cell>
          <cell r="J279" t="str">
            <v>C.5.3.8</v>
          </cell>
          <cell r="K279" t="str">
            <v>Imagenología</v>
          </cell>
          <cell r="L279">
            <v>1</v>
          </cell>
          <cell r="M279">
            <v>46008</v>
          </cell>
          <cell r="N279">
            <v>46009</v>
          </cell>
          <cell r="O279">
            <v>1</v>
          </cell>
          <cell r="P279">
            <v>46010</v>
          </cell>
          <cell r="Q279">
            <v>1</v>
          </cell>
          <cell r="R279" t="str">
            <v>NA</v>
          </cell>
          <cell r="S279">
            <v>5</v>
          </cell>
        </row>
        <row r="280">
          <cell r="B280" t="str">
            <v>EMMC</v>
          </cell>
          <cell r="C280" t="str">
            <v>HSLB11746</v>
          </cell>
          <cell r="D280">
            <v>112016</v>
          </cell>
          <cell r="E280" t="str">
            <v>Camilla Transporte Paciente</v>
          </cell>
          <cell r="F280" t="str">
            <v>NO</v>
          </cell>
          <cell r="G280" t="str">
            <v>NO</v>
          </cell>
          <cell r="H280" t="str">
            <v>SALA ECOTOMOGRAFO INDIFERENCIADO (EQUIPO/VESTIDOR)</v>
          </cell>
          <cell r="I280">
            <v>2</v>
          </cell>
          <cell r="J280" t="str">
            <v>C.5.3.9.1</v>
          </cell>
          <cell r="K280" t="str">
            <v>Imagenología</v>
          </cell>
          <cell r="L280">
            <v>1</v>
          </cell>
          <cell r="M280">
            <v>46008</v>
          </cell>
          <cell r="N280">
            <v>46009</v>
          </cell>
          <cell r="O280">
            <v>1</v>
          </cell>
          <cell r="P280">
            <v>46010</v>
          </cell>
          <cell r="Q280">
            <v>1</v>
          </cell>
          <cell r="R280" t="str">
            <v>NA</v>
          </cell>
          <cell r="S280">
            <v>5</v>
          </cell>
        </row>
        <row r="281">
          <cell r="B281" t="str">
            <v>EMMC</v>
          </cell>
          <cell r="C281" t="str">
            <v>HSLB11747</v>
          </cell>
          <cell r="D281">
            <v>112016</v>
          </cell>
          <cell r="E281" t="str">
            <v>Camilla Transporte Paciente</v>
          </cell>
          <cell r="F281" t="str">
            <v>NO</v>
          </cell>
          <cell r="G281" t="str">
            <v>NO</v>
          </cell>
          <cell r="H281" t="str">
            <v>SALA ECOTOMOGRAFO INDIFERENCIADO (EQUIPO/VESTIDOR)</v>
          </cell>
          <cell r="I281">
            <v>2</v>
          </cell>
          <cell r="J281" t="str">
            <v>C.5.3.9.2</v>
          </cell>
          <cell r="K281" t="str">
            <v>Imagenología</v>
          </cell>
          <cell r="L281">
            <v>1</v>
          </cell>
          <cell r="M281">
            <v>46008</v>
          </cell>
          <cell r="N281">
            <v>46009</v>
          </cell>
          <cell r="O281">
            <v>1</v>
          </cell>
          <cell r="P281">
            <v>46010</v>
          </cell>
          <cell r="Q281">
            <v>1</v>
          </cell>
          <cell r="R281" t="str">
            <v>NA</v>
          </cell>
          <cell r="S281">
            <v>5</v>
          </cell>
        </row>
        <row r="282">
          <cell r="B282" t="str">
            <v>EMMC</v>
          </cell>
          <cell r="C282" t="str">
            <v>HSLB10419</v>
          </cell>
          <cell r="D282">
            <v>103048</v>
          </cell>
          <cell r="E282" t="str">
            <v>Refrigerador Doméstico</v>
          </cell>
          <cell r="F282" t="str">
            <v>NO</v>
          </cell>
          <cell r="G282" t="str">
            <v>NO</v>
          </cell>
          <cell r="H282" t="str">
            <v>ESTAR PERSONAL C/ KITCHENETTE</v>
          </cell>
          <cell r="I282">
            <v>1</v>
          </cell>
          <cell r="J282" t="str">
            <v>C.5.3.17</v>
          </cell>
          <cell r="K282" t="str">
            <v>Imagenología</v>
          </cell>
          <cell r="L282">
            <v>1</v>
          </cell>
          <cell r="M282">
            <v>46008</v>
          </cell>
          <cell r="N282">
            <v>46009</v>
          </cell>
          <cell r="O282">
            <v>1</v>
          </cell>
          <cell r="P282">
            <v>46010</v>
          </cell>
          <cell r="Q282">
            <v>1</v>
          </cell>
          <cell r="R282" t="str">
            <v>NA</v>
          </cell>
          <cell r="S282">
            <v>5</v>
          </cell>
        </row>
        <row r="283">
          <cell r="B283" t="str">
            <v>EMMC</v>
          </cell>
          <cell r="C283" t="str">
            <v>HSLB12481</v>
          </cell>
          <cell r="D283">
            <v>112083</v>
          </cell>
          <cell r="E283" t="str">
            <v>Sillón Clínico tipo 2</v>
          </cell>
          <cell r="F283" t="str">
            <v>NO</v>
          </cell>
          <cell r="G283" t="str">
            <v>SI</v>
          </cell>
          <cell r="H283" t="str">
            <v>SALA DE TRATAMIENTOS TRANSITORIOS</v>
          </cell>
          <cell r="I283">
            <v>5</v>
          </cell>
          <cell r="J283" t="str">
            <v>C.2.4.7</v>
          </cell>
          <cell r="K283" t="str">
            <v>Imagenología</v>
          </cell>
          <cell r="L283">
            <v>1</v>
          </cell>
          <cell r="M283">
            <v>46003</v>
          </cell>
          <cell r="N283">
            <v>46006</v>
          </cell>
          <cell r="O283">
            <v>1</v>
          </cell>
          <cell r="P283">
            <v>46007</v>
          </cell>
          <cell r="Q283">
            <v>1</v>
          </cell>
          <cell r="R283" t="str">
            <v>NA</v>
          </cell>
          <cell r="S283">
            <v>5</v>
          </cell>
        </row>
        <row r="284">
          <cell r="B284" t="str">
            <v>EMMC</v>
          </cell>
          <cell r="C284" t="str">
            <v>HSLB10008</v>
          </cell>
          <cell r="D284">
            <v>101005</v>
          </cell>
          <cell r="E284" t="str">
            <v>Balanza Adulto con Tallímetro</v>
          </cell>
          <cell r="F284" t="str">
            <v>NO</v>
          </cell>
          <cell r="G284" t="str">
            <v>NO</v>
          </cell>
          <cell r="H284" t="str">
            <v>BOX EVALUACIÓN</v>
          </cell>
          <cell r="I284">
            <v>1</v>
          </cell>
          <cell r="J284" t="str">
            <v>C.2.3.12</v>
          </cell>
          <cell r="K284" t="str">
            <v>Dialisis</v>
          </cell>
          <cell r="L284">
            <v>1</v>
          </cell>
          <cell r="M284">
            <v>46031</v>
          </cell>
          <cell r="N284">
            <v>46034</v>
          </cell>
          <cell r="O284">
            <v>1</v>
          </cell>
          <cell r="P284">
            <v>46035</v>
          </cell>
          <cell r="Q284">
            <v>1</v>
          </cell>
          <cell r="R284" t="str">
            <v>NA</v>
          </cell>
          <cell r="S284">
            <v>5</v>
          </cell>
        </row>
        <row r="285">
          <cell r="B285" t="str">
            <v>EMMC</v>
          </cell>
          <cell r="C285" t="str">
            <v>HSLB10012</v>
          </cell>
          <cell r="D285">
            <v>101005</v>
          </cell>
          <cell r="E285" t="str">
            <v>Balanza Adulto con Tallímetro</v>
          </cell>
          <cell r="F285" t="str">
            <v>NO</v>
          </cell>
          <cell r="G285" t="str">
            <v>NO</v>
          </cell>
          <cell r="H285" t="str">
            <v>BOX MULTIPROPÓSITO</v>
          </cell>
          <cell r="I285">
            <v>1</v>
          </cell>
          <cell r="J285" t="str">
            <v>C.2.5.3.12.1</v>
          </cell>
          <cell r="K285" t="str">
            <v>UHCIP</v>
          </cell>
          <cell r="L285">
            <v>1</v>
          </cell>
          <cell r="M285">
            <v>46024</v>
          </cell>
          <cell r="N285">
            <v>46027</v>
          </cell>
          <cell r="O285">
            <v>1</v>
          </cell>
          <cell r="P285">
            <v>46028</v>
          </cell>
          <cell r="Q285">
            <v>1</v>
          </cell>
          <cell r="R285" t="str">
            <v>NA</v>
          </cell>
          <cell r="S285">
            <v>5</v>
          </cell>
        </row>
        <row r="286">
          <cell r="B286" t="str">
            <v>EMMC</v>
          </cell>
          <cell r="C286" t="str">
            <v>HSLB10013</v>
          </cell>
          <cell r="D286">
            <v>101005</v>
          </cell>
          <cell r="E286" t="str">
            <v>Balanza Adulto con Tallímetro</v>
          </cell>
          <cell r="F286" t="str">
            <v>NO</v>
          </cell>
          <cell r="G286" t="str">
            <v>NO</v>
          </cell>
          <cell r="H286" t="str">
            <v>BOX MULTIPROPÓSITO</v>
          </cell>
          <cell r="I286">
            <v>1</v>
          </cell>
          <cell r="J286" t="str">
            <v>C.2.5.3.12.2</v>
          </cell>
          <cell r="K286" t="str">
            <v>UHCIP</v>
          </cell>
          <cell r="L286">
            <v>1</v>
          </cell>
          <cell r="M286">
            <v>46024</v>
          </cell>
          <cell r="N286">
            <v>46027</v>
          </cell>
          <cell r="O286">
            <v>1</v>
          </cell>
          <cell r="P286">
            <v>46028</v>
          </cell>
          <cell r="Q286">
            <v>1</v>
          </cell>
          <cell r="R286" t="str">
            <v>NA</v>
          </cell>
          <cell r="S286">
            <v>5</v>
          </cell>
        </row>
        <row r="287">
          <cell r="B287" t="str">
            <v>EMMC</v>
          </cell>
          <cell r="C287" t="str">
            <v>HSLB10014</v>
          </cell>
          <cell r="D287">
            <v>101005</v>
          </cell>
          <cell r="E287" t="str">
            <v>Balanza Adulto con Tallímetro</v>
          </cell>
          <cell r="F287" t="str">
            <v>NO</v>
          </cell>
          <cell r="G287" t="str">
            <v>NO</v>
          </cell>
          <cell r="H287" t="str">
            <v>SALA DE PROCEDIMIENTO</v>
          </cell>
          <cell r="I287">
            <v>1</v>
          </cell>
          <cell r="J287" t="str">
            <v>C.2.5.3.33</v>
          </cell>
          <cell r="K287" t="str">
            <v>UHCIP</v>
          </cell>
          <cell r="L287">
            <v>1</v>
          </cell>
          <cell r="M287">
            <v>46024</v>
          </cell>
          <cell r="N287">
            <v>46027</v>
          </cell>
          <cell r="O287">
            <v>1</v>
          </cell>
          <cell r="P287">
            <v>46028</v>
          </cell>
          <cell r="Q287">
            <v>1</v>
          </cell>
          <cell r="R287" t="str">
            <v>NA</v>
          </cell>
          <cell r="S287">
            <v>5</v>
          </cell>
        </row>
        <row r="288">
          <cell r="B288" t="str">
            <v>EMMC</v>
          </cell>
          <cell r="C288" t="str">
            <v>HSLB10053</v>
          </cell>
          <cell r="D288">
            <v>101011</v>
          </cell>
          <cell r="E288" t="str">
            <v>Balanza Plataforma Multifuncional</v>
          </cell>
          <cell r="F288" t="str">
            <v>NO</v>
          </cell>
          <cell r="G288" t="str">
            <v>NO</v>
          </cell>
          <cell r="H288" t="str">
            <v>PESA Y LAVADO DE FISTULA</v>
          </cell>
          <cell r="I288">
            <v>1</v>
          </cell>
          <cell r="J288" t="str">
            <v>C.2.3.40</v>
          </cell>
          <cell r="K288" t="str">
            <v>Dialisis</v>
          </cell>
          <cell r="L288">
            <v>1</v>
          </cell>
          <cell r="M288">
            <v>46031</v>
          </cell>
          <cell r="N288">
            <v>46034</v>
          </cell>
          <cell r="O288">
            <v>1</v>
          </cell>
          <cell r="P288">
            <v>46035</v>
          </cell>
          <cell r="Q288">
            <v>1</v>
          </cell>
          <cell r="R288" t="str">
            <v>NA</v>
          </cell>
          <cell r="S288">
            <v>5</v>
          </cell>
        </row>
        <row r="289">
          <cell r="B289" t="str">
            <v>EMMC</v>
          </cell>
          <cell r="C289" t="str">
            <v>HSLB10464</v>
          </cell>
          <cell r="D289">
            <v>104002</v>
          </cell>
          <cell r="E289" t="str">
            <v>BOMBA ASPIRACIÓN UNIVERSAL</v>
          </cell>
          <cell r="F289" t="str">
            <v>NO</v>
          </cell>
          <cell r="G289" t="str">
            <v>NO</v>
          </cell>
          <cell r="H289" t="str">
            <v>ESTACIÓN DE ENFERMERÍA</v>
          </cell>
          <cell r="I289">
            <v>0</v>
          </cell>
          <cell r="J289" t="str">
            <v>C.2.3.15.3</v>
          </cell>
          <cell r="K289" t="str">
            <v>Dialisis</v>
          </cell>
          <cell r="L289">
            <v>1</v>
          </cell>
          <cell r="M289">
            <v>46031</v>
          </cell>
          <cell r="N289">
            <v>46034</v>
          </cell>
          <cell r="O289">
            <v>1</v>
          </cell>
          <cell r="P289">
            <v>46035</v>
          </cell>
          <cell r="Q289">
            <v>1</v>
          </cell>
          <cell r="R289" t="str">
            <v>NA</v>
          </cell>
          <cell r="S289">
            <v>5</v>
          </cell>
        </row>
        <row r="290">
          <cell r="B290" t="str">
            <v>EMMC</v>
          </cell>
          <cell r="C290" t="str">
            <v>HSLB10465</v>
          </cell>
          <cell r="D290">
            <v>104002</v>
          </cell>
          <cell r="E290" t="str">
            <v>BOMBA ASPIRACIÓN UNIVERSAL</v>
          </cell>
          <cell r="F290" t="str">
            <v>NO</v>
          </cell>
          <cell r="G290" t="str">
            <v>NO</v>
          </cell>
          <cell r="H290" t="str">
            <v>SALA DE PROCEDIMIENTO</v>
          </cell>
          <cell r="I290">
            <v>0</v>
          </cell>
          <cell r="J290" t="str">
            <v>C.2.5.3.33</v>
          </cell>
          <cell r="K290" t="str">
            <v>UHCIP</v>
          </cell>
          <cell r="L290">
            <v>1</v>
          </cell>
          <cell r="M290">
            <v>46024</v>
          </cell>
          <cell r="N290">
            <v>46027</v>
          </cell>
          <cell r="O290">
            <v>1</v>
          </cell>
          <cell r="P290">
            <v>46028</v>
          </cell>
          <cell r="Q290">
            <v>1</v>
          </cell>
          <cell r="R290" t="str">
            <v>NA</v>
          </cell>
          <cell r="S290">
            <v>5</v>
          </cell>
        </row>
        <row r="291">
          <cell r="B291" t="str">
            <v>EMMC</v>
          </cell>
          <cell r="C291" t="str">
            <v>HSLB11456</v>
          </cell>
          <cell r="D291">
            <v>111009</v>
          </cell>
          <cell r="E291" t="str">
            <v>Bicicleta Estática</v>
          </cell>
          <cell r="F291" t="str">
            <v>NO</v>
          </cell>
          <cell r="G291" t="str">
            <v>NO</v>
          </cell>
          <cell r="H291" t="str">
            <v>PATIO CUBIERTO</v>
          </cell>
          <cell r="I291">
            <v>1</v>
          </cell>
          <cell r="J291" t="str">
            <v>C.2.5.3.22</v>
          </cell>
          <cell r="K291" t="str">
            <v>UHCIP</v>
          </cell>
          <cell r="L291">
            <v>1</v>
          </cell>
          <cell r="M291">
            <v>46024</v>
          </cell>
          <cell r="N291">
            <v>46027</v>
          </cell>
          <cell r="O291">
            <v>1</v>
          </cell>
          <cell r="P291">
            <v>46028</v>
          </cell>
          <cell r="Q291">
            <v>1</v>
          </cell>
          <cell r="R291" t="str">
            <v>NA</v>
          </cell>
          <cell r="S291">
            <v>5</v>
          </cell>
        </row>
        <row r="292">
          <cell r="B292" t="str">
            <v>EMMC</v>
          </cell>
          <cell r="C292" t="str">
            <v>HSLB11633</v>
          </cell>
          <cell r="D292">
            <v>112008</v>
          </cell>
          <cell r="E292" t="str">
            <v>Camilla Examen</v>
          </cell>
          <cell r="F292" t="str">
            <v>NO</v>
          </cell>
          <cell r="G292" t="str">
            <v>NO</v>
          </cell>
          <cell r="H292" t="str">
            <v>BOX MULTIPROPÓSITO</v>
          </cell>
          <cell r="I292">
            <v>1</v>
          </cell>
          <cell r="J292" t="str">
            <v>C.2.5.3.12.1</v>
          </cell>
          <cell r="K292" t="str">
            <v>UHCIP</v>
          </cell>
          <cell r="L292">
            <v>1</v>
          </cell>
          <cell r="M292">
            <v>46024</v>
          </cell>
          <cell r="N292">
            <v>46027</v>
          </cell>
          <cell r="O292">
            <v>1</v>
          </cell>
          <cell r="P292">
            <v>46028</v>
          </cell>
          <cell r="Q292">
            <v>1</v>
          </cell>
          <cell r="R292" t="str">
            <v>NA</v>
          </cell>
          <cell r="S292">
            <v>5</v>
          </cell>
        </row>
        <row r="293">
          <cell r="B293" t="str">
            <v>EMMC</v>
          </cell>
          <cell r="C293" t="str">
            <v>HSLB11634</v>
          </cell>
          <cell r="D293">
            <v>112008</v>
          </cell>
          <cell r="E293" t="str">
            <v>Camilla Examen</v>
          </cell>
          <cell r="F293" t="str">
            <v>NO</v>
          </cell>
          <cell r="G293" t="str">
            <v>NO</v>
          </cell>
          <cell r="H293" t="str">
            <v>BOX MULTIPROPÓSITO</v>
          </cell>
          <cell r="I293">
            <v>1</v>
          </cell>
          <cell r="J293" t="str">
            <v>C.2.5.3.12.2</v>
          </cell>
          <cell r="K293" t="str">
            <v>UHCIP</v>
          </cell>
          <cell r="L293">
            <v>1</v>
          </cell>
          <cell r="M293">
            <v>46024</v>
          </cell>
          <cell r="N293">
            <v>46027</v>
          </cell>
          <cell r="O293">
            <v>1</v>
          </cell>
          <cell r="P293">
            <v>46028</v>
          </cell>
          <cell r="Q293">
            <v>1</v>
          </cell>
          <cell r="R293" t="str">
            <v>NA</v>
          </cell>
          <cell r="S293">
            <v>5</v>
          </cell>
        </row>
        <row r="294">
          <cell r="B294" t="str">
            <v>EMMC</v>
          </cell>
          <cell r="C294" t="str">
            <v>HSLB11844</v>
          </cell>
          <cell r="D294">
            <v>112023</v>
          </cell>
          <cell r="E294" t="str">
            <v>Carro de Procedimientos</v>
          </cell>
          <cell r="F294" t="str">
            <v>NO</v>
          </cell>
          <cell r="G294" t="str">
            <v>NO</v>
          </cell>
          <cell r="H294" t="str">
            <v>SALA DE PROCEDIMIENTO</v>
          </cell>
          <cell r="I294">
            <v>1</v>
          </cell>
          <cell r="J294" t="str">
            <v>C.2.5.3.33</v>
          </cell>
          <cell r="K294" t="str">
            <v>UHCIP</v>
          </cell>
          <cell r="L294">
            <v>1</v>
          </cell>
          <cell r="M294">
            <v>46024</v>
          </cell>
          <cell r="N294">
            <v>46027</v>
          </cell>
          <cell r="O294">
            <v>1</v>
          </cell>
          <cell r="P294">
            <v>46028</v>
          </cell>
          <cell r="Q294">
            <v>1</v>
          </cell>
          <cell r="R294" t="str">
            <v>NA</v>
          </cell>
          <cell r="S294">
            <v>5</v>
          </cell>
        </row>
        <row r="295">
          <cell r="B295" t="str">
            <v>EMMC</v>
          </cell>
          <cell r="C295" t="str">
            <v>HSLB11878</v>
          </cell>
          <cell r="D295">
            <v>112025</v>
          </cell>
          <cell r="E295" t="str">
            <v>Carro Dosis Unitaria 1x15</v>
          </cell>
          <cell r="F295" t="str">
            <v>NO</v>
          </cell>
          <cell r="G295" t="str">
            <v>NO</v>
          </cell>
          <cell r="H295" t="str">
            <v>ESTACIÓN DE ENFERMERÍA</v>
          </cell>
          <cell r="I295">
            <v>1</v>
          </cell>
          <cell r="J295" t="str">
            <v>C.2.5.3.24</v>
          </cell>
          <cell r="K295" t="str">
            <v>UHCIP</v>
          </cell>
          <cell r="L295">
            <v>1</v>
          </cell>
          <cell r="M295">
            <v>46024</v>
          </cell>
          <cell r="N295">
            <v>46027</v>
          </cell>
          <cell r="O295">
            <v>1</v>
          </cell>
          <cell r="P295">
            <v>46028</v>
          </cell>
          <cell r="Q295">
            <v>1</v>
          </cell>
          <cell r="R295" t="str">
            <v>NA</v>
          </cell>
          <cell r="S295">
            <v>5</v>
          </cell>
        </row>
        <row r="296">
          <cell r="B296" t="str">
            <v>EMMC</v>
          </cell>
          <cell r="C296" t="str">
            <v>HSLB10727</v>
          </cell>
          <cell r="D296">
            <v>106002</v>
          </cell>
          <cell r="E296" t="str">
            <v>Chatas</v>
          </cell>
          <cell r="F296" t="str">
            <v>NO</v>
          </cell>
          <cell r="G296" t="str">
            <v>NO</v>
          </cell>
          <cell r="H296" t="str">
            <v>LAVACHATA MANUAL</v>
          </cell>
          <cell r="I296">
            <v>15</v>
          </cell>
          <cell r="J296" t="str">
            <v>C.2.5.3.39</v>
          </cell>
          <cell r="K296" t="str">
            <v>UHCIP</v>
          </cell>
          <cell r="L296">
            <v>1</v>
          </cell>
          <cell r="M296">
            <v>46024</v>
          </cell>
          <cell r="N296">
            <v>46027</v>
          </cell>
          <cell r="O296">
            <v>1</v>
          </cell>
          <cell r="P296">
            <v>46028</v>
          </cell>
          <cell r="Q296">
            <v>1</v>
          </cell>
          <cell r="R296" t="str">
            <v>NA</v>
          </cell>
          <cell r="S296">
            <v>5</v>
          </cell>
        </row>
        <row r="297">
          <cell r="B297" t="str">
            <v>EMMC</v>
          </cell>
          <cell r="C297" t="str">
            <v>HSLB10743</v>
          </cell>
          <cell r="D297">
            <v>106003</v>
          </cell>
          <cell r="E297" t="str">
            <v>Equipo de Música</v>
          </cell>
          <cell r="F297" t="str">
            <v>NO</v>
          </cell>
          <cell r="G297" t="str">
            <v>SI</v>
          </cell>
          <cell r="H297" t="str">
            <v>SALA MULTIUSO</v>
          </cell>
          <cell r="I297">
            <v>1</v>
          </cell>
          <cell r="J297" t="str">
            <v>C.2.5.3.17.1</v>
          </cell>
          <cell r="K297" t="str">
            <v>UHCIP</v>
          </cell>
          <cell r="L297">
            <v>1</v>
          </cell>
          <cell r="M297">
            <v>46003</v>
          </cell>
          <cell r="N297">
            <v>46006</v>
          </cell>
          <cell r="O297">
            <v>1</v>
          </cell>
          <cell r="P297">
            <v>46007</v>
          </cell>
          <cell r="Q297">
            <v>1</v>
          </cell>
          <cell r="R297" t="str">
            <v>NA</v>
          </cell>
          <cell r="S297">
            <v>5</v>
          </cell>
        </row>
        <row r="298">
          <cell r="B298" t="str">
            <v>EMMC</v>
          </cell>
          <cell r="C298" t="str">
            <v>HSLB10744</v>
          </cell>
          <cell r="D298">
            <v>106003</v>
          </cell>
          <cell r="E298" t="str">
            <v>Equipo de Música</v>
          </cell>
          <cell r="F298" t="str">
            <v>NO</v>
          </cell>
          <cell r="G298" t="str">
            <v>NO</v>
          </cell>
          <cell r="H298" t="str">
            <v>SALA MULTIUSO</v>
          </cell>
          <cell r="I298">
            <v>1</v>
          </cell>
          <cell r="J298" t="str">
            <v>C.2.5.3.17.2</v>
          </cell>
          <cell r="K298" t="str">
            <v>UHCIP</v>
          </cell>
          <cell r="L298">
            <v>1</v>
          </cell>
          <cell r="M298">
            <v>46024</v>
          </cell>
          <cell r="N298">
            <v>46027</v>
          </cell>
          <cell r="O298">
            <v>1</v>
          </cell>
          <cell r="P298">
            <v>46028</v>
          </cell>
          <cell r="Q298">
            <v>1</v>
          </cell>
          <cell r="R298" t="str">
            <v>NA</v>
          </cell>
          <cell r="S298">
            <v>5</v>
          </cell>
        </row>
        <row r="299">
          <cell r="B299" t="str">
            <v>EMMC</v>
          </cell>
          <cell r="C299" t="str">
            <v>HSLB10745</v>
          </cell>
          <cell r="D299">
            <v>106003</v>
          </cell>
          <cell r="E299" t="str">
            <v>Equipo de Música</v>
          </cell>
          <cell r="F299" t="str">
            <v>NO</v>
          </cell>
          <cell r="G299" t="str">
            <v>NO</v>
          </cell>
          <cell r="H299" t="str">
            <v>SALA ESTAR COMEDOR</v>
          </cell>
          <cell r="I299">
            <v>1</v>
          </cell>
          <cell r="J299" t="str">
            <v>C.2.5.3.18</v>
          </cell>
          <cell r="K299" t="str">
            <v>UHCIP</v>
          </cell>
          <cell r="L299">
            <v>1</v>
          </cell>
          <cell r="M299">
            <v>46024</v>
          </cell>
          <cell r="N299">
            <v>46027</v>
          </cell>
          <cell r="O299">
            <v>1</v>
          </cell>
          <cell r="P299">
            <v>46028</v>
          </cell>
          <cell r="Q299">
            <v>1</v>
          </cell>
          <cell r="R299" t="str">
            <v>NA</v>
          </cell>
          <cell r="S299">
            <v>5</v>
          </cell>
        </row>
        <row r="300">
          <cell r="B300" t="str">
            <v>EMMC</v>
          </cell>
          <cell r="C300" t="str">
            <v>HSLB12073</v>
          </cell>
          <cell r="D300">
            <v>112054</v>
          </cell>
          <cell r="E300" t="str">
            <v>Escabel</v>
          </cell>
          <cell r="F300" t="str">
            <v>NO</v>
          </cell>
          <cell r="G300" t="str">
            <v>NO</v>
          </cell>
          <cell r="H300" t="str">
            <v>BOX MULTIPROPÓSITO</v>
          </cell>
          <cell r="I300">
            <v>1</v>
          </cell>
          <cell r="J300" t="str">
            <v>C.2.5.3.12.1</v>
          </cell>
          <cell r="K300" t="str">
            <v>UHCIP</v>
          </cell>
          <cell r="L300">
            <v>1</v>
          </cell>
          <cell r="M300">
            <v>46024</v>
          </cell>
          <cell r="N300">
            <v>46027</v>
          </cell>
          <cell r="O300">
            <v>1</v>
          </cell>
          <cell r="P300">
            <v>46028</v>
          </cell>
          <cell r="Q300">
            <v>1</v>
          </cell>
          <cell r="R300" t="str">
            <v>NA</v>
          </cell>
          <cell r="S300">
            <v>5</v>
          </cell>
        </row>
        <row r="301">
          <cell r="B301" t="str">
            <v>EMMC</v>
          </cell>
          <cell r="C301" t="str">
            <v>HSLB12074</v>
          </cell>
          <cell r="D301">
            <v>112054</v>
          </cell>
          <cell r="E301" t="str">
            <v>Escabel</v>
          </cell>
          <cell r="F301" t="str">
            <v>NO</v>
          </cell>
          <cell r="G301" t="str">
            <v>NO</v>
          </cell>
          <cell r="H301" t="str">
            <v>BOX MULTIPROPÓSITO</v>
          </cell>
          <cell r="I301">
            <v>1</v>
          </cell>
          <cell r="J301" t="str">
            <v>C.2.5.3.12.2</v>
          </cell>
          <cell r="K301" t="str">
            <v>UHCIP</v>
          </cell>
          <cell r="L301">
            <v>1</v>
          </cell>
          <cell r="M301">
            <v>46024</v>
          </cell>
          <cell r="N301">
            <v>46027</v>
          </cell>
          <cell r="O301">
            <v>1</v>
          </cell>
          <cell r="P301">
            <v>46028</v>
          </cell>
          <cell r="Q301">
            <v>1</v>
          </cell>
          <cell r="R301" t="str">
            <v>NA</v>
          </cell>
          <cell r="S301">
            <v>5</v>
          </cell>
        </row>
        <row r="302">
          <cell r="B302" t="str">
            <v>EMMC</v>
          </cell>
          <cell r="C302" t="str">
            <v>HSLB12075</v>
          </cell>
          <cell r="D302">
            <v>112054</v>
          </cell>
          <cell r="E302" t="str">
            <v>Escabel</v>
          </cell>
          <cell r="F302" t="str">
            <v>NO</v>
          </cell>
          <cell r="G302" t="str">
            <v>NO</v>
          </cell>
          <cell r="H302" t="str">
            <v>SALA DE PROCEDIMIENTO</v>
          </cell>
          <cell r="I302">
            <v>1</v>
          </cell>
          <cell r="J302" t="str">
            <v>C.2.5.3.33</v>
          </cell>
          <cell r="K302" t="str">
            <v>UHCIP</v>
          </cell>
          <cell r="L302">
            <v>1</v>
          </cell>
          <cell r="M302">
            <v>46024</v>
          </cell>
          <cell r="N302">
            <v>46027</v>
          </cell>
          <cell r="O302">
            <v>1</v>
          </cell>
          <cell r="P302">
            <v>46028</v>
          </cell>
          <cell r="Q302">
            <v>1</v>
          </cell>
          <cell r="R302" t="str">
            <v>NA</v>
          </cell>
          <cell r="S302">
            <v>5</v>
          </cell>
        </row>
        <row r="303">
          <cell r="B303" t="str">
            <v>EMMC</v>
          </cell>
          <cell r="C303" t="str">
            <v>HSLB10778</v>
          </cell>
          <cell r="D303">
            <v>106007</v>
          </cell>
          <cell r="E303" t="str">
            <v>Hervidor Eléctrico</v>
          </cell>
          <cell r="F303" t="str">
            <v>NO</v>
          </cell>
          <cell r="G303" t="str">
            <v>NO</v>
          </cell>
          <cell r="H303" t="str">
            <v>ACTIVIDADES DE LA VIDA DIARIA C/KITCHENETTE</v>
          </cell>
          <cell r="I303">
            <v>1</v>
          </cell>
          <cell r="J303" t="str">
            <v>C.2.5.3.19</v>
          </cell>
          <cell r="K303" t="str">
            <v>UHCIP</v>
          </cell>
          <cell r="L303">
            <v>1</v>
          </cell>
          <cell r="M303">
            <v>46024</v>
          </cell>
          <cell r="N303">
            <v>46027</v>
          </cell>
          <cell r="O303">
            <v>1</v>
          </cell>
          <cell r="P303">
            <v>46028</v>
          </cell>
          <cell r="Q303">
            <v>1</v>
          </cell>
          <cell r="R303" t="str">
            <v>NA</v>
          </cell>
          <cell r="S303">
            <v>5</v>
          </cell>
        </row>
        <row r="304">
          <cell r="B304" t="str">
            <v>EMMC</v>
          </cell>
          <cell r="C304" t="str">
            <v>HSLB10779</v>
          </cell>
          <cell r="D304">
            <v>106007</v>
          </cell>
          <cell r="E304" t="str">
            <v>Hervidor Eléctrico</v>
          </cell>
          <cell r="F304" t="str">
            <v>NO</v>
          </cell>
          <cell r="G304" t="str">
            <v>NO</v>
          </cell>
          <cell r="H304" t="str">
            <v>ESTAR PERSONAL C/ KITCHENETTE</v>
          </cell>
          <cell r="I304">
            <v>1</v>
          </cell>
          <cell r="J304" t="str">
            <v>C.2.5.3.43</v>
          </cell>
          <cell r="K304" t="str">
            <v>UHCIP</v>
          </cell>
          <cell r="L304">
            <v>1</v>
          </cell>
          <cell r="M304">
            <v>46024</v>
          </cell>
          <cell r="N304">
            <v>46027</v>
          </cell>
          <cell r="O304">
            <v>1</v>
          </cell>
          <cell r="P304">
            <v>46028</v>
          </cell>
          <cell r="Q304">
            <v>1</v>
          </cell>
          <cell r="R304" t="str">
            <v>NA</v>
          </cell>
          <cell r="S304">
            <v>5</v>
          </cell>
        </row>
        <row r="305">
          <cell r="B305" t="str">
            <v>EMMC</v>
          </cell>
          <cell r="C305" t="str">
            <v>HSLB12313</v>
          </cell>
          <cell r="D305">
            <v>112063</v>
          </cell>
          <cell r="E305" t="str">
            <v>Mesa Mayo</v>
          </cell>
          <cell r="F305" t="str">
            <v>NO</v>
          </cell>
          <cell r="G305" t="str">
            <v>NO</v>
          </cell>
          <cell r="H305" t="str">
            <v>SALA DE PROCEDIMIENTO</v>
          </cell>
          <cell r="I305">
            <v>1</v>
          </cell>
          <cell r="J305" t="str">
            <v>C.2.5.3.33</v>
          </cell>
          <cell r="K305" t="str">
            <v>UHCIP</v>
          </cell>
          <cell r="L305">
            <v>1</v>
          </cell>
          <cell r="M305">
            <v>46024</v>
          </cell>
          <cell r="N305">
            <v>46027</v>
          </cell>
          <cell r="O305">
            <v>1</v>
          </cell>
          <cell r="P305">
            <v>46028</v>
          </cell>
          <cell r="Q305">
            <v>1</v>
          </cell>
          <cell r="R305" t="str">
            <v>NA</v>
          </cell>
          <cell r="S305">
            <v>5</v>
          </cell>
        </row>
        <row r="306">
          <cell r="B306" t="str">
            <v>EMMC</v>
          </cell>
          <cell r="C306" t="str">
            <v>HSLB10838</v>
          </cell>
          <cell r="D306">
            <v>106010</v>
          </cell>
          <cell r="E306" t="str">
            <v>Microondas</v>
          </cell>
          <cell r="F306" t="str">
            <v>NO</v>
          </cell>
          <cell r="G306" t="str">
            <v>NO</v>
          </cell>
          <cell r="H306" t="str">
            <v>ESTAR PERSONAL C/ KITCHENETTE</v>
          </cell>
          <cell r="I306">
            <v>1</v>
          </cell>
          <cell r="J306" t="str">
            <v>C.2.5.3.43</v>
          </cell>
          <cell r="K306" t="str">
            <v>UHCIP</v>
          </cell>
          <cell r="L306">
            <v>1</v>
          </cell>
          <cell r="M306">
            <v>46024</v>
          </cell>
          <cell r="N306">
            <v>46027</v>
          </cell>
          <cell r="O306">
            <v>1</v>
          </cell>
          <cell r="P306">
            <v>46028</v>
          </cell>
          <cell r="Q306">
            <v>1</v>
          </cell>
          <cell r="R306" t="str">
            <v>NA</v>
          </cell>
          <cell r="S306">
            <v>5</v>
          </cell>
        </row>
        <row r="307">
          <cell r="B307" t="str">
            <v>EMMC</v>
          </cell>
          <cell r="C307" t="str">
            <v>HSLB10882</v>
          </cell>
          <cell r="D307">
            <v>106010</v>
          </cell>
          <cell r="E307" t="str">
            <v>Microondas</v>
          </cell>
          <cell r="F307" t="str">
            <v>NO</v>
          </cell>
          <cell r="G307" t="str">
            <v>NO</v>
          </cell>
          <cell r="H307" t="str">
            <v>ACTIVIDADES DE LA VIDA DIARIA C/KITCHENETTE</v>
          </cell>
          <cell r="I307">
            <v>1</v>
          </cell>
          <cell r="J307" t="str">
            <v>C.2.5.3.19</v>
          </cell>
          <cell r="K307" t="str">
            <v>UHCIP</v>
          </cell>
          <cell r="L307">
            <v>1</v>
          </cell>
          <cell r="M307">
            <v>46024</v>
          </cell>
          <cell r="N307">
            <v>46027</v>
          </cell>
          <cell r="O307">
            <v>1</v>
          </cell>
          <cell r="P307">
            <v>46028</v>
          </cell>
          <cell r="Q307">
            <v>1</v>
          </cell>
          <cell r="R307" t="str">
            <v>NA</v>
          </cell>
          <cell r="S307">
            <v>5</v>
          </cell>
        </row>
        <row r="308">
          <cell r="B308" t="str">
            <v>EMMC</v>
          </cell>
          <cell r="C308" t="str">
            <v>HSLB10201</v>
          </cell>
          <cell r="D308">
            <v>101053</v>
          </cell>
          <cell r="E308" t="str">
            <v>Otooftalmoscopio Mural</v>
          </cell>
          <cell r="F308" t="str">
            <v>NO</v>
          </cell>
          <cell r="G308" t="str">
            <v>NO</v>
          </cell>
          <cell r="H308" t="str">
            <v>SALA DE PROCEDIMIENTO</v>
          </cell>
          <cell r="I308">
            <v>1</v>
          </cell>
          <cell r="J308" t="str">
            <v>C.2.5.3.33</v>
          </cell>
          <cell r="K308" t="str">
            <v>UHCIP</v>
          </cell>
          <cell r="L308">
            <v>1</v>
          </cell>
          <cell r="M308">
            <v>46024</v>
          </cell>
          <cell r="N308">
            <v>46027</v>
          </cell>
          <cell r="O308">
            <v>1</v>
          </cell>
          <cell r="P308">
            <v>46028</v>
          </cell>
          <cell r="Q308">
            <v>1</v>
          </cell>
          <cell r="R308" t="str">
            <v>NA</v>
          </cell>
          <cell r="S308">
            <v>5</v>
          </cell>
        </row>
        <row r="309">
          <cell r="B309" t="str">
            <v>EMMC</v>
          </cell>
          <cell r="C309" t="str">
            <v>HSLB12378</v>
          </cell>
          <cell r="D309">
            <v>112068</v>
          </cell>
          <cell r="E309" t="str">
            <v>Piso Taburete Clínico</v>
          </cell>
          <cell r="F309" t="str">
            <v>NO</v>
          </cell>
          <cell r="G309" t="str">
            <v>NO</v>
          </cell>
          <cell r="H309" t="str">
            <v>SALA DE PROCEDIMIENTO</v>
          </cell>
          <cell r="I309">
            <v>1</v>
          </cell>
          <cell r="J309" t="str">
            <v>C.2.5.3.33</v>
          </cell>
          <cell r="K309" t="str">
            <v>UHCIP</v>
          </cell>
          <cell r="L309">
            <v>1</v>
          </cell>
          <cell r="M309">
            <v>46024</v>
          </cell>
          <cell r="N309">
            <v>46027</v>
          </cell>
          <cell r="O309">
            <v>1</v>
          </cell>
          <cell r="P309">
            <v>46028</v>
          </cell>
          <cell r="Q309">
            <v>1</v>
          </cell>
          <cell r="R309" t="str">
            <v>NA</v>
          </cell>
          <cell r="S309">
            <v>5</v>
          </cell>
        </row>
        <row r="310">
          <cell r="B310" t="str">
            <v>EMMC</v>
          </cell>
          <cell r="C310" t="str">
            <v>HSLB10898</v>
          </cell>
          <cell r="D310">
            <v>106013</v>
          </cell>
          <cell r="E310" t="str">
            <v>Proyector</v>
          </cell>
          <cell r="F310" t="str">
            <v>NO</v>
          </cell>
          <cell r="G310" t="str">
            <v>SI</v>
          </cell>
          <cell r="H310" t="str">
            <v>SALA MULTIUSO</v>
          </cell>
          <cell r="I310">
            <v>1</v>
          </cell>
          <cell r="J310" t="str">
            <v>C.2.5.3.17.1</v>
          </cell>
          <cell r="K310" t="str">
            <v>UHCIP</v>
          </cell>
          <cell r="L310">
            <v>1</v>
          </cell>
          <cell r="M310">
            <v>46003</v>
          </cell>
          <cell r="N310">
            <v>46006</v>
          </cell>
          <cell r="O310">
            <v>1</v>
          </cell>
          <cell r="P310">
            <v>46007</v>
          </cell>
          <cell r="Q310">
            <v>1</v>
          </cell>
          <cell r="R310" t="str">
            <v>NA</v>
          </cell>
          <cell r="S310">
            <v>5</v>
          </cell>
        </row>
        <row r="311">
          <cell r="B311" t="str">
            <v>EMMC</v>
          </cell>
          <cell r="C311" t="str">
            <v>HSLB10899</v>
          </cell>
          <cell r="D311">
            <v>106013</v>
          </cell>
          <cell r="E311" t="str">
            <v>Proyector</v>
          </cell>
          <cell r="F311" t="str">
            <v>NO</v>
          </cell>
          <cell r="G311" t="str">
            <v>NO</v>
          </cell>
          <cell r="H311" t="str">
            <v>SALA MULTIUSO</v>
          </cell>
          <cell r="I311">
            <v>1</v>
          </cell>
          <cell r="J311" t="str">
            <v>C.2.5.3.17.2</v>
          </cell>
          <cell r="K311" t="str">
            <v>UHCIP</v>
          </cell>
          <cell r="L311">
            <v>1</v>
          </cell>
          <cell r="M311">
            <v>46024</v>
          </cell>
          <cell r="N311">
            <v>46027</v>
          </cell>
          <cell r="O311">
            <v>1</v>
          </cell>
          <cell r="P311">
            <v>46028</v>
          </cell>
          <cell r="Q311">
            <v>1</v>
          </cell>
          <cell r="R311" t="str">
            <v>NA</v>
          </cell>
          <cell r="S311">
            <v>5</v>
          </cell>
        </row>
        <row r="312">
          <cell r="B312" t="str">
            <v>EMMC</v>
          </cell>
          <cell r="C312" t="str">
            <v>HSLB10900</v>
          </cell>
          <cell r="D312">
            <v>106013</v>
          </cell>
          <cell r="E312" t="str">
            <v>Proyector</v>
          </cell>
          <cell r="F312" t="str">
            <v>NO</v>
          </cell>
          <cell r="G312" t="str">
            <v>NO</v>
          </cell>
          <cell r="H312" t="str">
            <v>SALA TALLER</v>
          </cell>
          <cell r="I312">
            <v>1</v>
          </cell>
          <cell r="J312" t="str">
            <v>C.2.5.3.21</v>
          </cell>
          <cell r="K312" t="str">
            <v>UHCIP</v>
          </cell>
          <cell r="L312">
            <v>1</v>
          </cell>
          <cell r="M312">
            <v>46024</v>
          </cell>
          <cell r="N312">
            <v>46027</v>
          </cell>
          <cell r="O312">
            <v>1</v>
          </cell>
          <cell r="P312">
            <v>46028</v>
          </cell>
          <cell r="Q312">
            <v>1</v>
          </cell>
          <cell r="R312" t="str">
            <v>NA</v>
          </cell>
          <cell r="S312">
            <v>5</v>
          </cell>
        </row>
        <row r="313">
          <cell r="B313" t="str">
            <v>EMMC</v>
          </cell>
          <cell r="C313" t="str">
            <v>HSLB10901</v>
          </cell>
          <cell r="D313">
            <v>106013</v>
          </cell>
          <cell r="E313" t="str">
            <v>Proyector</v>
          </cell>
          <cell r="F313" t="str">
            <v>NO</v>
          </cell>
          <cell r="G313" t="str">
            <v>NO</v>
          </cell>
          <cell r="H313" t="str">
            <v>SALA DE REUNIONES</v>
          </cell>
          <cell r="I313">
            <v>1</v>
          </cell>
          <cell r="J313" t="str">
            <v>C.2.5.3.4</v>
          </cell>
          <cell r="K313" t="str">
            <v>UHCIP</v>
          </cell>
          <cell r="L313">
            <v>1</v>
          </cell>
          <cell r="M313">
            <v>46024</v>
          </cell>
          <cell r="N313">
            <v>46027</v>
          </cell>
          <cell r="O313">
            <v>1</v>
          </cell>
          <cell r="P313">
            <v>46028</v>
          </cell>
          <cell r="Q313">
            <v>1</v>
          </cell>
          <cell r="R313" t="str">
            <v>NA</v>
          </cell>
          <cell r="S313">
            <v>5</v>
          </cell>
        </row>
        <row r="314">
          <cell r="B314" t="str">
            <v>EMMC</v>
          </cell>
          <cell r="C314" t="str">
            <v>HSLB11533</v>
          </cell>
          <cell r="D314">
            <v>111066</v>
          </cell>
          <cell r="E314" t="str">
            <v>Set de Arte</v>
          </cell>
          <cell r="F314" t="str">
            <v>NO</v>
          </cell>
          <cell r="G314" t="str">
            <v>NO</v>
          </cell>
          <cell r="H314" t="str">
            <v>SALA MULTIUSO</v>
          </cell>
          <cell r="I314">
            <v>1</v>
          </cell>
          <cell r="J314" t="str">
            <v>C.2.5.3.17.2</v>
          </cell>
          <cell r="K314" t="str">
            <v>UHCIP</v>
          </cell>
          <cell r="L314">
            <v>1</v>
          </cell>
          <cell r="M314">
            <v>46024</v>
          </cell>
          <cell r="N314">
            <v>46027</v>
          </cell>
          <cell r="O314">
            <v>1</v>
          </cell>
          <cell r="P314">
            <v>46028</v>
          </cell>
          <cell r="Q314">
            <v>1</v>
          </cell>
          <cell r="R314" t="str">
            <v>NA</v>
          </cell>
          <cell r="S314">
            <v>5</v>
          </cell>
        </row>
        <row r="315">
          <cell r="B315" t="str">
            <v>EMMC</v>
          </cell>
          <cell r="C315" t="str">
            <v>HSLB11539</v>
          </cell>
          <cell r="D315">
            <v>111068</v>
          </cell>
          <cell r="E315" t="str">
            <v>Set de Balones Terapéuticos</v>
          </cell>
          <cell r="F315" t="str">
            <v>NO</v>
          </cell>
          <cell r="G315" t="str">
            <v>SI</v>
          </cell>
          <cell r="H315" t="str">
            <v>SALA MULTIUSO</v>
          </cell>
          <cell r="I315">
            <v>1</v>
          </cell>
          <cell r="J315" t="str">
            <v>C.2.5.3.17.1</v>
          </cell>
          <cell r="K315" t="str">
            <v>UHCIP</v>
          </cell>
          <cell r="L315">
            <v>1</v>
          </cell>
          <cell r="M315">
            <v>46003</v>
          </cell>
          <cell r="N315">
            <v>46006</v>
          </cell>
          <cell r="O315">
            <v>1</v>
          </cell>
          <cell r="P315">
            <v>46007</v>
          </cell>
          <cell r="Q315">
            <v>1</v>
          </cell>
          <cell r="R315" t="str">
            <v>NA</v>
          </cell>
          <cell r="S315">
            <v>5</v>
          </cell>
        </row>
        <row r="316">
          <cell r="B316" t="str">
            <v>EMMC</v>
          </cell>
          <cell r="C316" t="str">
            <v>HSLB11540</v>
          </cell>
          <cell r="D316">
            <v>111068</v>
          </cell>
          <cell r="E316" t="str">
            <v>Set de Balones Terapéuticos</v>
          </cell>
          <cell r="F316" t="str">
            <v>NO</v>
          </cell>
          <cell r="G316" t="str">
            <v>NO</v>
          </cell>
          <cell r="H316" t="str">
            <v>SALA MULTIUSO</v>
          </cell>
          <cell r="I316">
            <v>1</v>
          </cell>
          <cell r="J316" t="str">
            <v>C.2.5.3.17.2</v>
          </cell>
          <cell r="K316" t="str">
            <v>UHCIP</v>
          </cell>
          <cell r="L316">
            <v>1</v>
          </cell>
          <cell r="M316">
            <v>46024</v>
          </cell>
          <cell r="N316">
            <v>46027</v>
          </cell>
          <cell r="O316">
            <v>1</v>
          </cell>
          <cell r="P316">
            <v>46028</v>
          </cell>
          <cell r="Q316">
            <v>1</v>
          </cell>
          <cell r="R316" t="str">
            <v>NA</v>
          </cell>
          <cell r="S316">
            <v>5</v>
          </cell>
        </row>
        <row r="317">
          <cell r="B317" t="str">
            <v>EMMC</v>
          </cell>
          <cell r="C317" t="str">
            <v>HSLB11549</v>
          </cell>
          <cell r="D317">
            <v>111071</v>
          </cell>
          <cell r="E317" t="str">
            <v>Set de Colchonetas</v>
          </cell>
          <cell r="F317" t="str">
            <v>NO</v>
          </cell>
          <cell r="G317" t="str">
            <v>SI</v>
          </cell>
          <cell r="H317" t="str">
            <v>SALA MULTIUSO</v>
          </cell>
          <cell r="I317">
            <v>8</v>
          </cell>
          <cell r="J317" t="str">
            <v>C.2.5.3.17.1</v>
          </cell>
          <cell r="K317" t="str">
            <v>UHCIP</v>
          </cell>
          <cell r="L317">
            <v>1</v>
          </cell>
          <cell r="M317">
            <v>46003</v>
          </cell>
          <cell r="N317">
            <v>46006</v>
          </cell>
          <cell r="O317">
            <v>1</v>
          </cell>
          <cell r="P317">
            <v>46007</v>
          </cell>
          <cell r="Q317">
            <v>1</v>
          </cell>
          <cell r="R317" t="str">
            <v>NA</v>
          </cell>
          <cell r="S317">
            <v>5</v>
          </cell>
        </row>
        <row r="318">
          <cell r="B318" t="str">
            <v>EMMC</v>
          </cell>
          <cell r="C318" t="str">
            <v>HSLB11550</v>
          </cell>
          <cell r="D318">
            <v>111071</v>
          </cell>
          <cell r="E318" t="str">
            <v>Set de Colchonetas</v>
          </cell>
          <cell r="F318" t="str">
            <v>NO</v>
          </cell>
          <cell r="G318" t="str">
            <v>NO</v>
          </cell>
          <cell r="H318" t="str">
            <v>SALA MULTIUSO</v>
          </cell>
          <cell r="I318">
            <v>8</v>
          </cell>
          <cell r="J318" t="str">
            <v>C.2.5.3.17.2</v>
          </cell>
          <cell r="K318" t="str">
            <v>UHCIP</v>
          </cell>
          <cell r="L318">
            <v>1</v>
          </cell>
          <cell r="M318">
            <v>46024</v>
          </cell>
          <cell r="N318">
            <v>46027</v>
          </cell>
          <cell r="O318">
            <v>1</v>
          </cell>
          <cell r="P318">
            <v>46028</v>
          </cell>
          <cell r="Q318">
            <v>1</v>
          </cell>
          <cell r="R318" t="str">
            <v>NA</v>
          </cell>
          <cell r="S318">
            <v>5</v>
          </cell>
        </row>
        <row r="319">
          <cell r="B319" t="str">
            <v>EMMC</v>
          </cell>
          <cell r="C319" t="str">
            <v>HSLB11560</v>
          </cell>
          <cell r="D319">
            <v>106024</v>
          </cell>
          <cell r="E319" t="str">
            <v>Set de Juegos de Salón</v>
          </cell>
          <cell r="F319" t="str">
            <v>NO</v>
          </cell>
          <cell r="G319" t="str">
            <v>NO</v>
          </cell>
          <cell r="H319" t="str">
            <v>SALA ESTIMULACIÓN COGNITIVA</v>
          </cell>
          <cell r="I319">
            <v>1</v>
          </cell>
          <cell r="J319" t="str">
            <v>C.2.5.3.16</v>
          </cell>
          <cell r="K319" t="str">
            <v>UHCIP</v>
          </cell>
          <cell r="L319">
            <v>1</v>
          </cell>
          <cell r="M319">
            <v>46024</v>
          </cell>
          <cell r="N319">
            <v>46027</v>
          </cell>
          <cell r="O319">
            <v>1</v>
          </cell>
          <cell r="P319">
            <v>46028</v>
          </cell>
          <cell r="Q319">
            <v>1</v>
          </cell>
          <cell r="R319" t="str">
            <v>NA</v>
          </cell>
          <cell r="S319">
            <v>5</v>
          </cell>
        </row>
        <row r="320">
          <cell r="B320" t="str">
            <v>EMMC</v>
          </cell>
          <cell r="C320" t="str">
            <v>HSLB11561</v>
          </cell>
          <cell r="D320">
            <v>106024</v>
          </cell>
          <cell r="E320" t="str">
            <v>Set de Juegos de Salón</v>
          </cell>
          <cell r="F320" t="str">
            <v>NO</v>
          </cell>
          <cell r="G320" t="str">
            <v>NO</v>
          </cell>
          <cell r="H320" t="str">
            <v>SALA MULTIUSO</v>
          </cell>
          <cell r="I320">
            <v>1</v>
          </cell>
          <cell r="J320" t="str">
            <v>C.2.5.3.17.2</v>
          </cell>
          <cell r="K320" t="str">
            <v>UHCIP</v>
          </cell>
          <cell r="L320">
            <v>1</v>
          </cell>
          <cell r="M320">
            <v>46024</v>
          </cell>
          <cell r="N320">
            <v>46027</v>
          </cell>
          <cell r="O320">
            <v>1</v>
          </cell>
          <cell r="P320">
            <v>46028</v>
          </cell>
          <cell r="Q320">
            <v>1</v>
          </cell>
          <cell r="R320" t="str">
            <v>NA</v>
          </cell>
          <cell r="S320">
            <v>5</v>
          </cell>
        </row>
        <row r="321">
          <cell r="B321" t="str">
            <v>EMMC</v>
          </cell>
          <cell r="C321" t="str">
            <v>HSLB11566</v>
          </cell>
          <cell r="D321">
            <v>111082</v>
          </cell>
          <cell r="E321" t="str">
            <v>Set de Psicodiagnóstico</v>
          </cell>
          <cell r="F321" t="str">
            <v>NO</v>
          </cell>
          <cell r="G321" t="str">
            <v>NO</v>
          </cell>
          <cell r="H321" t="str">
            <v>SALA DE ATENCIÓN</v>
          </cell>
          <cell r="I321">
            <v>1</v>
          </cell>
          <cell r="J321" t="str">
            <v>C.2.5.3.11.1</v>
          </cell>
          <cell r="K321" t="str">
            <v>UHCIP</v>
          </cell>
          <cell r="L321">
            <v>1</v>
          </cell>
          <cell r="M321">
            <v>46024</v>
          </cell>
          <cell r="N321">
            <v>46027</v>
          </cell>
          <cell r="O321">
            <v>1</v>
          </cell>
          <cell r="P321">
            <v>46028</v>
          </cell>
          <cell r="Q321">
            <v>1</v>
          </cell>
          <cell r="R321" t="str">
            <v>NA</v>
          </cell>
          <cell r="S321">
            <v>5</v>
          </cell>
        </row>
        <row r="322">
          <cell r="B322" t="str">
            <v>EMMC</v>
          </cell>
          <cell r="C322" t="str">
            <v>HSLB11567</v>
          </cell>
          <cell r="D322">
            <v>111082</v>
          </cell>
          <cell r="E322" t="str">
            <v>Set de Psicodiagnóstico</v>
          </cell>
          <cell r="F322" t="str">
            <v>NO</v>
          </cell>
          <cell r="G322" t="str">
            <v>NO</v>
          </cell>
          <cell r="H322" t="str">
            <v>SALA DE ATENCIÓN</v>
          </cell>
          <cell r="I322">
            <v>1</v>
          </cell>
          <cell r="J322" t="str">
            <v>C.2.5.3.11.2</v>
          </cell>
          <cell r="K322" t="str">
            <v>UHCIP</v>
          </cell>
          <cell r="L322">
            <v>1</v>
          </cell>
          <cell r="M322">
            <v>46024</v>
          </cell>
          <cell r="N322">
            <v>46027</v>
          </cell>
          <cell r="O322">
            <v>1</v>
          </cell>
          <cell r="P322">
            <v>46028</v>
          </cell>
          <cell r="Q322">
            <v>1</v>
          </cell>
          <cell r="R322" t="str">
            <v>NA</v>
          </cell>
          <cell r="S322">
            <v>5</v>
          </cell>
        </row>
        <row r="323">
          <cell r="B323" t="str">
            <v>EMMC</v>
          </cell>
          <cell r="C323" t="str">
            <v>HSLB11568</v>
          </cell>
          <cell r="D323">
            <v>111082</v>
          </cell>
          <cell r="E323" t="str">
            <v>Set de Psicodiagnóstico</v>
          </cell>
          <cell r="F323" t="str">
            <v>NO</v>
          </cell>
          <cell r="G323" t="str">
            <v>NO</v>
          </cell>
          <cell r="H323" t="str">
            <v>SALA DE ATENCIÓN</v>
          </cell>
          <cell r="I323">
            <v>1</v>
          </cell>
          <cell r="J323" t="str">
            <v>C.2.5.3.11.3</v>
          </cell>
          <cell r="K323" t="str">
            <v>UHCIP</v>
          </cell>
          <cell r="L323">
            <v>1</v>
          </cell>
          <cell r="M323">
            <v>46024</v>
          </cell>
          <cell r="N323">
            <v>46027</v>
          </cell>
          <cell r="O323">
            <v>1</v>
          </cell>
          <cell r="P323">
            <v>46028</v>
          </cell>
          <cell r="Q323">
            <v>1</v>
          </cell>
          <cell r="R323" t="str">
            <v>NA</v>
          </cell>
          <cell r="S323">
            <v>5</v>
          </cell>
        </row>
        <row r="324">
          <cell r="B324" t="str">
            <v>EMMC</v>
          </cell>
          <cell r="C324" t="str">
            <v>HSLB12454</v>
          </cell>
          <cell r="D324">
            <v>112077</v>
          </cell>
          <cell r="E324" t="str">
            <v>Silla de Ruedas</v>
          </cell>
          <cell r="F324" t="str">
            <v>NO</v>
          </cell>
          <cell r="G324" t="str">
            <v>NO</v>
          </cell>
          <cell r="H324" t="str">
            <v>ESTAC. CAMILLAS Y SILLA DE RUIEDAS</v>
          </cell>
          <cell r="I324">
            <v>2</v>
          </cell>
          <cell r="J324" t="str">
            <v>C.2.5.3.42</v>
          </cell>
          <cell r="K324" t="str">
            <v>UHCIP</v>
          </cell>
          <cell r="L324">
            <v>1</v>
          </cell>
          <cell r="M324">
            <v>46024</v>
          </cell>
          <cell r="N324">
            <v>46027</v>
          </cell>
          <cell r="O324">
            <v>1</v>
          </cell>
          <cell r="P324">
            <v>46028</v>
          </cell>
          <cell r="Q324">
            <v>1</v>
          </cell>
          <cell r="R324" t="str">
            <v>NA</v>
          </cell>
          <cell r="S324">
            <v>5</v>
          </cell>
        </row>
        <row r="325">
          <cell r="B325" t="str">
            <v>EMMC</v>
          </cell>
          <cell r="C325" t="str">
            <v>HSLB11055</v>
          </cell>
          <cell r="D325">
            <v>106020</v>
          </cell>
          <cell r="E325" t="str">
            <v>Televisor 42'</v>
          </cell>
          <cell r="F325" t="str">
            <v>NO</v>
          </cell>
          <cell r="G325" t="str">
            <v>NO</v>
          </cell>
          <cell r="H325" t="str">
            <v>SALA MULTIUSO</v>
          </cell>
          <cell r="I325">
            <v>1</v>
          </cell>
          <cell r="J325" t="str">
            <v>C.2.5.3.17.2</v>
          </cell>
          <cell r="K325" t="str">
            <v>UHCIP</v>
          </cell>
          <cell r="L325">
            <v>1</v>
          </cell>
          <cell r="M325">
            <v>46024</v>
          </cell>
          <cell r="N325">
            <v>46027</v>
          </cell>
          <cell r="O325">
            <v>1</v>
          </cell>
          <cell r="P325">
            <v>46028</v>
          </cell>
          <cell r="Q325">
            <v>1</v>
          </cell>
          <cell r="R325" t="str">
            <v>NA</v>
          </cell>
          <cell r="S325">
            <v>5</v>
          </cell>
        </row>
        <row r="326">
          <cell r="B326" t="str">
            <v>EMMC</v>
          </cell>
          <cell r="C326" t="str">
            <v>HSLB11056</v>
          </cell>
          <cell r="D326">
            <v>106020</v>
          </cell>
          <cell r="E326" t="str">
            <v>Televisor 42'</v>
          </cell>
          <cell r="F326" t="str">
            <v>NO</v>
          </cell>
          <cell r="G326" t="str">
            <v>NO</v>
          </cell>
          <cell r="H326" t="str">
            <v>SALA ESTAR COMEDOR</v>
          </cell>
          <cell r="I326">
            <v>1</v>
          </cell>
          <cell r="J326" t="str">
            <v>C.2.5.3.18</v>
          </cell>
          <cell r="K326" t="str">
            <v>UHCIP</v>
          </cell>
          <cell r="L326">
            <v>1</v>
          </cell>
          <cell r="M326">
            <v>46024</v>
          </cell>
          <cell r="N326">
            <v>46027</v>
          </cell>
          <cell r="O326">
            <v>1</v>
          </cell>
          <cell r="P326">
            <v>46028</v>
          </cell>
          <cell r="Q326">
            <v>1</v>
          </cell>
          <cell r="R326" t="str">
            <v>NA</v>
          </cell>
          <cell r="S326">
            <v>5</v>
          </cell>
        </row>
        <row r="327">
          <cell r="B327" t="str">
            <v>EMMC</v>
          </cell>
          <cell r="C327" t="str">
            <v>HSLB11057</v>
          </cell>
          <cell r="D327">
            <v>106020</v>
          </cell>
          <cell r="E327" t="str">
            <v>Televisor 42'</v>
          </cell>
          <cell r="F327" t="str">
            <v>NO</v>
          </cell>
          <cell r="G327" t="str">
            <v>NO</v>
          </cell>
          <cell r="H327" t="str">
            <v>SALA DE ESPERA</v>
          </cell>
          <cell r="I327">
            <v>1</v>
          </cell>
          <cell r="J327" t="str">
            <v>C.2.5.3.6</v>
          </cell>
          <cell r="K327" t="str">
            <v>UHCIP</v>
          </cell>
          <cell r="L327">
            <v>1</v>
          </cell>
          <cell r="M327">
            <v>46024</v>
          </cell>
          <cell r="N327">
            <v>46027</v>
          </cell>
          <cell r="O327">
            <v>1</v>
          </cell>
          <cell r="P327">
            <v>46028</v>
          </cell>
          <cell r="Q327">
            <v>1</v>
          </cell>
          <cell r="R327" t="str">
            <v>NA</v>
          </cell>
          <cell r="S327">
            <v>5</v>
          </cell>
        </row>
        <row r="328">
          <cell r="B328" t="str">
            <v>EMMC</v>
          </cell>
          <cell r="C328" t="str">
            <v>HSLB11085</v>
          </cell>
          <cell r="D328">
            <v>106021</v>
          </cell>
          <cell r="E328" t="str">
            <v>Telón</v>
          </cell>
          <cell r="F328" t="str">
            <v>NO</v>
          </cell>
          <cell r="G328" t="str">
            <v>SI</v>
          </cell>
          <cell r="H328" t="str">
            <v>SALA MULTIUSO</v>
          </cell>
          <cell r="I328">
            <v>1</v>
          </cell>
          <cell r="J328" t="str">
            <v>C.2.5.3.17.1</v>
          </cell>
          <cell r="K328" t="str">
            <v>UHCIP</v>
          </cell>
          <cell r="L328">
            <v>1</v>
          </cell>
          <cell r="M328">
            <v>46003</v>
          </cell>
          <cell r="N328">
            <v>46006</v>
          </cell>
          <cell r="O328">
            <v>1</v>
          </cell>
          <cell r="P328">
            <v>46007</v>
          </cell>
          <cell r="Q328">
            <v>1</v>
          </cell>
          <cell r="R328" t="str">
            <v>NA</v>
          </cell>
          <cell r="S328">
            <v>5</v>
          </cell>
        </row>
        <row r="329">
          <cell r="B329" t="str">
            <v>EMMC</v>
          </cell>
          <cell r="C329" t="str">
            <v>HSLB11086</v>
          </cell>
          <cell r="D329">
            <v>106021</v>
          </cell>
          <cell r="E329" t="str">
            <v>Telón</v>
          </cell>
          <cell r="F329" t="str">
            <v>NO</v>
          </cell>
          <cell r="G329" t="str">
            <v>NO</v>
          </cell>
          <cell r="H329" t="str">
            <v>SALA MULTIUSO</v>
          </cell>
          <cell r="I329">
            <v>1</v>
          </cell>
          <cell r="J329" t="str">
            <v>C.2.5.3.17.2</v>
          </cell>
          <cell r="K329" t="str">
            <v>UHCIP</v>
          </cell>
          <cell r="L329">
            <v>1</v>
          </cell>
          <cell r="M329">
            <v>46024</v>
          </cell>
          <cell r="N329">
            <v>46027</v>
          </cell>
          <cell r="O329">
            <v>1</v>
          </cell>
          <cell r="P329">
            <v>46028</v>
          </cell>
          <cell r="Q329">
            <v>1</v>
          </cell>
          <cell r="R329" t="str">
            <v>NA</v>
          </cell>
          <cell r="S329">
            <v>5</v>
          </cell>
        </row>
        <row r="330">
          <cell r="B330" t="str">
            <v>EMMC</v>
          </cell>
          <cell r="C330" t="str">
            <v>HSLB11087</v>
          </cell>
          <cell r="D330">
            <v>106021</v>
          </cell>
          <cell r="E330" t="str">
            <v>Telón</v>
          </cell>
          <cell r="F330" t="str">
            <v>NO</v>
          </cell>
          <cell r="G330" t="str">
            <v>NO</v>
          </cell>
          <cell r="H330" t="str">
            <v>SALA TALLER</v>
          </cell>
          <cell r="I330">
            <v>1</v>
          </cell>
          <cell r="J330" t="str">
            <v>C.2.5.3.21</v>
          </cell>
          <cell r="K330" t="str">
            <v>UHCIP</v>
          </cell>
          <cell r="L330">
            <v>1</v>
          </cell>
          <cell r="M330">
            <v>46024</v>
          </cell>
          <cell r="N330">
            <v>46027</v>
          </cell>
          <cell r="O330">
            <v>1</v>
          </cell>
          <cell r="P330">
            <v>46028</v>
          </cell>
          <cell r="Q330">
            <v>1</v>
          </cell>
          <cell r="R330" t="str">
            <v>NA</v>
          </cell>
          <cell r="S330">
            <v>5</v>
          </cell>
        </row>
        <row r="331">
          <cell r="B331" t="str">
            <v>EMMC</v>
          </cell>
          <cell r="C331" t="str">
            <v>HSLB11088</v>
          </cell>
          <cell r="D331">
            <v>106021</v>
          </cell>
          <cell r="E331" t="str">
            <v>Telón</v>
          </cell>
          <cell r="F331" t="str">
            <v>NO</v>
          </cell>
          <cell r="G331" t="str">
            <v>NO</v>
          </cell>
          <cell r="H331" t="str">
            <v>SALA DE REUNIONES</v>
          </cell>
          <cell r="I331">
            <v>1</v>
          </cell>
          <cell r="J331" t="str">
            <v>C.2.5.3.4</v>
          </cell>
          <cell r="K331" t="str">
            <v>UHCIP</v>
          </cell>
          <cell r="L331">
            <v>1</v>
          </cell>
          <cell r="M331">
            <v>46024</v>
          </cell>
          <cell r="N331">
            <v>46027</v>
          </cell>
          <cell r="O331">
            <v>1</v>
          </cell>
          <cell r="P331">
            <v>46028</v>
          </cell>
          <cell r="Q331">
            <v>1</v>
          </cell>
          <cell r="R331" t="str">
            <v>NA</v>
          </cell>
          <cell r="S331">
            <v>5</v>
          </cell>
        </row>
        <row r="332">
          <cell r="B332" t="str">
            <v>EMMC</v>
          </cell>
          <cell r="C332" t="str">
            <v>HSLB11600</v>
          </cell>
          <cell r="D332">
            <v>111106</v>
          </cell>
          <cell r="E332" t="str">
            <v>Trotadora</v>
          </cell>
          <cell r="F332" t="str">
            <v>NO</v>
          </cell>
          <cell r="G332" t="str">
            <v>NO</v>
          </cell>
          <cell r="H332" t="str">
            <v>PATIO CUBIERTO</v>
          </cell>
          <cell r="I332">
            <v>1</v>
          </cell>
          <cell r="J332" t="str">
            <v>C.2.5.3.22</v>
          </cell>
          <cell r="K332" t="str">
            <v>UHCIP</v>
          </cell>
          <cell r="L332">
            <v>1</v>
          </cell>
          <cell r="M332">
            <v>46024</v>
          </cell>
          <cell r="N332">
            <v>46027</v>
          </cell>
          <cell r="O332">
            <v>1</v>
          </cell>
          <cell r="P332">
            <v>46028</v>
          </cell>
          <cell r="Q332">
            <v>1</v>
          </cell>
          <cell r="R332" t="str">
            <v>NA</v>
          </cell>
          <cell r="S332">
            <v>5</v>
          </cell>
        </row>
        <row r="333">
          <cell r="B333" t="str">
            <v>EMMC</v>
          </cell>
          <cell r="C333" t="str">
            <v>HSLB11120</v>
          </cell>
          <cell r="D333">
            <v>106023</v>
          </cell>
          <cell r="E333" t="str">
            <v>Urinarios</v>
          </cell>
          <cell r="F333" t="str">
            <v>NO</v>
          </cell>
          <cell r="G333" t="str">
            <v>NO</v>
          </cell>
          <cell r="H333" t="str">
            <v>LAVACHATA MANUAL</v>
          </cell>
          <cell r="I333">
            <v>15</v>
          </cell>
          <cell r="J333" t="str">
            <v>C.2.5.3.39</v>
          </cell>
          <cell r="K333" t="str">
            <v>UHCIP</v>
          </cell>
          <cell r="L333">
            <v>1</v>
          </cell>
          <cell r="M333">
            <v>46024</v>
          </cell>
          <cell r="N333">
            <v>46027</v>
          </cell>
          <cell r="O333">
            <v>1</v>
          </cell>
          <cell r="P333">
            <v>46028</v>
          </cell>
          <cell r="Q333">
            <v>1</v>
          </cell>
          <cell r="R333" t="str">
            <v>NA</v>
          </cell>
          <cell r="S333">
            <v>5</v>
          </cell>
        </row>
        <row r="334">
          <cell r="B334" t="str">
            <v>EMMC</v>
          </cell>
          <cell r="C334" t="str">
            <v>HSLB11696</v>
          </cell>
          <cell r="D334">
            <v>112015</v>
          </cell>
          <cell r="E334" t="str">
            <v>Camilla Transporte Cadáver</v>
          </cell>
          <cell r="F334" t="str">
            <v>NO</v>
          </cell>
          <cell r="G334" t="str">
            <v>NO</v>
          </cell>
          <cell r="H334" t="str">
            <v>ESTACIONAMIENTO CARROS DE TRANPORTES</v>
          </cell>
          <cell r="I334">
            <v>1</v>
          </cell>
          <cell r="J334" t="str">
            <v>C.5.9.1</v>
          </cell>
          <cell r="K334" t="str">
            <v>Morgue</v>
          </cell>
          <cell r="L334">
            <v>1</v>
          </cell>
          <cell r="M334">
            <v>46049</v>
          </cell>
          <cell r="N334">
            <v>46050</v>
          </cell>
          <cell r="O334">
            <v>1</v>
          </cell>
          <cell r="P334">
            <v>46051</v>
          </cell>
          <cell r="Q334">
            <v>1</v>
          </cell>
          <cell r="R334" t="str">
            <v>NA</v>
          </cell>
          <cell r="S334">
            <v>5</v>
          </cell>
        </row>
        <row r="335">
          <cell r="B335" t="str">
            <v>EMMC</v>
          </cell>
          <cell r="C335" t="str">
            <v>HSLB11702</v>
          </cell>
          <cell r="D335">
            <v>112016</v>
          </cell>
          <cell r="E335" t="str">
            <v>Camilla Transporte Paciente</v>
          </cell>
          <cell r="F335" t="str">
            <v>NO</v>
          </cell>
          <cell r="G335" t="str">
            <v>NO</v>
          </cell>
          <cell r="H335" t="str">
            <v xml:space="preserve">SALA PROCEDIMIENTOS </v>
          </cell>
          <cell r="I335">
            <v>1</v>
          </cell>
          <cell r="J335" t="str">
            <v>C.2.3.21</v>
          </cell>
          <cell r="K335" t="str">
            <v>Dialisis</v>
          </cell>
          <cell r="L335">
            <v>1</v>
          </cell>
          <cell r="M335">
            <v>46031</v>
          </cell>
          <cell r="N335">
            <v>46034</v>
          </cell>
          <cell r="O335">
            <v>1</v>
          </cell>
          <cell r="P335">
            <v>46035</v>
          </cell>
          <cell r="Q335">
            <v>1</v>
          </cell>
          <cell r="R335" t="str">
            <v>NA</v>
          </cell>
          <cell r="S335">
            <v>5</v>
          </cell>
        </row>
        <row r="336">
          <cell r="B336" t="str">
            <v>EMMC</v>
          </cell>
          <cell r="C336" t="str">
            <v>HSLB11703</v>
          </cell>
          <cell r="D336">
            <v>112016</v>
          </cell>
          <cell r="E336" t="str">
            <v>Camilla Transporte Paciente</v>
          </cell>
          <cell r="F336" t="str">
            <v>NO</v>
          </cell>
          <cell r="G336" t="str">
            <v>NO</v>
          </cell>
          <cell r="H336" t="str">
            <v>EST. CAMILLAS Y SILLAS DE RUEDAS</v>
          </cell>
          <cell r="I336">
            <v>1</v>
          </cell>
          <cell r="J336" t="str">
            <v>C.2.3.9</v>
          </cell>
          <cell r="K336" t="str">
            <v>Dialisis</v>
          </cell>
          <cell r="L336">
            <v>1</v>
          </cell>
          <cell r="M336">
            <v>46031</v>
          </cell>
          <cell r="N336">
            <v>46034</v>
          </cell>
          <cell r="O336">
            <v>1</v>
          </cell>
          <cell r="P336">
            <v>46035</v>
          </cell>
          <cell r="Q336">
            <v>1</v>
          </cell>
          <cell r="R336" t="str">
            <v>NA</v>
          </cell>
          <cell r="S336">
            <v>5</v>
          </cell>
        </row>
        <row r="337">
          <cell r="B337" t="str">
            <v>EMMC</v>
          </cell>
          <cell r="C337" t="str">
            <v>HSLB11706</v>
          </cell>
          <cell r="D337">
            <v>112016</v>
          </cell>
          <cell r="E337" t="str">
            <v>Camilla Transporte Paciente</v>
          </cell>
          <cell r="F337" t="str">
            <v>NO</v>
          </cell>
          <cell r="G337" t="str">
            <v>NO</v>
          </cell>
          <cell r="H337" t="str">
            <v>SALA DE PROCEDIMIENTO</v>
          </cell>
          <cell r="I337">
            <v>1</v>
          </cell>
          <cell r="J337" t="str">
            <v>C.2.5.3.33</v>
          </cell>
          <cell r="K337" t="str">
            <v>UHCIP</v>
          </cell>
          <cell r="L337">
            <v>1</v>
          </cell>
          <cell r="M337">
            <v>46024</v>
          </cell>
          <cell r="N337">
            <v>46027</v>
          </cell>
          <cell r="O337">
            <v>1</v>
          </cell>
          <cell r="P337">
            <v>46028</v>
          </cell>
          <cell r="Q337">
            <v>1</v>
          </cell>
          <cell r="R337" t="str">
            <v>NA</v>
          </cell>
          <cell r="S337">
            <v>5</v>
          </cell>
        </row>
        <row r="338">
          <cell r="B338" t="str">
            <v>EMMC</v>
          </cell>
          <cell r="C338" t="str">
            <v>HSLB10726</v>
          </cell>
          <cell r="D338">
            <v>106002</v>
          </cell>
          <cell r="E338" t="str">
            <v>Chatas</v>
          </cell>
          <cell r="F338" t="str">
            <v>NO</v>
          </cell>
          <cell r="G338" t="str">
            <v>NO</v>
          </cell>
          <cell r="H338" t="str">
            <v>LAVACHATA MANUAL</v>
          </cell>
          <cell r="I338">
            <v>3</v>
          </cell>
          <cell r="J338" t="str">
            <v>C.2.3.30</v>
          </cell>
          <cell r="K338" t="str">
            <v>Dialisis</v>
          </cell>
          <cell r="L338">
            <v>1</v>
          </cell>
          <cell r="M338">
            <v>46031</v>
          </cell>
          <cell r="N338">
            <v>46034</v>
          </cell>
          <cell r="O338">
            <v>1</v>
          </cell>
          <cell r="P338">
            <v>46035</v>
          </cell>
          <cell r="Q338">
            <v>1</v>
          </cell>
          <cell r="R338" t="str">
            <v>NA</v>
          </cell>
          <cell r="S338">
            <v>5</v>
          </cell>
        </row>
        <row r="339">
          <cell r="B339" t="str">
            <v>EMMC</v>
          </cell>
          <cell r="C339" t="str">
            <v>HSLB10341</v>
          </cell>
          <cell r="D339">
            <v>103024</v>
          </cell>
          <cell r="E339" t="str">
            <v>Encimera Eléctrica</v>
          </cell>
          <cell r="F339" t="str">
            <v>SI</v>
          </cell>
          <cell r="G339" t="str">
            <v>NO</v>
          </cell>
          <cell r="H339" t="str">
            <v>ACTIVIDADES DE LA VIDA DIARIA C/KITCHENETTE</v>
          </cell>
          <cell r="I339">
            <v>1</v>
          </cell>
          <cell r="J339" t="str">
            <v>C.2.5.3.19</v>
          </cell>
          <cell r="K339" t="str">
            <v>UHCIP</v>
          </cell>
          <cell r="L339">
            <v>1</v>
          </cell>
          <cell r="M339">
            <v>46052</v>
          </cell>
          <cell r="N339">
            <v>46055</v>
          </cell>
          <cell r="O339">
            <v>4</v>
          </cell>
          <cell r="P339">
            <v>46059</v>
          </cell>
          <cell r="Q339">
            <v>5</v>
          </cell>
          <cell r="R339" t="str">
            <v>NA</v>
          </cell>
          <cell r="S339">
            <v>5</v>
          </cell>
        </row>
        <row r="340">
          <cell r="B340" t="str">
            <v>EMMC</v>
          </cell>
          <cell r="C340" t="str">
            <v>HSLB10357</v>
          </cell>
          <cell r="D340">
            <v>103031</v>
          </cell>
          <cell r="E340" t="str">
            <v>Horno Eléctrico Empotrado</v>
          </cell>
          <cell r="F340" t="str">
            <v>SI</v>
          </cell>
          <cell r="G340" t="str">
            <v>NO</v>
          </cell>
          <cell r="H340" t="str">
            <v>ACTIVIDADES DE LA VIDA DIARIA C/KITCHENETTE</v>
          </cell>
          <cell r="I340">
            <v>1</v>
          </cell>
          <cell r="J340" t="str">
            <v>C.2.5.3.19</v>
          </cell>
          <cell r="K340" t="str">
            <v>UHCIP</v>
          </cell>
          <cell r="L340">
            <v>1</v>
          </cell>
          <cell r="M340">
            <v>46050</v>
          </cell>
          <cell r="N340">
            <v>46051</v>
          </cell>
          <cell r="O340">
            <v>2</v>
          </cell>
          <cell r="P340">
            <v>46055</v>
          </cell>
          <cell r="Q340">
            <v>5</v>
          </cell>
          <cell r="R340" t="str">
            <v>NA</v>
          </cell>
          <cell r="S340">
            <v>5</v>
          </cell>
        </row>
        <row r="341">
          <cell r="B341" t="str">
            <v>EMMC</v>
          </cell>
          <cell r="C341" t="str">
            <v>HSLB10123</v>
          </cell>
          <cell r="D341">
            <v>101035</v>
          </cell>
          <cell r="E341" t="str">
            <v>Impedanciómetro de Masa Corporal</v>
          </cell>
          <cell r="F341" t="str">
            <v>NO</v>
          </cell>
          <cell r="G341" t="str">
            <v>NO</v>
          </cell>
          <cell r="H341" t="str">
            <v>PESA Y LAVADO DE FISTULA</v>
          </cell>
          <cell r="I341">
            <v>1</v>
          </cell>
          <cell r="J341" t="str">
            <v>C.2.3.40</v>
          </cell>
          <cell r="K341" t="str">
            <v>Dialisis</v>
          </cell>
          <cell r="L341">
            <v>1</v>
          </cell>
          <cell r="M341">
            <v>46031</v>
          </cell>
          <cell r="N341">
            <v>46034</v>
          </cell>
          <cell r="O341">
            <v>1</v>
          </cell>
          <cell r="P341">
            <v>46035</v>
          </cell>
          <cell r="Q341">
            <v>1</v>
          </cell>
          <cell r="R341" t="str">
            <v>NA</v>
          </cell>
          <cell r="S341">
            <v>5</v>
          </cell>
        </row>
        <row r="342">
          <cell r="B342" t="str">
            <v>EMMC</v>
          </cell>
          <cell r="C342" t="str">
            <v>HSLB10518</v>
          </cell>
          <cell r="D342">
            <v>104010</v>
          </cell>
          <cell r="E342" t="str">
            <v>Lámpara de Procedimientos Rodable</v>
          </cell>
          <cell r="F342" t="str">
            <v>NO</v>
          </cell>
          <cell r="G342" t="str">
            <v>NO</v>
          </cell>
          <cell r="H342" t="str">
            <v>SALA EDUCACIÓN PERITONEODIÁLISIS C/ BAÑO</v>
          </cell>
          <cell r="I342">
            <v>1</v>
          </cell>
          <cell r="J342" t="str">
            <v>C.2.3.20</v>
          </cell>
          <cell r="K342" t="str">
            <v>Dialisis</v>
          </cell>
          <cell r="L342">
            <v>1</v>
          </cell>
          <cell r="M342">
            <v>46031</v>
          </cell>
          <cell r="N342">
            <v>46034</v>
          </cell>
          <cell r="O342">
            <v>1</v>
          </cell>
          <cell r="P342">
            <v>46035</v>
          </cell>
          <cell r="Q342">
            <v>1</v>
          </cell>
          <cell r="R342" t="str">
            <v>NA</v>
          </cell>
          <cell r="S342">
            <v>5</v>
          </cell>
        </row>
        <row r="343">
          <cell r="B343" t="str">
            <v>EMMC</v>
          </cell>
          <cell r="C343" t="str">
            <v>HSLB10519</v>
          </cell>
          <cell r="D343">
            <v>104010</v>
          </cell>
          <cell r="E343" t="str">
            <v>Lámpara de Procedimientos Rodable</v>
          </cell>
          <cell r="F343" t="str">
            <v>NO</v>
          </cell>
          <cell r="G343" t="str">
            <v>NO</v>
          </cell>
          <cell r="H343" t="str">
            <v xml:space="preserve">SALA PROCEDIMIENTOS </v>
          </cell>
          <cell r="I343">
            <v>1</v>
          </cell>
          <cell r="J343" t="str">
            <v>C.2.3.21</v>
          </cell>
          <cell r="K343" t="str">
            <v>Dialisis</v>
          </cell>
          <cell r="L343">
            <v>1</v>
          </cell>
          <cell r="M343">
            <v>46031</v>
          </cell>
          <cell r="N343">
            <v>46034</v>
          </cell>
          <cell r="O343">
            <v>1</v>
          </cell>
          <cell r="P343">
            <v>46035</v>
          </cell>
          <cell r="Q343">
            <v>1</v>
          </cell>
          <cell r="R343" t="str">
            <v>NA</v>
          </cell>
          <cell r="S343">
            <v>5</v>
          </cell>
        </row>
        <row r="344">
          <cell r="B344" t="str">
            <v>EMMC</v>
          </cell>
          <cell r="C344" t="str">
            <v>HSLB10520</v>
          </cell>
          <cell r="D344">
            <v>104010</v>
          </cell>
          <cell r="E344" t="str">
            <v>Lámpara de Procedimientos Rodable</v>
          </cell>
          <cell r="F344" t="str">
            <v>NO</v>
          </cell>
          <cell r="G344" t="str">
            <v>NO</v>
          </cell>
          <cell r="H344" t="str">
            <v>SALA DE PROCEDIMIENTO</v>
          </cell>
          <cell r="I344">
            <v>1</v>
          </cell>
          <cell r="J344" t="str">
            <v>C.2.5.3.33</v>
          </cell>
          <cell r="K344" t="str">
            <v>UHCIP</v>
          </cell>
          <cell r="L344">
            <v>1</v>
          </cell>
          <cell r="M344">
            <v>46024</v>
          </cell>
          <cell r="N344">
            <v>46027</v>
          </cell>
          <cell r="O344">
            <v>1</v>
          </cell>
          <cell r="P344">
            <v>46028</v>
          </cell>
          <cell r="Q344">
            <v>1</v>
          </cell>
          <cell r="R344" t="str">
            <v>NA</v>
          </cell>
          <cell r="S344">
            <v>5</v>
          </cell>
        </row>
        <row r="345">
          <cell r="B345" t="str">
            <v>EMMC</v>
          </cell>
          <cell r="C345" t="str">
            <v>HSLB12344</v>
          </cell>
          <cell r="D345">
            <v>112065</v>
          </cell>
          <cell r="E345" t="str">
            <v>Mesa Mortuoria</v>
          </cell>
          <cell r="F345" t="str">
            <v>NO</v>
          </cell>
          <cell r="G345" t="str">
            <v>NO</v>
          </cell>
          <cell r="H345" t="str">
            <v>VESTIDOR Y ENTREGA FAMILIARES</v>
          </cell>
          <cell r="I345">
            <v>1</v>
          </cell>
          <cell r="J345" t="str">
            <v>C.5.9.7</v>
          </cell>
          <cell r="K345" t="str">
            <v>Morgue</v>
          </cell>
          <cell r="L345">
            <v>1</v>
          </cell>
          <cell r="M345">
            <v>46049</v>
          </cell>
          <cell r="N345">
            <v>46050</v>
          </cell>
          <cell r="O345">
            <v>1</v>
          </cell>
          <cell r="P345">
            <v>46051</v>
          </cell>
          <cell r="Q345">
            <v>1</v>
          </cell>
          <cell r="R345" t="str">
            <v>NA</v>
          </cell>
          <cell r="S345">
            <v>5</v>
          </cell>
        </row>
        <row r="346">
          <cell r="B346" t="str">
            <v>EMMC</v>
          </cell>
          <cell r="C346" t="str">
            <v>HSLB11405</v>
          </cell>
          <cell r="D346">
            <v>110048</v>
          </cell>
          <cell r="E346" t="str">
            <v>Refrigerador Clínico 300 l</v>
          </cell>
          <cell r="F346" t="str">
            <v>NO</v>
          </cell>
          <cell r="G346" t="str">
            <v>NO</v>
          </cell>
          <cell r="H346" t="str">
            <v>CLINICA DE ENFEWRMERIA (AREA LIMPIA)</v>
          </cell>
          <cell r="I346">
            <v>1</v>
          </cell>
          <cell r="J346" t="str">
            <v>C.2.3.16.1</v>
          </cell>
          <cell r="K346" t="str">
            <v>Dialisis</v>
          </cell>
          <cell r="L346">
            <v>1</v>
          </cell>
          <cell r="M346">
            <v>46031</v>
          </cell>
          <cell r="N346">
            <v>46034</v>
          </cell>
          <cell r="O346">
            <v>1</v>
          </cell>
          <cell r="P346">
            <v>46035</v>
          </cell>
          <cell r="Q346">
            <v>1</v>
          </cell>
          <cell r="R346" t="str">
            <v>NA</v>
          </cell>
          <cell r="S346">
            <v>5</v>
          </cell>
        </row>
        <row r="347">
          <cell r="B347" t="str">
            <v>EMMC</v>
          </cell>
          <cell r="C347" t="str">
            <v>HSLB11413</v>
          </cell>
          <cell r="D347">
            <v>110051</v>
          </cell>
          <cell r="E347" t="str">
            <v>Refrigerador Clínico 60 l</v>
          </cell>
          <cell r="F347" t="str">
            <v>NO</v>
          </cell>
          <cell r="G347" t="str">
            <v>NO</v>
          </cell>
          <cell r="H347" t="str">
            <v>AREA LIMPIA</v>
          </cell>
          <cell r="I347">
            <v>2</v>
          </cell>
          <cell r="J347" t="str">
            <v>C.2.5.3.25.2</v>
          </cell>
          <cell r="K347" t="str">
            <v>UHCIP</v>
          </cell>
          <cell r="L347">
            <v>1</v>
          </cell>
          <cell r="M347">
            <v>46024</v>
          </cell>
          <cell r="N347">
            <v>46027</v>
          </cell>
          <cell r="O347">
            <v>1</v>
          </cell>
          <cell r="P347">
            <v>46028</v>
          </cell>
          <cell r="Q347">
            <v>1</v>
          </cell>
          <cell r="R347" t="str">
            <v>NA</v>
          </cell>
          <cell r="S347">
            <v>5</v>
          </cell>
        </row>
        <row r="348">
          <cell r="B348" t="str">
            <v>EMMC</v>
          </cell>
          <cell r="C348" t="str">
            <v>HSLB10398</v>
          </cell>
          <cell r="D348">
            <v>103048</v>
          </cell>
          <cell r="E348" t="str">
            <v>Refrigerador Doméstico</v>
          </cell>
          <cell r="F348" t="str">
            <v>NO</v>
          </cell>
          <cell r="G348" t="str">
            <v>NO</v>
          </cell>
          <cell r="H348" t="str">
            <v>ESTAR PERSONAL C/ KITCHENETTE</v>
          </cell>
          <cell r="I348">
            <v>1</v>
          </cell>
          <cell r="J348" t="str">
            <v>C.2.5.3.43</v>
          </cell>
          <cell r="K348" t="str">
            <v>UHCIP</v>
          </cell>
          <cell r="L348">
            <v>1</v>
          </cell>
          <cell r="M348">
            <v>46024</v>
          </cell>
          <cell r="N348">
            <v>46027</v>
          </cell>
          <cell r="O348">
            <v>1</v>
          </cell>
          <cell r="P348">
            <v>46028</v>
          </cell>
          <cell r="Q348">
            <v>1</v>
          </cell>
          <cell r="R348" t="str">
            <v>NA</v>
          </cell>
          <cell r="S348">
            <v>5</v>
          </cell>
        </row>
        <row r="349">
          <cell r="B349" t="str">
            <v>EMMC</v>
          </cell>
          <cell r="C349" t="str">
            <v>HSLB10442</v>
          </cell>
          <cell r="D349">
            <v>103048</v>
          </cell>
          <cell r="E349" t="str">
            <v>Refrigerador Doméstico</v>
          </cell>
          <cell r="F349" t="str">
            <v>NO</v>
          </cell>
          <cell r="G349" t="str">
            <v>NO</v>
          </cell>
          <cell r="H349" t="str">
            <v>ACTIVIDADES DE LA VIDA DIARIA C/KITCHENETTE</v>
          </cell>
          <cell r="I349">
            <v>1</v>
          </cell>
          <cell r="J349" t="str">
            <v>C.2.5.3.19</v>
          </cell>
          <cell r="K349" t="str">
            <v>UHCIP</v>
          </cell>
          <cell r="L349">
            <v>1</v>
          </cell>
          <cell r="M349">
            <v>46024</v>
          </cell>
          <cell r="N349">
            <v>46027</v>
          </cell>
          <cell r="O349">
            <v>1</v>
          </cell>
          <cell r="P349">
            <v>46028</v>
          </cell>
          <cell r="Q349">
            <v>1</v>
          </cell>
          <cell r="R349" t="str">
            <v>NA</v>
          </cell>
          <cell r="S349">
            <v>5</v>
          </cell>
        </row>
        <row r="350">
          <cell r="B350" t="str">
            <v>EMMC</v>
          </cell>
          <cell r="C350" t="str">
            <v>HSLB11215</v>
          </cell>
          <cell r="D350">
            <v>109009</v>
          </cell>
          <cell r="E350" t="str">
            <v>Set Instrumental Cirugía Menor</v>
          </cell>
          <cell r="F350" t="str">
            <v>NO</v>
          </cell>
          <cell r="G350" t="str">
            <v>NO</v>
          </cell>
          <cell r="H350" t="str">
            <v>SALA DE PROCEDIMIENTO</v>
          </cell>
          <cell r="I350">
            <v>1</v>
          </cell>
          <cell r="J350" t="str">
            <v>C.2.5.3.33</v>
          </cell>
          <cell r="K350" t="str">
            <v>UHCIP</v>
          </cell>
          <cell r="L350">
            <v>1</v>
          </cell>
          <cell r="M350">
            <v>46024</v>
          </cell>
          <cell r="N350">
            <v>46027</v>
          </cell>
          <cell r="O350">
            <v>1</v>
          </cell>
          <cell r="P350">
            <v>46028</v>
          </cell>
          <cell r="Q350">
            <v>1</v>
          </cell>
          <cell r="R350" t="str">
            <v>NA</v>
          </cell>
          <cell r="S350">
            <v>5</v>
          </cell>
        </row>
        <row r="351">
          <cell r="B351" t="str">
            <v>EMMC</v>
          </cell>
          <cell r="C351" t="str">
            <v>HSLB11228</v>
          </cell>
          <cell r="D351">
            <v>109010</v>
          </cell>
          <cell r="E351" t="str">
            <v>Set Instrumental Curación</v>
          </cell>
          <cell r="F351" t="str">
            <v>NO</v>
          </cell>
          <cell r="G351" t="str">
            <v>NO</v>
          </cell>
          <cell r="H351" t="str">
            <v>ESTACIÓN DE ENFERMERÍA</v>
          </cell>
          <cell r="I351">
            <v>5</v>
          </cell>
          <cell r="J351" t="str">
            <v>C.2.3.15.3</v>
          </cell>
          <cell r="K351" t="str">
            <v>Dialisis</v>
          </cell>
          <cell r="L351">
            <v>1</v>
          </cell>
          <cell r="M351">
            <v>46031</v>
          </cell>
          <cell r="N351">
            <v>46034</v>
          </cell>
          <cell r="O351">
            <v>1</v>
          </cell>
          <cell r="P351">
            <v>46035</v>
          </cell>
          <cell r="Q351">
            <v>1</v>
          </cell>
          <cell r="R351" t="str">
            <v>NA</v>
          </cell>
          <cell r="S351">
            <v>5</v>
          </cell>
        </row>
        <row r="352">
          <cell r="B352" t="str">
            <v>EMMC</v>
          </cell>
          <cell r="C352" t="str">
            <v>HSLB11229</v>
          </cell>
          <cell r="D352">
            <v>109010</v>
          </cell>
          <cell r="E352" t="str">
            <v>Set Instrumental Curación</v>
          </cell>
          <cell r="F352" t="str">
            <v>NO</v>
          </cell>
          <cell r="G352" t="str">
            <v>NO</v>
          </cell>
          <cell r="H352" t="str">
            <v xml:space="preserve">SALA PROCEDIMIENTOS </v>
          </cell>
          <cell r="I352">
            <v>4</v>
          </cell>
          <cell r="J352" t="str">
            <v>C.2.3.21</v>
          </cell>
          <cell r="K352" t="str">
            <v>Dialisis</v>
          </cell>
          <cell r="L352">
            <v>1</v>
          </cell>
          <cell r="M352">
            <v>46031</v>
          </cell>
          <cell r="N352">
            <v>46034</v>
          </cell>
          <cell r="O352">
            <v>1</v>
          </cell>
          <cell r="P352">
            <v>46035</v>
          </cell>
          <cell r="Q352">
            <v>1</v>
          </cell>
          <cell r="R352" t="str">
            <v>NA</v>
          </cell>
          <cell r="S352">
            <v>5</v>
          </cell>
        </row>
        <row r="353">
          <cell r="B353" t="str">
            <v>EMMC</v>
          </cell>
          <cell r="C353" t="str">
            <v>HSLB11232</v>
          </cell>
          <cell r="D353">
            <v>109010</v>
          </cell>
          <cell r="E353" t="str">
            <v>Set Instrumental Curación</v>
          </cell>
          <cell r="F353" t="str">
            <v>NO</v>
          </cell>
          <cell r="G353" t="str">
            <v>NO</v>
          </cell>
          <cell r="H353" t="str">
            <v>SALA DE PROCEDIMIENTO</v>
          </cell>
          <cell r="I353">
            <v>2</v>
          </cell>
          <cell r="J353" t="str">
            <v>C.2.5.3.33</v>
          </cell>
          <cell r="K353" t="str">
            <v>UHCIP</v>
          </cell>
          <cell r="L353">
            <v>1</v>
          </cell>
          <cell r="M353">
            <v>46024</v>
          </cell>
          <cell r="N353">
            <v>46027</v>
          </cell>
          <cell r="O353">
            <v>1</v>
          </cell>
          <cell r="P353">
            <v>46028</v>
          </cell>
          <cell r="Q353">
            <v>1</v>
          </cell>
          <cell r="R353" t="str">
            <v>NA</v>
          </cell>
          <cell r="S353">
            <v>5</v>
          </cell>
        </row>
        <row r="354">
          <cell r="B354" t="str">
            <v>EMMC</v>
          </cell>
          <cell r="C354" t="str">
            <v>HSLB11295</v>
          </cell>
          <cell r="D354">
            <v>109021</v>
          </cell>
          <cell r="E354" t="str">
            <v>Set Instrumental Sutura</v>
          </cell>
          <cell r="F354" t="str">
            <v>NO</v>
          </cell>
          <cell r="G354" t="str">
            <v>NO</v>
          </cell>
          <cell r="H354" t="str">
            <v>SALA DE PROCEDIMIENTO</v>
          </cell>
          <cell r="I354">
            <v>2</v>
          </cell>
          <cell r="J354" t="str">
            <v>C.2.5.3.33</v>
          </cell>
          <cell r="K354" t="str">
            <v>UHCIP</v>
          </cell>
          <cell r="L354">
            <v>1</v>
          </cell>
          <cell r="M354">
            <v>46024</v>
          </cell>
          <cell r="N354">
            <v>46027</v>
          </cell>
          <cell r="O354">
            <v>1</v>
          </cell>
          <cell r="P354">
            <v>46028</v>
          </cell>
          <cell r="Q354">
            <v>1</v>
          </cell>
          <cell r="R354" t="str">
            <v>NA</v>
          </cell>
          <cell r="S354">
            <v>5</v>
          </cell>
        </row>
        <row r="355">
          <cell r="B355" t="str">
            <v>EMMC</v>
          </cell>
          <cell r="C355" t="str">
            <v>HSLB12471</v>
          </cell>
          <cell r="D355">
            <v>112078</v>
          </cell>
          <cell r="E355" t="str">
            <v>Silla de Ruedas Bariátrica</v>
          </cell>
          <cell r="F355" t="str">
            <v>NO</v>
          </cell>
          <cell r="G355" t="str">
            <v>NO</v>
          </cell>
          <cell r="H355" t="str">
            <v>EST. CAMILLAS Y SILLAS DE RUEDAS</v>
          </cell>
          <cell r="I355">
            <v>1</v>
          </cell>
          <cell r="J355" t="str">
            <v>C.2.3.9</v>
          </cell>
          <cell r="K355" t="str">
            <v>Dialisis</v>
          </cell>
          <cell r="L355">
            <v>1</v>
          </cell>
          <cell r="M355">
            <v>46031</v>
          </cell>
          <cell r="N355">
            <v>46034</v>
          </cell>
          <cell r="O355">
            <v>1</v>
          </cell>
          <cell r="P355">
            <v>46035</v>
          </cell>
          <cell r="Q355">
            <v>1</v>
          </cell>
          <cell r="R355" t="str">
            <v>NA</v>
          </cell>
          <cell r="S355">
            <v>5</v>
          </cell>
        </row>
        <row r="356">
          <cell r="B356" t="str">
            <v>EMMC</v>
          </cell>
          <cell r="C356" t="str">
            <v>HSLB12477</v>
          </cell>
          <cell r="D356">
            <v>112082</v>
          </cell>
          <cell r="E356" t="str">
            <v>Sillón Clínico tipo 1</v>
          </cell>
          <cell r="F356" t="str">
            <v>NO</v>
          </cell>
          <cell r="G356" t="str">
            <v>NO</v>
          </cell>
          <cell r="H356" t="str">
            <v xml:space="preserve">SALA POST-DIALISADOS </v>
          </cell>
          <cell r="I356">
            <v>5</v>
          </cell>
          <cell r="J356" t="str">
            <v>C.2.3.19</v>
          </cell>
          <cell r="K356" t="str">
            <v>Dialisis</v>
          </cell>
          <cell r="L356">
            <v>1</v>
          </cell>
          <cell r="M356">
            <v>46031</v>
          </cell>
          <cell r="N356">
            <v>46034</v>
          </cell>
          <cell r="O356">
            <v>1</v>
          </cell>
          <cell r="P356">
            <v>46035</v>
          </cell>
          <cell r="Q356">
            <v>1</v>
          </cell>
          <cell r="R356" t="str">
            <v>NA</v>
          </cell>
          <cell r="S356">
            <v>5</v>
          </cell>
        </row>
        <row r="357">
          <cell r="B357" t="str">
            <v>EMMC</v>
          </cell>
          <cell r="C357" t="str">
            <v>HSLB12478</v>
          </cell>
          <cell r="D357">
            <v>112082</v>
          </cell>
          <cell r="E357" t="str">
            <v>Sillón Clínico tipo 1</v>
          </cell>
          <cell r="F357" t="str">
            <v>NO</v>
          </cell>
          <cell r="G357" t="str">
            <v>NO</v>
          </cell>
          <cell r="H357" t="str">
            <v>SALA EDUCACIÓN PERITONEODIÁLISIS C/ BAÑO</v>
          </cell>
          <cell r="I357">
            <v>1</v>
          </cell>
          <cell r="J357" t="str">
            <v>C.2.3.20</v>
          </cell>
          <cell r="K357" t="str">
            <v>Dialisis</v>
          </cell>
          <cell r="L357">
            <v>1</v>
          </cell>
          <cell r="M357">
            <v>46031</v>
          </cell>
          <cell r="N357">
            <v>46034</v>
          </cell>
          <cell r="O357">
            <v>1</v>
          </cell>
          <cell r="P357">
            <v>46035</v>
          </cell>
          <cell r="Q357">
            <v>1</v>
          </cell>
          <cell r="R357" t="str">
            <v>NA</v>
          </cell>
          <cell r="S357">
            <v>5</v>
          </cell>
        </row>
        <row r="358">
          <cell r="B358" t="str">
            <v>EMMC</v>
          </cell>
          <cell r="C358" t="str">
            <v>HSLB12490</v>
          </cell>
          <cell r="D358">
            <v>112084</v>
          </cell>
          <cell r="E358" t="str">
            <v>Sillón Hemodiálisis</v>
          </cell>
          <cell r="F358" t="str">
            <v>NO</v>
          </cell>
          <cell r="G358" t="str">
            <v>NO</v>
          </cell>
          <cell r="H358" t="str">
            <v>PUESTO DIALISADOS CRÓNICOS</v>
          </cell>
          <cell r="I358">
            <v>6</v>
          </cell>
          <cell r="J358" t="str">
            <v>C.2.3.13.1</v>
          </cell>
          <cell r="K358" t="str">
            <v>Dialisis</v>
          </cell>
          <cell r="L358">
            <v>1</v>
          </cell>
          <cell r="M358">
            <v>46031</v>
          </cell>
          <cell r="N358">
            <v>46034</v>
          </cell>
          <cell r="O358">
            <v>1</v>
          </cell>
          <cell r="P358">
            <v>46035</v>
          </cell>
          <cell r="Q358">
            <v>1</v>
          </cell>
          <cell r="R358" t="str">
            <v>NA</v>
          </cell>
          <cell r="S358">
            <v>5</v>
          </cell>
        </row>
        <row r="359">
          <cell r="B359" t="str">
            <v>EMMC</v>
          </cell>
          <cell r="C359" t="str">
            <v>HSLB12491</v>
          </cell>
          <cell r="D359">
            <v>112084</v>
          </cell>
          <cell r="E359" t="str">
            <v>Sillón Hemodiálisis</v>
          </cell>
          <cell r="F359" t="str">
            <v>NO</v>
          </cell>
          <cell r="G359" t="str">
            <v>NO</v>
          </cell>
          <cell r="H359" t="str">
            <v>PUESTO DIALISADOS CRÓNICOS</v>
          </cell>
          <cell r="I359">
            <v>6</v>
          </cell>
          <cell r="J359" t="str">
            <v>C.2.3.13.2</v>
          </cell>
          <cell r="K359" t="str">
            <v>Dialisis</v>
          </cell>
          <cell r="L359">
            <v>1</v>
          </cell>
          <cell r="M359">
            <v>46031</v>
          </cell>
          <cell r="N359">
            <v>46034</v>
          </cell>
          <cell r="O359">
            <v>1</v>
          </cell>
          <cell r="P359">
            <v>46035</v>
          </cell>
          <cell r="Q359">
            <v>1</v>
          </cell>
          <cell r="R359" t="str">
            <v>NA</v>
          </cell>
          <cell r="S359">
            <v>5</v>
          </cell>
        </row>
        <row r="360">
          <cell r="B360" t="str">
            <v>EMMC</v>
          </cell>
          <cell r="C360" t="str">
            <v>HSLB12492</v>
          </cell>
          <cell r="D360">
            <v>112084</v>
          </cell>
          <cell r="E360" t="str">
            <v>Sillón Hemodiálisis</v>
          </cell>
          <cell r="F360" t="str">
            <v>NO</v>
          </cell>
          <cell r="G360" t="str">
            <v>NO</v>
          </cell>
          <cell r="H360" t="str">
            <v>PUESTO DIALISADOS CRÓNICOS</v>
          </cell>
          <cell r="I360">
            <v>5</v>
          </cell>
          <cell r="J360" t="str">
            <v>C.2.3.13.3</v>
          </cell>
          <cell r="K360" t="str">
            <v>Dialisis</v>
          </cell>
          <cell r="L360">
            <v>1</v>
          </cell>
          <cell r="M360">
            <v>46031</v>
          </cell>
          <cell r="N360">
            <v>46034</v>
          </cell>
          <cell r="O360">
            <v>1</v>
          </cell>
          <cell r="P360">
            <v>46035</v>
          </cell>
          <cell r="Q360">
            <v>1</v>
          </cell>
          <cell r="R360" t="str">
            <v>NA</v>
          </cell>
          <cell r="S360">
            <v>5</v>
          </cell>
        </row>
        <row r="361">
          <cell r="B361" t="str">
            <v>EMMC</v>
          </cell>
          <cell r="C361" t="str">
            <v>HSLB12493</v>
          </cell>
          <cell r="D361">
            <v>112084</v>
          </cell>
          <cell r="E361" t="str">
            <v>Sillón Hemodiálisis</v>
          </cell>
          <cell r="F361" t="str">
            <v>NO</v>
          </cell>
          <cell r="G361" t="str">
            <v>NO</v>
          </cell>
          <cell r="H361" t="str">
            <v>PUESTO DIALISADO AISLADOS</v>
          </cell>
          <cell r="I361">
            <v>1</v>
          </cell>
          <cell r="J361" t="str">
            <v>C.2.3.14</v>
          </cell>
          <cell r="K361" t="str">
            <v>Dialisis</v>
          </cell>
          <cell r="L361">
            <v>1</v>
          </cell>
          <cell r="M361">
            <v>46031</v>
          </cell>
          <cell r="N361">
            <v>46034</v>
          </cell>
          <cell r="O361">
            <v>1</v>
          </cell>
          <cell r="P361">
            <v>46035</v>
          </cell>
          <cell r="Q361">
            <v>1</v>
          </cell>
          <cell r="R361" t="str">
            <v>NA</v>
          </cell>
          <cell r="S361">
            <v>5</v>
          </cell>
        </row>
        <row r="362">
          <cell r="B362" t="str">
            <v>EMMC</v>
          </cell>
          <cell r="C362" t="str">
            <v>HSLB10204</v>
          </cell>
          <cell r="D362">
            <v>101053</v>
          </cell>
          <cell r="E362" t="str">
            <v>Otooftalmoscopio Mural</v>
          </cell>
          <cell r="F362" t="str">
            <v>NO</v>
          </cell>
          <cell r="G362" t="str">
            <v>NO</v>
          </cell>
          <cell r="H362" t="str">
            <v>BOX URGENCIA(1)</v>
          </cell>
          <cell r="I362">
            <v>1</v>
          </cell>
          <cell r="J362" t="str">
            <v>C.4.3.3.1</v>
          </cell>
          <cell r="K362" t="str">
            <v>Urgencia</v>
          </cell>
          <cell r="L362">
            <v>1</v>
          </cell>
          <cell r="M362">
            <v>46003</v>
          </cell>
          <cell r="N362">
            <v>46006</v>
          </cell>
          <cell r="O362">
            <v>1</v>
          </cell>
          <cell r="P362">
            <v>46007</v>
          </cell>
          <cell r="Q362">
            <v>1</v>
          </cell>
          <cell r="R362" t="str">
            <v>NA</v>
          </cell>
          <cell r="S362">
            <v>5</v>
          </cell>
        </row>
        <row r="363">
          <cell r="B363" t="str">
            <v>EMMC</v>
          </cell>
          <cell r="C363" t="str">
            <v>HSLB10205</v>
          </cell>
          <cell r="D363">
            <v>101053</v>
          </cell>
          <cell r="E363" t="str">
            <v>Otooftalmoscopio Mural</v>
          </cell>
          <cell r="F363" t="str">
            <v>NO</v>
          </cell>
          <cell r="G363" t="str">
            <v>NO</v>
          </cell>
          <cell r="H363" t="str">
            <v>BOX URGENCIA (2)</v>
          </cell>
          <cell r="I363">
            <v>1</v>
          </cell>
          <cell r="J363" t="str">
            <v>C.4.3.3.2</v>
          </cell>
          <cell r="K363" t="str">
            <v>Urgencia</v>
          </cell>
          <cell r="L363">
            <v>1</v>
          </cell>
          <cell r="M363">
            <v>46003</v>
          </cell>
          <cell r="N363">
            <v>46006</v>
          </cell>
          <cell r="O363">
            <v>1</v>
          </cell>
          <cell r="P363">
            <v>46007</v>
          </cell>
          <cell r="Q363">
            <v>1</v>
          </cell>
          <cell r="R363" t="str">
            <v>NA</v>
          </cell>
          <cell r="S363">
            <v>5</v>
          </cell>
        </row>
        <row r="364">
          <cell r="B364" t="str">
            <v>EMMC</v>
          </cell>
          <cell r="C364" t="str">
            <v>HSLB10206</v>
          </cell>
          <cell r="D364">
            <v>101053</v>
          </cell>
          <cell r="E364" t="str">
            <v>Otooftalmoscopio Mural</v>
          </cell>
          <cell r="F364" t="str">
            <v>NO</v>
          </cell>
          <cell r="G364" t="str">
            <v>NO</v>
          </cell>
          <cell r="H364" t="str">
            <v>BOX URGENCIA(3)</v>
          </cell>
          <cell r="I364">
            <v>1</v>
          </cell>
          <cell r="J364" t="str">
            <v>C.4.3.3.3</v>
          </cell>
          <cell r="K364" t="str">
            <v>Urgencia</v>
          </cell>
          <cell r="L364">
            <v>1</v>
          </cell>
          <cell r="M364">
            <v>46003</v>
          </cell>
          <cell r="N364">
            <v>46006</v>
          </cell>
          <cell r="O364">
            <v>1</v>
          </cell>
          <cell r="P364">
            <v>46007</v>
          </cell>
          <cell r="Q364">
            <v>1</v>
          </cell>
          <cell r="R364" t="str">
            <v>NA</v>
          </cell>
          <cell r="S364">
            <v>5</v>
          </cell>
        </row>
        <row r="365">
          <cell r="B365" t="str">
            <v>EMMC</v>
          </cell>
          <cell r="C365" t="str">
            <v>HSLB10207</v>
          </cell>
          <cell r="D365">
            <v>101053</v>
          </cell>
          <cell r="E365" t="str">
            <v>Otooftalmoscopio Mural</v>
          </cell>
          <cell r="F365" t="str">
            <v>NO</v>
          </cell>
          <cell r="G365" t="str">
            <v>NO</v>
          </cell>
          <cell r="H365" t="str">
            <v>BOX URGENCIA(4)</v>
          </cell>
          <cell r="I365">
            <v>1</v>
          </cell>
          <cell r="J365" t="str">
            <v>C.4.3.3.4</v>
          </cell>
          <cell r="K365" t="str">
            <v>Urgencia</v>
          </cell>
          <cell r="L365">
            <v>1</v>
          </cell>
          <cell r="M365">
            <v>46003</v>
          </cell>
          <cell r="N365">
            <v>46006</v>
          </cell>
          <cell r="O365">
            <v>1</v>
          </cell>
          <cell r="P365">
            <v>46007</v>
          </cell>
          <cell r="Q365">
            <v>1</v>
          </cell>
          <cell r="R365" t="str">
            <v>NA</v>
          </cell>
          <cell r="S365">
            <v>5</v>
          </cell>
        </row>
        <row r="366">
          <cell r="B366" t="str">
            <v>EMMC</v>
          </cell>
          <cell r="C366" t="str">
            <v>HSLB10208</v>
          </cell>
          <cell r="D366">
            <v>101053</v>
          </cell>
          <cell r="E366" t="str">
            <v>Otooftalmoscopio Mural</v>
          </cell>
          <cell r="F366" t="str">
            <v>NO</v>
          </cell>
          <cell r="G366" t="str">
            <v>NO</v>
          </cell>
          <cell r="H366" t="str">
            <v>BOX URGENCIA(5)</v>
          </cell>
          <cell r="I366">
            <v>1</v>
          </cell>
          <cell r="J366" t="str">
            <v>C.4.3.3.5</v>
          </cell>
          <cell r="K366" t="str">
            <v>Urgencia</v>
          </cell>
          <cell r="L366">
            <v>1</v>
          </cell>
          <cell r="M366">
            <v>46003</v>
          </cell>
          <cell r="N366">
            <v>46006</v>
          </cell>
          <cell r="O366">
            <v>1</v>
          </cell>
          <cell r="P366">
            <v>46007</v>
          </cell>
          <cell r="Q366">
            <v>1</v>
          </cell>
          <cell r="R366" t="str">
            <v>NA</v>
          </cell>
          <cell r="S366">
            <v>5</v>
          </cell>
        </row>
        <row r="367">
          <cell r="B367" t="str">
            <v>EMMC</v>
          </cell>
          <cell r="C367" t="str">
            <v>HSLB10209</v>
          </cell>
          <cell r="D367">
            <v>101053</v>
          </cell>
          <cell r="E367" t="str">
            <v>Otooftalmoscopio Mural</v>
          </cell>
          <cell r="F367" t="str">
            <v>NO</v>
          </cell>
          <cell r="G367" t="str">
            <v>NO</v>
          </cell>
          <cell r="H367" t="str">
            <v>BOX URGENCIA (infantil)</v>
          </cell>
          <cell r="I367">
            <v>1</v>
          </cell>
          <cell r="J367" t="str">
            <v>C.4.4.3.1</v>
          </cell>
          <cell r="K367" t="str">
            <v>Urgencia</v>
          </cell>
          <cell r="L367">
            <v>1</v>
          </cell>
          <cell r="M367">
            <v>46003</v>
          </cell>
          <cell r="N367">
            <v>46006</v>
          </cell>
          <cell r="O367">
            <v>1</v>
          </cell>
          <cell r="P367">
            <v>46007</v>
          </cell>
          <cell r="Q367">
            <v>1</v>
          </cell>
          <cell r="R367" t="str">
            <v>NA</v>
          </cell>
          <cell r="S367">
            <v>5</v>
          </cell>
        </row>
        <row r="368">
          <cell r="B368" t="str">
            <v>EMMC</v>
          </cell>
          <cell r="C368" t="str">
            <v>HSLB10210</v>
          </cell>
          <cell r="D368">
            <v>101053</v>
          </cell>
          <cell r="E368" t="str">
            <v>Otooftalmoscopio Mural</v>
          </cell>
          <cell r="F368" t="str">
            <v>NO</v>
          </cell>
          <cell r="G368" t="str">
            <v>NO</v>
          </cell>
          <cell r="H368" t="str">
            <v>BOX URGENCIA (infantil)</v>
          </cell>
          <cell r="I368">
            <v>1</v>
          </cell>
          <cell r="J368" t="str">
            <v>C.4.4.3.2</v>
          </cell>
          <cell r="K368" t="str">
            <v>Urgencia</v>
          </cell>
          <cell r="L368">
            <v>1</v>
          </cell>
          <cell r="M368">
            <v>46003</v>
          </cell>
          <cell r="N368">
            <v>46006</v>
          </cell>
          <cell r="O368">
            <v>1</v>
          </cell>
          <cell r="P368">
            <v>46007</v>
          </cell>
          <cell r="Q368">
            <v>1</v>
          </cell>
          <cell r="R368" t="str">
            <v>NA</v>
          </cell>
          <cell r="S368">
            <v>5</v>
          </cell>
        </row>
        <row r="369">
          <cell r="B369" t="str">
            <v>EMMC</v>
          </cell>
          <cell r="C369" t="str">
            <v>HSLB10211</v>
          </cell>
          <cell r="D369">
            <v>101053</v>
          </cell>
          <cell r="E369" t="str">
            <v>Otooftalmoscopio Mural</v>
          </cell>
          <cell r="F369" t="str">
            <v>NO</v>
          </cell>
          <cell r="G369" t="str">
            <v>NO</v>
          </cell>
          <cell r="H369" t="str">
            <v>SALA TELEMEDICINA</v>
          </cell>
          <cell r="I369">
            <v>1</v>
          </cell>
          <cell r="J369" t="str">
            <v>C.4.5.1.1</v>
          </cell>
          <cell r="K369" t="str">
            <v>Urgencia</v>
          </cell>
          <cell r="L369">
            <v>1</v>
          </cell>
          <cell r="M369">
            <v>46003</v>
          </cell>
          <cell r="N369">
            <v>46006</v>
          </cell>
          <cell r="O369">
            <v>1</v>
          </cell>
          <cell r="P369">
            <v>46007</v>
          </cell>
          <cell r="Q369">
            <v>1</v>
          </cell>
          <cell r="R369" t="str">
            <v>NA</v>
          </cell>
          <cell r="S369">
            <v>5</v>
          </cell>
        </row>
        <row r="370">
          <cell r="B370" t="str">
            <v>EMMC</v>
          </cell>
          <cell r="C370" t="str">
            <v>HSLB10212</v>
          </cell>
          <cell r="D370">
            <v>101053</v>
          </cell>
          <cell r="E370" t="str">
            <v>Otooftalmoscopio Mural</v>
          </cell>
          <cell r="F370" t="str">
            <v>NO</v>
          </cell>
          <cell r="G370" t="str">
            <v>NO</v>
          </cell>
          <cell r="H370" t="str">
            <v>SALA TELEMEDICINA</v>
          </cell>
          <cell r="I370">
            <v>1</v>
          </cell>
          <cell r="J370" t="str">
            <v>C.4.5.1.2</v>
          </cell>
          <cell r="K370" t="str">
            <v>Urgencia</v>
          </cell>
          <cell r="L370">
            <v>1</v>
          </cell>
          <cell r="M370">
            <v>46003</v>
          </cell>
          <cell r="N370">
            <v>46006</v>
          </cell>
          <cell r="O370">
            <v>1</v>
          </cell>
          <cell r="P370">
            <v>46007</v>
          </cell>
          <cell r="Q370">
            <v>1</v>
          </cell>
          <cell r="R370" t="str">
            <v>NA</v>
          </cell>
          <cell r="S370">
            <v>5</v>
          </cell>
        </row>
        <row r="371">
          <cell r="B371" t="str">
            <v>EMMC</v>
          </cell>
          <cell r="C371" t="str">
            <v>HSLB10034</v>
          </cell>
          <cell r="D371">
            <v>101005</v>
          </cell>
          <cell r="E371" t="str">
            <v>Balanza Adulto con Tallímetro</v>
          </cell>
          <cell r="F371" t="str">
            <v>NO</v>
          </cell>
          <cell r="G371" t="str">
            <v>NO</v>
          </cell>
          <cell r="H371" t="str">
            <v>SALA CONTROL SALUD</v>
          </cell>
          <cell r="I371">
            <v>1</v>
          </cell>
          <cell r="J371" t="str">
            <v>H.2.6</v>
          </cell>
          <cell r="K371" t="str">
            <v>Sala cuna</v>
          </cell>
          <cell r="L371">
            <v>1</v>
          </cell>
          <cell r="M371">
            <v>46041</v>
          </cell>
          <cell r="N371">
            <v>46042</v>
          </cell>
          <cell r="O371">
            <v>1</v>
          </cell>
          <cell r="P371">
            <v>46043</v>
          </cell>
          <cell r="Q371">
            <v>1</v>
          </cell>
          <cell r="R371" t="str">
            <v>NA</v>
          </cell>
          <cell r="S371">
            <v>5</v>
          </cell>
        </row>
        <row r="372">
          <cell r="B372" t="str">
            <v>EMMC</v>
          </cell>
          <cell r="C372" t="str">
            <v>HSLB10047</v>
          </cell>
          <cell r="D372">
            <v>101009</v>
          </cell>
          <cell r="E372" t="str">
            <v>Balanza Lactante con Cartabón</v>
          </cell>
          <cell r="F372" t="str">
            <v>NO</v>
          </cell>
          <cell r="G372" t="str">
            <v>NO</v>
          </cell>
          <cell r="H372" t="str">
            <v>SALA CONTROL SALUD</v>
          </cell>
          <cell r="I372">
            <v>1</v>
          </cell>
          <cell r="J372" t="str">
            <v>H.2.6</v>
          </cell>
          <cell r="K372" t="str">
            <v>Sala cuna</v>
          </cell>
          <cell r="L372">
            <v>1</v>
          </cell>
          <cell r="M372">
            <v>46041</v>
          </cell>
          <cell r="N372">
            <v>46042</v>
          </cell>
          <cell r="O372">
            <v>1</v>
          </cell>
          <cell r="P372">
            <v>46043</v>
          </cell>
          <cell r="Q372">
            <v>1</v>
          </cell>
          <cell r="R372" t="str">
            <v>NA</v>
          </cell>
          <cell r="S372">
            <v>5</v>
          </cell>
        </row>
        <row r="373">
          <cell r="B373" t="str">
            <v>EMMC</v>
          </cell>
          <cell r="C373" t="str">
            <v>HSLB10294</v>
          </cell>
          <cell r="D373">
            <v>103006</v>
          </cell>
          <cell r="E373" t="str">
            <v>Balanza Plataforma</v>
          </cell>
          <cell r="F373" t="str">
            <v>NO</v>
          </cell>
          <cell r="G373" t="str">
            <v>NO</v>
          </cell>
          <cell r="H373" t="str">
            <v>RECEPCION, PESAJE Y CLASIFICACION</v>
          </cell>
          <cell r="I373">
            <v>2</v>
          </cell>
          <cell r="J373" t="str">
            <v>D.2.2.5.9</v>
          </cell>
          <cell r="K373" t="str">
            <v>Vestuario</v>
          </cell>
          <cell r="L373">
            <v>1</v>
          </cell>
          <cell r="M373">
            <v>46037</v>
          </cell>
          <cell r="N373">
            <v>46038</v>
          </cell>
          <cell r="O373">
            <v>1</v>
          </cell>
          <cell r="P373">
            <v>46041</v>
          </cell>
          <cell r="Q373">
            <v>1</v>
          </cell>
          <cell r="R373" t="str">
            <v>NA</v>
          </cell>
          <cell r="S373">
            <v>5</v>
          </cell>
        </row>
        <row r="374">
          <cell r="B374" t="str">
            <v>EMMC</v>
          </cell>
          <cell r="C374" t="str">
            <v>HSLB10457</v>
          </cell>
          <cell r="D374">
            <v>104001</v>
          </cell>
          <cell r="E374" t="str">
            <v>BOMBA ASPIRACIÓN QUIRÚRGICA</v>
          </cell>
          <cell r="F374" t="str">
            <v>NO</v>
          </cell>
          <cell r="G374" t="str">
            <v>NO</v>
          </cell>
          <cell r="H374" t="str">
            <v>BOX REANIMACIÓN ADULTO</v>
          </cell>
          <cell r="I374">
            <v>1</v>
          </cell>
          <cell r="J374" t="str">
            <v>C.4.3.12.1</v>
          </cell>
          <cell r="K374" t="str">
            <v>Urgencia</v>
          </cell>
          <cell r="L374">
            <v>1</v>
          </cell>
          <cell r="M374">
            <v>46003</v>
          </cell>
          <cell r="N374">
            <v>46006</v>
          </cell>
          <cell r="O374">
            <v>1</v>
          </cell>
          <cell r="P374">
            <v>46007</v>
          </cell>
          <cell r="Q374">
            <v>1</v>
          </cell>
          <cell r="R374" t="str">
            <v>NA</v>
          </cell>
          <cell r="S374">
            <v>5</v>
          </cell>
        </row>
        <row r="375">
          <cell r="B375" t="str">
            <v>EMMC</v>
          </cell>
          <cell r="C375" t="str">
            <v>HSLB10458</v>
          </cell>
          <cell r="D375">
            <v>104001</v>
          </cell>
          <cell r="E375" t="str">
            <v>BOMBA ASPIRACIÓN QUIRÚRGICA</v>
          </cell>
          <cell r="F375" t="str">
            <v>NO</v>
          </cell>
          <cell r="G375" t="str">
            <v>NO</v>
          </cell>
          <cell r="H375" t="str">
            <v>BOX REANIMACIÓN ADULTO</v>
          </cell>
          <cell r="I375">
            <v>1</v>
          </cell>
          <cell r="J375" t="str">
            <v>C.4.3.12.2</v>
          </cell>
          <cell r="K375" t="str">
            <v>Urgencia</v>
          </cell>
          <cell r="L375">
            <v>1</v>
          </cell>
          <cell r="M375">
            <v>46003</v>
          </cell>
          <cell r="N375">
            <v>46006</v>
          </cell>
          <cell r="O375">
            <v>1</v>
          </cell>
          <cell r="P375">
            <v>46007</v>
          </cell>
          <cell r="Q375">
            <v>1</v>
          </cell>
          <cell r="R375" t="str">
            <v>NA</v>
          </cell>
          <cell r="S375">
            <v>5</v>
          </cell>
        </row>
        <row r="376">
          <cell r="B376" t="str">
            <v>EMMC</v>
          </cell>
          <cell r="C376" t="str">
            <v>HSLB10476</v>
          </cell>
          <cell r="D376">
            <v>104002</v>
          </cell>
          <cell r="E376" t="str">
            <v>BOMBA ASPIRACIÓN UNIVERSAL</v>
          </cell>
          <cell r="F376" t="str">
            <v>NO</v>
          </cell>
          <cell r="G376" t="str">
            <v>NO</v>
          </cell>
          <cell r="H376" t="str">
            <v>SALA DE PROCEDIMIENTOS</v>
          </cell>
          <cell r="I376">
            <v>1</v>
          </cell>
          <cell r="J376" t="str">
            <v>C.3.6.2.12</v>
          </cell>
          <cell r="K376" t="str">
            <v>Urgencia</v>
          </cell>
          <cell r="L376">
            <v>1</v>
          </cell>
          <cell r="M376">
            <v>46003</v>
          </cell>
          <cell r="N376">
            <v>46006</v>
          </cell>
          <cell r="O376">
            <v>1</v>
          </cell>
          <cell r="P376">
            <v>46007</v>
          </cell>
          <cell r="Q376">
            <v>1</v>
          </cell>
          <cell r="R376" t="str">
            <v>NA</v>
          </cell>
          <cell r="S376">
            <v>5</v>
          </cell>
        </row>
        <row r="377">
          <cell r="B377" t="str">
            <v>EMMC</v>
          </cell>
          <cell r="C377" t="str">
            <v>HSLB10477</v>
          </cell>
          <cell r="D377">
            <v>104002</v>
          </cell>
          <cell r="E377" t="str">
            <v>BOMBA ASPIRACIÓN UNIVERSAL</v>
          </cell>
          <cell r="F377" t="str">
            <v>NO</v>
          </cell>
          <cell r="G377" t="str">
            <v>NO</v>
          </cell>
          <cell r="H377" t="str">
            <v>ESTACIÓN DE ENFERMERÍA</v>
          </cell>
          <cell r="I377">
            <v>0</v>
          </cell>
          <cell r="J377" t="str">
            <v>C.3.6.2.4</v>
          </cell>
          <cell r="K377" t="str">
            <v>Urgencia</v>
          </cell>
          <cell r="L377">
            <v>1</v>
          </cell>
          <cell r="M377">
            <v>46003</v>
          </cell>
          <cell r="N377">
            <v>46006</v>
          </cell>
          <cell r="O377">
            <v>1</v>
          </cell>
          <cell r="P377">
            <v>46007</v>
          </cell>
          <cell r="Q377">
            <v>1</v>
          </cell>
          <cell r="R377" t="str">
            <v>NA</v>
          </cell>
          <cell r="S377">
            <v>5</v>
          </cell>
        </row>
        <row r="378">
          <cell r="B378" t="str">
            <v>EMMC</v>
          </cell>
          <cell r="C378" t="str">
            <v>HSLB10480</v>
          </cell>
          <cell r="D378">
            <v>104002</v>
          </cell>
          <cell r="E378" t="str">
            <v>BOMBA ASPIRACIÓN UNIVERSAL</v>
          </cell>
          <cell r="F378" t="str">
            <v>NO</v>
          </cell>
          <cell r="G378" t="str">
            <v>NO</v>
          </cell>
          <cell r="H378" t="str">
            <v xml:space="preserve">SALA DE PROCEDIMIENTO </v>
          </cell>
          <cell r="I378">
            <v>1</v>
          </cell>
          <cell r="J378" t="str">
            <v>C.4.3.5.1</v>
          </cell>
          <cell r="K378" t="str">
            <v>Urgencia</v>
          </cell>
          <cell r="L378">
            <v>1</v>
          </cell>
          <cell r="M378">
            <v>46003</v>
          </cell>
          <cell r="N378">
            <v>46006</v>
          </cell>
          <cell r="O378">
            <v>1</v>
          </cell>
          <cell r="P378">
            <v>46007</v>
          </cell>
          <cell r="Q378">
            <v>1</v>
          </cell>
          <cell r="R378" t="str">
            <v>NA</v>
          </cell>
          <cell r="S378">
            <v>5</v>
          </cell>
        </row>
        <row r="379">
          <cell r="B379" t="str">
            <v>EMMC</v>
          </cell>
          <cell r="C379" t="str">
            <v>HSLB10481</v>
          </cell>
          <cell r="D379">
            <v>104002</v>
          </cell>
          <cell r="E379" t="str">
            <v>BOMBA ASPIRACIÓN UNIVERSAL</v>
          </cell>
          <cell r="F379" t="str">
            <v>NO</v>
          </cell>
          <cell r="G379" t="str">
            <v>NO</v>
          </cell>
          <cell r="H379" t="str">
            <v>SALA DE PROCEDIMIENTO</v>
          </cell>
          <cell r="I379">
            <v>1</v>
          </cell>
          <cell r="J379" t="str">
            <v>C.4.3.5.2</v>
          </cell>
          <cell r="K379" t="str">
            <v>Urgencia</v>
          </cell>
          <cell r="L379">
            <v>1</v>
          </cell>
          <cell r="M379">
            <v>46003</v>
          </cell>
          <cell r="N379">
            <v>46006</v>
          </cell>
          <cell r="O379">
            <v>1</v>
          </cell>
          <cell r="P379">
            <v>46007</v>
          </cell>
          <cell r="Q379">
            <v>1</v>
          </cell>
          <cell r="R379" t="str">
            <v>NA</v>
          </cell>
          <cell r="S379">
            <v>5</v>
          </cell>
        </row>
        <row r="380">
          <cell r="B380" t="str">
            <v>EMMC</v>
          </cell>
          <cell r="C380" t="str">
            <v>HSLB10482</v>
          </cell>
          <cell r="D380">
            <v>104002</v>
          </cell>
          <cell r="E380" t="str">
            <v>BOMBA ASPIRACIÓN UNIVERSAL</v>
          </cell>
          <cell r="F380" t="str">
            <v>NO</v>
          </cell>
          <cell r="G380" t="str">
            <v>NO</v>
          </cell>
          <cell r="H380" t="str">
            <v>ESTACIÓN DE ENFERMERÍA</v>
          </cell>
          <cell r="I380">
            <v>1</v>
          </cell>
          <cell r="J380" t="str">
            <v>C.4.3.8</v>
          </cell>
          <cell r="K380" t="str">
            <v>Urgencia</v>
          </cell>
          <cell r="L380">
            <v>1</v>
          </cell>
          <cell r="M380">
            <v>46003</v>
          </cell>
          <cell r="N380">
            <v>46006</v>
          </cell>
          <cell r="O380">
            <v>1</v>
          </cell>
          <cell r="P380">
            <v>46007</v>
          </cell>
          <cell r="Q380">
            <v>1</v>
          </cell>
          <cell r="R380" t="str">
            <v>NA</v>
          </cell>
          <cell r="S380">
            <v>5</v>
          </cell>
        </row>
        <row r="381">
          <cell r="B381" t="str">
            <v>EMMC</v>
          </cell>
          <cell r="C381" t="str">
            <v>HSLB10483</v>
          </cell>
          <cell r="D381">
            <v>104002</v>
          </cell>
          <cell r="E381" t="str">
            <v>BOMBA ASPIRACIÓN UNIVERSAL</v>
          </cell>
          <cell r="F381" t="str">
            <v>NO</v>
          </cell>
          <cell r="G381" t="str">
            <v>NO</v>
          </cell>
          <cell r="H381" t="str">
            <v>BOX REANIMACIÓN INFANTIL</v>
          </cell>
          <cell r="I381">
            <v>0</v>
          </cell>
          <cell r="J381" t="str">
            <v>C.4.4.12</v>
          </cell>
          <cell r="K381" t="str">
            <v>Urgencia</v>
          </cell>
          <cell r="L381">
            <v>1</v>
          </cell>
          <cell r="M381">
            <v>46003</v>
          </cell>
          <cell r="N381">
            <v>46006</v>
          </cell>
          <cell r="O381">
            <v>1</v>
          </cell>
          <cell r="P381">
            <v>46007</v>
          </cell>
          <cell r="Q381">
            <v>1</v>
          </cell>
          <cell r="R381" t="str">
            <v>NA</v>
          </cell>
          <cell r="S381">
            <v>5</v>
          </cell>
        </row>
        <row r="382">
          <cell r="B382" t="str">
            <v>EMMC</v>
          </cell>
          <cell r="C382" t="str">
            <v>HSLB10484</v>
          </cell>
          <cell r="D382">
            <v>104002</v>
          </cell>
          <cell r="E382" t="str">
            <v>BOMBA ASPIRACIÓN UNIVERSAL</v>
          </cell>
          <cell r="F382" t="str">
            <v>NO</v>
          </cell>
          <cell r="G382" t="str">
            <v>NO</v>
          </cell>
          <cell r="H382" t="str">
            <v>SALA DE PROCEDIMIENTO (infantil)</v>
          </cell>
          <cell r="I382">
            <v>1</v>
          </cell>
          <cell r="J382" t="str">
            <v>C.4.4.5</v>
          </cell>
          <cell r="K382" t="str">
            <v>Urgencia</v>
          </cell>
          <cell r="L382">
            <v>1</v>
          </cell>
          <cell r="M382">
            <v>46003</v>
          </cell>
          <cell r="N382">
            <v>46006</v>
          </cell>
          <cell r="O382">
            <v>1</v>
          </cell>
          <cell r="P382">
            <v>46007</v>
          </cell>
          <cell r="Q382">
            <v>1</v>
          </cell>
          <cell r="R382" t="str">
            <v>NA</v>
          </cell>
          <cell r="S382">
            <v>5</v>
          </cell>
        </row>
        <row r="383">
          <cell r="B383" t="str">
            <v>EMMC</v>
          </cell>
          <cell r="C383" t="str">
            <v>HSLB10485</v>
          </cell>
          <cell r="D383">
            <v>104002</v>
          </cell>
          <cell r="E383" t="str">
            <v>BOMBA ASPIRACIÓN UNIVERSAL</v>
          </cell>
          <cell r="F383" t="str">
            <v>NO</v>
          </cell>
          <cell r="G383" t="str">
            <v>NO</v>
          </cell>
          <cell r="H383" t="str">
            <v>ESTACIÓN DE ENFERMERÍA</v>
          </cell>
          <cell r="I383">
            <v>1</v>
          </cell>
          <cell r="J383" t="str">
            <v>C.4.4.8</v>
          </cell>
          <cell r="K383" t="str">
            <v>Urgencia</v>
          </cell>
          <cell r="L383">
            <v>1</v>
          </cell>
          <cell r="M383">
            <v>46003</v>
          </cell>
          <cell r="N383">
            <v>46006</v>
          </cell>
          <cell r="O383">
            <v>1</v>
          </cell>
          <cell r="P383">
            <v>46007</v>
          </cell>
          <cell r="Q383">
            <v>1</v>
          </cell>
          <cell r="R383" t="str">
            <v>NA</v>
          </cell>
          <cell r="S383">
            <v>5</v>
          </cell>
        </row>
        <row r="384">
          <cell r="B384" t="str">
            <v>EMMC</v>
          </cell>
          <cell r="C384" t="str">
            <v>HSLB11621</v>
          </cell>
          <cell r="D384">
            <v>112005</v>
          </cell>
          <cell r="E384" t="str">
            <v>Camilla de Reanimación</v>
          </cell>
          <cell r="F384" t="str">
            <v>NO</v>
          </cell>
          <cell r="G384" t="str">
            <v>NO</v>
          </cell>
          <cell r="H384" t="str">
            <v>BOX REANIMACIÓN ADULTO</v>
          </cell>
          <cell r="I384">
            <v>1</v>
          </cell>
          <cell r="J384" t="str">
            <v>C.4.3.12.1</v>
          </cell>
          <cell r="K384" t="str">
            <v>Urgencia</v>
          </cell>
          <cell r="L384">
            <v>1</v>
          </cell>
          <cell r="M384">
            <v>46003</v>
          </cell>
          <cell r="N384">
            <v>46006</v>
          </cell>
          <cell r="O384">
            <v>1</v>
          </cell>
          <cell r="P384">
            <v>46007</v>
          </cell>
          <cell r="Q384">
            <v>1</v>
          </cell>
          <cell r="R384" t="str">
            <v>NA</v>
          </cell>
          <cell r="S384">
            <v>5</v>
          </cell>
        </row>
        <row r="385">
          <cell r="B385" t="str">
            <v>EMMC</v>
          </cell>
          <cell r="C385" t="str">
            <v>HSLB11622</v>
          </cell>
          <cell r="D385">
            <v>112005</v>
          </cell>
          <cell r="E385" t="str">
            <v>Camilla de Reanimación</v>
          </cell>
          <cell r="F385" t="str">
            <v>NO</v>
          </cell>
          <cell r="G385" t="str">
            <v>NO</v>
          </cell>
          <cell r="H385" t="str">
            <v>BOX REANIMACIÓN ADULTO</v>
          </cell>
          <cell r="I385">
            <v>1</v>
          </cell>
          <cell r="J385" t="str">
            <v>C.4.3.12.2</v>
          </cell>
          <cell r="K385" t="str">
            <v>Urgencia</v>
          </cell>
          <cell r="L385">
            <v>1</v>
          </cell>
          <cell r="M385">
            <v>46003</v>
          </cell>
          <cell r="N385">
            <v>46006</v>
          </cell>
          <cell r="O385">
            <v>1</v>
          </cell>
          <cell r="P385">
            <v>46007</v>
          </cell>
          <cell r="Q385">
            <v>1</v>
          </cell>
          <cell r="R385" t="str">
            <v>NA</v>
          </cell>
          <cell r="S385">
            <v>5</v>
          </cell>
        </row>
        <row r="386">
          <cell r="B386" t="str">
            <v>EMMC</v>
          </cell>
          <cell r="C386" t="str">
            <v>HSLB11623</v>
          </cell>
          <cell r="D386">
            <v>112005</v>
          </cell>
          <cell r="E386" t="str">
            <v>Camilla de Reanimación</v>
          </cell>
          <cell r="F386" t="str">
            <v>NO</v>
          </cell>
          <cell r="G386" t="str">
            <v>NO</v>
          </cell>
          <cell r="H386" t="str">
            <v>BOX REANIMACIÓN INFANTIL</v>
          </cell>
          <cell r="I386">
            <v>1</v>
          </cell>
          <cell r="J386" t="str">
            <v>C.4.4.12</v>
          </cell>
          <cell r="K386" t="str">
            <v>Urgencia</v>
          </cell>
          <cell r="L386">
            <v>1</v>
          </cell>
          <cell r="M386">
            <v>46003</v>
          </cell>
          <cell r="N386">
            <v>46006</v>
          </cell>
          <cell r="O386">
            <v>1</v>
          </cell>
          <cell r="P386">
            <v>46007</v>
          </cell>
          <cell r="Q386">
            <v>1</v>
          </cell>
          <cell r="R386" t="str">
            <v>NA</v>
          </cell>
          <cell r="S386">
            <v>5</v>
          </cell>
        </row>
        <row r="387">
          <cell r="B387" t="str">
            <v>EMMC</v>
          </cell>
          <cell r="C387" t="str">
            <v>HSLB11681</v>
          </cell>
          <cell r="D387">
            <v>112011</v>
          </cell>
          <cell r="E387" t="str">
            <v>Camilla Ginecológica Convertible</v>
          </cell>
          <cell r="F387" t="str">
            <v>NO</v>
          </cell>
          <cell r="G387" t="str">
            <v>NO</v>
          </cell>
          <cell r="H387" t="str">
            <v>SALA DE PROCEDIMIENTOS</v>
          </cell>
          <cell r="I387">
            <v>1</v>
          </cell>
          <cell r="J387" t="str">
            <v>C.3.6.2.12</v>
          </cell>
          <cell r="K387" t="str">
            <v>Urgencia</v>
          </cell>
          <cell r="L387">
            <v>1</v>
          </cell>
          <cell r="M387">
            <v>46003</v>
          </cell>
          <cell r="N387">
            <v>46006</v>
          </cell>
          <cell r="O387">
            <v>1</v>
          </cell>
          <cell r="P387">
            <v>46007</v>
          </cell>
          <cell r="Q387">
            <v>1</v>
          </cell>
          <cell r="R387" t="str">
            <v>NA</v>
          </cell>
          <cell r="S387">
            <v>5</v>
          </cell>
        </row>
        <row r="388">
          <cell r="B388" t="str">
            <v>EMMC</v>
          </cell>
          <cell r="C388" t="str">
            <v>HSLB11682</v>
          </cell>
          <cell r="D388">
            <v>112011</v>
          </cell>
          <cell r="E388" t="str">
            <v>Camilla Ginecológica Convertible</v>
          </cell>
          <cell r="F388" t="str">
            <v>NO</v>
          </cell>
          <cell r="G388" t="str">
            <v>NO</v>
          </cell>
          <cell r="H388" t="str">
            <v>BOX ATENCIÓN MEDICO C/BAÑO Y ECO</v>
          </cell>
          <cell r="I388">
            <v>1</v>
          </cell>
          <cell r="J388" t="str">
            <v>C.3.6.2.8</v>
          </cell>
          <cell r="K388" t="str">
            <v>Urgencia</v>
          </cell>
          <cell r="L388">
            <v>1</v>
          </cell>
          <cell r="M388">
            <v>46003</v>
          </cell>
          <cell r="N388">
            <v>46006</v>
          </cell>
          <cell r="O388">
            <v>1</v>
          </cell>
          <cell r="P388">
            <v>46007</v>
          </cell>
          <cell r="Q388">
            <v>1</v>
          </cell>
          <cell r="R388" t="str">
            <v>NA</v>
          </cell>
          <cell r="S388">
            <v>5</v>
          </cell>
        </row>
        <row r="389">
          <cell r="B389" t="str">
            <v>EMMC</v>
          </cell>
          <cell r="C389" t="str">
            <v>HSLB11683</v>
          </cell>
          <cell r="D389">
            <v>112011</v>
          </cell>
          <cell r="E389" t="str">
            <v>Camilla Ginecológica Convertible</v>
          </cell>
          <cell r="F389" t="str">
            <v>NO</v>
          </cell>
          <cell r="G389" t="str">
            <v>NO</v>
          </cell>
          <cell r="H389" t="str">
            <v>BOX MATRONA</v>
          </cell>
          <cell r="I389">
            <v>1</v>
          </cell>
          <cell r="J389" t="str">
            <v>C.3.6.2.8.1</v>
          </cell>
          <cell r="K389" t="str">
            <v>Urgencia</v>
          </cell>
          <cell r="L389">
            <v>1</v>
          </cell>
          <cell r="M389">
            <v>46003</v>
          </cell>
          <cell r="N389">
            <v>46006</v>
          </cell>
          <cell r="O389">
            <v>1</v>
          </cell>
          <cell r="P389">
            <v>46007</v>
          </cell>
          <cell r="Q389">
            <v>1</v>
          </cell>
          <cell r="R389" t="str">
            <v>NA</v>
          </cell>
          <cell r="S389">
            <v>5</v>
          </cell>
        </row>
        <row r="390">
          <cell r="B390" t="str">
            <v>EMMC</v>
          </cell>
          <cell r="C390" t="str">
            <v>HSLB11685</v>
          </cell>
          <cell r="D390">
            <v>112011</v>
          </cell>
          <cell r="E390" t="str">
            <v>Camilla Ginecológica Convertible</v>
          </cell>
          <cell r="F390" t="str">
            <v>NO</v>
          </cell>
          <cell r="G390" t="str">
            <v>NO</v>
          </cell>
          <cell r="H390" t="str">
            <v>BOX AT. ACOGIDA C/BAÑO Y DUCHA</v>
          </cell>
          <cell r="I390">
            <v>1</v>
          </cell>
          <cell r="J390" t="str">
            <v>C.4.5.16</v>
          </cell>
          <cell r="K390" t="str">
            <v>Urgencia</v>
          </cell>
          <cell r="L390">
            <v>1</v>
          </cell>
          <cell r="M390">
            <v>46003</v>
          </cell>
          <cell r="N390">
            <v>46006</v>
          </cell>
          <cell r="O390">
            <v>1</v>
          </cell>
          <cell r="P390">
            <v>46007</v>
          </cell>
          <cell r="Q390">
            <v>1</v>
          </cell>
          <cell r="R390" t="str">
            <v>NA</v>
          </cell>
          <cell r="S390">
            <v>5</v>
          </cell>
        </row>
        <row r="391">
          <cell r="B391" t="str">
            <v>EMMC</v>
          </cell>
          <cell r="C391" t="str">
            <v>HSLB11717</v>
          </cell>
          <cell r="D391">
            <v>112016</v>
          </cell>
          <cell r="E391" t="str">
            <v>Camilla Transporte Paciente</v>
          </cell>
          <cell r="F391" t="str">
            <v>NO</v>
          </cell>
          <cell r="G391" t="str">
            <v>NO</v>
          </cell>
          <cell r="H391" t="str">
            <v>SALA DE OBSERVACIONES</v>
          </cell>
          <cell r="I391">
            <v>1</v>
          </cell>
          <cell r="J391" t="str">
            <v>C.3.6.2.10</v>
          </cell>
          <cell r="K391" t="str">
            <v>Urgencia</v>
          </cell>
          <cell r="L391">
            <v>1</v>
          </cell>
          <cell r="M391">
            <v>46003</v>
          </cell>
          <cell r="N391">
            <v>46006</v>
          </cell>
          <cell r="O391">
            <v>1</v>
          </cell>
          <cell r="P391">
            <v>46007</v>
          </cell>
          <cell r="Q391">
            <v>1</v>
          </cell>
          <cell r="R391" t="str">
            <v>NA</v>
          </cell>
          <cell r="S391">
            <v>5</v>
          </cell>
        </row>
        <row r="392">
          <cell r="B392" t="str">
            <v>EMMC</v>
          </cell>
          <cell r="C392" t="str">
            <v>HSLB11718</v>
          </cell>
          <cell r="D392">
            <v>112016</v>
          </cell>
          <cell r="E392" t="str">
            <v>Camilla Transporte Paciente</v>
          </cell>
          <cell r="F392" t="str">
            <v>NO</v>
          </cell>
          <cell r="G392" t="str">
            <v>NO</v>
          </cell>
          <cell r="H392" t="str">
            <v>BOX MONITOREO FETAL C / BAÑO</v>
          </cell>
          <cell r="I392">
            <v>1</v>
          </cell>
          <cell r="J392" t="str">
            <v>C.3.6.2.11</v>
          </cell>
          <cell r="K392" t="str">
            <v>Urgencia</v>
          </cell>
          <cell r="L392">
            <v>1</v>
          </cell>
          <cell r="M392">
            <v>46003</v>
          </cell>
          <cell r="N392">
            <v>46006</v>
          </cell>
          <cell r="O392">
            <v>1</v>
          </cell>
          <cell r="P392">
            <v>46007</v>
          </cell>
          <cell r="Q392">
            <v>1</v>
          </cell>
          <cell r="R392" t="str">
            <v>NA</v>
          </cell>
          <cell r="S392">
            <v>5</v>
          </cell>
        </row>
        <row r="393">
          <cell r="B393" t="str">
            <v>EMMC</v>
          </cell>
          <cell r="C393" t="str">
            <v>HSLB11719</v>
          </cell>
          <cell r="D393">
            <v>112016</v>
          </cell>
          <cell r="E393" t="str">
            <v>Camilla Transporte Paciente</v>
          </cell>
          <cell r="F393" t="str">
            <v>NO</v>
          </cell>
          <cell r="G393" t="str">
            <v>NO</v>
          </cell>
          <cell r="H393" t="str">
            <v>SALA DE OBSERVACIONES</v>
          </cell>
          <cell r="I393">
            <v>1</v>
          </cell>
          <cell r="J393" t="str">
            <v>C.3.6.2.9</v>
          </cell>
          <cell r="K393" t="str">
            <v>Urgencia</v>
          </cell>
          <cell r="L393">
            <v>1</v>
          </cell>
          <cell r="M393">
            <v>46003</v>
          </cell>
          <cell r="N393">
            <v>46006</v>
          </cell>
          <cell r="O393">
            <v>1</v>
          </cell>
          <cell r="P393">
            <v>46007</v>
          </cell>
          <cell r="Q393">
            <v>1</v>
          </cell>
          <cell r="R393" t="str">
            <v>NA</v>
          </cell>
          <cell r="S393">
            <v>5</v>
          </cell>
        </row>
        <row r="394">
          <cell r="B394" t="str">
            <v>EMMC</v>
          </cell>
          <cell r="C394" t="str">
            <v>HSLB11726</v>
          </cell>
          <cell r="D394">
            <v>112016</v>
          </cell>
          <cell r="E394" t="str">
            <v>Camilla Transporte Paciente</v>
          </cell>
          <cell r="F394" t="str">
            <v>NO</v>
          </cell>
          <cell r="G394" t="str">
            <v>NO</v>
          </cell>
          <cell r="H394" t="str">
            <v>ESTACIONAMIENTO CAMILLAS Y SILLAS DE RUEDAS</v>
          </cell>
          <cell r="I394">
            <v>2</v>
          </cell>
          <cell r="J394" t="str">
            <v>C.4.2.12</v>
          </cell>
          <cell r="K394" t="str">
            <v>Urgencia</v>
          </cell>
          <cell r="L394">
            <v>1</v>
          </cell>
          <cell r="M394">
            <v>46003</v>
          </cell>
          <cell r="N394">
            <v>46006</v>
          </cell>
          <cell r="O394">
            <v>1</v>
          </cell>
          <cell r="P394">
            <v>46007</v>
          </cell>
          <cell r="Q394">
            <v>1</v>
          </cell>
          <cell r="R394" t="str">
            <v>NA</v>
          </cell>
          <cell r="S394">
            <v>5</v>
          </cell>
        </row>
        <row r="395">
          <cell r="B395" t="str">
            <v>EMMC</v>
          </cell>
          <cell r="C395" t="str">
            <v>HSLB11727</v>
          </cell>
          <cell r="D395">
            <v>112016</v>
          </cell>
          <cell r="E395" t="str">
            <v>Camilla Transporte Paciente</v>
          </cell>
          <cell r="F395" t="str">
            <v>NO</v>
          </cell>
          <cell r="G395" t="str">
            <v>NO</v>
          </cell>
          <cell r="H395" t="str">
            <v>SELECTOR DEMANDA ADULTO</v>
          </cell>
          <cell r="I395">
            <v>1</v>
          </cell>
          <cell r="J395" t="str">
            <v>C.4.3.1</v>
          </cell>
          <cell r="K395" t="str">
            <v>Urgencia</v>
          </cell>
          <cell r="L395">
            <v>1</v>
          </cell>
          <cell r="M395">
            <v>46003</v>
          </cell>
          <cell r="N395">
            <v>46006</v>
          </cell>
          <cell r="O395">
            <v>1</v>
          </cell>
          <cell r="P395">
            <v>46007</v>
          </cell>
          <cell r="Q395">
            <v>1</v>
          </cell>
          <cell r="R395" t="str">
            <v>NA</v>
          </cell>
          <cell r="S395">
            <v>5</v>
          </cell>
        </row>
        <row r="396">
          <cell r="B396" t="str">
            <v>EMMC</v>
          </cell>
          <cell r="C396" t="str">
            <v>HSLB11728</v>
          </cell>
          <cell r="D396">
            <v>112016</v>
          </cell>
          <cell r="E396" t="str">
            <v>Camilla Transporte Paciente</v>
          </cell>
          <cell r="F396" t="str">
            <v>NO</v>
          </cell>
          <cell r="G396" t="str">
            <v>NO</v>
          </cell>
          <cell r="H396" t="str">
            <v>BOX URGENCIA(1)</v>
          </cell>
          <cell r="I396">
            <v>1</v>
          </cell>
          <cell r="J396" t="str">
            <v>C.4.3.3.1</v>
          </cell>
          <cell r="K396" t="str">
            <v>Urgencia</v>
          </cell>
          <cell r="L396">
            <v>1</v>
          </cell>
          <cell r="M396">
            <v>46003</v>
          </cell>
          <cell r="N396">
            <v>46006</v>
          </cell>
          <cell r="O396">
            <v>1</v>
          </cell>
          <cell r="P396">
            <v>46007</v>
          </cell>
          <cell r="Q396">
            <v>1</v>
          </cell>
          <cell r="R396" t="str">
            <v>NA</v>
          </cell>
          <cell r="S396">
            <v>5</v>
          </cell>
        </row>
        <row r="397">
          <cell r="B397" t="str">
            <v>EMMC</v>
          </cell>
          <cell r="C397" t="str">
            <v>HSLB11729</v>
          </cell>
          <cell r="D397">
            <v>112016</v>
          </cell>
          <cell r="E397" t="str">
            <v>Camilla Transporte Paciente</v>
          </cell>
          <cell r="F397" t="str">
            <v>NO</v>
          </cell>
          <cell r="G397" t="str">
            <v>NO</v>
          </cell>
          <cell r="H397" t="str">
            <v>BOX URGENCIA (2)</v>
          </cell>
          <cell r="I397">
            <v>1</v>
          </cell>
          <cell r="J397" t="str">
            <v>C.4.3.3.2</v>
          </cell>
          <cell r="K397" t="str">
            <v>Urgencia</v>
          </cell>
          <cell r="L397">
            <v>1</v>
          </cell>
          <cell r="M397">
            <v>46003</v>
          </cell>
          <cell r="N397">
            <v>46006</v>
          </cell>
          <cell r="O397">
            <v>1</v>
          </cell>
          <cell r="P397">
            <v>46007</v>
          </cell>
          <cell r="Q397">
            <v>1</v>
          </cell>
          <cell r="R397" t="str">
            <v>NA</v>
          </cell>
          <cell r="S397">
            <v>5</v>
          </cell>
        </row>
        <row r="398">
          <cell r="B398" t="str">
            <v>EMMC</v>
          </cell>
          <cell r="C398" t="str">
            <v>HSLB11730</v>
          </cell>
          <cell r="D398">
            <v>112016</v>
          </cell>
          <cell r="E398" t="str">
            <v>Camilla Transporte Paciente</v>
          </cell>
          <cell r="F398" t="str">
            <v>NO</v>
          </cell>
          <cell r="G398" t="str">
            <v>NO</v>
          </cell>
          <cell r="H398" t="str">
            <v>BOX URGENCIA(3)</v>
          </cell>
          <cell r="I398">
            <v>1</v>
          </cell>
          <cell r="J398" t="str">
            <v>C.4.3.3.3</v>
          </cell>
          <cell r="K398" t="str">
            <v>Urgencia</v>
          </cell>
          <cell r="L398">
            <v>1</v>
          </cell>
          <cell r="M398">
            <v>46003</v>
          </cell>
          <cell r="N398">
            <v>46006</v>
          </cell>
          <cell r="O398">
            <v>1</v>
          </cell>
          <cell r="P398">
            <v>46007</v>
          </cell>
          <cell r="Q398">
            <v>1</v>
          </cell>
          <cell r="R398" t="str">
            <v>NA</v>
          </cell>
          <cell r="S398">
            <v>5</v>
          </cell>
        </row>
        <row r="399">
          <cell r="B399" t="str">
            <v>EMMC</v>
          </cell>
          <cell r="C399" t="str">
            <v>HSLB11731</v>
          </cell>
          <cell r="D399">
            <v>112016</v>
          </cell>
          <cell r="E399" t="str">
            <v>Camilla Transporte Paciente</v>
          </cell>
          <cell r="F399" t="str">
            <v>NO</v>
          </cell>
          <cell r="G399" t="str">
            <v>NO</v>
          </cell>
          <cell r="H399" t="str">
            <v>BOX URGENCIA(4)</v>
          </cell>
          <cell r="I399">
            <v>1</v>
          </cell>
          <cell r="J399" t="str">
            <v>C.4.3.3.4</v>
          </cell>
          <cell r="K399" t="str">
            <v>Urgencia</v>
          </cell>
          <cell r="L399">
            <v>1</v>
          </cell>
          <cell r="M399">
            <v>46003</v>
          </cell>
          <cell r="N399">
            <v>46006</v>
          </cell>
          <cell r="O399">
            <v>1</v>
          </cell>
          <cell r="P399">
            <v>46007</v>
          </cell>
          <cell r="Q399">
            <v>1</v>
          </cell>
          <cell r="R399" t="str">
            <v>NA</v>
          </cell>
          <cell r="S399">
            <v>5</v>
          </cell>
        </row>
        <row r="400">
          <cell r="B400" t="str">
            <v>EMMC</v>
          </cell>
          <cell r="C400" t="str">
            <v>HSLB11732</v>
          </cell>
          <cell r="D400">
            <v>112016</v>
          </cell>
          <cell r="E400" t="str">
            <v>Camilla Transporte Paciente</v>
          </cell>
          <cell r="F400" t="str">
            <v>NO</v>
          </cell>
          <cell r="G400" t="str">
            <v>NO</v>
          </cell>
          <cell r="H400" t="str">
            <v>BOX URGENCIA(5)</v>
          </cell>
          <cell r="I400">
            <v>1</v>
          </cell>
          <cell r="J400" t="str">
            <v>C.4.3.3.5</v>
          </cell>
          <cell r="K400" t="str">
            <v>Urgencia</v>
          </cell>
          <cell r="L400">
            <v>1</v>
          </cell>
          <cell r="M400">
            <v>46003</v>
          </cell>
          <cell r="N400">
            <v>46006</v>
          </cell>
          <cell r="O400">
            <v>1</v>
          </cell>
          <cell r="P400">
            <v>46007</v>
          </cell>
          <cell r="Q400">
            <v>1</v>
          </cell>
          <cell r="R400" t="str">
            <v>NA</v>
          </cell>
          <cell r="S400">
            <v>5</v>
          </cell>
        </row>
        <row r="401">
          <cell r="B401" t="str">
            <v>EMMC</v>
          </cell>
          <cell r="C401" t="str">
            <v>HSLB11733</v>
          </cell>
          <cell r="D401">
            <v>112016</v>
          </cell>
          <cell r="E401" t="str">
            <v>Camilla Transporte Paciente</v>
          </cell>
          <cell r="F401" t="str">
            <v>NO</v>
          </cell>
          <cell r="G401" t="str">
            <v>NO</v>
          </cell>
          <cell r="H401" t="str">
            <v>SALA DE OBSERVACIONES (ADULTO)</v>
          </cell>
          <cell r="I401">
            <v>5</v>
          </cell>
          <cell r="J401" t="str">
            <v>C.4.3.4</v>
          </cell>
          <cell r="K401" t="str">
            <v>Urgencia</v>
          </cell>
          <cell r="L401">
            <v>1</v>
          </cell>
          <cell r="M401">
            <v>46003</v>
          </cell>
          <cell r="N401">
            <v>46006</v>
          </cell>
          <cell r="O401">
            <v>1</v>
          </cell>
          <cell r="P401">
            <v>46007</v>
          </cell>
          <cell r="Q401">
            <v>1</v>
          </cell>
          <cell r="R401" t="str">
            <v>NA</v>
          </cell>
          <cell r="S401">
            <v>5</v>
          </cell>
        </row>
        <row r="402">
          <cell r="B402" t="str">
            <v>EMMC</v>
          </cell>
          <cell r="C402" t="str">
            <v>HSLB11734</v>
          </cell>
          <cell r="D402">
            <v>112016</v>
          </cell>
          <cell r="E402" t="str">
            <v>Camilla Transporte Paciente</v>
          </cell>
          <cell r="F402" t="str">
            <v>NO</v>
          </cell>
          <cell r="G402" t="str">
            <v>NO</v>
          </cell>
          <cell r="H402" t="str">
            <v xml:space="preserve">SALA DE PROCEDIMIENTO </v>
          </cell>
          <cell r="I402">
            <v>1</v>
          </cell>
          <cell r="J402" t="str">
            <v>C.4.3.5.1</v>
          </cell>
          <cell r="K402" t="str">
            <v>Urgencia</v>
          </cell>
          <cell r="L402">
            <v>1</v>
          </cell>
          <cell r="M402">
            <v>46003</v>
          </cell>
          <cell r="N402">
            <v>46006</v>
          </cell>
          <cell r="O402">
            <v>1</v>
          </cell>
          <cell r="P402">
            <v>46007</v>
          </cell>
          <cell r="Q402">
            <v>1</v>
          </cell>
          <cell r="R402" t="str">
            <v>NA</v>
          </cell>
          <cell r="S402">
            <v>5</v>
          </cell>
        </row>
        <row r="403">
          <cell r="B403" t="str">
            <v>EMMC</v>
          </cell>
          <cell r="C403" t="str">
            <v>HSLB11735</v>
          </cell>
          <cell r="D403">
            <v>112016</v>
          </cell>
          <cell r="E403" t="str">
            <v>Camilla Transporte Paciente</v>
          </cell>
          <cell r="F403" t="str">
            <v>NO</v>
          </cell>
          <cell r="G403" t="str">
            <v>NO</v>
          </cell>
          <cell r="H403" t="str">
            <v>SALA DE PROCEDIMIENTO</v>
          </cell>
          <cell r="I403">
            <v>1</v>
          </cell>
          <cell r="J403" t="str">
            <v>C.4.3.5.2</v>
          </cell>
          <cell r="K403" t="str">
            <v>Urgencia</v>
          </cell>
          <cell r="L403">
            <v>1</v>
          </cell>
          <cell r="M403">
            <v>46003</v>
          </cell>
          <cell r="N403">
            <v>46006</v>
          </cell>
          <cell r="O403">
            <v>1</v>
          </cell>
          <cell r="P403">
            <v>46007</v>
          </cell>
          <cell r="Q403">
            <v>1</v>
          </cell>
          <cell r="R403" t="str">
            <v>NA</v>
          </cell>
          <cell r="S403">
            <v>5</v>
          </cell>
        </row>
        <row r="404">
          <cell r="B404" t="str">
            <v>EMMC</v>
          </cell>
          <cell r="C404" t="str">
            <v>HSLB11736</v>
          </cell>
          <cell r="D404">
            <v>112016</v>
          </cell>
          <cell r="E404" t="str">
            <v>Camilla Transporte Paciente</v>
          </cell>
          <cell r="F404" t="str">
            <v>NO</v>
          </cell>
          <cell r="G404" t="str">
            <v>NO</v>
          </cell>
          <cell r="H404" t="str">
            <v>SELECTOR DE DEMANDA (infantil)</v>
          </cell>
          <cell r="I404">
            <v>1</v>
          </cell>
          <cell r="J404" t="str">
            <v>C.4.4.1</v>
          </cell>
          <cell r="K404" t="str">
            <v>Urgencia</v>
          </cell>
          <cell r="L404">
            <v>1</v>
          </cell>
          <cell r="M404">
            <v>46003</v>
          </cell>
          <cell r="N404">
            <v>46006</v>
          </cell>
          <cell r="O404">
            <v>1</v>
          </cell>
          <cell r="P404">
            <v>46007</v>
          </cell>
          <cell r="Q404">
            <v>1</v>
          </cell>
          <cell r="R404" t="str">
            <v>NA</v>
          </cell>
          <cell r="S404">
            <v>5</v>
          </cell>
        </row>
        <row r="405">
          <cell r="B405" t="str">
            <v>EMMC</v>
          </cell>
          <cell r="C405" t="str">
            <v>HSLB11737</v>
          </cell>
          <cell r="D405">
            <v>112016</v>
          </cell>
          <cell r="E405" t="str">
            <v>Camilla Transporte Paciente</v>
          </cell>
          <cell r="F405" t="str">
            <v>NO</v>
          </cell>
          <cell r="G405" t="str">
            <v>NO</v>
          </cell>
          <cell r="H405" t="str">
            <v>BOX URGENCIA (infantil)</v>
          </cell>
          <cell r="I405">
            <v>1</v>
          </cell>
          <cell r="J405" t="str">
            <v>C.4.4.3.1</v>
          </cell>
          <cell r="K405" t="str">
            <v>Urgencia</v>
          </cell>
          <cell r="L405">
            <v>1</v>
          </cell>
          <cell r="M405">
            <v>46003</v>
          </cell>
          <cell r="N405">
            <v>46006</v>
          </cell>
          <cell r="O405">
            <v>1</v>
          </cell>
          <cell r="P405">
            <v>46007</v>
          </cell>
          <cell r="Q405">
            <v>1</v>
          </cell>
          <cell r="R405" t="str">
            <v>NA</v>
          </cell>
          <cell r="S405">
            <v>5</v>
          </cell>
        </row>
        <row r="406">
          <cell r="B406" t="str">
            <v>EMMC</v>
          </cell>
          <cell r="C406" t="str">
            <v>HSLB11738</v>
          </cell>
          <cell r="D406">
            <v>112016</v>
          </cell>
          <cell r="E406" t="str">
            <v>Camilla Transporte Paciente</v>
          </cell>
          <cell r="F406" t="str">
            <v>NO</v>
          </cell>
          <cell r="G406" t="str">
            <v>NO</v>
          </cell>
          <cell r="H406" t="str">
            <v>BOX URGENCIA (infantil)</v>
          </cell>
          <cell r="I406">
            <v>1</v>
          </cell>
          <cell r="J406" t="str">
            <v>C.4.4.3.2</v>
          </cell>
          <cell r="K406" t="str">
            <v>Urgencia</v>
          </cell>
          <cell r="L406">
            <v>1</v>
          </cell>
          <cell r="M406">
            <v>46003</v>
          </cell>
          <cell r="N406">
            <v>46006</v>
          </cell>
          <cell r="O406">
            <v>1</v>
          </cell>
          <cell r="P406">
            <v>46007</v>
          </cell>
          <cell r="Q406">
            <v>1</v>
          </cell>
          <cell r="R406" t="str">
            <v>NA</v>
          </cell>
          <cell r="S406">
            <v>5</v>
          </cell>
        </row>
        <row r="407">
          <cell r="B407" t="str">
            <v>EMMC</v>
          </cell>
          <cell r="C407" t="str">
            <v>HSLB11739</v>
          </cell>
          <cell r="D407">
            <v>112016</v>
          </cell>
          <cell r="E407" t="str">
            <v>Camilla Transporte Paciente</v>
          </cell>
          <cell r="F407" t="str">
            <v>NO</v>
          </cell>
          <cell r="G407" t="str">
            <v>NO</v>
          </cell>
          <cell r="H407" t="str">
            <v>SALA OBSERVACIÓN (INFANTIL)</v>
          </cell>
          <cell r="I407">
            <v>2</v>
          </cell>
          <cell r="J407" t="str">
            <v>C.4.4.4</v>
          </cell>
          <cell r="K407" t="str">
            <v>Urgencia</v>
          </cell>
          <cell r="L407">
            <v>1</v>
          </cell>
          <cell r="M407">
            <v>46003</v>
          </cell>
          <cell r="N407">
            <v>46006</v>
          </cell>
          <cell r="O407">
            <v>1</v>
          </cell>
          <cell r="P407">
            <v>46007</v>
          </cell>
          <cell r="Q407">
            <v>1</v>
          </cell>
          <cell r="R407" t="str">
            <v>NA</v>
          </cell>
          <cell r="S407">
            <v>5</v>
          </cell>
        </row>
        <row r="408">
          <cell r="B408" t="str">
            <v>EMMC</v>
          </cell>
          <cell r="C408" t="str">
            <v>HSLB11740</v>
          </cell>
          <cell r="D408">
            <v>112016</v>
          </cell>
          <cell r="E408" t="str">
            <v>Camilla Transporte Paciente</v>
          </cell>
          <cell r="F408" t="str">
            <v>NO</v>
          </cell>
          <cell r="G408" t="str">
            <v>NO</v>
          </cell>
          <cell r="H408" t="str">
            <v>SALA DE PROCEDIMIENTO (infantil)</v>
          </cell>
          <cell r="I408">
            <v>1</v>
          </cell>
          <cell r="J408" t="str">
            <v>C.4.4.5</v>
          </cell>
          <cell r="K408" t="str">
            <v>Urgencia</v>
          </cell>
          <cell r="L408">
            <v>1</v>
          </cell>
          <cell r="M408">
            <v>46003</v>
          </cell>
          <cell r="N408">
            <v>46006</v>
          </cell>
          <cell r="O408">
            <v>1</v>
          </cell>
          <cell r="P408">
            <v>46007</v>
          </cell>
          <cell r="Q408">
            <v>1</v>
          </cell>
          <cell r="R408" t="str">
            <v>NA</v>
          </cell>
          <cell r="S408">
            <v>5</v>
          </cell>
        </row>
        <row r="409">
          <cell r="B409" t="str">
            <v>EMMC</v>
          </cell>
          <cell r="C409" t="str">
            <v>HSLB11741</v>
          </cell>
          <cell r="D409">
            <v>112016</v>
          </cell>
          <cell r="E409" t="str">
            <v>Camilla Transporte Paciente</v>
          </cell>
          <cell r="F409" t="str">
            <v>NO</v>
          </cell>
          <cell r="G409" t="str">
            <v>NO</v>
          </cell>
          <cell r="H409" t="str">
            <v>SALA TELEMEDICINA</v>
          </cell>
          <cell r="I409">
            <v>1</v>
          </cell>
          <cell r="J409" t="str">
            <v>C.4.5.1.1</v>
          </cell>
          <cell r="K409" t="str">
            <v>Urgencia</v>
          </cell>
          <cell r="L409">
            <v>1</v>
          </cell>
          <cell r="M409">
            <v>46003</v>
          </cell>
          <cell r="N409">
            <v>46006</v>
          </cell>
          <cell r="O409">
            <v>1</v>
          </cell>
          <cell r="P409">
            <v>46007</v>
          </cell>
          <cell r="Q409">
            <v>1</v>
          </cell>
          <cell r="R409" t="str">
            <v>NA</v>
          </cell>
          <cell r="S409">
            <v>5</v>
          </cell>
        </row>
        <row r="410">
          <cell r="B410" t="str">
            <v>EMMC</v>
          </cell>
          <cell r="C410" t="str">
            <v>HSLB11742</v>
          </cell>
          <cell r="D410">
            <v>112016</v>
          </cell>
          <cell r="E410" t="str">
            <v>Camilla Transporte Paciente</v>
          </cell>
          <cell r="F410" t="str">
            <v>NO</v>
          </cell>
          <cell r="G410" t="str">
            <v>NO</v>
          </cell>
          <cell r="H410" t="str">
            <v>SALA TELEMEDICINA</v>
          </cell>
          <cell r="I410">
            <v>1</v>
          </cell>
          <cell r="J410" t="str">
            <v>C.4.5.1.2</v>
          </cell>
          <cell r="K410" t="str">
            <v>Urgencia</v>
          </cell>
          <cell r="L410">
            <v>1</v>
          </cell>
          <cell r="M410">
            <v>46003</v>
          </cell>
          <cell r="N410">
            <v>46006</v>
          </cell>
          <cell r="O410">
            <v>1</v>
          </cell>
          <cell r="P410">
            <v>46007</v>
          </cell>
          <cell r="Q410">
            <v>1</v>
          </cell>
          <cell r="R410" t="str">
            <v>NA</v>
          </cell>
          <cell r="S410">
            <v>5</v>
          </cell>
        </row>
        <row r="411">
          <cell r="B411" t="str">
            <v>EMMC</v>
          </cell>
          <cell r="C411" t="str">
            <v>HSLB11743</v>
          </cell>
          <cell r="D411">
            <v>112016</v>
          </cell>
          <cell r="E411" t="str">
            <v>Camilla Transporte Paciente</v>
          </cell>
          <cell r="F411" t="str">
            <v>NO</v>
          </cell>
          <cell r="G411" t="str">
            <v>NO</v>
          </cell>
          <cell r="H411" t="str">
            <v>ESTAC. CAMILLAS Y SILLA DE RUIEDAS</v>
          </cell>
          <cell r="I411">
            <v>2</v>
          </cell>
          <cell r="J411" t="str">
            <v>C.4.5.13</v>
          </cell>
          <cell r="K411" t="str">
            <v>Urgencia</v>
          </cell>
          <cell r="L411">
            <v>1</v>
          </cell>
          <cell r="M411">
            <v>46003</v>
          </cell>
          <cell r="N411">
            <v>46006</v>
          </cell>
          <cell r="O411">
            <v>1</v>
          </cell>
          <cell r="P411">
            <v>46007</v>
          </cell>
          <cell r="Q411">
            <v>1</v>
          </cell>
          <cell r="R411" t="str">
            <v>NA</v>
          </cell>
          <cell r="S411">
            <v>5</v>
          </cell>
        </row>
        <row r="412">
          <cell r="B412" t="str">
            <v>EMMC</v>
          </cell>
          <cell r="C412" t="str">
            <v>HSLB10639</v>
          </cell>
          <cell r="D412">
            <v>105004</v>
          </cell>
          <cell r="E412" t="str">
            <v>Calentador de Paciente</v>
          </cell>
          <cell r="F412" t="str">
            <v>NO</v>
          </cell>
          <cell r="G412" t="str">
            <v>NO</v>
          </cell>
          <cell r="H412" t="str">
            <v>ESTACIÓN DE ENFERMERÍA</v>
          </cell>
          <cell r="I412">
            <v>1</v>
          </cell>
          <cell r="J412" t="str">
            <v>C.3.6.2.4</v>
          </cell>
          <cell r="K412" t="str">
            <v>Urgencia</v>
          </cell>
          <cell r="L412">
            <v>1</v>
          </cell>
          <cell r="M412">
            <v>46003</v>
          </cell>
          <cell r="N412">
            <v>46006</v>
          </cell>
          <cell r="O412">
            <v>1</v>
          </cell>
          <cell r="P412">
            <v>46007</v>
          </cell>
          <cell r="Q412">
            <v>1</v>
          </cell>
          <cell r="R412" t="str">
            <v>NA</v>
          </cell>
          <cell r="S412">
            <v>5</v>
          </cell>
        </row>
        <row r="413">
          <cell r="B413" t="str">
            <v>EMMC</v>
          </cell>
          <cell r="C413" t="str">
            <v>HSLB10641</v>
          </cell>
          <cell r="D413">
            <v>105004</v>
          </cell>
          <cell r="E413" t="str">
            <v>Calentador de Paciente</v>
          </cell>
          <cell r="F413" t="str">
            <v>NO</v>
          </cell>
          <cell r="G413" t="str">
            <v>NO</v>
          </cell>
          <cell r="H413" t="str">
            <v>BOX REANIMACIÓN ADULTO</v>
          </cell>
          <cell r="I413">
            <v>1</v>
          </cell>
          <cell r="J413" t="str">
            <v>C.4.3.12.1</v>
          </cell>
          <cell r="K413" t="str">
            <v>Urgencia</v>
          </cell>
          <cell r="L413">
            <v>1</v>
          </cell>
          <cell r="M413">
            <v>46003</v>
          </cell>
          <cell r="N413">
            <v>46006</v>
          </cell>
          <cell r="O413">
            <v>1</v>
          </cell>
          <cell r="P413">
            <v>46007</v>
          </cell>
          <cell r="Q413">
            <v>1</v>
          </cell>
          <cell r="R413" t="str">
            <v>NA</v>
          </cell>
          <cell r="S413">
            <v>5</v>
          </cell>
        </row>
        <row r="414">
          <cell r="B414" t="str">
            <v>EMMC</v>
          </cell>
          <cell r="C414" t="str">
            <v>HSLB10642</v>
          </cell>
          <cell r="D414">
            <v>105004</v>
          </cell>
          <cell r="E414" t="str">
            <v>Calentador de Paciente</v>
          </cell>
          <cell r="F414" t="str">
            <v>NO</v>
          </cell>
          <cell r="G414" t="str">
            <v>NO</v>
          </cell>
          <cell r="H414" t="str">
            <v>BOX REANIMACIÓN ADULTO</v>
          </cell>
          <cell r="I414">
            <v>1</v>
          </cell>
          <cell r="J414" t="str">
            <v>C.4.3.12.2</v>
          </cell>
          <cell r="K414" t="str">
            <v>Urgencia</v>
          </cell>
          <cell r="L414">
            <v>1</v>
          </cell>
          <cell r="M414">
            <v>46003</v>
          </cell>
          <cell r="N414">
            <v>46006</v>
          </cell>
          <cell r="O414">
            <v>1</v>
          </cell>
          <cell r="P414">
            <v>46007</v>
          </cell>
          <cell r="Q414">
            <v>1</v>
          </cell>
          <cell r="R414" t="str">
            <v>NA</v>
          </cell>
          <cell r="S414">
            <v>5</v>
          </cell>
        </row>
        <row r="415">
          <cell r="B415" t="str">
            <v>EMMC</v>
          </cell>
          <cell r="C415" t="str">
            <v>HSLB10643</v>
          </cell>
          <cell r="D415">
            <v>105004</v>
          </cell>
          <cell r="E415" t="str">
            <v>Calentador de Paciente</v>
          </cell>
          <cell r="F415" t="str">
            <v>NO</v>
          </cell>
          <cell r="G415" t="str">
            <v>NO</v>
          </cell>
          <cell r="H415" t="str">
            <v>BOX REANIMACIÓN INFANTIL</v>
          </cell>
          <cell r="I415">
            <v>1</v>
          </cell>
          <cell r="J415" t="str">
            <v>C.4.4.12</v>
          </cell>
          <cell r="K415" t="str">
            <v>Urgencia</v>
          </cell>
          <cell r="L415">
            <v>1</v>
          </cell>
          <cell r="M415">
            <v>46003</v>
          </cell>
          <cell r="N415">
            <v>46006</v>
          </cell>
          <cell r="O415">
            <v>1</v>
          </cell>
          <cell r="P415">
            <v>46007</v>
          </cell>
          <cell r="Q415">
            <v>1</v>
          </cell>
          <cell r="R415" t="str">
            <v>NA</v>
          </cell>
          <cell r="S415">
            <v>5</v>
          </cell>
        </row>
        <row r="416">
          <cell r="B416" t="str">
            <v>EMMC</v>
          </cell>
          <cell r="C416" t="str">
            <v>HSLB10644</v>
          </cell>
          <cell r="D416">
            <v>105004</v>
          </cell>
          <cell r="E416" t="str">
            <v>Calentador de Paciente</v>
          </cell>
          <cell r="F416" t="str">
            <v>NO</v>
          </cell>
          <cell r="G416" t="str">
            <v>NO</v>
          </cell>
          <cell r="H416" t="str">
            <v>ESTACIÓN DE ENFERMERÍA</v>
          </cell>
          <cell r="I416">
            <v>2</v>
          </cell>
          <cell r="J416" t="str">
            <v>C.4.4.8</v>
          </cell>
          <cell r="K416" t="str">
            <v>Urgencia</v>
          </cell>
          <cell r="L416">
            <v>1</v>
          </cell>
          <cell r="M416">
            <v>46003</v>
          </cell>
          <cell r="N416">
            <v>46006</v>
          </cell>
          <cell r="O416">
            <v>1</v>
          </cell>
          <cell r="P416">
            <v>46007</v>
          </cell>
          <cell r="Q416">
            <v>1</v>
          </cell>
          <cell r="R416" t="str">
            <v>NA</v>
          </cell>
          <cell r="S416">
            <v>5</v>
          </cell>
        </row>
        <row r="417">
          <cell r="B417" t="str">
            <v>EMMC</v>
          </cell>
          <cell r="C417" t="str">
            <v>HSLB11656</v>
          </cell>
          <cell r="D417">
            <v>112008</v>
          </cell>
          <cell r="E417" t="str">
            <v>Camilla Examen</v>
          </cell>
          <cell r="F417" t="str">
            <v>NO</v>
          </cell>
          <cell r="G417" t="str">
            <v>NO</v>
          </cell>
          <cell r="H417" t="str">
            <v>SALA YESO</v>
          </cell>
          <cell r="I417">
            <v>1</v>
          </cell>
          <cell r="J417" t="str">
            <v>C.4.5.4</v>
          </cell>
          <cell r="K417" t="str">
            <v>Urgencia</v>
          </cell>
          <cell r="L417">
            <v>1</v>
          </cell>
          <cell r="M417">
            <v>46003</v>
          </cell>
          <cell r="N417">
            <v>46006</v>
          </cell>
          <cell r="O417">
            <v>1</v>
          </cell>
          <cell r="P417">
            <v>46007</v>
          </cell>
          <cell r="Q417">
            <v>1</v>
          </cell>
          <cell r="R417" t="str">
            <v>NA</v>
          </cell>
          <cell r="S417">
            <v>5</v>
          </cell>
        </row>
        <row r="418">
          <cell r="B418" t="str">
            <v>EMMC</v>
          </cell>
          <cell r="C418" t="str">
            <v>HSLB11660</v>
          </cell>
          <cell r="D418">
            <v>112008</v>
          </cell>
          <cell r="E418" t="str">
            <v>Camilla Examen</v>
          </cell>
          <cell r="F418" t="str">
            <v>NO</v>
          </cell>
          <cell r="G418" t="str">
            <v>NO</v>
          </cell>
          <cell r="H418" t="str">
            <v>SALA CONTROL SALUD</v>
          </cell>
          <cell r="I418">
            <v>1</v>
          </cell>
          <cell r="J418" t="str">
            <v>H.2.6</v>
          </cell>
          <cell r="K418" t="str">
            <v>Sala cuna</v>
          </cell>
          <cell r="L418">
            <v>1</v>
          </cell>
          <cell r="M418">
            <v>46041</v>
          </cell>
          <cell r="N418">
            <v>46042</v>
          </cell>
          <cell r="O418">
            <v>1</v>
          </cell>
          <cell r="P418">
            <v>46043</v>
          </cell>
          <cell r="Q418">
            <v>1</v>
          </cell>
          <cell r="R418" t="str">
            <v>NA</v>
          </cell>
          <cell r="S418">
            <v>5</v>
          </cell>
        </row>
        <row r="419">
          <cell r="B419" t="str">
            <v>EMMC</v>
          </cell>
          <cell r="C419" t="str">
            <v>HSLB11695</v>
          </cell>
          <cell r="D419">
            <v>112014</v>
          </cell>
          <cell r="E419" t="str">
            <v>Camilla Plegable</v>
          </cell>
          <cell r="F419" t="str">
            <v>NO</v>
          </cell>
          <cell r="G419" t="str">
            <v>SI</v>
          </cell>
          <cell r="H419" t="str">
            <v>BODEGA CATÁSTROFES ( Mesa Plegable Rectangular)</v>
          </cell>
          <cell r="I419">
            <v>12</v>
          </cell>
          <cell r="J419" t="str">
            <v>C.4.2.10</v>
          </cell>
          <cell r="K419" t="str">
            <v>Urgencia</v>
          </cell>
          <cell r="L419">
            <v>1</v>
          </cell>
          <cell r="M419">
            <v>46003</v>
          </cell>
          <cell r="N419">
            <v>46006</v>
          </cell>
          <cell r="O419">
            <v>1</v>
          </cell>
          <cell r="P419">
            <v>46007</v>
          </cell>
          <cell r="Q419">
            <v>1</v>
          </cell>
          <cell r="R419" t="str">
            <v>NA</v>
          </cell>
          <cell r="S419">
            <v>5</v>
          </cell>
        </row>
        <row r="420">
          <cell r="B420" t="str">
            <v>EMMC</v>
          </cell>
          <cell r="C420" t="str">
            <v>HSLB11463</v>
          </cell>
          <cell r="D420">
            <v>111015</v>
          </cell>
          <cell r="E420" t="str">
            <v>Carro Andador 2 Ruedas Adulto</v>
          </cell>
          <cell r="F420" t="str">
            <v>NO</v>
          </cell>
          <cell r="G420" t="str">
            <v>SI</v>
          </cell>
          <cell r="H420" t="str">
            <v>GIMNASIO ADULTO REHABILITACIÓN CARDIOVASCULAR</v>
          </cell>
          <cell r="I420">
            <v>1</v>
          </cell>
          <cell r="J420" t="str">
            <v>C.5.7.14</v>
          </cell>
          <cell r="K420" t="str">
            <v>Med Física y Rehabilitación</v>
          </cell>
          <cell r="L420">
            <v>1</v>
          </cell>
          <cell r="M420">
            <v>46003</v>
          </cell>
          <cell r="N420">
            <v>46006</v>
          </cell>
          <cell r="O420">
            <v>1</v>
          </cell>
          <cell r="P420">
            <v>46007</v>
          </cell>
          <cell r="Q420">
            <v>1</v>
          </cell>
          <cell r="R420" t="str">
            <v>NA</v>
          </cell>
          <cell r="S420">
            <v>5</v>
          </cell>
        </row>
        <row r="421">
          <cell r="B421" t="str">
            <v>EMMC</v>
          </cell>
          <cell r="C421" t="str">
            <v>HSLB11464</v>
          </cell>
          <cell r="D421">
            <v>111016</v>
          </cell>
          <cell r="E421" t="str">
            <v>Carro Andador 2 Ruedas Pediátrico</v>
          </cell>
          <cell r="F421" t="str">
            <v>NO</v>
          </cell>
          <cell r="G421" t="str">
            <v>NO</v>
          </cell>
          <cell r="H421" t="str">
            <v>GIMNASIO PEDIATRICO</v>
          </cell>
          <cell r="I421">
            <v>1</v>
          </cell>
          <cell r="J421" t="str">
            <v>C.5.7.15</v>
          </cell>
          <cell r="K421" t="str">
            <v>Med Física y Rehabilitación</v>
          </cell>
          <cell r="L421">
            <v>1</v>
          </cell>
          <cell r="M421">
            <v>46013</v>
          </cell>
          <cell r="N421">
            <v>46014</v>
          </cell>
          <cell r="O421">
            <v>1</v>
          </cell>
          <cell r="P421">
            <v>46015</v>
          </cell>
          <cell r="Q421">
            <v>1</v>
          </cell>
          <cell r="R421" t="str">
            <v>NA</v>
          </cell>
          <cell r="S421">
            <v>5</v>
          </cell>
        </row>
        <row r="422">
          <cell r="B422" t="str">
            <v>EMMC</v>
          </cell>
          <cell r="C422" t="str">
            <v>HSLB11465</v>
          </cell>
          <cell r="D422">
            <v>111017</v>
          </cell>
          <cell r="E422" t="str">
            <v>Carro Andador 4 Ruedas Adulto</v>
          </cell>
          <cell r="F422" t="str">
            <v>NO</v>
          </cell>
          <cell r="G422" t="str">
            <v>SI</v>
          </cell>
          <cell r="H422" t="str">
            <v>GIMNASIO ADULTO REHABILITACIÓN CARDIOVASCULAR</v>
          </cell>
          <cell r="I422">
            <v>1</v>
          </cell>
          <cell r="J422" t="str">
            <v>C.5.7.14</v>
          </cell>
          <cell r="K422" t="str">
            <v>Med Física y Rehabilitación</v>
          </cell>
          <cell r="L422">
            <v>1</v>
          </cell>
          <cell r="M422">
            <v>46003</v>
          </cell>
          <cell r="N422">
            <v>46006</v>
          </cell>
          <cell r="O422">
            <v>1</v>
          </cell>
          <cell r="P422">
            <v>46007</v>
          </cell>
          <cell r="Q422">
            <v>1</v>
          </cell>
          <cell r="R422" t="str">
            <v>NA</v>
          </cell>
          <cell r="S422">
            <v>5</v>
          </cell>
        </row>
        <row r="423">
          <cell r="B423" t="str">
            <v>EMMC</v>
          </cell>
          <cell r="C423" t="str">
            <v>HSLB11466</v>
          </cell>
          <cell r="D423">
            <v>111018</v>
          </cell>
          <cell r="E423" t="str">
            <v>Carro Andador 4 Ruedas Pediátrico</v>
          </cell>
          <cell r="F423" t="str">
            <v>NO</v>
          </cell>
          <cell r="G423" t="str">
            <v>NO</v>
          </cell>
          <cell r="H423" t="str">
            <v>GIMNASIO PEDIATRICO</v>
          </cell>
          <cell r="I423">
            <v>1</v>
          </cell>
          <cell r="J423" t="str">
            <v>C.5.7.15</v>
          </cell>
          <cell r="K423" t="str">
            <v>Med Física y Rehabilitación</v>
          </cell>
          <cell r="L423">
            <v>1</v>
          </cell>
          <cell r="M423">
            <v>46013</v>
          </cell>
          <cell r="N423">
            <v>46014</v>
          </cell>
          <cell r="O423">
            <v>1</v>
          </cell>
          <cell r="P423">
            <v>46015</v>
          </cell>
          <cell r="Q423">
            <v>1</v>
          </cell>
          <cell r="R423" t="str">
            <v>NA</v>
          </cell>
          <cell r="S423">
            <v>5</v>
          </cell>
        </row>
        <row r="424">
          <cell r="B424" t="str">
            <v>EMMC</v>
          </cell>
          <cell r="C424" t="str">
            <v>HSLB11467</v>
          </cell>
          <cell r="D424">
            <v>111019</v>
          </cell>
          <cell r="E424" t="str">
            <v>Carro Andador Axilar Adulto</v>
          </cell>
          <cell r="F424" t="str">
            <v>NO</v>
          </cell>
          <cell r="G424" t="str">
            <v>SI</v>
          </cell>
          <cell r="H424" t="str">
            <v>GIMNASIO ADULTO REHABILITACIÓN CARDIOVASCULAR</v>
          </cell>
          <cell r="I424">
            <v>1</v>
          </cell>
          <cell r="J424" t="str">
            <v>C.5.7.14</v>
          </cell>
          <cell r="K424" t="str">
            <v>Med Física y Rehabilitación</v>
          </cell>
          <cell r="L424">
            <v>1</v>
          </cell>
          <cell r="M424">
            <v>46003</v>
          </cell>
          <cell r="N424">
            <v>46006</v>
          </cell>
          <cell r="O424">
            <v>1</v>
          </cell>
          <cell r="P424">
            <v>46007</v>
          </cell>
          <cell r="Q424">
            <v>1</v>
          </cell>
          <cell r="R424" t="str">
            <v>NA</v>
          </cell>
          <cell r="S424">
            <v>5</v>
          </cell>
        </row>
        <row r="425">
          <cell r="B425" t="str">
            <v>EMMC</v>
          </cell>
          <cell r="C425" t="str">
            <v>HSLB11468</v>
          </cell>
          <cell r="D425">
            <v>111020</v>
          </cell>
          <cell r="E425" t="str">
            <v>Carro Andador Axilar Pediátrico</v>
          </cell>
          <cell r="F425" t="str">
            <v>NO</v>
          </cell>
          <cell r="G425" t="str">
            <v>NO</v>
          </cell>
          <cell r="H425" t="str">
            <v>GIMNASIO PEDIATRICO</v>
          </cell>
          <cell r="I425">
            <v>1</v>
          </cell>
          <cell r="J425" t="str">
            <v>C.5.7.15</v>
          </cell>
          <cell r="K425" t="str">
            <v>Med Física y Rehabilitación</v>
          </cell>
          <cell r="L425">
            <v>1</v>
          </cell>
          <cell r="M425">
            <v>46013</v>
          </cell>
          <cell r="N425">
            <v>46014</v>
          </cell>
          <cell r="O425">
            <v>1</v>
          </cell>
          <cell r="P425">
            <v>46015</v>
          </cell>
          <cell r="Q425">
            <v>1</v>
          </cell>
          <cell r="R425" t="str">
            <v>NA</v>
          </cell>
          <cell r="S425">
            <v>5</v>
          </cell>
        </row>
        <row r="426">
          <cell r="B426" t="str">
            <v>EMMC</v>
          </cell>
          <cell r="C426" t="str">
            <v>HSLB11470</v>
          </cell>
          <cell r="D426">
            <v>111021</v>
          </cell>
          <cell r="E426" t="str">
            <v>Carro Andador Sin Ruedas</v>
          </cell>
          <cell r="F426" t="str">
            <v>NO</v>
          </cell>
          <cell r="G426" t="str">
            <v>SI</v>
          </cell>
          <cell r="H426" t="str">
            <v>GIMNASIO ADULTO REHABILITACIÓN CARDIOVASCULAR</v>
          </cell>
          <cell r="I426">
            <v>1</v>
          </cell>
          <cell r="J426" t="str">
            <v>C.5.7.14</v>
          </cell>
          <cell r="K426" t="str">
            <v>Med Física y Rehabilitación</v>
          </cell>
          <cell r="L426">
            <v>1</v>
          </cell>
          <cell r="M426">
            <v>46003</v>
          </cell>
          <cell r="N426">
            <v>46006</v>
          </cell>
          <cell r="O426">
            <v>1</v>
          </cell>
          <cell r="P426">
            <v>46007</v>
          </cell>
          <cell r="Q426">
            <v>1</v>
          </cell>
          <cell r="R426" t="str">
            <v>NA</v>
          </cell>
          <cell r="S426">
            <v>5</v>
          </cell>
        </row>
        <row r="427">
          <cell r="B427" t="str">
            <v>EMMC</v>
          </cell>
          <cell r="C427" t="str">
            <v>HSLB11759</v>
          </cell>
          <cell r="D427">
            <v>112018</v>
          </cell>
          <cell r="E427" t="str">
            <v>Carro Apoyo Antebraquial</v>
          </cell>
          <cell r="F427" t="str">
            <v>NO</v>
          </cell>
          <cell r="G427" t="str">
            <v>SI</v>
          </cell>
          <cell r="H427" t="str">
            <v>GIMNASIO ADULTO REHABILITACIÓN CARDIOVASCULAR</v>
          </cell>
          <cell r="I427">
            <v>1</v>
          </cell>
          <cell r="J427" t="str">
            <v>C.5.7.14</v>
          </cell>
          <cell r="K427" t="str">
            <v>Med Física y Rehabilitación</v>
          </cell>
          <cell r="L427">
            <v>1</v>
          </cell>
          <cell r="M427">
            <v>46003</v>
          </cell>
          <cell r="N427">
            <v>46006</v>
          </cell>
          <cell r="O427">
            <v>1</v>
          </cell>
          <cell r="P427">
            <v>46007</v>
          </cell>
          <cell r="Q427">
            <v>1</v>
          </cell>
          <cell r="R427" t="str">
            <v>NA</v>
          </cell>
          <cell r="S427">
            <v>5</v>
          </cell>
        </row>
        <row r="428">
          <cell r="B428" t="str">
            <v>EMMC</v>
          </cell>
          <cell r="C428" t="str">
            <v>HSLB11760</v>
          </cell>
          <cell r="D428">
            <v>112018</v>
          </cell>
          <cell r="E428" t="str">
            <v>Carro Apoyo Antebraquial</v>
          </cell>
          <cell r="F428" t="str">
            <v>NO</v>
          </cell>
          <cell r="G428" t="str">
            <v>NO</v>
          </cell>
          <cell r="H428" t="str">
            <v>GIMNASIO PEDIATRICO</v>
          </cell>
          <cell r="I428">
            <v>1</v>
          </cell>
          <cell r="J428" t="str">
            <v>C.5.7.15</v>
          </cell>
          <cell r="K428" t="str">
            <v>Med Física y Rehabilitación</v>
          </cell>
          <cell r="L428">
            <v>1</v>
          </cell>
          <cell r="M428">
            <v>46013</v>
          </cell>
          <cell r="N428">
            <v>46014</v>
          </cell>
          <cell r="O428">
            <v>1</v>
          </cell>
          <cell r="P428">
            <v>46015</v>
          </cell>
          <cell r="Q428">
            <v>1</v>
          </cell>
          <cell r="R428" t="str">
            <v>NA</v>
          </cell>
          <cell r="S428">
            <v>5</v>
          </cell>
        </row>
        <row r="429">
          <cell r="B429" t="str">
            <v>EMMC</v>
          </cell>
          <cell r="C429" t="str">
            <v>HSLB11769</v>
          </cell>
          <cell r="D429">
            <v>112019</v>
          </cell>
          <cell r="E429" t="str">
            <v>Carro Aseo Paciente</v>
          </cell>
          <cell r="F429" t="str">
            <v>NO</v>
          </cell>
          <cell r="G429" t="str">
            <v>NO</v>
          </cell>
          <cell r="H429" t="str">
            <v>ESTACIÓN DE ENFERMERÍA</v>
          </cell>
          <cell r="I429">
            <v>1</v>
          </cell>
          <cell r="J429" t="str">
            <v>C.3.6.2.4</v>
          </cell>
          <cell r="K429" t="str">
            <v>Urgencia</v>
          </cell>
          <cell r="L429">
            <v>1</v>
          </cell>
          <cell r="M429">
            <v>46003</v>
          </cell>
          <cell r="N429">
            <v>46006</v>
          </cell>
          <cell r="O429">
            <v>1</v>
          </cell>
          <cell r="P429">
            <v>46007</v>
          </cell>
          <cell r="Q429">
            <v>1</v>
          </cell>
          <cell r="R429" t="str">
            <v>NA</v>
          </cell>
          <cell r="S429">
            <v>5</v>
          </cell>
        </row>
        <row r="430">
          <cell r="B430" t="str">
            <v>EMMC</v>
          </cell>
          <cell r="C430" t="str">
            <v>HSLB11772</v>
          </cell>
          <cell r="D430">
            <v>112019</v>
          </cell>
          <cell r="E430" t="str">
            <v>Carro Aseo Paciente</v>
          </cell>
          <cell r="F430" t="str">
            <v>NO</v>
          </cell>
          <cell r="G430" t="str">
            <v>NO</v>
          </cell>
          <cell r="H430" t="str">
            <v>ESTACIÓN DE ENFERMERÍA</v>
          </cell>
          <cell r="I430">
            <v>1</v>
          </cell>
          <cell r="J430" t="str">
            <v>C.4.3.8</v>
          </cell>
          <cell r="K430" t="str">
            <v>Urgencia</v>
          </cell>
          <cell r="L430">
            <v>1</v>
          </cell>
          <cell r="M430">
            <v>46003</v>
          </cell>
          <cell r="N430">
            <v>46006</v>
          </cell>
          <cell r="O430">
            <v>1</v>
          </cell>
          <cell r="P430">
            <v>46007</v>
          </cell>
          <cell r="Q430">
            <v>1</v>
          </cell>
          <cell r="R430" t="str">
            <v>NA</v>
          </cell>
          <cell r="S430">
            <v>5</v>
          </cell>
        </row>
        <row r="431">
          <cell r="B431" t="str">
            <v>EMMC</v>
          </cell>
          <cell r="C431" t="str">
            <v>HSLB11798</v>
          </cell>
          <cell r="D431">
            <v>112021</v>
          </cell>
          <cell r="E431" t="str">
            <v>Carro Curación</v>
          </cell>
          <cell r="F431" t="str">
            <v>NO</v>
          </cell>
          <cell r="G431" t="str">
            <v>NO</v>
          </cell>
          <cell r="H431" t="str">
            <v>SALA DE PROCEDIMIENTOS</v>
          </cell>
          <cell r="I431">
            <v>1</v>
          </cell>
          <cell r="J431" t="str">
            <v>C.3.6.2.12</v>
          </cell>
          <cell r="K431" t="str">
            <v>Urgencia</v>
          </cell>
          <cell r="L431">
            <v>1</v>
          </cell>
          <cell r="M431">
            <v>46003</v>
          </cell>
          <cell r="N431">
            <v>46006</v>
          </cell>
          <cell r="O431">
            <v>1</v>
          </cell>
          <cell r="P431">
            <v>46007</v>
          </cell>
          <cell r="Q431">
            <v>1</v>
          </cell>
          <cell r="R431" t="str">
            <v>NA</v>
          </cell>
          <cell r="S431">
            <v>5</v>
          </cell>
        </row>
        <row r="432">
          <cell r="B432" t="str">
            <v>EMMC</v>
          </cell>
          <cell r="C432" t="str">
            <v>HSLB11799</v>
          </cell>
          <cell r="D432">
            <v>112021</v>
          </cell>
          <cell r="E432" t="str">
            <v>Carro Curación</v>
          </cell>
          <cell r="F432" t="str">
            <v>NO</v>
          </cell>
          <cell r="G432" t="str">
            <v>NO</v>
          </cell>
          <cell r="H432" t="str">
            <v>ESTACIÓN DE ENFERMERÍA</v>
          </cell>
          <cell r="I432">
            <v>1</v>
          </cell>
          <cell r="J432" t="str">
            <v>C.3.6.2.4</v>
          </cell>
          <cell r="K432" t="str">
            <v>Urgencia</v>
          </cell>
          <cell r="L432">
            <v>1</v>
          </cell>
          <cell r="M432">
            <v>46003</v>
          </cell>
          <cell r="N432">
            <v>46006</v>
          </cell>
          <cell r="O432">
            <v>1</v>
          </cell>
          <cell r="P432">
            <v>46007</v>
          </cell>
          <cell r="Q432">
            <v>1</v>
          </cell>
          <cell r="R432" t="str">
            <v>NA</v>
          </cell>
          <cell r="S432">
            <v>5</v>
          </cell>
        </row>
        <row r="433">
          <cell r="B433" t="str">
            <v>EMMC</v>
          </cell>
          <cell r="C433" t="str">
            <v>HSLB11802</v>
          </cell>
          <cell r="D433">
            <v>112021</v>
          </cell>
          <cell r="E433" t="str">
            <v>Carro Curación</v>
          </cell>
          <cell r="F433" t="str">
            <v>NO</v>
          </cell>
          <cell r="G433" t="str">
            <v>NO</v>
          </cell>
          <cell r="H433" t="str">
            <v xml:space="preserve">SALA DE PROCEDIMIENTO </v>
          </cell>
          <cell r="I433">
            <v>1</v>
          </cell>
          <cell r="J433" t="str">
            <v>C.4.3.5.1</v>
          </cell>
          <cell r="K433" t="str">
            <v>Urgencia</v>
          </cell>
          <cell r="L433">
            <v>1</v>
          </cell>
          <cell r="M433">
            <v>46003</v>
          </cell>
          <cell r="N433">
            <v>46006</v>
          </cell>
          <cell r="O433">
            <v>1</v>
          </cell>
          <cell r="P433">
            <v>46007</v>
          </cell>
          <cell r="Q433">
            <v>1</v>
          </cell>
          <cell r="R433" t="str">
            <v>NA</v>
          </cell>
          <cell r="S433">
            <v>5</v>
          </cell>
        </row>
        <row r="434">
          <cell r="B434" t="str">
            <v>EMMC</v>
          </cell>
          <cell r="C434" t="str">
            <v>HSLB11803</v>
          </cell>
          <cell r="D434">
            <v>112021</v>
          </cell>
          <cell r="E434" t="str">
            <v>Carro Curación</v>
          </cell>
          <cell r="F434" t="str">
            <v>NO</v>
          </cell>
          <cell r="G434" t="str">
            <v>NO</v>
          </cell>
          <cell r="H434" t="str">
            <v>SALA DE PROCEDIMIENTO</v>
          </cell>
          <cell r="I434">
            <v>1</v>
          </cell>
          <cell r="J434" t="str">
            <v>C.4.3.5.2</v>
          </cell>
          <cell r="K434" t="str">
            <v>Urgencia</v>
          </cell>
          <cell r="L434">
            <v>1</v>
          </cell>
          <cell r="M434">
            <v>46003</v>
          </cell>
          <cell r="N434">
            <v>46006</v>
          </cell>
          <cell r="O434">
            <v>1</v>
          </cell>
          <cell r="P434">
            <v>46007</v>
          </cell>
          <cell r="Q434">
            <v>1</v>
          </cell>
          <cell r="R434" t="str">
            <v>NA</v>
          </cell>
          <cell r="S434">
            <v>5</v>
          </cell>
        </row>
        <row r="435">
          <cell r="B435" t="str">
            <v>EMMC</v>
          </cell>
          <cell r="C435" t="str">
            <v>HSLB11804</v>
          </cell>
          <cell r="D435">
            <v>112021</v>
          </cell>
          <cell r="E435" t="str">
            <v>Carro Curación</v>
          </cell>
          <cell r="F435" t="str">
            <v>NO</v>
          </cell>
          <cell r="G435" t="str">
            <v>NO</v>
          </cell>
          <cell r="H435" t="str">
            <v>SALA TRATAMIENTOS TRANSITORIO</v>
          </cell>
          <cell r="I435">
            <v>1</v>
          </cell>
          <cell r="J435" t="str">
            <v>C.4.3.6</v>
          </cell>
          <cell r="K435" t="str">
            <v>Urgencia</v>
          </cell>
          <cell r="L435">
            <v>1</v>
          </cell>
          <cell r="M435">
            <v>46003</v>
          </cell>
          <cell r="N435">
            <v>46006</v>
          </cell>
          <cell r="O435">
            <v>1</v>
          </cell>
          <cell r="P435">
            <v>46007</v>
          </cell>
          <cell r="Q435">
            <v>1</v>
          </cell>
          <cell r="R435" t="str">
            <v>NA</v>
          </cell>
          <cell r="S435">
            <v>5</v>
          </cell>
        </row>
        <row r="436">
          <cell r="B436" t="str">
            <v>EMMC</v>
          </cell>
          <cell r="C436" t="str">
            <v>HSLB11805</v>
          </cell>
          <cell r="D436">
            <v>112021</v>
          </cell>
          <cell r="E436" t="str">
            <v>Carro Curación</v>
          </cell>
          <cell r="F436" t="str">
            <v>NO</v>
          </cell>
          <cell r="G436" t="str">
            <v>NO</v>
          </cell>
          <cell r="H436" t="str">
            <v>SALA DE PROCEDIMIENTO (infantil)</v>
          </cell>
          <cell r="I436">
            <v>1</v>
          </cell>
          <cell r="J436" t="str">
            <v>C.4.4.5</v>
          </cell>
          <cell r="K436" t="str">
            <v>Urgencia</v>
          </cell>
          <cell r="L436">
            <v>1</v>
          </cell>
          <cell r="M436">
            <v>46003</v>
          </cell>
          <cell r="N436">
            <v>46006</v>
          </cell>
          <cell r="O436">
            <v>1</v>
          </cell>
          <cell r="P436">
            <v>46007</v>
          </cell>
          <cell r="Q436">
            <v>1</v>
          </cell>
          <cell r="R436" t="str">
            <v>NA</v>
          </cell>
          <cell r="S436">
            <v>5</v>
          </cell>
        </row>
        <row r="437">
          <cell r="B437" t="str">
            <v>EMMC</v>
          </cell>
          <cell r="C437" t="str">
            <v>HSLB11806</v>
          </cell>
          <cell r="D437">
            <v>112021</v>
          </cell>
          <cell r="E437" t="str">
            <v>Carro Curación</v>
          </cell>
          <cell r="F437" t="str">
            <v>NO</v>
          </cell>
          <cell r="G437" t="str">
            <v>SI</v>
          </cell>
          <cell r="H437" t="str">
            <v>SALA DE TRATAMIENTOS TRANSITORIOS</v>
          </cell>
          <cell r="I437">
            <v>1</v>
          </cell>
          <cell r="J437" t="str">
            <v>C.4.4.6</v>
          </cell>
          <cell r="K437" t="str">
            <v>Urgencia</v>
          </cell>
          <cell r="L437">
            <v>1</v>
          </cell>
          <cell r="M437">
            <v>46003</v>
          </cell>
          <cell r="N437">
            <v>46006</v>
          </cell>
          <cell r="O437">
            <v>1</v>
          </cell>
          <cell r="P437">
            <v>46007</v>
          </cell>
          <cell r="Q437">
            <v>1</v>
          </cell>
          <cell r="R437" t="str">
            <v>NA</v>
          </cell>
          <cell r="S437">
            <v>5</v>
          </cell>
        </row>
        <row r="438">
          <cell r="B438" t="str">
            <v>EMMC</v>
          </cell>
          <cell r="C438" t="str">
            <v>HSLB11807</v>
          </cell>
          <cell r="D438">
            <v>112021</v>
          </cell>
          <cell r="E438" t="str">
            <v>Carro Curación</v>
          </cell>
          <cell r="F438" t="str">
            <v>NO</v>
          </cell>
          <cell r="G438" t="str">
            <v>NO</v>
          </cell>
          <cell r="H438" t="str">
            <v>BOX AT. ACOGIDA C/BAÑO Y DUCHA</v>
          </cell>
          <cell r="I438">
            <v>1</v>
          </cell>
          <cell r="J438" t="str">
            <v>C.4.5.16</v>
          </cell>
          <cell r="K438" t="str">
            <v>Urgencia</v>
          </cell>
          <cell r="L438">
            <v>1</v>
          </cell>
          <cell r="M438">
            <v>46003</v>
          </cell>
          <cell r="N438">
            <v>46006</v>
          </cell>
          <cell r="O438">
            <v>1</v>
          </cell>
          <cell r="P438">
            <v>46007</v>
          </cell>
          <cell r="Q438">
            <v>1</v>
          </cell>
          <cell r="R438" t="str">
            <v>NA</v>
          </cell>
          <cell r="S438">
            <v>5</v>
          </cell>
        </row>
        <row r="439">
          <cell r="B439" t="str">
            <v>EMMC</v>
          </cell>
          <cell r="C439" t="str">
            <v>HSLB11857</v>
          </cell>
          <cell r="D439">
            <v>112023</v>
          </cell>
          <cell r="E439" t="str">
            <v>Carro de Procedimientos</v>
          </cell>
          <cell r="F439" t="str">
            <v>NO</v>
          </cell>
          <cell r="G439" t="str">
            <v>NO</v>
          </cell>
          <cell r="H439" t="str">
            <v>SALA DE PROCEDIMIENTOS</v>
          </cell>
          <cell r="I439">
            <v>1</v>
          </cell>
          <cell r="J439" t="str">
            <v>C.3.6.2.12</v>
          </cell>
          <cell r="K439" t="str">
            <v>Urgencia</v>
          </cell>
          <cell r="L439">
            <v>1</v>
          </cell>
          <cell r="M439">
            <v>46003</v>
          </cell>
          <cell r="N439">
            <v>46006</v>
          </cell>
          <cell r="O439">
            <v>1</v>
          </cell>
          <cell r="P439">
            <v>46007</v>
          </cell>
          <cell r="Q439">
            <v>1</v>
          </cell>
          <cell r="R439" t="str">
            <v>NA</v>
          </cell>
          <cell r="S439">
            <v>5</v>
          </cell>
        </row>
        <row r="440">
          <cell r="B440" t="str">
            <v>EMMC</v>
          </cell>
          <cell r="C440" t="str">
            <v>HSLB11865</v>
          </cell>
          <cell r="D440">
            <v>112023</v>
          </cell>
          <cell r="E440" t="str">
            <v>Carro de Procedimientos</v>
          </cell>
          <cell r="F440" t="str">
            <v>NO</v>
          </cell>
          <cell r="G440" t="str">
            <v>NO</v>
          </cell>
          <cell r="H440" t="str">
            <v xml:space="preserve">SALA DE PROCEDIMIENTO </v>
          </cell>
          <cell r="I440">
            <v>1</v>
          </cell>
          <cell r="J440" t="str">
            <v>C.4.3.5.1</v>
          </cell>
          <cell r="K440" t="str">
            <v>Urgencia</v>
          </cell>
          <cell r="L440">
            <v>1</v>
          </cell>
          <cell r="M440">
            <v>46003</v>
          </cell>
          <cell r="N440">
            <v>46006</v>
          </cell>
          <cell r="O440">
            <v>1</v>
          </cell>
          <cell r="P440">
            <v>46007</v>
          </cell>
          <cell r="Q440">
            <v>1</v>
          </cell>
          <cell r="R440" t="str">
            <v>NA</v>
          </cell>
          <cell r="S440">
            <v>5</v>
          </cell>
        </row>
        <row r="441">
          <cell r="B441" t="str">
            <v>EMMC</v>
          </cell>
          <cell r="C441" t="str">
            <v>HSLB11866</v>
          </cell>
          <cell r="D441">
            <v>112023</v>
          </cell>
          <cell r="E441" t="str">
            <v>Carro de Procedimientos</v>
          </cell>
          <cell r="F441" t="str">
            <v>NO</v>
          </cell>
          <cell r="G441" t="str">
            <v>NO</v>
          </cell>
          <cell r="H441" t="str">
            <v>SALA DE PROCEDIMIENTO</v>
          </cell>
          <cell r="I441">
            <v>1</v>
          </cell>
          <cell r="J441" t="str">
            <v>C.4.3.5.2</v>
          </cell>
          <cell r="K441" t="str">
            <v>Urgencia</v>
          </cell>
          <cell r="L441">
            <v>1</v>
          </cell>
          <cell r="M441">
            <v>46003</v>
          </cell>
          <cell r="N441">
            <v>46006</v>
          </cell>
          <cell r="O441">
            <v>1</v>
          </cell>
          <cell r="P441">
            <v>46007</v>
          </cell>
          <cell r="Q441">
            <v>1</v>
          </cell>
          <cell r="R441" t="str">
            <v>NA</v>
          </cell>
          <cell r="S441">
            <v>5</v>
          </cell>
        </row>
        <row r="442">
          <cell r="B442" t="str">
            <v>EMMC</v>
          </cell>
          <cell r="C442" t="str">
            <v>HSLB11867</v>
          </cell>
          <cell r="D442">
            <v>112023</v>
          </cell>
          <cell r="E442" t="str">
            <v>Carro de Procedimientos</v>
          </cell>
          <cell r="F442" t="str">
            <v>NO</v>
          </cell>
          <cell r="G442" t="str">
            <v>NO</v>
          </cell>
          <cell r="H442" t="str">
            <v>ESTACIÓN DE ENFERMERÍA</v>
          </cell>
          <cell r="I442">
            <v>1</v>
          </cell>
          <cell r="J442" t="str">
            <v>C.4.3.8</v>
          </cell>
          <cell r="K442" t="str">
            <v>Urgencia</v>
          </cell>
          <cell r="L442">
            <v>1</v>
          </cell>
          <cell r="M442">
            <v>46003</v>
          </cell>
          <cell r="N442">
            <v>46006</v>
          </cell>
          <cell r="O442">
            <v>1</v>
          </cell>
          <cell r="P442">
            <v>46007</v>
          </cell>
          <cell r="Q442">
            <v>1</v>
          </cell>
          <cell r="R442" t="str">
            <v>NA</v>
          </cell>
          <cell r="S442">
            <v>5</v>
          </cell>
        </row>
        <row r="443">
          <cell r="B443" t="str">
            <v>EMMC</v>
          </cell>
          <cell r="C443" t="str">
            <v>HSLB11868</v>
          </cell>
          <cell r="D443">
            <v>112023</v>
          </cell>
          <cell r="E443" t="str">
            <v>Carro de Procedimientos</v>
          </cell>
          <cell r="F443" t="str">
            <v>NO</v>
          </cell>
          <cell r="G443" t="str">
            <v>NO</v>
          </cell>
          <cell r="H443" t="str">
            <v>SALA DE PROCEDIMIENTO (infantil)</v>
          </cell>
          <cell r="I443">
            <v>1</v>
          </cell>
          <cell r="J443" t="str">
            <v>C.4.4.5</v>
          </cell>
          <cell r="K443" t="str">
            <v>Urgencia</v>
          </cell>
          <cell r="L443">
            <v>1</v>
          </cell>
          <cell r="M443">
            <v>46003</v>
          </cell>
          <cell r="N443">
            <v>46006</v>
          </cell>
          <cell r="O443">
            <v>1</v>
          </cell>
          <cell r="P443">
            <v>46007</v>
          </cell>
          <cell r="Q443">
            <v>1</v>
          </cell>
          <cell r="R443" t="str">
            <v>NA</v>
          </cell>
          <cell r="S443">
            <v>5</v>
          </cell>
        </row>
        <row r="444">
          <cell r="B444" t="str">
            <v>EMMC</v>
          </cell>
          <cell r="C444" t="str">
            <v>HSLB11869</v>
          </cell>
          <cell r="D444">
            <v>112023</v>
          </cell>
          <cell r="E444" t="str">
            <v>Carro de Procedimientos</v>
          </cell>
          <cell r="F444" t="str">
            <v>NO</v>
          </cell>
          <cell r="G444" t="str">
            <v>NO</v>
          </cell>
          <cell r="H444" t="str">
            <v>ESTACIÓN DE ENFERMERÍA</v>
          </cell>
          <cell r="I444">
            <v>1</v>
          </cell>
          <cell r="J444" t="str">
            <v>C.4.4.8</v>
          </cell>
          <cell r="K444" t="str">
            <v>Urgencia</v>
          </cell>
          <cell r="L444">
            <v>1</v>
          </cell>
          <cell r="M444">
            <v>46003</v>
          </cell>
          <cell r="N444">
            <v>46006</v>
          </cell>
          <cell r="O444">
            <v>1</v>
          </cell>
          <cell r="P444">
            <v>46007</v>
          </cell>
          <cell r="Q444">
            <v>1</v>
          </cell>
          <cell r="R444" t="str">
            <v>NA</v>
          </cell>
          <cell r="S444">
            <v>5</v>
          </cell>
        </row>
        <row r="445">
          <cell r="B445" t="str">
            <v>EMMC</v>
          </cell>
          <cell r="C445" t="str">
            <v>HSLB11875</v>
          </cell>
          <cell r="D445">
            <v>112023</v>
          </cell>
          <cell r="E445" t="str">
            <v>Carro de Procedimientos</v>
          </cell>
          <cell r="F445" t="str">
            <v>NO</v>
          </cell>
          <cell r="G445" t="str">
            <v>NO</v>
          </cell>
          <cell r="H445" t="str">
            <v>SALA PROCEDIMIENTOS C/BAÑO</v>
          </cell>
          <cell r="I445">
            <v>1</v>
          </cell>
          <cell r="J445" t="str">
            <v>C.5.7.6.1</v>
          </cell>
          <cell r="K445" t="str">
            <v>Med Física y Rehabilitación</v>
          </cell>
          <cell r="L445">
            <v>1</v>
          </cell>
          <cell r="M445">
            <v>46013</v>
          </cell>
          <cell r="N445">
            <v>46014</v>
          </cell>
          <cell r="O445">
            <v>1</v>
          </cell>
          <cell r="P445">
            <v>46015</v>
          </cell>
          <cell r="Q445">
            <v>1</v>
          </cell>
          <cell r="R445" t="str">
            <v>NA</v>
          </cell>
          <cell r="S445">
            <v>5</v>
          </cell>
        </row>
        <row r="446">
          <cell r="B446" t="str">
            <v>EMMC</v>
          </cell>
          <cell r="C446" t="str">
            <v>HSLB11896</v>
          </cell>
          <cell r="D446">
            <v>112033</v>
          </cell>
          <cell r="E446" t="str">
            <v>Carro Porta Pesas y Mancuernas</v>
          </cell>
          <cell r="F446" t="str">
            <v>NO</v>
          </cell>
          <cell r="G446" t="str">
            <v>SI</v>
          </cell>
          <cell r="H446" t="str">
            <v>GIMNASIO ADULTO REHABILITACIÓN CARDIOVASCULAR</v>
          </cell>
          <cell r="I446">
            <v>1</v>
          </cell>
          <cell r="J446" t="str">
            <v>C.5.7.14</v>
          </cell>
          <cell r="K446" t="str">
            <v>Med Física y Rehabilitación</v>
          </cell>
          <cell r="L446">
            <v>1</v>
          </cell>
          <cell r="M446">
            <v>46003</v>
          </cell>
          <cell r="N446">
            <v>46006</v>
          </cell>
          <cell r="O446">
            <v>1</v>
          </cell>
          <cell r="P446">
            <v>46007</v>
          </cell>
          <cell r="Q446">
            <v>1</v>
          </cell>
          <cell r="R446" t="str">
            <v>NA</v>
          </cell>
          <cell r="S446">
            <v>5</v>
          </cell>
        </row>
        <row r="447">
          <cell r="B447" t="str">
            <v>EMMC</v>
          </cell>
          <cell r="C447" t="str">
            <v>HSLB11899</v>
          </cell>
          <cell r="D447">
            <v>112034</v>
          </cell>
          <cell r="E447" t="str">
            <v>Carro Procedimiento Yeso</v>
          </cell>
          <cell r="F447" t="str">
            <v>NO</v>
          </cell>
          <cell r="G447" t="str">
            <v>NO</v>
          </cell>
          <cell r="H447" t="str">
            <v>SALA YESO</v>
          </cell>
          <cell r="I447">
            <v>1</v>
          </cell>
          <cell r="J447" t="str">
            <v>C.4.5.4</v>
          </cell>
          <cell r="K447" t="str">
            <v>Urgencia</v>
          </cell>
          <cell r="L447">
            <v>1</v>
          </cell>
          <cell r="M447">
            <v>46003</v>
          </cell>
          <cell r="N447">
            <v>46006</v>
          </cell>
          <cell r="O447">
            <v>1</v>
          </cell>
          <cell r="P447">
            <v>46007</v>
          </cell>
          <cell r="Q447">
            <v>1</v>
          </cell>
          <cell r="R447" t="str">
            <v>NA</v>
          </cell>
          <cell r="S447">
            <v>5</v>
          </cell>
        </row>
        <row r="448">
          <cell r="B448" t="str">
            <v>EMMC</v>
          </cell>
          <cell r="C448" t="str">
            <v>HSLB11906</v>
          </cell>
          <cell r="D448">
            <v>112038</v>
          </cell>
          <cell r="E448" t="str">
            <v>Carro Transporte Ropa Limpia</v>
          </cell>
          <cell r="F448" t="str">
            <v>NO</v>
          </cell>
          <cell r="G448" t="str">
            <v>NO</v>
          </cell>
          <cell r="H448" t="str">
            <v>ESTACIONAMIENTO CARROS LIMPIOS</v>
          </cell>
          <cell r="I448">
            <v>2</v>
          </cell>
          <cell r="J448" t="str">
            <v>D.2.2.5.21</v>
          </cell>
          <cell r="K448" t="str">
            <v>Lavandería</v>
          </cell>
          <cell r="L448">
            <v>1</v>
          </cell>
          <cell r="M448">
            <v>46037</v>
          </cell>
          <cell r="N448">
            <v>46038</v>
          </cell>
          <cell r="O448">
            <v>1</v>
          </cell>
          <cell r="P448">
            <v>46041</v>
          </cell>
          <cell r="Q448">
            <v>1</v>
          </cell>
          <cell r="R448" t="str">
            <v>NA</v>
          </cell>
          <cell r="S448">
            <v>5</v>
          </cell>
        </row>
        <row r="449">
          <cell r="B449" t="str">
            <v>EMMC</v>
          </cell>
          <cell r="C449" t="str">
            <v>HSLB11910</v>
          </cell>
          <cell r="D449">
            <v>112039</v>
          </cell>
          <cell r="E449" t="str">
            <v>Carro Transporte Ropa Sucia Tipo I</v>
          </cell>
          <cell r="F449" t="str">
            <v>NO</v>
          </cell>
          <cell r="G449" t="str">
            <v>NO</v>
          </cell>
          <cell r="H449" t="str">
            <v>ROPA SUCIA (INCLUYE EST. DE CARRO)</v>
          </cell>
          <cell r="I449">
            <v>1</v>
          </cell>
          <cell r="J449" t="str">
            <v>C.2.5.3.38</v>
          </cell>
          <cell r="K449" t="str">
            <v>Lavandería</v>
          </cell>
          <cell r="L449">
            <v>1</v>
          </cell>
          <cell r="M449">
            <v>46037</v>
          </cell>
          <cell r="N449">
            <v>46038</v>
          </cell>
          <cell r="O449">
            <v>1</v>
          </cell>
          <cell r="P449">
            <v>46041</v>
          </cell>
          <cell r="Q449">
            <v>1</v>
          </cell>
          <cell r="R449" t="str">
            <v>NA</v>
          </cell>
          <cell r="S449">
            <v>5</v>
          </cell>
        </row>
        <row r="450">
          <cell r="B450" t="str">
            <v>EMMC</v>
          </cell>
          <cell r="C450" t="str">
            <v>HSLB11921</v>
          </cell>
          <cell r="D450">
            <v>112039</v>
          </cell>
          <cell r="E450" t="str">
            <v>Carro Transporte Ropa Sucia Tipo I</v>
          </cell>
          <cell r="F450" t="str">
            <v>NO</v>
          </cell>
          <cell r="G450" t="str">
            <v>NO</v>
          </cell>
          <cell r="H450" t="str">
            <v xml:space="preserve">ROPA SUCIA </v>
          </cell>
          <cell r="I450">
            <v>1</v>
          </cell>
          <cell r="J450" t="str">
            <v>C.4.5.9.1</v>
          </cell>
          <cell r="K450" t="str">
            <v>Urgencia</v>
          </cell>
          <cell r="L450">
            <v>1</v>
          </cell>
          <cell r="M450">
            <v>46003</v>
          </cell>
          <cell r="N450">
            <v>46006</v>
          </cell>
          <cell r="O450">
            <v>1</v>
          </cell>
          <cell r="P450">
            <v>46007</v>
          </cell>
          <cell r="Q450">
            <v>1</v>
          </cell>
          <cell r="R450" t="str">
            <v>NA</v>
          </cell>
          <cell r="S450">
            <v>5</v>
          </cell>
        </row>
        <row r="451">
          <cell r="B451" t="str">
            <v>EMMC</v>
          </cell>
          <cell r="C451" t="str">
            <v>HSLB11922</v>
          </cell>
          <cell r="D451">
            <v>112039</v>
          </cell>
          <cell r="E451" t="str">
            <v>Carro Transporte Ropa Sucia Tipo I</v>
          </cell>
          <cell r="F451" t="str">
            <v>NO</v>
          </cell>
          <cell r="G451" t="str">
            <v>NO</v>
          </cell>
          <cell r="H451" t="str">
            <v>BODEGA DE EQUIPOS MEDICOS</v>
          </cell>
          <cell r="I451">
            <v>1</v>
          </cell>
          <cell r="J451" t="str">
            <v>C.4.5.9.2</v>
          </cell>
          <cell r="K451" t="str">
            <v>Urgencia</v>
          </cell>
          <cell r="L451">
            <v>1</v>
          </cell>
          <cell r="M451">
            <v>46003</v>
          </cell>
          <cell r="N451">
            <v>46006</v>
          </cell>
          <cell r="O451">
            <v>1</v>
          </cell>
          <cell r="P451">
            <v>46007</v>
          </cell>
          <cell r="Q451">
            <v>1</v>
          </cell>
          <cell r="R451" t="str">
            <v>NA</v>
          </cell>
          <cell r="S451">
            <v>5</v>
          </cell>
        </row>
        <row r="452">
          <cell r="B452" t="str">
            <v>EMMC</v>
          </cell>
          <cell r="C452" t="str">
            <v>HSLB11925</v>
          </cell>
          <cell r="D452">
            <v>112040</v>
          </cell>
          <cell r="E452" t="str">
            <v>Carro Transporte Ropa Sucia Tipo II</v>
          </cell>
          <cell r="F452" t="str">
            <v>NO</v>
          </cell>
          <cell r="G452" t="str">
            <v>NO</v>
          </cell>
          <cell r="H452" t="str">
            <v>ZONA DE CARGA</v>
          </cell>
          <cell r="I452">
            <v>2</v>
          </cell>
          <cell r="J452" t="str">
            <v>D.2.2.5.10</v>
          </cell>
          <cell r="K452" t="str">
            <v>Vestuario</v>
          </cell>
          <cell r="L452">
            <v>1</v>
          </cell>
          <cell r="M452">
            <v>46037</v>
          </cell>
          <cell r="N452">
            <v>46038</v>
          </cell>
          <cell r="O452">
            <v>1</v>
          </cell>
          <cell r="P452">
            <v>46041</v>
          </cell>
          <cell r="Q452">
            <v>1</v>
          </cell>
          <cell r="R452" t="str">
            <v>NA</v>
          </cell>
          <cell r="S452">
            <v>5</v>
          </cell>
        </row>
        <row r="453">
          <cell r="B453" t="str">
            <v>EMMC</v>
          </cell>
          <cell r="C453" t="str">
            <v>HSLB10327</v>
          </cell>
          <cell r="D453">
            <v>103017</v>
          </cell>
          <cell r="E453" t="str">
            <v>Carro Utilitario</v>
          </cell>
          <cell r="F453" t="str">
            <v>NO</v>
          </cell>
          <cell r="G453" t="str">
            <v>NO</v>
          </cell>
          <cell r="H453" t="str">
            <v>SALA KINESOTERÁPIA CUBICULO ONDA CORTA</v>
          </cell>
          <cell r="I453">
            <v>1</v>
          </cell>
          <cell r="J453" t="str">
            <v>C.5.7.11</v>
          </cell>
          <cell r="K453" t="str">
            <v>Med Física y Rehabilitación</v>
          </cell>
          <cell r="L453">
            <v>1</v>
          </cell>
          <cell r="M453">
            <v>46013</v>
          </cell>
          <cell r="N453">
            <v>46014</v>
          </cell>
          <cell r="O453">
            <v>1</v>
          </cell>
          <cell r="P453">
            <v>46015</v>
          </cell>
          <cell r="Q453">
            <v>1</v>
          </cell>
          <cell r="R453" t="str">
            <v>NA</v>
          </cell>
          <cell r="S453">
            <v>5</v>
          </cell>
        </row>
        <row r="454">
          <cell r="B454" t="str">
            <v>EMMC</v>
          </cell>
          <cell r="C454" t="str">
            <v>HSLB10328</v>
          </cell>
          <cell r="D454">
            <v>103017</v>
          </cell>
          <cell r="E454" t="str">
            <v>Carro Utilitario</v>
          </cell>
          <cell r="F454" t="str">
            <v>NO</v>
          </cell>
          <cell r="G454" t="str">
            <v>NO</v>
          </cell>
          <cell r="H454" t="str">
            <v>SALA KINESOTERÁPIA CUBICULO ULTRASONIDO</v>
          </cell>
          <cell r="I454">
            <v>1</v>
          </cell>
          <cell r="J454" t="str">
            <v>C.5.7.12</v>
          </cell>
          <cell r="K454" t="str">
            <v>Med Física y Rehabilitación</v>
          </cell>
          <cell r="L454">
            <v>1</v>
          </cell>
          <cell r="M454">
            <v>46013</v>
          </cell>
          <cell r="N454">
            <v>46014</v>
          </cell>
          <cell r="O454">
            <v>1</v>
          </cell>
          <cell r="P454">
            <v>46015</v>
          </cell>
          <cell r="Q454">
            <v>1</v>
          </cell>
          <cell r="R454" t="str">
            <v>NA</v>
          </cell>
          <cell r="S454">
            <v>5</v>
          </cell>
        </row>
        <row r="455">
          <cell r="B455" t="str">
            <v>EMMC</v>
          </cell>
          <cell r="C455" t="str">
            <v>HSLB10315</v>
          </cell>
          <cell r="D455">
            <v>103017</v>
          </cell>
          <cell r="E455" t="str">
            <v>Carro Utilitario</v>
          </cell>
          <cell r="F455" t="str">
            <v>NO</v>
          </cell>
          <cell r="G455" t="str">
            <v>NO</v>
          </cell>
          <cell r="H455" t="str">
            <v>ESTACIÓN DE ENFERMERÍA</v>
          </cell>
          <cell r="I455">
            <v>1</v>
          </cell>
          <cell r="J455" t="str">
            <v>C.4.4.8</v>
          </cell>
          <cell r="K455" t="str">
            <v>Urgencia</v>
          </cell>
          <cell r="L455">
            <v>1</v>
          </cell>
          <cell r="M455">
            <v>46003</v>
          </cell>
          <cell r="N455">
            <v>46006</v>
          </cell>
          <cell r="O455">
            <v>1</v>
          </cell>
          <cell r="P455">
            <v>46007</v>
          </cell>
          <cell r="Q455">
            <v>1</v>
          </cell>
          <cell r="R455" t="str">
            <v>NA</v>
          </cell>
          <cell r="S455">
            <v>5</v>
          </cell>
        </row>
        <row r="456">
          <cell r="B456" t="str">
            <v>EMMC</v>
          </cell>
          <cell r="C456" t="str">
            <v>HSLB10329</v>
          </cell>
          <cell r="D456">
            <v>103017</v>
          </cell>
          <cell r="E456" t="str">
            <v>Carro Utilitario</v>
          </cell>
          <cell r="F456" t="str">
            <v>NO</v>
          </cell>
          <cell r="G456" t="str">
            <v>NO</v>
          </cell>
          <cell r="H456" t="str">
            <v>SALA KINESOTERÁPIA ( CUBICULO ELECTRO-CRIOTERÁPIA)</v>
          </cell>
          <cell r="I456">
            <v>1</v>
          </cell>
          <cell r="J456" t="str">
            <v>C.5.7.13</v>
          </cell>
          <cell r="K456" t="str">
            <v>Med Física y Rehabilitación</v>
          </cell>
          <cell r="L456">
            <v>1</v>
          </cell>
          <cell r="M456">
            <v>46013</v>
          </cell>
          <cell r="N456">
            <v>46014</v>
          </cell>
          <cell r="O456">
            <v>1</v>
          </cell>
          <cell r="P456">
            <v>46015</v>
          </cell>
          <cell r="Q456">
            <v>1</v>
          </cell>
          <cell r="R456" t="str">
            <v>NA</v>
          </cell>
          <cell r="S456">
            <v>5</v>
          </cell>
        </row>
        <row r="457">
          <cell r="B457" t="str">
            <v>EMMC</v>
          </cell>
          <cell r="C457" t="str">
            <v>HSLB10331</v>
          </cell>
          <cell r="D457">
            <v>103017</v>
          </cell>
          <cell r="E457" t="str">
            <v>Carro Utilitario</v>
          </cell>
          <cell r="F457" t="str">
            <v>NO</v>
          </cell>
          <cell r="G457" t="str">
            <v>NO</v>
          </cell>
          <cell r="H457" t="str">
            <v>SALA KINESOTERÁPIA CUBICULO BAÑO PARAFINA</v>
          </cell>
          <cell r="I457">
            <v>1</v>
          </cell>
          <cell r="J457" t="str">
            <v>C.5.7.9</v>
          </cell>
          <cell r="K457" t="str">
            <v>Med Física y Rehabilitación</v>
          </cell>
          <cell r="L457">
            <v>1</v>
          </cell>
          <cell r="M457">
            <v>46013</v>
          </cell>
          <cell r="N457">
            <v>46014</v>
          </cell>
          <cell r="O457">
            <v>1</v>
          </cell>
          <cell r="P457">
            <v>46015</v>
          </cell>
          <cell r="Q457">
            <v>1</v>
          </cell>
          <cell r="R457" t="str">
            <v>NA</v>
          </cell>
          <cell r="S457">
            <v>5</v>
          </cell>
        </row>
        <row r="458">
          <cell r="B458" t="str">
            <v>EMMC</v>
          </cell>
          <cell r="C458" t="str">
            <v>HSLB10330</v>
          </cell>
          <cell r="D458">
            <v>103017</v>
          </cell>
          <cell r="E458" t="str">
            <v>Carro Utilitario</v>
          </cell>
          <cell r="F458" t="str">
            <v>NO</v>
          </cell>
          <cell r="G458" t="str">
            <v>NO</v>
          </cell>
          <cell r="H458" t="str">
            <v>TALLER DE ÓRTESIS (MUEBLE)</v>
          </cell>
          <cell r="I458">
            <v>1</v>
          </cell>
          <cell r="J458" t="str">
            <v>C.5.7.29</v>
          </cell>
          <cell r="K458" t="str">
            <v>Med Física y Rehabilitación</v>
          </cell>
          <cell r="L458">
            <v>1</v>
          </cell>
          <cell r="M458">
            <v>46013</v>
          </cell>
          <cell r="N458">
            <v>46014</v>
          </cell>
          <cell r="O458">
            <v>1</v>
          </cell>
          <cell r="P458">
            <v>46015</v>
          </cell>
          <cell r="Q458">
            <v>1</v>
          </cell>
          <cell r="R458" t="str">
            <v>NA</v>
          </cell>
          <cell r="S458">
            <v>5</v>
          </cell>
        </row>
        <row r="459">
          <cell r="B459" t="str">
            <v>EMMC</v>
          </cell>
          <cell r="C459" t="str">
            <v>HSLB11929</v>
          </cell>
          <cell r="D459">
            <v>112045</v>
          </cell>
          <cell r="E459" t="str">
            <v>Cartabón</v>
          </cell>
          <cell r="F459" t="str">
            <v>NO</v>
          </cell>
          <cell r="G459" t="str">
            <v>NO</v>
          </cell>
          <cell r="H459" t="str">
            <v>SALA CONTROL SALUD</v>
          </cell>
          <cell r="I459">
            <v>1</v>
          </cell>
          <cell r="J459" t="str">
            <v>H.2.6</v>
          </cell>
          <cell r="K459" t="str">
            <v>Sala cuna</v>
          </cell>
          <cell r="L459">
            <v>1</v>
          </cell>
          <cell r="M459">
            <v>46041</v>
          </cell>
          <cell r="N459">
            <v>46042</v>
          </cell>
          <cell r="O459">
            <v>1</v>
          </cell>
          <cell r="P459">
            <v>46043</v>
          </cell>
          <cell r="Q459">
            <v>1</v>
          </cell>
          <cell r="R459" t="str">
            <v>NA</v>
          </cell>
          <cell r="S459">
            <v>5</v>
          </cell>
        </row>
        <row r="460">
          <cell r="B460" t="str">
            <v>EMMC</v>
          </cell>
          <cell r="C460" t="str">
            <v>HSLB10767</v>
          </cell>
          <cell r="D460">
            <v>106003</v>
          </cell>
          <cell r="E460" t="str">
            <v>Equipo de Música</v>
          </cell>
          <cell r="F460" t="str">
            <v>NO</v>
          </cell>
          <cell r="G460" t="str">
            <v>NO</v>
          </cell>
          <cell r="H460" t="str">
            <v>NIVEL MEDIO MENOR</v>
          </cell>
          <cell r="I460">
            <v>1</v>
          </cell>
          <cell r="J460" t="str">
            <v>H.2.11.1</v>
          </cell>
          <cell r="K460" t="str">
            <v>Sala cuna</v>
          </cell>
          <cell r="L460">
            <v>1</v>
          </cell>
          <cell r="M460">
            <v>46041</v>
          </cell>
          <cell r="N460">
            <v>46042</v>
          </cell>
          <cell r="O460">
            <v>1</v>
          </cell>
          <cell r="P460">
            <v>46043</v>
          </cell>
          <cell r="Q460">
            <v>1</v>
          </cell>
          <cell r="R460" t="str">
            <v>NA</v>
          </cell>
          <cell r="S460">
            <v>5</v>
          </cell>
        </row>
        <row r="461">
          <cell r="B461" t="str">
            <v>EMMC</v>
          </cell>
          <cell r="C461" t="str">
            <v>HSLB10768</v>
          </cell>
          <cell r="D461">
            <v>106003</v>
          </cell>
          <cell r="E461" t="str">
            <v>Equipo de Música</v>
          </cell>
          <cell r="F461" t="str">
            <v>NO</v>
          </cell>
          <cell r="G461" t="str">
            <v>SI</v>
          </cell>
          <cell r="H461" t="str">
            <v>NIVEL MEDIO MAYOR</v>
          </cell>
          <cell r="I461">
            <v>1</v>
          </cell>
          <cell r="J461" t="str">
            <v>H.2.11.2</v>
          </cell>
          <cell r="K461" t="str">
            <v>Sala cuna</v>
          </cell>
          <cell r="L461">
            <v>1</v>
          </cell>
          <cell r="M461">
            <v>46003</v>
          </cell>
          <cell r="N461">
            <v>46006</v>
          </cell>
          <cell r="O461">
            <v>1</v>
          </cell>
          <cell r="P461">
            <v>46007</v>
          </cell>
          <cell r="Q461">
            <v>1</v>
          </cell>
          <cell r="R461" t="str">
            <v>NA</v>
          </cell>
          <cell r="S461">
            <v>5</v>
          </cell>
        </row>
        <row r="462">
          <cell r="B462" t="str">
            <v>EMMC</v>
          </cell>
          <cell r="C462" t="str">
            <v>HSLB10769</v>
          </cell>
          <cell r="D462">
            <v>106003</v>
          </cell>
          <cell r="E462" t="str">
            <v>Equipo de Música</v>
          </cell>
          <cell r="F462" t="str">
            <v>NO</v>
          </cell>
          <cell r="G462" t="str">
            <v>SI</v>
          </cell>
          <cell r="H462" t="str">
            <v>NIVEL SALA CUNA 1</v>
          </cell>
          <cell r="I462">
            <v>1</v>
          </cell>
          <cell r="J462" t="str">
            <v>H.2.8.1</v>
          </cell>
          <cell r="K462" t="str">
            <v>Sala cuna</v>
          </cell>
          <cell r="L462">
            <v>1</v>
          </cell>
          <cell r="M462">
            <v>46003</v>
          </cell>
          <cell r="N462">
            <v>46006</v>
          </cell>
          <cell r="O462">
            <v>1</v>
          </cell>
          <cell r="P462">
            <v>46007</v>
          </cell>
          <cell r="Q462">
            <v>1</v>
          </cell>
          <cell r="R462" t="str">
            <v>NA</v>
          </cell>
          <cell r="S462">
            <v>5</v>
          </cell>
        </row>
        <row r="463">
          <cell r="B463" t="str">
            <v>EMMC</v>
          </cell>
          <cell r="C463" t="str">
            <v>HSLB10770</v>
          </cell>
          <cell r="D463">
            <v>106003</v>
          </cell>
          <cell r="E463" t="str">
            <v>Equipo de Música</v>
          </cell>
          <cell r="F463" t="str">
            <v>NO</v>
          </cell>
          <cell r="G463" t="str">
            <v>NO</v>
          </cell>
          <cell r="H463" t="str">
            <v>NIVEL SALA CUNA 2</v>
          </cell>
          <cell r="I463">
            <v>1</v>
          </cell>
          <cell r="J463" t="str">
            <v>H.2.8.2</v>
          </cell>
          <cell r="K463" t="str">
            <v>Sala cuna</v>
          </cell>
          <cell r="L463">
            <v>1</v>
          </cell>
          <cell r="M463">
            <v>46041</v>
          </cell>
          <cell r="N463">
            <v>46042</v>
          </cell>
          <cell r="O463">
            <v>1</v>
          </cell>
          <cell r="P463">
            <v>46043</v>
          </cell>
          <cell r="Q463">
            <v>1</v>
          </cell>
          <cell r="R463" t="str">
            <v>NA</v>
          </cell>
          <cell r="S463">
            <v>5</v>
          </cell>
        </row>
        <row r="464">
          <cell r="B464" t="str">
            <v>EMMC</v>
          </cell>
          <cell r="C464" t="str">
            <v>HSLB12182</v>
          </cell>
          <cell r="D464">
            <v>112054</v>
          </cell>
          <cell r="E464" t="str">
            <v>Escabel</v>
          </cell>
          <cell r="F464" t="str">
            <v>NO</v>
          </cell>
          <cell r="G464" t="str">
            <v>NO</v>
          </cell>
          <cell r="H464" t="str">
            <v>SALA CONTROL SALUD</v>
          </cell>
          <cell r="I464">
            <v>1</v>
          </cell>
          <cell r="J464" t="str">
            <v>H.2.6</v>
          </cell>
          <cell r="K464" t="str">
            <v>Sala cuna</v>
          </cell>
          <cell r="L464">
            <v>1</v>
          </cell>
          <cell r="M464">
            <v>46041</v>
          </cell>
          <cell r="N464">
            <v>46042</v>
          </cell>
          <cell r="O464">
            <v>1</v>
          </cell>
          <cell r="P464">
            <v>46043</v>
          </cell>
          <cell r="Q464">
            <v>1</v>
          </cell>
          <cell r="R464" t="str">
            <v>NA</v>
          </cell>
          <cell r="S464">
            <v>5</v>
          </cell>
        </row>
        <row r="465">
          <cell r="B465" t="str">
            <v>EMMC</v>
          </cell>
          <cell r="C465" t="str">
            <v>HSLB10813</v>
          </cell>
          <cell r="D465">
            <v>106007</v>
          </cell>
          <cell r="E465" t="str">
            <v>Hervidor Eléctrico</v>
          </cell>
          <cell r="F465" t="str">
            <v>NO</v>
          </cell>
          <cell r="G465" t="str">
            <v>NO</v>
          </cell>
          <cell r="H465" t="str">
            <v>KITCHENETTE</v>
          </cell>
          <cell r="I465">
            <v>1</v>
          </cell>
          <cell r="J465" t="str">
            <v>D.1.1.1.4</v>
          </cell>
          <cell r="K465" t="str">
            <v>Consultas Medicas Generales</v>
          </cell>
          <cell r="L465">
            <v>1</v>
          </cell>
          <cell r="M465">
            <v>46028</v>
          </cell>
          <cell r="N465">
            <v>46029</v>
          </cell>
          <cell r="O465">
            <v>1</v>
          </cell>
          <cell r="P465">
            <v>46030</v>
          </cell>
          <cell r="Q465">
            <v>1</v>
          </cell>
          <cell r="R465" t="str">
            <v>NA</v>
          </cell>
          <cell r="S465">
            <v>5</v>
          </cell>
        </row>
        <row r="466">
          <cell r="B466" t="str">
            <v>EMMC</v>
          </cell>
          <cell r="C466" t="str">
            <v>HSLB10817</v>
          </cell>
          <cell r="D466">
            <v>106007</v>
          </cell>
          <cell r="E466" t="str">
            <v>Hervidor Eléctrico</v>
          </cell>
          <cell r="F466" t="str">
            <v>NO</v>
          </cell>
          <cell r="G466" t="str">
            <v>NO</v>
          </cell>
          <cell r="H466" t="str">
            <v>KITCHENETTE</v>
          </cell>
          <cell r="I466">
            <v>1</v>
          </cell>
          <cell r="J466" t="str">
            <v>D.2.2.5.6</v>
          </cell>
          <cell r="K466" t="str">
            <v>Lavandería</v>
          </cell>
          <cell r="L466">
            <v>1</v>
          </cell>
          <cell r="M466">
            <v>46037</v>
          </cell>
          <cell r="N466">
            <v>46038</v>
          </cell>
          <cell r="O466">
            <v>1</v>
          </cell>
          <cell r="P466">
            <v>46041</v>
          </cell>
          <cell r="Q466">
            <v>1</v>
          </cell>
          <cell r="R466" t="str">
            <v>NA</v>
          </cell>
          <cell r="S466">
            <v>5</v>
          </cell>
        </row>
        <row r="467">
          <cell r="B467" t="str">
            <v>EMMC</v>
          </cell>
          <cell r="C467" t="str">
            <v>HSLB10820</v>
          </cell>
          <cell r="D467">
            <v>106007</v>
          </cell>
          <cell r="E467" t="str">
            <v>Hervidor Eléctrico</v>
          </cell>
          <cell r="F467" t="str">
            <v>NO</v>
          </cell>
          <cell r="G467" t="str">
            <v>NO</v>
          </cell>
          <cell r="H467" t="str">
            <v>ESTAR PERSONAL C/ KITCHENETTE</v>
          </cell>
          <cell r="I467">
            <v>1</v>
          </cell>
          <cell r="J467" t="str">
            <v>D.2.4.4.4</v>
          </cell>
          <cell r="K467" t="str">
            <v>Mantenimiento</v>
          </cell>
          <cell r="L467">
            <v>1</v>
          </cell>
          <cell r="M467">
            <v>46037</v>
          </cell>
          <cell r="N467">
            <v>46038</v>
          </cell>
          <cell r="O467">
            <v>1</v>
          </cell>
          <cell r="P467">
            <v>46041</v>
          </cell>
          <cell r="Q467">
            <v>1</v>
          </cell>
          <cell r="R467" t="str">
            <v>NA</v>
          </cell>
          <cell r="S467">
            <v>5</v>
          </cell>
        </row>
        <row r="468">
          <cell r="B468" t="str">
            <v>EMMC</v>
          </cell>
          <cell r="C468" t="str">
            <v>HSLB10821</v>
          </cell>
          <cell r="D468">
            <v>106007</v>
          </cell>
          <cell r="E468" t="str">
            <v>Hervidor Eléctrico</v>
          </cell>
          <cell r="F468" t="str">
            <v>NO</v>
          </cell>
          <cell r="G468" t="str">
            <v>NO</v>
          </cell>
          <cell r="H468" t="str">
            <v>ESTAR PERSONAL C/ KITCHENETTE</v>
          </cell>
          <cell r="I468">
            <v>1</v>
          </cell>
          <cell r="J468" t="str">
            <v>D.3.3.3.10</v>
          </cell>
          <cell r="K468" t="str">
            <v>Abastecimiento</v>
          </cell>
          <cell r="L468">
            <v>1</v>
          </cell>
          <cell r="M468">
            <v>46035</v>
          </cell>
          <cell r="N468">
            <v>46036</v>
          </cell>
          <cell r="O468">
            <v>1</v>
          </cell>
          <cell r="P468">
            <v>46037</v>
          </cell>
          <cell r="Q468">
            <v>1</v>
          </cell>
          <cell r="R468" t="str">
            <v>NA</v>
          </cell>
          <cell r="S468">
            <v>5</v>
          </cell>
        </row>
        <row r="469">
          <cell r="B469" t="str">
            <v>EMMC</v>
          </cell>
          <cell r="C469" t="str">
            <v>HSLB10830</v>
          </cell>
          <cell r="D469">
            <v>106007</v>
          </cell>
          <cell r="E469" t="str">
            <v>Hervidor Eléctrico</v>
          </cell>
          <cell r="F469" t="str">
            <v>NO</v>
          </cell>
          <cell r="G469" t="str">
            <v>NO</v>
          </cell>
          <cell r="H469" t="str">
            <v>COCINA DE LECHE SEDILE</v>
          </cell>
          <cell r="I469">
            <v>1</v>
          </cell>
          <cell r="J469" t="str">
            <v>H.2.23</v>
          </cell>
          <cell r="K469" t="str">
            <v>Sala cuna</v>
          </cell>
          <cell r="L469">
            <v>1</v>
          </cell>
          <cell r="M469">
            <v>46041</v>
          </cell>
          <cell r="N469">
            <v>46042</v>
          </cell>
          <cell r="O469">
            <v>1</v>
          </cell>
          <cell r="P469">
            <v>46043</v>
          </cell>
          <cell r="Q469">
            <v>1</v>
          </cell>
          <cell r="R469" t="str">
            <v>NA</v>
          </cell>
          <cell r="S469">
            <v>5</v>
          </cell>
        </row>
        <row r="470">
          <cell r="B470" t="str">
            <v>EMMC</v>
          </cell>
          <cell r="C470" t="str">
            <v>HSLB10831</v>
          </cell>
          <cell r="D470">
            <v>106007</v>
          </cell>
          <cell r="E470" t="str">
            <v>Hervidor Eléctrico</v>
          </cell>
          <cell r="F470" t="str">
            <v>NO</v>
          </cell>
          <cell r="G470" t="str">
            <v>NO</v>
          </cell>
          <cell r="H470" t="str">
            <v>SALA MULTIUSO 1</v>
          </cell>
          <cell r="I470">
            <v>1</v>
          </cell>
          <cell r="J470" t="str">
            <v>H.2.7</v>
          </cell>
          <cell r="K470" t="str">
            <v>Sala cuna</v>
          </cell>
          <cell r="L470">
            <v>1</v>
          </cell>
          <cell r="M470">
            <v>46041</v>
          </cell>
          <cell r="N470">
            <v>46042</v>
          </cell>
          <cell r="O470">
            <v>1</v>
          </cell>
          <cell r="P470">
            <v>46043</v>
          </cell>
          <cell r="Q470">
            <v>1</v>
          </cell>
          <cell r="R470" t="str">
            <v>NA</v>
          </cell>
          <cell r="S470">
            <v>5</v>
          </cell>
        </row>
        <row r="471">
          <cell r="B471" t="str">
            <v>EMMC</v>
          </cell>
          <cell r="C471" t="str">
            <v>HSLB10866</v>
          </cell>
          <cell r="D471">
            <v>106010</v>
          </cell>
          <cell r="E471" t="str">
            <v>Microondas</v>
          </cell>
          <cell r="F471" t="str">
            <v>NO</v>
          </cell>
          <cell r="G471" t="str">
            <v>NO</v>
          </cell>
          <cell r="H471" t="str">
            <v>KITCHENETTE</v>
          </cell>
          <cell r="I471">
            <v>1</v>
          </cell>
          <cell r="J471" t="str">
            <v>D.1.1.1.4</v>
          </cell>
          <cell r="K471" t="str">
            <v>Consultas Medicas Generales</v>
          </cell>
          <cell r="L471">
            <v>1</v>
          </cell>
          <cell r="M471">
            <v>46028</v>
          </cell>
          <cell r="N471">
            <v>46029</v>
          </cell>
          <cell r="O471">
            <v>1</v>
          </cell>
          <cell r="P471">
            <v>46030</v>
          </cell>
          <cell r="Q471">
            <v>1</v>
          </cell>
          <cell r="R471" t="str">
            <v>NA</v>
          </cell>
          <cell r="S471">
            <v>5</v>
          </cell>
        </row>
        <row r="472">
          <cell r="B472" t="str">
            <v>EMMC</v>
          </cell>
          <cell r="C472" t="str">
            <v>HSLB10870</v>
          </cell>
          <cell r="D472">
            <v>106010</v>
          </cell>
          <cell r="E472" t="str">
            <v>Microondas</v>
          </cell>
          <cell r="F472" t="str">
            <v>NO</v>
          </cell>
          <cell r="G472" t="str">
            <v>NO</v>
          </cell>
          <cell r="H472" t="str">
            <v>KITCHENETTE</v>
          </cell>
          <cell r="I472">
            <v>1</v>
          </cell>
          <cell r="J472" t="str">
            <v>D.2.2.5.6</v>
          </cell>
          <cell r="K472" t="str">
            <v>Lavandería</v>
          </cell>
          <cell r="L472">
            <v>1</v>
          </cell>
          <cell r="M472">
            <v>46037</v>
          </cell>
          <cell r="N472">
            <v>46038</v>
          </cell>
          <cell r="O472">
            <v>1</v>
          </cell>
          <cell r="P472">
            <v>46041</v>
          </cell>
          <cell r="Q472">
            <v>1</v>
          </cell>
          <cell r="R472" t="str">
            <v>NA</v>
          </cell>
          <cell r="S472">
            <v>5</v>
          </cell>
        </row>
        <row r="473">
          <cell r="B473" t="str">
            <v>EMMC</v>
          </cell>
          <cell r="C473" t="str">
            <v>HSLB10873</v>
          </cell>
          <cell r="D473">
            <v>106010</v>
          </cell>
          <cell r="E473" t="str">
            <v>Microondas</v>
          </cell>
          <cell r="F473" t="str">
            <v>NO</v>
          </cell>
          <cell r="G473" t="str">
            <v>NO</v>
          </cell>
          <cell r="H473" t="str">
            <v>ESTAR PERSONAL C/ KITCHENETTE</v>
          </cell>
          <cell r="I473">
            <v>1</v>
          </cell>
          <cell r="J473" t="str">
            <v>D.2.4.4.4</v>
          </cell>
          <cell r="K473" t="str">
            <v>Mantenimiento</v>
          </cell>
          <cell r="L473">
            <v>1</v>
          </cell>
          <cell r="M473">
            <v>46037</v>
          </cell>
          <cell r="N473">
            <v>46038</v>
          </cell>
          <cell r="O473">
            <v>1</v>
          </cell>
          <cell r="P473">
            <v>46041</v>
          </cell>
          <cell r="Q473">
            <v>1</v>
          </cell>
          <cell r="R473" t="str">
            <v>NA</v>
          </cell>
          <cell r="S473">
            <v>5</v>
          </cell>
        </row>
        <row r="474">
          <cell r="B474" t="str">
            <v>EMMC</v>
          </cell>
          <cell r="C474" t="str">
            <v>HSLB10874</v>
          </cell>
          <cell r="D474">
            <v>106010</v>
          </cell>
          <cell r="E474" t="str">
            <v>Microondas</v>
          </cell>
          <cell r="F474" t="str">
            <v>NO</v>
          </cell>
          <cell r="G474" t="str">
            <v>NO</v>
          </cell>
          <cell r="H474" t="str">
            <v>ESTAR PERSONAL C/ KITCHENETTE</v>
          </cell>
          <cell r="I474">
            <v>1</v>
          </cell>
          <cell r="J474" t="str">
            <v>D.3.3.3.10</v>
          </cell>
          <cell r="K474" t="str">
            <v>Abastecimiento</v>
          </cell>
          <cell r="L474">
            <v>1</v>
          </cell>
          <cell r="M474">
            <v>46035</v>
          </cell>
          <cell r="N474">
            <v>46036</v>
          </cell>
          <cell r="O474">
            <v>1</v>
          </cell>
          <cell r="P474">
            <v>46037</v>
          </cell>
          <cell r="Q474">
            <v>1</v>
          </cell>
          <cell r="R474" t="str">
            <v>NA</v>
          </cell>
          <cell r="S474">
            <v>5</v>
          </cell>
        </row>
        <row r="475">
          <cell r="B475" t="str">
            <v>EMMC</v>
          </cell>
          <cell r="C475" t="str">
            <v>HSLB10887</v>
          </cell>
          <cell r="D475">
            <v>106010</v>
          </cell>
          <cell r="E475" t="str">
            <v>Microondas</v>
          </cell>
          <cell r="F475" t="str">
            <v>NO</v>
          </cell>
          <cell r="G475" t="str">
            <v>NO</v>
          </cell>
          <cell r="H475" t="str">
            <v>COCINA GENERAAL</v>
          </cell>
          <cell r="I475">
            <v>1</v>
          </cell>
          <cell r="J475" t="str">
            <v>H.2.22</v>
          </cell>
          <cell r="K475" t="str">
            <v>Sala cuna</v>
          </cell>
          <cell r="L475">
            <v>1</v>
          </cell>
          <cell r="M475">
            <v>46041</v>
          </cell>
          <cell r="N475">
            <v>46042</v>
          </cell>
          <cell r="O475">
            <v>1</v>
          </cell>
          <cell r="P475">
            <v>46043</v>
          </cell>
          <cell r="Q475">
            <v>1</v>
          </cell>
          <cell r="R475" t="str">
            <v>NA</v>
          </cell>
          <cell r="S475">
            <v>5</v>
          </cell>
        </row>
        <row r="476">
          <cell r="B476" t="str">
            <v>EMMC</v>
          </cell>
          <cell r="C476" t="str">
            <v>HSLB10888</v>
          </cell>
          <cell r="D476">
            <v>106010</v>
          </cell>
          <cell r="E476" t="str">
            <v>Microondas</v>
          </cell>
          <cell r="F476" t="str">
            <v>NO</v>
          </cell>
          <cell r="G476" t="str">
            <v>NO</v>
          </cell>
          <cell r="H476" t="str">
            <v>SALA MULTIUSO 1</v>
          </cell>
          <cell r="I476">
            <v>1</v>
          </cell>
          <cell r="J476" t="str">
            <v>H.2.7</v>
          </cell>
          <cell r="K476" t="str">
            <v>Sala cuna</v>
          </cell>
          <cell r="L476">
            <v>1</v>
          </cell>
          <cell r="M476">
            <v>46041</v>
          </cell>
          <cell r="N476">
            <v>46042</v>
          </cell>
          <cell r="O476">
            <v>1</v>
          </cell>
          <cell r="P476">
            <v>46043</v>
          </cell>
          <cell r="Q476">
            <v>1</v>
          </cell>
          <cell r="R476" t="str">
            <v>NA</v>
          </cell>
          <cell r="S476">
            <v>5</v>
          </cell>
        </row>
        <row r="477">
          <cell r="B477" t="str">
            <v>EMMC</v>
          </cell>
          <cell r="C477" t="str">
            <v>HSLB10216</v>
          </cell>
          <cell r="D477">
            <v>101053</v>
          </cell>
          <cell r="E477" t="str">
            <v>Otooftalmoscopio Mural</v>
          </cell>
          <cell r="F477" t="str">
            <v>NO</v>
          </cell>
          <cell r="G477" t="str">
            <v>NO</v>
          </cell>
          <cell r="H477" t="str">
            <v>SALA CONTROL SALUD</v>
          </cell>
          <cell r="I477">
            <v>1</v>
          </cell>
          <cell r="J477" t="str">
            <v>H.2.6</v>
          </cell>
          <cell r="K477" t="str">
            <v>Sala cuna</v>
          </cell>
          <cell r="L477">
            <v>1</v>
          </cell>
          <cell r="M477">
            <v>46041</v>
          </cell>
          <cell r="N477">
            <v>46042</v>
          </cell>
          <cell r="O477">
            <v>1</v>
          </cell>
          <cell r="P477">
            <v>46043</v>
          </cell>
          <cell r="Q477">
            <v>1</v>
          </cell>
          <cell r="R477" t="str">
            <v>NA</v>
          </cell>
          <cell r="S477">
            <v>5</v>
          </cell>
        </row>
        <row r="478">
          <cell r="B478" t="str">
            <v>EMMC</v>
          </cell>
          <cell r="C478" t="str">
            <v>HSLB12419</v>
          </cell>
          <cell r="D478">
            <v>112068</v>
          </cell>
          <cell r="E478" t="str">
            <v>Piso Taburete Clínico</v>
          </cell>
          <cell r="F478" t="str">
            <v>NO</v>
          </cell>
          <cell r="G478" t="str">
            <v>NO</v>
          </cell>
          <cell r="H478" t="str">
            <v>ZONA PREP. PAQUETES ROPA A ESTERILIZAR (PABELL.)</v>
          </cell>
          <cell r="I478">
            <v>2</v>
          </cell>
          <cell r="J478" t="str">
            <v>D.2.2.5.15</v>
          </cell>
          <cell r="K478" t="str">
            <v>Lavandería</v>
          </cell>
          <cell r="L478">
            <v>1</v>
          </cell>
          <cell r="M478">
            <v>46037</v>
          </cell>
          <cell r="N478">
            <v>46038</v>
          </cell>
          <cell r="O478">
            <v>1</v>
          </cell>
          <cell r="P478">
            <v>46041</v>
          </cell>
          <cell r="Q478">
            <v>1</v>
          </cell>
          <cell r="R478" t="str">
            <v>NA</v>
          </cell>
          <cell r="S478">
            <v>5</v>
          </cell>
        </row>
        <row r="479">
          <cell r="B479" t="str">
            <v>EMMC</v>
          </cell>
          <cell r="C479" t="str">
            <v>HSLB10911</v>
          </cell>
          <cell r="D479">
            <v>106013</v>
          </cell>
          <cell r="E479" t="str">
            <v>Proyector</v>
          </cell>
          <cell r="F479" t="str">
            <v>NO</v>
          </cell>
          <cell r="G479" t="str">
            <v>NO</v>
          </cell>
          <cell r="H479" t="str">
            <v>SALA DE REUNIONES</v>
          </cell>
          <cell r="I479">
            <v>1</v>
          </cell>
          <cell r="J479" t="str">
            <v>C.4.6.4</v>
          </cell>
          <cell r="K479" t="str">
            <v>Urgencia</v>
          </cell>
          <cell r="L479">
            <v>1</v>
          </cell>
          <cell r="M479">
            <v>46003</v>
          </cell>
          <cell r="N479">
            <v>46006</v>
          </cell>
          <cell r="O479">
            <v>1</v>
          </cell>
          <cell r="P479">
            <v>46007</v>
          </cell>
          <cell r="Q479">
            <v>1</v>
          </cell>
          <cell r="R479" t="str">
            <v>NA</v>
          </cell>
          <cell r="S479">
            <v>5</v>
          </cell>
        </row>
        <row r="480">
          <cell r="B480" t="str">
            <v>EMMC</v>
          </cell>
          <cell r="C480" t="str">
            <v>HSLB10918</v>
          </cell>
          <cell r="D480">
            <v>106013</v>
          </cell>
          <cell r="E480" t="str">
            <v>Proyector</v>
          </cell>
          <cell r="F480" t="str">
            <v>NO</v>
          </cell>
          <cell r="G480" t="str">
            <v>NO</v>
          </cell>
          <cell r="H480" t="str">
            <v>ÁREA MESÓN</v>
          </cell>
          <cell r="I480">
            <v>1</v>
          </cell>
          <cell r="J480" t="str">
            <v>D.3.3.3.3</v>
          </cell>
          <cell r="K480" t="str">
            <v>Abastecimiento</v>
          </cell>
          <cell r="L480">
            <v>1</v>
          </cell>
          <cell r="M480">
            <v>46035</v>
          </cell>
          <cell r="N480">
            <v>46036</v>
          </cell>
          <cell r="O480">
            <v>1</v>
          </cell>
          <cell r="P480">
            <v>46037</v>
          </cell>
          <cell r="Q480">
            <v>1</v>
          </cell>
          <cell r="R480" t="str">
            <v>NA</v>
          </cell>
          <cell r="S480">
            <v>5</v>
          </cell>
        </row>
        <row r="481">
          <cell r="B481" t="str">
            <v>EMMC</v>
          </cell>
          <cell r="C481" t="str">
            <v>HSLB10929</v>
          </cell>
          <cell r="D481">
            <v>106013</v>
          </cell>
          <cell r="E481" t="str">
            <v>Proyector</v>
          </cell>
          <cell r="F481" t="str">
            <v>NO</v>
          </cell>
          <cell r="G481" t="str">
            <v>NO</v>
          </cell>
          <cell r="H481" t="str">
            <v>SALA DE REUNIONES</v>
          </cell>
          <cell r="I481">
            <v>1</v>
          </cell>
          <cell r="J481" t="str">
            <v>H.1.5</v>
          </cell>
          <cell r="K481" t="str">
            <v>Urgencia</v>
          </cell>
          <cell r="L481">
            <v>1</v>
          </cell>
          <cell r="M481">
            <v>46003</v>
          </cell>
          <cell r="N481">
            <v>46006</v>
          </cell>
          <cell r="O481">
            <v>1</v>
          </cell>
          <cell r="P481">
            <v>46007</v>
          </cell>
          <cell r="Q481">
            <v>1</v>
          </cell>
          <cell r="R481" t="str">
            <v>NA</v>
          </cell>
          <cell r="S481">
            <v>5</v>
          </cell>
        </row>
        <row r="482">
          <cell r="B482" t="str">
            <v>EMMC</v>
          </cell>
          <cell r="C482" t="str">
            <v>HSLB10934</v>
          </cell>
          <cell r="D482">
            <v>106014</v>
          </cell>
          <cell r="E482" t="str">
            <v>Reproductor de DVD</v>
          </cell>
          <cell r="F482" t="str">
            <v>NO</v>
          </cell>
          <cell r="G482" t="str">
            <v>NO</v>
          </cell>
          <cell r="H482" t="str">
            <v>NIVEL MEDIO MENOR</v>
          </cell>
          <cell r="I482">
            <v>1</v>
          </cell>
          <cell r="J482" t="str">
            <v>H.2.11.1</v>
          </cell>
          <cell r="K482" t="str">
            <v>Sala cuna</v>
          </cell>
          <cell r="L482">
            <v>1</v>
          </cell>
          <cell r="M482">
            <v>46041</v>
          </cell>
          <cell r="N482">
            <v>46042</v>
          </cell>
          <cell r="O482">
            <v>1</v>
          </cell>
          <cell r="P482">
            <v>46043</v>
          </cell>
          <cell r="Q482">
            <v>1</v>
          </cell>
          <cell r="R482" t="str">
            <v>NA</v>
          </cell>
          <cell r="S482">
            <v>5</v>
          </cell>
        </row>
        <row r="483">
          <cell r="B483" t="str">
            <v>EMMC</v>
          </cell>
          <cell r="C483" t="str">
            <v>HSLB10935</v>
          </cell>
          <cell r="D483">
            <v>106014</v>
          </cell>
          <cell r="E483" t="str">
            <v>Reproductor de DVD</v>
          </cell>
          <cell r="F483" t="str">
            <v>NO</v>
          </cell>
          <cell r="G483" t="str">
            <v>SI</v>
          </cell>
          <cell r="H483" t="str">
            <v>NIVEL MEDIO MAYOR</v>
          </cell>
          <cell r="I483">
            <v>1</v>
          </cell>
          <cell r="J483" t="str">
            <v>H.2.11.2</v>
          </cell>
          <cell r="K483" t="str">
            <v>Sala cuna</v>
          </cell>
          <cell r="L483">
            <v>1</v>
          </cell>
          <cell r="M483">
            <v>46003</v>
          </cell>
          <cell r="N483">
            <v>46006</v>
          </cell>
          <cell r="O483">
            <v>1</v>
          </cell>
          <cell r="P483">
            <v>46007</v>
          </cell>
          <cell r="Q483">
            <v>1</v>
          </cell>
          <cell r="R483" t="str">
            <v>NA</v>
          </cell>
          <cell r="S483">
            <v>5</v>
          </cell>
        </row>
        <row r="484">
          <cell r="B484" t="str">
            <v>EMMC</v>
          </cell>
          <cell r="C484" t="str">
            <v>HSLB10944</v>
          </cell>
          <cell r="D484">
            <v>106019</v>
          </cell>
          <cell r="E484" t="str">
            <v>Televisor 32'</v>
          </cell>
          <cell r="F484" t="str">
            <v>NO</v>
          </cell>
          <cell r="G484" t="str">
            <v>NO</v>
          </cell>
          <cell r="H484" t="str">
            <v xml:space="preserve">SALA DE ESPERA </v>
          </cell>
          <cell r="I484">
            <v>1</v>
          </cell>
          <cell r="J484" t="str">
            <v>C.3.1.4</v>
          </cell>
          <cell r="K484" t="str">
            <v>Consultas Medicas Generales</v>
          </cell>
          <cell r="L484">
            <v>1</v>
          </cell>
          <cell r="M484">
            <v>46028</v>
          </cell>
          <cell r="N484">
            <v>46029</v>
          </cell>
          <cell r="O484">
            <v>1</v>
          </cell>
          <cell r="P484">
            <v>46030</v>
          </cell>
          <cell r="Q484">
            <v>1</v>
          </cell>
          <cell r="R484" t="str">
            <v>NA</v>
          </cell>
          <cell r="S484">
            <v>5</v>
          </cell>
        </row>
        <row r="485">
          <cell r="B485" t="str">
            <v>EMMC</v>
          </cell>
          <cell r="C485" t="str">
            <v>HSLB11019</v>
          </cell>
          <cell r="D485">
            <v>106019</v>
          </cell>
          <cell r="E485" t="str">
            <v>Televisor 32'</v>
          </cell>
          <cell r="F485" t="str">
            <v>NO</v>
          </cell>
          <cell r="G485" t="str">
            <v>NO</v>
          </cell>
          <cell r="H485" t="str">
            <v>SALA DE ESPERA</v>
          </cell>
          <cell r="I485">
            <v>1</v>
          </cell>
          <cell r="J485" t="str">
            <v>C.3.6.2.1</v>
          </cell>
          <cell r="K485" t="str">
            <v>Urgencia</v>
          </cell>
          <cell r="L485">
            <v>1</v>
          </cell>
          <cell r="M485">
            <v>46003</v>
          </cell>
          <cell r="N485">
            <v>46006</v>
          </cell>
          <cell r="O485">
            <v>1</v>
          </cell>
          <cell r="P485">
            <v>46007</v>
          </cell>
          <cell r="Q485">
            <v>1</v>
          </cell>
          <cell r="R485" t="str">
            <v>NA</v>
          </cell>
          <cell r="S485">
            <v>5</v>
          </cell>
        </row>
        <row r="486">
          <cell r="B486" t="str">
            <v>EMMC</v>
          </cell>
          <cell r="C486" t="str">
            <v>HSLB11020</v>
          </cell>
          <cell r="D486">
            <v>106019</v>
          </cell>
          <cell r="E486" t="str">
            <v>Televisor 32'</v>
          </cell>
          <cell r="F486" t="str">
            <v>NO</v>
          </cell>
          <cell r="G486" t="str">
            <v>NO</v>
          </cell>
          <cell r="H486" t="str">
            <v>SALA DE ESPERA</v>
          </cell>
          <cell r="I486">
            <v>1</v>
          </cell>
          <cell r="J486" t="str">
            <v>C.3.6.2.3</v>
          </cell>
          <cell r="K486" t="str">
            <v>Urgencia</v>
          </cell>
          <cell r="L486">
            <v>1</v>
          </cell>
          <cell r="M486">
            <v>46003</v>
          </cell>
          <cell r="N486">
            <v>46006</v>
          </cell>
          <cell r="O486">
            <v>1</v>
          </cell>
          <cell r="P486">
            <v>46007</v>
          </cell>
          <cell r="Q486">
            <v>1</v>
          </cell>
          <cell r="R486" t="str">
            <v>NA</v>
          </cell>
          <cell r="S486">
            <v>5</v>
          </cell>
        </row>
        <row r="487">
          <cell r="B487" t="str">
            <v>EMMC</v>
          </cell>
          <cell r="C487" t="str">
            <v>HSLB11042</v>
          </cell>
          <cell r="D487">
            <v>106019</v>
          </cell>
          <cell r="E487" t="str">
            <v>Televisor 32'</v>
          </cell>
          <cell r="F487" t="str">
            <v>NO</v>
          </cell>
          <cell r="G487" t="str">
            <v>NO</v>
          </cell>
          <cell r="H487" t="str">
            <v>NIVEL MEDIO MENOR</v>
          </cell>
          <cell r="I487">
            <v>1</v>
          </cell>
          <cell r="J487" t="str">
            <v>H.2.11.1</v>
          </cell>
          <cell r="K487" t="str">
            <v>Sala cuna</v>
          </cell>
          <cell r="L487">
            <v>1</v>
          </cell>
          <cell r="M487">
            <v>46041</v>
          </cell>
          <cell r="N487">
            <v>46042</v>
          </cell>
          <cell r="O487">
            <v>1</v>
          </cell>
          <cell r="P487">
            <v>46043</v>
          </cell>
          <cell r="Q487">
            <v>1</v>
          </cell>
          <cell r="R487" t="str">
            <v>NA</v>
          </cell>
          <cell r="S487">
            <v>5</v>
          </cell>
        </row>
        <row r="488">
          <cell r="B488" t="str">
            <v>EMMC</v>
          </cell>
          <cell r="C488" t="str">
            <v>HSLB11043</v>
          </cell>
          <cell r="D488">
            <v>106019</v>
          </cell>
          <cell r="E488" t="str">
            <v>Televisor 32'</v>
          </cell>
          <cell r="F488" t="str">
            <v>NO</v>
          </cell>
          <cell r="G488" t="str">
            <v>SI</v>
          </cell>
          <cell r="H488" t="str">
            <v>NIVEL MEDIO MAYOR</v>
          </cell>
          <cell r="I488">
            <v>1</v>
          </cell>
          <cell r="J488" t="str">
            <v>H.2.11.2</v>
          </cell>
          <cell r="K488" t="str">
            <v>Sala cuna</v>
          </cell>
          <cell r="L488">
            <v>1</v>
          </cell>
          <cell r="M488">
            <v>46003</v>
          </cell>
          <cell r="N488">
            <v>46006</v>
          </cell>
          <cell r="O488">
            <v>1</v>
          </cell>
          <cell r="P488">
            <v>46007</v>
          </cell>
          <cell r="Q488">
            <v>1</v>
          </cell>
          <cell r="R488" t="str">
            <v>NA</v>
          </cell>
          <cell r="S488">
            <v>5</v>
          </cell>
        </row>
        <row r="489">
          <cell r="B489" t="str">
            <v>EMMC</v>
          </cell>
          <cell r="C489" t="str">
            <v>HSLB11044</v>
          </cell>
          <cell r="D489">
            <v>106020</v>
          </cell>
          <cell r="E489" t="str">
            <v>Televisor 42'</v>
          </cell>
          <cell r="F489" t="str">
            <v>NO</v>
          </cell>
          <cell r="G489" t="str">
            <v>NO</v>
          </cell>
          <cell r="H489" t="str">
            <v>HALL</v>
          </cell>
          <cell r="I489">
            <v>4</v>
          </cell>
          <cell r="J489" t="str">
            <v>A.1.1</v>
          </cell>
          <cell r="K489" t="str">
            <v>Consultas Medicas Generales</v>
          </cell>
          <cell r="L489">
            <v>1</v>
          </cell>
          <cell r="M489">
            <v>46028</v>
          </cell>
          <cell r="N489">
            <v>46029</v>
          </cell>
          <cell r="O489">
            <v>1</v>
          </cell>
          <cell r="P489">
            <v>46030</v>
          </cell>
          <cell r="Q489">
            <v>1</v>
          </cell>
          <cell r="R489" t="str">
            <v>NA</v>
          </cell>
          <cell r="S489">
            <v>5</v>
          </cell>
        </row>
        <row r="490">
          <cell r="B490" t="str">
            <v>EMMC</v>
          </cell>
          <cell r="C490" t="str">
            <v>HSLB11068</v>
          </cell>
          <cell r="D490">
            <v>106020</v>
          </cell>
          <cell r="E490" t="str">
            <v>Televisor 42'</v>
          </cell>
          <cell r="F490" t="str">
            <v>NO</v>
          </cell>
          <cell r="G490" t="str">
            <v>NO</v>
          </cell>
          <cell r="H490" t="str">
            <v>SALA DE ESPERA (ADULTO)</v>
          </cell>
          <cell r="I490">
            <v>1</v>
          </cell>
          <cell r="J490" t="str">
            <v>C.4.2.1.1</v>
          </cell>
          <cell r="K490" t="str">
            <v>Urgencia</v>
          </cell>
          <cell r="L490">
            <v>1</v>
          </cell>
          <cell r="M490">
            <v>46003</v>
          </cell>
          <cell r="N490">
            <v>46006</v>
          </cell>
          <cell r="O490">
            <v>1</v>
          </cell>
          <cell r="P490">
            <v>46007</v>
          </cell>
          <cell r="Q490">
            <v>1</v>
          </cell>
          <cell r="R490" t="str">
            <v>NA</v>
          </cell>
          <cell r="S490">
            <v>5</v>
          </cell>
        </row>
        <row r="491">
          <cell r="B491" t="str">
            <v>EMMC</v>
          </cell>
          <cell r="C491" t="str">
            <v>HSLB11069</v>
          </cell>
          <cell r="D491">
            <v>106020</v>
          </cell>
          <cell r="E491" t="str">
            <v>Televisor 42'</v>
          </cell>
          <cell r="F491" t="str">
            <v>NO</v>
          </cell>
          <cell r="G491" t="str">
            <v>NO</v>
          </cell>
          <cell r="H491" t="str">
            <v>SALA DE ESPERA</v>
          </cell>
          <cell r="I491">
            <v>1</v>
          </cell>
          <cell r="J491" t="str">
            <v>C.4.2.1.2</v>
          </cell>
          <cell r="K491" t="str">
            <v>Urgencia</v>
          </cell>
          <cell r="L491">
            <v>1</v>
          </cell>
          <cell r="M491">
            <v>46003</v>
          </cell>
          <cell r="N491">
            <v>46006</v>
          </cell>
          <cell r="O491">
            <v>1</v>
          </cell>
          <cell r="P491">
            <v>46007</v>
          </cell>
          <cell r="Q491">
            <v>1</v>
          </cell>
          <cell r="R491" t="str">
            <v>NA</v>
          </cell>
          <cell r="S491">
            <v>5</v>
          </cell>
        </row>
        <row r="492">
          <cell r="B492" t="str">
            <v>EMMC</v>
          </cell>
          <cell r="C492" t="str">
            <v>HSLB10334</v>
          </cell>
          <cell r="D492">
            <v>103020</v>
          </cell>
          <cell r="E492" t="str">
            <v>Congelador Horizontal 200 l</v>
          </cell>
          <cell r="F492" t="str">
            <v>NO</v>
          </cell>
          <cell r="G492" t="str">
            <v>NO</v>
          </cell>
          <cell r="H492" t="str">
            <v>BAÑO FUNCIONARIOS</v>
          </cell>
          <cell r="I492">
            <v>1</v>
          </cell>
          <cell r="J492" t="str">
            <v>D.2.2.2.5</v>
          </cell>
          <cell r="K492" t="str">
            <v>Mantenimiento</v>
          </cell>
          <cell r="L492">
            <v>1</v>
          </cell>
          <cell r="M492">
            <v>46037</v>
          </cell>
          <cell r="N492">
            <v>46038</v>
          </cell>
          <cell r="O492">
            <v>1</v>
          </cell>
          <cell r="P492">
            <v>46041</v>
          </cell>
          <cell r="Q492">
            <v>1</v>
          </cell>
          <cell r="R492" t="str">
            <v>NA</v>
          </cell>
          <cell r="S492">
            <v>5</v>
          </cell>
        </row>
        <row r="493">
          <cell r="B493" t="str">
            <v>EMMC</v>
          </cell>
          <cell r="C493" t="str">
            <v>HSLB10335</v>
          </cell>
          <cell r="D493">
            <v>103021</v>
          </cell>
          <cell r="E493" t="str">
            <v>Congelador Horizontal 600 l</v>
          </cell>
          <cell r="F493" t="str">
            <v>NO</v>
          </cell>
          <cell r="G493" t="str">
            <v>NO</v>
          </cell>
          <cell r="H493" t="str">
            <v>BAÑO FUNCIONARIOS</v>
          </cell>
          <cell r="I493">
            <v>4</v>
          </cell>
          <cell r="J493" t="str">
            <v>D.2.2.2.5</v>
          </cell>
          <cell r="K493" t="str">
            <v>Mantenimiento</v>
          </cell>
          <cell r="L493">
            <v>1</v>
          </cell>
          <cell r="M493">
            <v>46037</v>
          </cell>
          <cell r="N493">
            <v>46038</v>
          </cell>
          <cell r="O493">
            <v>1</v>
          </cell>
          <cell r="P493">
            <v>46041</v>
          </cell>
          <cell r="Q493">
            <v>1</v>
          </cell>
          <cell r="R493" t="str">
            <v>NA</v>
          </cell>
          <cell r="S493">
            <v>5</v>
          </cell>
        </row>
        <row r="494">
          <cell r="B494" t="str">
            <v>EMMC</v>
          </cell>
          <cell r="C494" t="str">
            <v>HSLB11070</v>
          </cell>
          <cell r="D494">
            <v>106020</v>
          </cell>
          <cell r="E494" t="str">
            <v>Televisor 42'</v>
          </cell>
          <cell r="F494" t="str">
            <v>NO</v>
          </cell>
          <cell r="G494" t="str">
            <v>NO</v>
          </cell>
          <cell r="H494" t="str">
            <v>SALA DE ESPERA SECUNDARIA (ADULTO)</v>
          </cell>
          <cell r="I494">
            <v>1</v>
          </cell>
          <cell r="J494" t="str">
            <v>C.4.3.2</v>
          </cell>
          <cell r="K494" t="str">
            <v>Urgencia</v>
          </cell>
          <cell r="L494">
            <v>1</v>
          </cell>
          <cell r="M494">
            <v>46003</v>
          </cell>
          <cell r="N494">
            <v>46006</v>
          </cell>
          <cell r="O494">
            <v>1</v>
          </cell>
          <cell r="P494">
            <v>46007</v>
          </cell>
          <cell r="Q494">
            <v>1</v>
          </cell>
          <cell r="R494" t="str">
            <v>NA</v>
          </cell>
          <cell r="S494">
            <v>5</v>
          </cell>
        </row>
        <row r="495">
          <cell r="B495" t="str">
            <v>EMMC</v>
          </cell>
          <cell r="C495" t="str">
            <v>HSLB11071</v>
          </cell>
          <cell r="D495">
            <v>106020</v>
          </cell>
          <cell r="E495" t="str">
            <v>Televisor 42'</v>
          </cell>
          <cell r="F495" t="str">
            <v>NO</v>
          </cell>
          <cell r="G495" t="str">
            <v>NO</v>
          </cell>
          <cell r="H495" t="str">
            <v>MODULO DE TRABAJO IOIRS</v>
          </cell>
          <cell r="I495">
            <v>1</v>
          </cell>
          <cell r="J495" t="str">
            <v>C.4.4.2</v>
          </cell>
          <cell r="K495" t="str">
            <v>Urgencia</v>
          </cell>
          <cell r="L495">
            <v>1</v>
          </cell>
          <cell r="M495">
            <v>46003</v>
          </cell>
          <cell r="N495">
            <v>46006</v>
          </cell>
          <cell r="O495">
            <v>1</v>
          </cell>
          <cell r="P495">
            <v>46007</v>
          </cell>
          <cell r="Q495">
            <v>1</v>
          </cell>
          <cell r="R495" t="str">
            <v>NA</v>
          </cell>
          <cell r="S495">
            <v>5</v>
          </cell>
        </row>
        <row r="496">
          <cell r="B496" t="str">
            <v>EMMC</v>
          </cell>
          <cell r="C496" t="str">
            <v>HSLB11078</v>
          </cell>
          <cell r="D496">
            <v>106020</v>
          </cell>
          <cell r="E496" t="str">
            <v>Televisor 42'</v>
          </cell>
          <cell r="F496" t="str">
            <v>NO</v>
          </cell>
          <cell r="G496" t="str">
            <v>NO</v>
          </cell>
          <cell r="H496" t="str">
            <v>SALA MULTIUSO CON KITCHENETTE</v>
          </cell>
          <cell r="I496">
            <v>1</v>
          </cell>
          <cell r="J496" t="str">
            <v>H.1.2</v>
          </cell>
          <cell r="K496" t="str">
            <v>Urgencia</v>
          </cell>
          <cell r="L496">
            <v>1</v>
          </cell>
          <cell r="M496">
            <v>46003</v>
          </cell>
          <cell r="N496">
            <v>46006</v>
          </cell>
          <cell r="O496">
            <v>1</v>
          </cell>
          <cell r="P496">
            <v>46007</v>
          </cell>
          <cell r="Q496">
            <v>1</v>
          </cell>
          <cell r="R496" t="str">
            <v>NA</v>
          </cell>
          <cell r="S496">
            <v>5</v>
          </cell>
        </row>
        <row r="497">
          <cell r="B497" t="str">
            <v>EMMC</v>
          </cell>
          <cell r="C497" t="str">
            <v>HSLB11079</v>
          </cell>
          <cell r="D497">
            <v>106020</v>
          </cell>
          <cell r="E497" t="str">
            <v>Televisor 42'</v>
          </cell>
          <cell r="F497" t="str">
            <v>NO</v>
          </cell>
          <cell r="G497" t="str">
            <v>NO</v>
          </cell>
          <cell r="H497" t="str">
            <v>HALL DE ACCESO</v>
          </cell>
          <cell r="I497">
            <v>1</v>
          </cell>
          <cell r="J497" t="str">
            <v>H.2.1</v>
          </cell>
          <cell r="K497" t="str">
            <v>Sala cuna</v>
          </cell>
          <cell r="L497">
            <v>1</v>
          </cell>
          <cell r="M497">
            <v>46041</v>
          </cell>
          <cell r="N497">
            <v>46042</v>
          </cell>
          <cell r="O497">
            <v>1</v>
          </cell>
          <cell r="P497">
            <v>46043</v>
          </cell>
          <cell r="Q497">
            <v>1</v>
          </cell>
          <cell r="R497" t="str">
            <v>NA</v>
          </cell>
          <cell r="S497">
            <v>5</v>
          </cell>
        </row>
        <row r="498">
          <cell r="B498" t="str">
            <v>EMMC</v>
          </cell>
          <cell r="C498" t="str">
            <v>HSLB11098</v>
          </cell>
          <cell r="D498">
            <v>106021</v>
          </cell>
          <cell r="E498" t="str">
            <v>Telón</v>
          </cell>
          <cell r="F498" t="str">
            <v>NO</v>
          </cell>
          <cell r="G498" t="str">
            <v>NO</v>
          </cell>
          <cell r="H498" t="str">
            <v>SALA DE REUNIONES</v>
          </cell>
          <cell r="I498">
            <v>1</v>
          </cell>
          <cell r="J498" t="str">
            <v>C.4.6.4</v>
          </cell>
          <cell r="K498" t="str">
            <v>Urgencia</v>
          </cell>
          <cell r="L498">
            <v>1</v>
          </cell>
          <cell r="M498">
            <v>46003</v>
          </cell>
          <cell r="N498">
            <v>46006</v>
          </cell>
          <cell r="O498">
            <v>1</v>
          </cell>
          <cell r="P498">
            <v>46007</v>
          </cell>
          <cell r="Q498">
            <v>1</v>
          </cell>
          <cell r="R498" t="str">
            <v>NA</v>
          </cell>
          <cell r="S498">
            <v>5</v>
          </cell>
        </row>
        <row r="499">
          <cell r="B499" t="str">
            <v>EMMC</v>
          </cell>
          <cell r="C499" t="str">
            <v>HSLB11105</v>
          </cell>
          <cell r="D499">
            <v>106021</v>
          </cell>
          <cell r="E499" t="str">
            <v>Telón</v>
          </cell>
          <cell r="F499" t="str">
            <v>NO</v>
          </cell>
          <cell r="G499" t="str">
            <v>NO</v>
          </cell>
          <cell r="H499" t="str">
            <v>ÁREA MESÓN</v>
          </cell>
          <cell r="I499">
            <v>1</v>
          </cell>
          <cell r="J499" t="str">
            <v>D.3.3.3.3</v>
          </cell>
          <cell r="K499" t="str">
            <v>Abastecimiento</v>
          </cell>
          <cell r="L499">
            <v>1</v>
          </cell>
          <cell r="M499">
            <v>46035</v>
          </cell>
          <cell r="N499">
            <v>46036</v>
          </cell>
          <cell r="O499">
            <v>1</v>
          </cell>
          <cell r="P499">
            <v>46037</v>
          </cell>
          <cell r="Q499">
            <v>1</v>
          </cell>
          <cell r="R499" t="str">
            <v>NA</v>
          </cell>
          <cell r="S499">
            <v>5</v>
          </cell>
        </row>
        <row r="500">
          <cell r="B500" t="str">
            <v>EMMC</v>
          </cell>
          <cell r="C500" t="str">
            <v>HSLB11116</v>
          </cell>
          <cell r="D500">
            <v>106021</v>
          </cell>
          <cell r="E500" t="str">
            <v>Telón</v>
          </cell>
          <cell r="F500" t="str">
            <v>NO</v>
          </cell>
          <cell r="G500" t="str">
            <v>NO</v>
          </cell>
          <cell r="H500" t="str">
            <v>SALA DE REUNIONES</v>
          </cell>
          <cell r="I500">
            <v>1</v>
          </cell>
          <cell r="J500" t="str">
            <v>H.1.5</v>
          </cell>
          <cell r="K500" t="str">
            <v>Urgencia</v>
          </cell>
          <cell r="L500">
            <v>1</v>
          </cell>
          <cell r="M500">
            <v>46003</v>
          </cell>
          <cell r="N500">
            <v>46006</v>
          </cell>
          <cell r="O500">
            <v>1</v>
          </cell>
          <cell r="P500">
            <v>46007</v>
          </cell>
          <cell r="Q500">
            <v>1</v>
          </cell>
          <cell r="R500" t="str">
            <v>NA</v>
          </cell>
          <cell r="S500">
            <v>5</v>
          </cell>
        </row>
        <row r="501">
          <cell r="B501" t="str">
            <v>EMMC</v>
          </cell>
          <cell r="C501" t="str">
            <v>HSLB10338</v>
          </cell>
          <cell r="D501">
            <v>103024</v>
          </cell>
          <cell r="E501" t="str">
            <v>Encimera Eléctrica</v>
          </cell>
          <cell r="F501" t="str">
            <v>SI</v>
          </cell>
          <cell r="G501" t="str">
            <v>NO</v>
          </cell>
          <cell r="H501" t="str">
            <v>CAFETERÍA</v>
          </cell>
          <cell r="I501">
            <v>1</v>
          </cell>
          <cell r="J501" t="str">
            <v>A.1.7.1</v>
          </cell>
          <cell r="K501" t="str">
            <v>Cafetería</v>
          </cell>
          <cell r="L501">
            <v>1</v>
          </cell>
          <cell r="M501">
            <v>46052</v>
          </cell>
          <cell r="N501">
            <v>46055</v>
          </cell>
          <cell r="O501">
            <v>4</v>
          </cell>
          <cell r="P501">
            <v>46059</v>
          </cell>
          <cell r="Q501">
            <v>5</v>
          </cell>
          <cell r="R501" t="str">
            <v>NA</v>
          </cell>
          <cell r="S501">
            <v>5</v>
          </cell>
        </row>
        <row r="502">
          <cell r="B502" t="str">
            <v>EMMC</v>
          </cell>
          <cell r="C502" t="str">
            <v>HSLB10527</v>
          </cell>
          <cell r="D502">
            <v>104010</v>
          </cell>
          <cell r="E502" t="str">
            <v>Lámpara de Procedimientos Rodable</v>
          </cell>
          <cell r="F502" t="str">
            <v>NO</v>
          </cell>
          <cell r="G502" t="str">
            <v>NO</v>
          </cell>
          <cell r="H502" t="str">
            <v>SALA DE PROCEDIMIENTOS</v>
          </cell>
          <cell r="I502">
            <v>1</v>
          </cell>
          <cell r="J502" t="str">
            <v>C.3.6.2.12</v>
          </cell>
          <cell r="K502" t="str">
            <v>Urgencia</v>
          </cell>
          <cell r="L502">
            <v>1</v>
          </cell>
          <cell r="M502">
            <v>46003</v>
          </cell>
          <cell r="N502">
            <v>46006</v>
          </cell>
          <cell r="O502">
            <v>1</v>
          </cell>
          <cell r="P502">
            <v>46007</v>
          </cell>
          <cell r="Q502">
            <v>1</v>
          </cell>
          <cell r="R502" t="str">
            <v>NA</v>
          </cell>
          <cell r="S502">
            <v>5</v>
          </cell>
        </row>
        <row r="503">
          <cell r="B503" t="str">
            <v>EMMC</v>
          </cell>
          <cell r="C503" t="str">
            <v>HSLB10530</v>
          </cell>
          <cell r="D503">
            <v>104010</v>
          </cell>
          <cell r="E503" t="str">
            <v>Lámpara de Procedimientos Rodable</v>
          </cell>
          <cell r="F503" t="str">
            <v>NO</v>
          </cell>
          <cell r="G503" t="str">
            <v>NO</v>
          </cell>
          <cell r="H503" t="str">
            <v xml:space="preserve">SALA DE PROCEDIMIENTO </v>
          </cell>
          <cell r="I503">
            <v>1</v>
          </cell>
          <cell r="J503" t="str">
            <v>C.4.3.5.1</v>
          </cell>
          <cell r="K503" t="str">
            <v>Urgencia</v>
          </cell>
          <cell r="L503">
            <v>1</v>
          </cell>
          <cell r="M503">
            <v>46003</v>
          </cell>
          <cell r="N503">
            <v>46006</v>
          </cell>
          <cell r="O503">
            <v>1</v>
          </cell>
          <cell r="P503">
            <v>46007</v>
          </cell>
          <cell r="Q503">
            <v>1</v>
          </cell>
          <cell r="R503" t="str">
            <v>NA</v>
          </cell>
          <cell r="S503">
            <v>5</v>
          </cell>
        </row>
        <row r="504">
          <cell r="B504" t="str">
            <v>EMMC</v>
          </cell>
          <cell r="C504" t="str">
            <v>HSLB10531</v>
          </cell>
          <cell r="D504">
            <v>104010</v>
          </cell>
          <cell r="E504" t="str">
            <v>Lámpara de Procedimientos Rodable</v>
          </cell>
          <cell r="F504" t="str">
            <v>NO</v>
          </cell>
          <cell r="G504" t="str">
            <v>NO</v>
          </cell>
          <cell r="H504" t="str">
            <v>SALA DE PROCEDIMIENTO</v>
          </cell>
          <cell r="I504">
            <v>1</v>
          </cell>
          <cell r="J504" t="str">
            <v>C.4.3.5.2</v>
          </cell>
          <cell r="K504" t="str">
            <v>Urgencia</v>
          </cell>
          <cell r="L504">
            <v>1</v>
          </cell>
          <cell r="M504">
            <v>46003</v>
          </cell>
          <cell r="N504">
            <v>46006</v>
          </cell>
          <cell r="O504">
            <v>1</v>
          </cell>
          <cell r="P504">
            <v>46007</v>
          </cell>
          <cell r="Q504">
            <v>1</v>
          </cell>
          <cell r="R504" t="str">
            <v>NA</v>
          </cell>
          <cell r="S504">
            <v>5</v>
          </cell>
        </row>
        <row r="505">
          <cell r="B505" t="str">
            <v>EMMC</v>
          </cell>
          <cell r="C505" t="str">
            <v>HSLB10532</v>
          </cell>
          <cell r="D505">
            <v>104010</v>
          </cell>
          <cell r="E505" t="str">
            <v>Lámpara de Procedimientos Rodable</v>
          </cell>
          <cell r="F505" t="str">
            <v>NO</v>
          </cell>
          <cell r="G505" t="str">
            <v>NO</v>
          </cell>
          <cell r="H505" t="str">
            <v>SALA DE PROCEDIMIENTO (infantil)</v>
          </cell>
          <cell r="I505">
            <v>1</v>
          </cell>
          <cell r="J505" t="str">
            <v>C.4.4.5</v>
          </cell>
          <cell r="K505" t="str">
            <v>Urgencia</v>
          </cell>
          <cell r="L505">
            <v>1</v>
          </cell>
          <cell r="M505">
            <v>46003</v>
          </cell>
          <cell r="N505">
            <v>46006</v>
          </cell>
          <cell r="O505">
            <v>1</v>
          </cell>
          <cell r="P505">
            <v>46007</v>
          </cell>
          <cell r="Q505">
            <v>1</v>
          </cell>
          <cell r="R505" t="str">
            <v>NA</v>
          </cell>
          <cell r="S505">
            <v>5</v>
          </cell>
        </row>
        <row r="506">
          <cell r="B506" t="str">
            <v>EMMC</v>
          </cell>
          <cell r="C506" t="str">
            <v>HSLB11400</v>
          </cell>
          <cell r="D506">
            <v>110045</v>
          </cell>
          <cell r="E506" t="str">
            <v>Refrigerador Clínico 1000 l</v>
          </cell>
          <cell r="F506" t="str">
            <v>NO</v>
          </cell>
          <cell r="G506" t="str">
            <v>SI</v>
          </cell>
          <cell r="H506" t="str">
            <v>BODEGA REFRIGERADOS</v>
          </cell>
          <cell r="I506">
            <v>3</v>
          </cell>
          <cell r="J506" t="str">
            <v>D.3.3.3.24</v>
          </cell>
          <cell r="K506" t="str">
            <v>Abastecimiento</v>
          </cell>
          <cell r="L506">
            <v>1</v>
          </cell>
          <cell r="M506">
            <v>46003</v>
          </cell>
          <cell r="N506">
            <v>46006</v>
          </cell>
          <cell r="O506">
            <v>1</v>
          </cell>
          <cell r="P506">
            <v>46007</v>
          </cell>
          <cell r="Q506">
            <v>1</v>
          </cell>
          <cell r="R506" t="str">
            <v>NA</v>
          </cell>
          <cell r="S506">
            <v>5</v>
          </cell>
        </row>
        <row r="507">
          <cell r="B507" t="str">
            <v>EMMC</v>
          </cell>
          <cell r="C507" t="str">
            <v>HSLB11433</v>
          </cell>
          <cell r="D507">
            <v>110052</v>
          </cell>
          <cell r="E507" t="str">
            <v>Refrigerador Clínico 600 l</v>
          </cell>
          <cell r="F507" t="str">
            <v>NO</v>
          </cell>
          <cell r="G507" t="str">
            <v>SI</v>
          </cell>
          <cell r="H507" t="str">
            <v>BODEGA REFRIGERADOS</v>
          </cell>
          <cell r="I507">
            <v>1</v>
          </cell>
          <cell r="J507" t="str">
            <v>D.3.3.3.24</v>
          </cell>
          <cell r="K507" t="str">
            <v>Abastecimiento</v>
          </cell>
          <cell r="L507">
            <v>1</v>
          </cell>
          <cell r="M507">
            <v>46003</v>
          </cell>
          <cell r="N507">
            <v>46006</v>
          </cell>
          <cell r="O507">
            <v>1</v>
          </cell>
          <cell r="P507">
            <v>46007</v>
          </cell>
          <cell r="Q507">
            <v>1</v>
          </cell>
          <cell r="R507" t="str">
            <v>NA</v>
          </cell>
          <cell r="S507">
            <v>5</v>
          </cell>
        </row>
        <row r="508">
          <cell r="B508" t="str">
            <v>EMMC</v>
          </cell>
          <cell r="C508" t="str">
            <v>HSLB10426</v>
          </cell>
          <cell r="D508">
            <v>103048</v>
          </cell>
          <cell r="E508" t="str">
            <v>Refrigerador Doméstico</v>
          </cell>
          <cell r="F508" t="str">
            <v>NO</v>
          </cell>
          <cell r="G508" t="str">
            <v>NO</v>
          </cell>
          <cell r="H508" t="str">
            <v>KITCHENETTE</v>
          </cell>
          <cell r="I508">
            <v>1</v>
          </cell>
          <cell r="J508" t="str">
            <v>D.1.1.1.4</v>
          </cell>
          <cell r="K508" t="str">
            <v>Consultas Medicas Generales</v>
          </cell>
          <cell r="L508">
            <v>1</v>
          </cell>
          <cell r="M508">
            <v>46028</v>
          </cell>
          <cell r="N508">
            <v>46029</v>
          </cell>
          <cell r="O508">
            <v>2</v>
          </cell>
          <cell r="P508">
            <v>46031</v>
          </cell>
          <cell r="Q508">
            <v>1</v>
          </cell>
          <cell r="R508" t="str">
            <v>NA</v>
          </cell>
          <cell r="S508">
            <v>5</v>
          </cell>
        </row>
        <row r="509">
          <cell r="B509" t="str">
            <v>EMMC</v>
          </cell>
          <cell r="C509" t="str">
            <v>HSLB10430</v>
          </cell>
          <cell r="D509">
            <v>103048</v>
          </cell>
          <cell r="E509" t="str">
            <v>Refrigerador Doméstico</v>
          </cell>
          <cell r="F509" t="str">
            <v>NO</v>
          </cell>
          <cell r="G509" t="str">
            <v>NO</v>
          </cell>
          <cell r="H509" t="str">
            <v>KITCHENETTE</v>
          </cell>
          <cell r="I509">
            <v>1</v>
          </cell>
          <cell r="J509" t="str">
            <v>D.2.2.5.6</v>
          </cell>
          <cell r="K509" t="str">
            <v>Lavandería</v>
          </cell>
          <cell r="L509">
            <v>1</v>
          </cell>
          <cell r="M509">
            <v>46037</v>
          </cell>
          <cell r="N509">
            <v>46038</v>
          </cell>
          <cell r="O509">
            <v>1</v>
          </cell>
          <cell r="P509">
            <v>46041</v>
          </cell>
          <cell r="Q509">
            <v>1</v>
          </cell>
          <cell r="R509" t="str">
            <v>NA</v>
          </cell>
          <cell r="S509">
            <v>5</v>
          </cell>
        </row>
        <row r="510">
          <cell r="B510" t="str">
            <v>EMMC</v>
          </cell>
          <cell r="C510" t="str">
            <v>HSLB10433</v>
          </cell>
          <cell r="D510">
            <v>103048</v>
          </cell>
          <cell r="E510" t="str">
            <v>Refrigerador Doméstico</v>
          </cell>
          <cell r="F510" t="str">
            <v>NO</v>
          </cell>
          <cell r="G510" t="str">
            <v>NO</v>
          </cell>
          <cell r="H510" t="str">
            <v>ESTAR PERSONAL C/ KITCHENETTE</v>
          </cell>
          <cell r="I510">
            <v>1</v>
          </cell>
          <cell r="J510" t="str">
            <v>D.2.4.4.4</v>
          </cell>
          <cell r="K510" t="str">
            <v>Mantenimiento</v>
          </cell>
          <cell r="L510">
            <v>1</v>
          </cell>
          <cell r="M510">
            <v>46037</v>
          </cell>
          <cell r="N510">
            <v>46038</v>
          </cell>
          <cell r="O510">
            <v>1</v>
          </cell>
          <cell r="P510">
            <v>46041</v>
          </cell>
          <cell r="Q510">
            <v>1</v>
          </cell>
          <cell r="R510" t="str">
            <v>NA</v>
          </cell>
          <cell r="S510">
            <v>5</v>
          </cell>
        </row>
        <row r="511">
          <cell r="B511" t="str">
            <v>EMMC</v>
          </cell>
          <cell r="C511" t="str">
            <v>HSLB10434</v>
          </cell>
          <cell r="D511">
            <v>103048</v>
          </cell>
          <cell r="E511" t="str">
            <v>Refrigerador Doméstico</v>
          </cell>
          <cell r="F511" t="str">
            <v>NO</v>
          </cell>
          <cell r="G511" t="str">
            <v>NO</v>
          </cell>
          <cell r="H511" t="str">
            <v>ESTAR PERSONAL C/ KITCHENETTE</v>
          </cell>
          <cell r="I511">
            <v>1</v>
          </cell>
          <cell r="J511" t="str">
            <v>D.3.3.3.10</v>
          </cell>
          <cell r="K511" t="str">
            <v>Abastecimiento</v>
          </cell>
          <cell r="L511">
            <v>1</v>
          </cell>
          <cell r="M511">
            <v>46035</v>
          </cell>
          <cell r="N511">
            <v>46036</v>
          </cell>
          <cell r="O511">
            <v>1</v>
          </cell>
          <cell r="P511">
            <v>46037</v>
          </cell>
          <cell r="Q511">
            <v>1</v>
          </cell>
          <cell r="R511" t="str">
            <v>NA</v>
          </cell>
          <cell r="S511">
            <v>5</v>
          </cell>
        </row>
        <row r="512">
          <cell r="B512" t="str">
            <v>EMMC</v>
          </cell>
          <cell r="C512" t="str">
            <v>HSLB10440</v>
          </cell>
          <cell r="D512">
            <v>103048</v>
          </cell>
          <cell r="E512" t="str">
            <v>Refrigerador Doméstico</v>
          </cell>
          <cell r="F512" t="str">
            <v>NO</v>
          </cell>
          <cell r="G512" t="str">
            <v>NO</v>
          </cell>
          <cell r="H512" t="str">
            <v>SALA MULTIUSO 1</v>
          </cell>
          <cell r="I512">
            <v>1</v>
          </cell>
          <cell r="J512" t="str">
            <v>H.2.7</v>
          </cell>
          <cell r="K512" t="str">
            <v>Sala cuna</v>
          </cell>
          <cell r="L512">
            <v>1</v>
          </cell>
          <cell r="M512">
            <v>46041</v>
          </cell>
          <cell r="N512">
            <v>46042</v>
          </cell>
          <cell r="O512">
            <v>1</v>
          </cell>
          <cell r="P512">
            <v>46043</v>
          </cell>
          <cell r="Q512">
            <v>1</v>
          </cell>
          <cell r="R512" t="str">
            <v>NA</v>
          </cell>
          <cell r="S512">
            <v>5</v>
          </cell>
        </row>
        <row r="513">
          <cell r="B513" t="str">
            <v>EMMC</v>
          </cell>
          <cell r="C513" t="str">
            <v>HSLB12500</v>
          </cell>
          <cell r="D513">
            <v>112088</v>
          </cell>
          <cell r="E513" t="str">
            <v>Sistema de Transporte Refrigerado para Medicamentos 90 L</v>
          </cell>
          <cell r="F513" t="str">
            <v>NO</v>
          </cell>
          <cell r="G513" t="str">
            <v>SI</v>
          </cell>
          <cell r="H513" t="str">
            <v>BODEGA REFRIGERADOS</v>
          </cell>
          <cell r="I513">
            <v>1</v>
          </cell>
          <cell r="J513" t="str">
            <v>D.3.3.3.24</v>
          </cell>
          <cell r="K513" t="str">
            <v>Abastecimiento</v>
          </cell>
          <cell r="L513">
            <v>1</v>
          </cell>
          <cell r="M513">
            <v>46003</v>
          </cell>
          <cell r="N513">
            <v>46006</v>
          </cell>
          <cell r="O513">
            <v>1</v>
          </cell>
          <cell r="P513">
            <v>46007</v>
          </cell>
          <cell r="Q513">
            <v>1</v>
          </cell>
          <cell r="R513" t="str">
            <v>NA</v>
          </cell>
          <cell r="S513">
            <v>5</v>
          </cell>
        </row>
        <row r="514">
          <cell r="B514" t="str">
            <v>EMMC</v>
          </cell>
          <cell r="C514" t="str">
            <v>HSLB10455</v>
          </cell>
          <cell r="D514">
            <v>103054</v>
          </cell>
          <cell r="E514" t="str">
            <v>Vitrina Refrigerada Vertical  450 l</v>
          </cell>
          <cell r="F514" t="str">
            <v>NO</v>
          </cell>
          <cell r="G514" t="str">
            <v>NO</v>
          </cell>
          <cell r="H514" t="str">
            <v>BODEGA ALIMENTOS 1</v>
          </cell>
          <cell r="I514">
            <v>2</v>
          </cell>
          <cell r="J514" t="str">
            <v>H.2.24</v>
          </cell>
          <cell r="K514" t="str">
            <v>Sala cuna</v>
          </cell>
          <cell r="L514">
            <v>1</v>
          </cell>
          <cell r="M514">
            <v>46041</v>
          </cell>
          <cell r="N514">
            <v>46042</v>
          </cell>
          <cell r="O514">
            <v>1</v>
          </cell>
          <cell r="P514">
            <v>46043</v>
          </cell>
          <cell r="Q514">
            <v>1</v>
          </cell>
          <cell r="R514" t="str">
            <v>NA</v>
          </cell>
          <cell r="S514">
            <v>5</v>
          </cell>
        </row>
        <row r="515">
          <cell r="B515" t="str">
            <v>EMMC</v>
          </cell>
          <cell r="C515" t="str">
            <v>HSLB10022</v>
          </cell>
          <cell r="D515">
            <v>101005</v>
          </cell>
          <cell r="E515" t="str">
            <v>Balanza Adulto con Tallímetro</v>
          </cell>
          <cell r="F515" t="str">
            <v>NO</v>
          </cell>
          <cell r="G515" t="str">
            <v>NO</v>
          </cell>
          <cell r="H515" t="str">
            <v>BOX MATRONA</v>
          </cell>
          <cell r="I515">
            <v>1</v>
          </cell>
          <cell r="J515" t="str">
            <v>C.3.6.2.8.1</v>
          </cell>
          <cell r="K515" t="str">
            <v>Urgencia</v>
          </cell>
          <cell r="L515">
            <v>1</v>
          </cell>
          <cell r="M515">
            <v>46003</v>
          </cell>
          <cell r="N515">
            <v>46006</v>
          </cell>
          <cell r="O515">
            <v>1</v>
          </cell>
          <cell r="P515">
            <v>46007</v>
          </cell>
          <cell r="Q515">
            <v>1</v>
          </cell>
          <cell r="R515" t="str">
            <v>NA</v>
          </cell>
          <cell r="S515">
            <v>5</v>
          </cell>
        </row>
        <row r="516">
          <cell r="B516" t="str">
            <v>EMMC</v>
          </cell>
          <cell r="C516" t="str">
            <v>HSLB10024</v>
          </cell>
          <cell r="D516">
            <v>101005</v>
          </cell>
          <cell r="E516" t="str">
            <v>Balanza Adulto con Tallímetro</v>
          </cell>
          <cell r="F516" t="str">
            <v>NO</v>
          </cell>
          <cell r="G516" t="str">
            <v>NO</v>
          </cell>
          <cell r="H516" t="str">
            <v>SALA TRATAMIENTOS TRANSITORIO</v>
          </cell>
          <cell r="I516">
            <v>1</v>
          </cell>
          <cell r="J516" t="str">
            <v>C.4.3.6</v>
          </cell>
          <cell r="K516" t="str">
            <v>Urgencia</v>
          </cell>
          <cell r="L516">
            <v>1</v>
          </cell>
          <cell r="M516">
            <v>46003</v>
          </cell>
          <cell r="N516">
            <v>46006</v>
          </cell>
          <cell r="O516">
            <v>1</v>
          </cell>
          <cell r="P516">
            <v>46007</v>
          </cell>
          <cell r="Q516">
            <v>1</v>
          </cell>
          <cell r="R516" t="str">
            <v>NA</v>
          </cell>
          <cell r="S516">
            <v>5</v>
          </cell>
        </row>
        <row r="517">
          <cell r="B517" t="str">
            <v>EMMC</v>
          </cell>
          <cell r="C517" t="str">
            <v>HSLB10025</v>
          </cell>
          <cell r="D517">
            <v>101005</v>
          </cell>
          <cell r="E517" t="str">
            <v>Balanza Adulto con Tallímetro</v>
          </cell>
          <cell r="F517" t="str">
            <v>NO</v>
          </cell>
          <cell r="G517" t="str">
            <v>NO</v>
          </cell>
          <cell r="H517" t="str">
            <v>BOX AT. ACOGIDA C/BAÑO Y DUCHA</v>
          </cell>
          <cell r="I517">
            <v>1</v>
          </cell>
          <cell r="J517" t="str">
            <v>C.4.5.16</v>
          </cell>
          <cell r="K517" t="str">
            <v>Urgencia</v>
          </cell>
          <cell r="L517">
            <v>1</v>
          </cell>
          <cell r="M517">
            <v>46003</v>
          </cell>
          <cell r="N517">
            <v>46006</v>
          </cell>
          <cell r="O517">
            <v>1</v>
          </cell>
          <cell r="P517">
            <v>46007</v>
          </cell>
          <cell r="Q517">
            <v>1</v>
          </cell>
          <cell r="R517" t="str">
            <v>NA</v>
          </cell>
          <cell r="S517">
            <v>5</v>
          </cell>
        </row>
        <row r="518">
          <cell r="B518" t="str">
            <v>EMMC</v>
          </cell>
          <cell r="C518" t="str">
            <v>HSLB10028</v>
          </cell>
          <cell r="D518">
            <v>101005</v>
          </cell>
          <cell r="E518" t="str">
            <v>Balanza Adulto con Tallímetro</v>
          </cell>
          <cell r="F518" t="str">
            <v>NO</v>
          </cell>
          <cell r="G518" t="str">
            <v>SI</v>
          </cell>
          <cell r="H518" t="str">
            <v>GIMNASIO ADULTO REHABILITACIÓN CARDIOVASCULAR</v>
          </cell>
          <cell r="I518">
            <v>1</v>
          </cell>
          <cell r="J518" t="str">
            <v>C.5.7.14</v>
          </cell>
          <cell r="K518" t="str">
            <v>Med Física y Rehabilitación</v>
          </cell>
          <cell r="L518">
            <v>1</v>
          </cell>
          <cell r="M518">
            <v>46003</v>
          </cell>
          <cell r="N518">
            <v>46006</v>
          </cell>
          <cell r="O518">
            <v>1</v>
          </cell>
          <cell r="P518">
            <v>46007</v>
          </cell>
          <cell r="Q518">
            <v>1</v>
          </cell>
          <cell r="R518" t="str">
            <v>NA</v>
          </cell>
          <cell r="S518">
            <v>5</v>
          </cell>
        </row>
        <row r="519">
          <cell r="B519" t="str">
            <v>EMMC</v>
          </cell>
          <cell r="C519" t="str">
            <v>HSLB10029</v>
          </cell>
          <cell r="D519">
            <v>101005</v>
          </cell>
          <cell r="E519" t="str">
            <v>Balanza Adulto con Tallímetro</v>
          </cell>
          <cell r="F519" t="str">
            <v>NO</v>
          </cell>
          <cell r="G519" t="str">
            <v>NO</v>
          </cell>
          <cell r="H519" t="str">
            <v>BOX KINESIOLOGO(1)</v>
          </cell>
          <cell r="I519">
            <v>1</v>
          </cell>
          <cell r="J519" t="str">
            <v>C.5.7.4.1</v>
          </cell>
          <cell r="K519" t="str">
            <v>Med Física y Rehabilitación</v>
          </cell>
          <cell r="L519">
            <v>1</v>
          </cell>
          <cell r="M519">
            <v>46013</v>
          </cell>
          <cell r="N519">
            <v>46014</v>
          </cell>
          <cell r="O519">
            <v>1</v>
          </cell>
          <cell r="P519">
            <v>46015</v>
          </cell>
          <cell r="Q519">
            <v>1</v>
          </cell>
          <cell r="R519" t="str">
            <v>NA</v>
          </cell>
          <cell r="S519">
            <v>5</v>
          </cell>
        </row>
        <row r="520">
          <cell r="B520" t="str">
            <v>EMMC</v>
          </cell>
          <cell r="C520" t="str">
            <v>HSLB10030</v>
          </cell>
          <cell r="D520">
            <v>101005</v>
          </cell>
          <cell r="E520" t="str">
            <v>Balanza Adulto con Tallímetro</v>
          </cell>
          <cell r="F520" t="str">
            <v>NO</v>
          </cell>
          <cell r="G520" t="str">
            <v>NO</v>
          </cell>
          <cell r="H520" t="str">
            <v>BOX INDIFERENCIADO (FONOAUDIO Y TERAPIA OCU)(2)</v>
          </cell>
          <cell r="I520">
            <v>1</v>
          </cell>
          <cell r="J520" t="str">
            <v>C.5.7.5.2</v>
          </cell>
          <cell r="K520" t="str">
            <v>Med Física y Rehabilitación</v>
          </cell>
          <cell r="L520">
            <v>1</v>
          </cell>
          <cell r="M520">
            <v>46013</v>
          </cell>
          <cell r="N520">
            <v>46014</v>
          </cell>
          <cell r="O520">
            <v>1</v>
          </cell>
          <cell r="P520">
            <v>46015</v>
          </cell>
          <cell r="Q520">
            <v>1</v>
          </cell>
          <cell r="R520" t="str">
            <v>NA</v>
          </cell>
          <cell r="S520">
            <v>5</v>
          </cell>
        </row>
        <row r="521">
          <cell r="B521" t="str">
            <v>EMMC</v>
          </cell>
          <cell r="C521" t="str">
            <v>HSLB10045</v>
          </cell>
          <cell r="D521">
            <v>101009</v>
          </cell>
          <cell r="E521" t="str">
            <v>Balanza Lactante con Cartabón</v>
          </cell>
          <cell r="F521" t="str">
            <v>NO</v>
          </cell>
          <cell r="G521" t="str">
            <v>NO</v>
          </cell>
          <cell r="H521" t="str">
            <v>SELECTOR DE DEMANDA (infantil)</v>
          </cell>
          <cell r="I521">
            <v>1</v>
          </cell>
          <cell r="J521" t="str">
            <v>C.4.4.1</v>
          </cell>
          <cell r="K521" t="str">
            <v>Urgencia</v>
          </cell>
          <cell r="L521">
            <v>1</v>
          </cell>
          <cell r="M521">
            <v>46003</v>
          </cell>
          <cell r="N521">
            <v>46006</v>
          </cell>
          <cell r="O521">
            <v>1</v>
          </cell>
          <cell r="P521">
            <v>46007</v>
          </cell>
          <cell r="Q521">
            <v>1</v>
          </cell>
          <cell r="R521" t="str">
            <v>NA</v>
          </cell>
          <cell r="S521">
            <v>5</v>
          </cell>
        </row>
        <row r="522">
          <cell r="B522" t="str">
            <v>EMMC</v>
          </cell>
          <cell r="C522" t="str">
            <v>HSLB10055</v>
          </cell>
          <cell r="D522">
            <v>101011</v>
          </cell>
          <cell r="E522" t="str">
            <v>Balanza Plataforma Multifuncional</v>
          </cell>
          <cell r="F522" t="str">
            <v>NO</v>
          </cell>
          <cell r="G522" t="str">
            <v>NO</v>
          </cell>
          <cell r="H522" t="str">
            <v>SALA PREPARACIÓN DE PACIENTES</v>
          </cell>
          <cell r="I522">
            <v>1</v>
          </cell>
          <cell r="J522" t="str">
            <v>C.5.7.6</v>
          </cell>
          <cell r="K522" t="str">
            <v>Med Física y Rehabilitación</v>
          </cell>
          <cell r="L522">
            <v>1</v>
          </cell>
          <cell r="M522">
            <v>46013</v>
          </cell>
          <cell r="N522">
            <v>46014</v>
          </cell>
          <cell r="O522">
            <v>1</v>
          </cell>
          <cell r="P522">
            <v>46015</v>
          </cell>
          <cell r="Q522">
            <v>1</v>
          </cell>
          <cell r="R522" t="str">
            <v>NA</v>
          </cell>
          <cell r="S522">
            <v>5</v>
          </cell>
        </row>
        <row r="523">
          <cell r="B523" t="str">
            <v>EMMC</v>
          </cell>
          <cell r="C523" t="str">
            <v>HSLB10058</v>
          </cell>
          <cell r="D523">
            <v>101012</v>
          </cell>
          <cell r="E523" t="str">
            <v>Balanza Silla</v>
          </cell>
          <cell r="F523" t="str">
            <v>NO</v>
          </cell>
          <cell r="G523" t="str">
            <v>NO</v>
          </cell>
          <cell r="H523" t="str">
            <v>SALA TRATAMIENTOS TRANSITORIO</v>
          </cell>
          <cell r="I523">
            <v>1</v>
          </cell>
          <cell r="J523" t="str">
            <v>C.4.3.6</v>
          </cell>
          <cell r="K523" t="str">
            <v>Urgencia</v>
          </cell>
          <cell r="L523">
            <v>1</v>
          </cell>
          <cell r="M523">
            <v>46003</v>
          </cell>
          <cell r="N523">
            <v>46006</v>
          </cell>
          <cell r="O523">
            <v>1</v>
          </cell>
          <cell r="P523">
            <v>46007</v>
          </cell>
          <cell r="Q523">
            <v>1</v>
          </cell>
          <cell r="R523" t="str">
            <v>NA</v>
          </cell>
          <cell r="S523">
            <v>5</v>
          </cell>
        </row>
        <row r="524">
          <cell r="B524" t="str">
            <v>EMMC</v>
          </cell>
          <cell r="C524" t="str">
            <v>HSLB11166</v>
          </cell>
          <cell r="D524">
            <v>109001</v>
          </cell>
          <cell r="E524" t="str">
            <v>Bandejas Estériles</v>
          </cell>
          <cell r="F524" t="str">
            <v>NO</v>
          </cell>
          <cell r="G524" t="str">
            <v>NO</v>
          </cell>
          <cell r="H524" t="str">
            <v xml:space="preserve">SALA DE PROCEDIMIENTO </v>
          </cell>
          <cell r="I524">
            <v>4</v>
          </cell>
          <cell r="J524" t="str">
            <v>C.4.3.5.1</v>
          </cell>
          <cell r="K524" t="str">
            <v>Urgencia</v>
          </cell>
          <cell r="L524">
            <v>1</v>
          </cell>
          <cell r="M524">
            <v>46003</v>
          </cell>
          <cell r="N524">
            <v>46006</v>
          </cell>
          <cell r="O524">
            <v>1</v>
          </cell>
          <cell r="P524">
            <v>46007</v>
          </cell>
          <cell r="Q524">
            <v>1</v>
          </cell>
          <cell r="R524" t="str">
            <v>NA</v>
          </cell>
          <cell r="S524">
            <v>5</v>
          </cell>
        </row>
        <row r="525">
          <cell r="B525" t="str">
            <v>EMMC</v>
          </cell>
          <cell r="C525" t="str">
            <v>HSLB11168</v>
          </cell>
          <cell r="D525">
            <v>109001</v>
          </cell>
          <cell r="E525" t="str">
            <v>Bandejas Estériles</v>
          </cell>
          <cell r="F525" t="str">
            <v>NO</v>
          </cell>
          <cell r="G525" t="str">
            <v>NO</v>
          </cell>
          <cell r="H525" t="str">
            <v>SALA DE PROCEDIMIENTO (infantil)</v>
          </cell>
          <cell r="I525">
            <v>7</v>
          </cell>
          <cell r="J525" t="str">
            <v>C.4.4.5</v>
          </cell>
          <cell r="K525" t="str">
            <v>Urgencia</v>
          </cell>
          <cell r="L525">
            <v>1</v>
          </cell>
          <cell r="M525">
            <v>46003</v>
          </cell>
          <cell r="N525">
            <v>46006</v>
          </cell>
          <cell r="O525">
            <v>1</v>
          </cell>
          <cell r="P525">
            <v>46007</v>
          </cell>
          <cell r="Q525">
            <v>1</v>
          </cell>
          <cell r="R525" t="str">
            <v>NA</v>
          </cell>
          <cell r="S525">
            <v>5</v>
          </cell>
        </row>
        <row r="526">
          <cell r="B526" t="str">
            <v>EMMC</v>
          </cell>
          <cell r="C526" t="str">
            <v>HSLB11167</v>
          </cell>
          <cell r="D526">
            <v>109001</v>
          </cell>
          <cell r="E526" t="str">
            <v>Bandejas Estériles</v>
          </cell>
          <cell r="F526" t="str">
            <v>NO</v>
          </cell>
          <cell r="G526" t="str">
            <v>NO</v>
          </cell>
          <cell r="H526" t="str">
            <v>SALA DE PROCEDIMIENTO</v>
          </cell>
          <cell r="I526">
            <v>4</v>
          </cell>
          <cell r="J526" t="str">
            <v>C.4.3.5.2</v>
          </cell>
          <cell r="K526" t="str">
            <v>Urgencia</v>
          </cell>
          <cell r="L526">
            <v>1</v>
          </cell>
          <cell r="M526">
            <v>46003</v>
          </cell>
          <cell r="N526">
            <v>46006</v>
          </cell>
          <cell r="O526">
            <v>1</v>
          </cell>
          <cell r="P526">
            <v>46007</v>
          </cell>
          <cell r="Q526">
            <v>1</v>
          </cell>
          <cell r="R526" t="str">
            <v>NA</v>
          </cell>
          <cell r="S526">
            <v>5</v>
          </cell>
        </row>
        <row r="527">
          <cell r="B527" t="str">
            <v>EMMC</v>
          </cell>
          <cell r="C527" t="str">
            <v>HSLB11448</v>
          </cell>
          <cell r="D527">
            <v>111002</v>
          </cell>
          <cell r="E527" t="str">
            <v>Baño de Parafina</v>
          </cell>
          <cell r="F527" t="str">
            <v>NO</v>
          </cell>
          <cell r="G527" t="str">
            <v>NO</v>
          </cell>
          <cell r="H527" t="str">
            <v>SALA KINESOTERÁPIA CUBICULO BAÑO PARAFINA</v>
          </cell>
          <cell r="I527">
            <v>1</v>
          </cell>
          <cell r="J527" t="str">
            <v>C.5.7.9</v>
          </cell>
          <cell r="K527" t="str">
            <v>Med Física y Rehabilitación</v>
          </cell>
          <cell r="L527">
            <v>1</v>
          </cell>
          <cell r="M527">
            <v>46013</v>
          </cell>
          <cell r="N527">
            <v>46014</v>
          </cell>
          <cell r="O527">
            <v>1</v>
          </cell>
          <cell r="P527">
            <v>46015</v>
          </cell>
          <cell r="Q527">
            <v>1</v>
          </cell>
          <cell r="R527" t="str">
            <v>NA</v>
          </cell>
          <cell r="S527">
            <v>5</v>
          </cell>
        </row>
        <row r="528">
          <cell r="B528" t="str">
            <v>EMMC</v>
          </cell>
          <cell r="C528" t="str">
            <v>HSLB11453</v>
          </cell>
          <cell r="D528">
            <v>111006</v>
          </cell>
          <cell r="E528" t="str">
            <v>Bicicleta de Mano</v>
          </cell>
          <cell r="F528" t="str">
            <v>NO</v>
          </cell>
          <cell r="G528" t="str">
            <v>SI</v>
          </cell>
          <cell r="H528" t="str">
            <v>GIMNASIO ADULTO REHABILITACIÓN CARDIOVASCULAR</v>
          </cell>
          <cell r="I528">
            <v>1</v>
          </cell>
          <cell r="J528" t="str">
            <v>C.5.7.14</v>
          </cell>
          <cell r="K528" t="str">
            <v>Med Física y Rehabilitación</v>
          </cell>
          <cell r="L528">
            <v>1</v>
          </cell>
          <cell r="M528">
            <v>46003</v>
          </cell>
          <cell r="N528">
            <v>46006</v>
          </cell>
          <cell r="O528">
            <v>1</v>
          </cell>
          <cell r="P528">
            <v>46007</v>
          </cell>
          <cell r="Q528">
            <v>1</v>
          </cell>
          <cell r="R528" t="str">
            <v>NA</v>
          </cell>
          <cell r="S528">
            <v>5</v>
          </cell>
        </row>
        <row r="529">
          <cell r="B529" t="str">
            <v>EMMC</v>
          </cell>
          <cell r="C529" t="str">
            <v>HSLB11454</v>
          </cell>
          <cell r="D529">
            <v>111007</v>
          </cell>
          <cell r="E529" t="str">
            <v>Bicicleta Ergonómica Horizontal</v>
          </cell>
          <cell r="F529" t="str">
            <v>NO</v>
          </cell>
          <cell r="G529" t="str">
            <v>SI</v>
          </cell>
          <cell r="H529" t="str">
            <v>GIMNASIO ADULTO REHABILITACIÓN CARDIOVASCULAR</v>
          </cell>
          <cell r="I529">
            <v>2</v>
          </cell>
          <cell r="J529" t="str">
            <v>C.5.7.14</v>
          </cell>
          <cell r="K529" t="str">
            <v>Med Física y Rehabilitación</v>
          </cell>
          <cell r="L529">
            <v>1</v>
          </cell>
          <cell r="M529">
            <v>46003</v>
          </cell>
          <cell r="N529">
            <v>46006</v>
          </cell>
          <cell r="O529">
            <v>1</v>
          </cell>
          <cell r="P529">
            <v>46007</v>
          </cell>
          <cell r="Q529">
            <v>1</v>
          </cell>
          <cell r="R529" t="str">
            <v>NA</v>
          </cell>
          <cell r="S529">
            <v>5</v>
          </cell>
        </row>
        <row r="530">
          <cell r="B530" t="str">
            <v>EMMC</v>
          </cell>
          <cell r="C530" t="str">
            <v>HSLB11455</v>
          </cell>
          <cell r="D530">
            <v>111008</v>
          </cell>
          <cell r="E530" t="str">
            <v>Bicicleta Ergonómica Vertical</v>
          </cell>
          <cell r="F530" t="str">
            <v>NO</v>
          </cell>
          <cell r="G530" t="str">
            <v>SI</v>
          </cell>
          <cell r="H530" t="str">
            <v>GIMNASIO ADULTO REHABILITACIÓN CARDIOVASCULAR</v>
          </cell>
          <cell r="I530">
            <v>1</v>
          </cell>
          <cell r="J530" t="str">
            <v>C.5.7.14</v>
          </cell>
          <cell r="K530" t="str">
            <v>Med Física y Rehabilitación</v>
          </cell>
          <cell r="L530">
            <v>1</v>
          </cell>
          <cell r="M530">
            <v>46003</v>
          </cell>
          <cell r="N530">
            <v>46006</v>
          </cell>
          <cell r="O530">
            <v>1</v>
          </cell>
          <cell r="P530">
            <v>46007</v>
          </cell>
          <cell r="Q530">
            <v>1</v>
          </cell>
          <cell r="R530" t="str">
            <v>NA</v>
          </cell>
          <cell r="S530">
            <v>5</v>
          </cell>
        </row>
        <row r="531">
          <cell r="B531" t="str">
            <v>EMMC</v>
          </cell>
          <cell r="C531" t="str">
            <v>HSLB10488</v>
          </cell>
          <cell r="D531">
            <v>104002</v>
          </cell>
          <cell r="E531" t="str">
            <v>BOMBA ASPIRACIÓN UNIVERSAL</v>
          </cell>
          <cell r="F531" t="str">
            <v>NO</v>
          </cell>
          <cell r="G531" t="str">
            <v>SI</v>
          </cell>
          <cell r="H531" t="str">
            <v>GIMNASIO ADULTO REHABILITACIÓN CARDIOVASCULAR</v>
          </cell>
          <cell r="I531">
            <v>1</v>
          </cell>
          <cell r="J531" t="str">
            <v>C.5.7.14</v>
          </cell>
          <cell r="K531" t="str">
            <v>Med Física y Rehabilitación</v>
          </cell>
          <cell r="L531">
            <v>1</v>
          </cell>
          <cell r="M531">
            <v>46003</v>
          </cell>
          <cell r="N531">
            <v>46006</v>
          </cell>
          <cell r="O531">
            <v>1</v>
          </cell>
          <cell r="P531">
            <v>46007</v>
          </cell>
          <cell r="Q531">
            <v>1</v>
          </cell>
          <cell r="R531" t="str">
            <v>NA</v>
          </cell>
          <cell r="S531">
            <v>5</v>
          </cell>
        </row>
        <row r="532">
          <cell r="B532" t="str">
            <v>EMMC</v>
          </cell>
          <cell r="C532" t="str">
            <v>HSLB10629</v>
          </cell>
          <cell r="D532">
            <v>105003</v>
          </cell>
          <cell r="E532" t="str">
            <v>Calentador de Fluidos</v>
          </cell>
          <cell r="F532" t="str">
            <v>NO</v>
          </cell>
          <cell r="G532" t="str">
            <v>NO</v>
          </cell>
          <cell r="H532" t="str">
            <v>BOX REANIMACIÓN ADULTO</v>
          </cell>
          <cell r="I532">
            <v>1</v>
          </cell>
          <cell r="J532" t="str">
            <v>C.4.3.12.1</v>
          </cell>
          <cell r="K532" t="str">
            <v>Urgencia</v>
          </cell>
          <cell r="L532">
            <v>1</v>
          </cell>
          <cell r="M532">
            <v>46003</v>
          </cell>
          <cell r="N532">
            <v>46006</v>
          </cell>
          <cell r="O532">
            <v>1</v>
          </cell>
          <cell r="P532">
            <v>46007</v>
          </cell>
          <cell r="Q532">
            <v>1</v>
          </cell>
          <cell r="R532" t="str">
            <v>NA</v>
          </cell>
          <cell r="S532">
            <v>5</v>
          </cell>
        </row>
        <row r="533">
          <cell r="B533" t="str">
            <v>EMMC</v>
          </cell>
          <cell r="C533" t="str">
            <v>HSLB10630</v>
          </cell>
          <cell r="D533">
            <v>105003</v>
          </cell>
          <cell r="E533" t="str">
            <v>Calentador de Fluidos</v>
          </cell>
          <cell r="F533" t="str">
            <v>NO</v>
          </cell>
          <cell r="G533" t="str">
            <v>NO</v>
          </cell>
          <cell r="H533" t="str">
            <v>BOX REANIMACIÓN ADULTO</v>
          </cell>
          <cell r="I533">
            <v>1</v>
          </cell>
          <cell r="J533" t="str">
            <v>C.4.3.12.2</v>
          </cell>
          <cell r="K533" t="str">
            <v>Urgencia</v>
          </cell>
          <cell r="L533">
            <v>1</v>
          </cell>
          <cell r="M533">
            <v>46003</v>
          </cell>
          <cell r="N533">
            <v>46006</v>
          </cell>
          <cell r="O533">
            <v>1</v>
          </cell>
          <cell r="P533">
            <v>46007</v>
          </cell>
          <cell r="Q533">
            <v>1</v>
          </cell>
          <cell r="R533" t="str">
            <v>NA</v>
          </cell>
          <cell r="S533">
            <v>5</v>
          </cell>
        </row>
        <row r="534">
          <cell r="B534" t="str">
            <v>EMMC</v>
          </cell>
          <cell r="C534" t="str">
            <v>HSLB10631</v>
          </cell>
          <cell r="D534">
            <v>105003</v>
          </cell>
          <cell r="E534" t="str">
            <v>Calentador de Fluidos</v>
          </cell>
          <cell r="F534" t="str">
            <v>NO</v>
          </cell>
          <cell r="G534" t="str">
            <v>NO</v>
          </cell>
          <cell r="H534" t="str">
            <v>BOX REANIMACIÓN INFANTIL</v>
          </cell>
          <cell r="I534">
            <v>1</v>
          </cell>
          <cell r="J534" t="str">
            <v>C.4.4.12</v>
          </cell>
          <cell r="K534" t="str">
            <v>Urgencia</v>
          </cell>
          <cell r="L534">
            <v>1</v>
          </cell>
          <cell r="M534">
            <v>46003</v>
          </cell>
          <cell r="N534">
            <v>46006</v>
          </cell>
          <cell r="O534">
            <v>1</v>
          </cell>
          <cell r="P534">
            <v>46007</v>
          </cell>
          <cell r="Q534">
            <v>1</v>
          </cell>
          <cell r="R534" t="str">
            <v>NA</v>
          </cell>
          <cell r="S534">
            <v>5</v>
          </cell>
        </row>
        <row r="535">
          <cell r="B535" t="str">
            <v>EMMC</v>
          </cell>
          <cell r="C535" t="str">
            <v>HSLB11461</v>
          </cell>
          <cell r="D535">
            <v>111013</v>
          </cell>
          <cell r="E535" t="str">
            <v>Calentador Termoplástico</v>
          </cell>
          <cell r="F535" t="str">
            <v>NO</v>
          </cell>
          <cell r="G535" t="str">
            <v>NO</v>
          </cell>
          <cell r="H535" t="str">
            <v>TALLER DE ÓRTESIS (MUEBLE)</v>
          </cell>
          <cell r="I535">
            <v>1</v>
          </cell>
          <cell r="J535" t="str">
            <v>C.5.7.29</v>
          </cell>
          <cell r="K535" t="str">
            <v>Med Física y Rehabilitación</v>
          </cell>
          <cell r="L535">
            <v>1</v>
          </cell>
          <cell r="M535">
            <v>46013</v>
          </cell>
          <cell r="N535">
            <v>46014</v>
          </cell>
          <cell r="O535">
            <v>1</v>
          </cell>
          <cell r="P535">
            <v>46015</v>
          </cell>
          <cell r="Q535">
            <v>1</v>
          </cell>
          <cell r="R535" t="str">
            <v>NA</v>
          </cell>
          <cell r="S535">
            <v>5</v>
          </cell>
        </row>
        <row r="536">
          <cell r="B536" t="str">
            <v>EMMC</v>
          </cell>
          <cell r="C536" t="str">
            <v>HSLB11620</v>
          </cell>
          <cell r="D536">
            <v>112004</v>
          </cell>
          <cell r="E536" t="str">
            <v>Camilla Bobath</v>
          </cell>
          <cell r="F536" t="str">
            <v>NO</v>
          </cell>
          <cell r="G536" t="str">
            <v>SI</v>
          </cell>
          <cell r="H536" t="str">
            <v>GIMNASIO ADULTO REHABILITACIÓN CARDIOVASCULAR</v>
          </cell>
          <cell r="I536">
            <v>1</v>
          </cell>
          <cell r="J536" t="str">
            <v>C.5.7.14</v>
          </cell>
          <cell r="K536" t="str">
            <v>Med Física y Rehabilitación</v>
          </cell>
          <cell r="L536">
            <v>1</v>
          </cell>
          <cell r="M536">
            <v>46003</v>
          </cell>
          <cell r="N536">
            <v>46006</v>
          </cell>
          <cell r="O536">
            <v>1</v>
          </cell>
          <cell r="P536">
            <v>46007</v>
          </cell>
          <cell r="Q536">
            <v>1</v>
          </cell>
          <cell r="R536" t="str">
            <v>NA</v>
          </cell>
          <cell r="S536">
            <v>5</v>
          </cell>
        </row>
        <row r="537">
          <cell r="B537" t="str">
            <v>EMMC</v>
          </cell>
          <cell r="C537" t="str">
            <v>HSLB11669</v>
          </cell>
          <cell r="D537">
            <v>112009</v>
          </cell>
          <cell r="E537" t="str">
            <v>Camilla Examen Ajustable en Altura</v>
          </cell>
          <cell r="F537" t="str">
            <v>NO</v>
          </cell>
          <cell r="G537" t="str">
            <v>NO</v>
          </cell>
          <cell r="H537" t="str">
            <v>BOX INDIFERENCIADO (FONOAUDIO Y TERAPIA OCU)(1)</v>
          </cell>
          <cell r="I537">
            <v>1</v>
          </cell>
          <cell r="J537" t="str">
            <v>C.5.7.5.1</v>
          </cell>
          <cell r="K537" t="str">
            <v>Med Física y Rehabilitación</v>
          </cell>
          <cell r="L537">
            <v>1</v>
          </cell>
          <cell r="M537">
            <v>46013</v>
          </cell>
          <cell r="N537">
            <v>46014</v>
          </cell>
          <cell r="O537">
            <v>1</v>
          </cell>
          <cell r="P537">
            <v>46015</v>
          </cell>
          <cell r="Q537">
            <v>1</v>
          </cell>
          <cell r="R537" t="str">
            <v>NA</v>
          </cell>
          <cell r="S537">
            <v>5</v>
          </cell>
        </row>
        <row r="538">
          <cell r="B538" t="str">
            <v>EMMC</v>
          </cell>
          <cell r="C538" t="str">
            <v>HSLB11670</v>
          </cell>
          <cell r="D538">
            <v>112009</v>
          </cell>
          <cell r="E538" t="str">
            <v>Camilla Examen Ajustable en Altura</v>
          </cell>
          <cell r="F538" t="str">
            <v>NO</v>
          </cell>
          <cell r="G538" t="str">
            <v>NO</v>
          </cell>
          <cell r="H538" t="str">
            <v>BOX INDIFERENCIADO (FONOAUDIO Y TERAPIA OCU)(2)</v>
          </cell>
          <cell r="I538">
            <v>1</v>
          </cell>
          <cell r="J538" t="str">
            <v>C.5.7.5.2</v>
          </cell>
          <cell r="K538" t="str">
            <v>Med Física y Rehabilitación</v>
          </cell>
          <cell r="L538">
            <v>1</v>
          </cell>
          <cell r="M538">
            <v>46013</v>
          </cell>
          <cell r="N538">
            <v>46014</v>
          </cell>
          <cell r="O538">
            <v>1</v>
          </cell>
          <cell r="P538">
            <v>46015</v>
          </cell>
          <cell r="Q538">
            <v>1</v>
          </cell>
          <cell r="R538" t="str">
            <v>NA</v>
          </cell>
          <cell r="S538">
            <v>5</v>
          </cell>
        </row>
        <row r="539">
          <cell r="B539" t="str">
            <v>EMMC</v>
          </cell>
          <cell r="C539" t="str">
            <v>HSLB11671</v>
          </cell>
          <cell r="D539">
            <v>112009</v>
          </cell>
          <cell r="E539" t="str">
            <v>Camilla Examen Ajustable en Altura</v>
          </cell>
          <cell r="F539" t="str">
            <v>NO</v>
          </cell>
          <cell r="G539" t="str">
            <v>NO</v>
          </cell>
          <cell r="H539" t="str">
            <v>BOX FONOAUDIO PEDIATRICO</v>
          </cell>
          <cell r="I539">
            <v>1</v>
          </cell>
          <cell r="J539" t="str">
            <v>C.5.7.5.2.1</v>
          </cell>
          <cell r="K539" t="str">
            <v>Med Física y Rehabilitación</v>
          </cell>
          <cell r="L539">
            <v>1</v>
          </cell>
          <cell r="M539">
            <v>46013</v>
          </cell>
          <cell r="N539">
            <v>46014</v>
          </cell>
          <cell r="O539">
            <v>1</v>
          </cell>
          <cell r="P539">
            <v>46015</v>
          </cell>
          <cell r="Q539">
            <v>1</v>
          </cell>
          <cell r="R539" t="str">
            <v>NA</v>
          </cell>
          <cell r="S539">
            <v>5</v>
          </cell>
        </row>
        <row r="540">
          <cell r="B540" t="str">
            <v>EMMC</v>
          </cell>
          <cell r="C540" t="str">
            <v>HSLB11689</v>
          </cell>
          <cell r="D540">
            <v>112013</v>
          </cell>
          <cell r="E540" t="str">
            <v>Camilla Kinesiológica</v>
          </cell>
          <cell r="F540" t="str">
            <v>NO</v>
          </cell>
          <cell r="G540" t="str">
            <v>NO</v>
          </cell>
          <cell r="H540" t="str">
            <v>SALA KINESOTERÁPIA CUBICULO ONDA CORTA</v>
          </cell>
          <cell r="I540">
            <v>1</v>
          </cell>
          <cell r="J540" t="str">
            <v>C.5.7.11</v>
          </cell>
          <cell r="K540" t="str">
            <v>Med Física y Rehabilitación</v>
          </cell>
          <cell r="L540">
            <v>1</v>
          </cell>
          <cell r="M540">
            <v>46013</v>
          </cell>
          <cell r="N540">
            <v>46014</v>
          </cell>
          <cell r="O540">
            <v>1</v>
          </cell>
          <cell r="P540">
            <v>46015</v>
          </cell>
          <cell r="Q540">
            <v>1</v>
          </cell>
          <cell r="R540" t="str">
            <v>NA</v>
          </cell>
          <cell r="S540">
            <v>5</v>
          </cell>
        </row>
        <row r="541">
          <cell r="B541" t="str">
            <v>EMMC</v>
          </cell>
          <cell r="C541" t="str">
            <v>HSLB11690</v>
          </cell>
          <cell r="D541">
            <v>112013</v>
          </cell>
          <cell r="E541" t="str">
            <v>Camilla Kinesiológica</v>
          </cell>
          <cell r="F541" t="str">
            <v>NO</v>
          </cell>
          <cell r="G541" t="str">
            <v>NO</v>
          </cell>
          <cell r="H541" t="str">
            <v>SALA KINESOTERÁPIA CUBICULO ULTRASONIDO</v>
          </cell>
          <cell r="I541">
            <v>1</v>
          </cell>
          <cell r="J541" t="str">
            <v>C.5.7.12</v>
          </cell>
          <cell r="K541" t="str">
            <v>Med Física y Rehabilitación</v>
          </cell>
          <cell r="L541">
            <v>1</v>
          </cell>
          <cell r="M541">
            <v>46013</v>
          </cell>
          <cell r="N541">
            <v>46014</v>
          </cell>
          <cell r="O541">
            <v>1</v>
          </cell>
          <cell r="P541">
            <v>46015</v>
          </cell>
          <cell r="Q541">
            <v>1</v>
          </cell>
          <cell r="R541" t="str">
            <v>NA</v>
          </cell>
          <cell r="S541">
            <v>5</v>
          </cell>
        </row>
        <row r="542">
          <cell r="B542" t="str">
            <v>EMMC</v>
          </cell>
          <cell r="C542" t="str">
            <v>HSLB11691</v>
          </cell>
          <cell r="D542">
            <v>112013</v>
          </cell>
          <cell r="E542" t="str">
            <v>Camilla Kinesiológica</v>
          </cell>
          <cell r="F542" t="str">
            <v>NO</v>
          </cell>
          <cell r="G542" t="str">
            <v>NO</v>
          </cell>
          <cell r="H542" t="str">
            <v>SALA KINESOTERÁPIA ( CUBICULO ELECTRO-CRIOTERÁPIA)</v>
          </cell>
          <cell r="I542">
            <v>1</v>
          </cell>
          <cell r="J542" t="str">
            <v>C.5.7.13</v>
          </cell>
          <cell r="K542" t="str">
            <v>Med Física y Rehabilitación</v>
          </cell>
          <cell r="L542">
            <v>1</v>
          </cell>
          <cell r="M542">
            <v>46013</v>
          </cell>
          <cell r="N542">
            <v>46014</v>
          </cell>
          <cell r="O542">
            <v>1</v>
          </cell>
          <cell r="P542">
            <v>46015</v>
          </cell>
          <cell r="Q542">
            <v>1</v>
          </cell>
          <cell r="R542" t="str">
            <v>NA</v>
          </cell>
          <cell r="S542">
            <v>5</v>
          </cell>
        </row>
        <row r="543">
          <cell r="B543" t="str">
            <v>EMMC</v>
          </cell>
          <cell r="C543" t="str">
            <v>HSLB11692</v>
          </cell>
          <cell r="D543">
            <v>112013</v>
          </cell>
          <cell r="E543" t="str">
            <v>Camilla Kinesiológica</v>
          </cell>
          <cell r="F543" t="str">
            <v>NO</v>
          </cell>
          <cell r="G543" t="str">
            <v>NO</v>
          </cell>
          <cell r="H543" t="str">
            <v>BOX KINESIOLOGO(1)</v>
          </cell>
          <cell r="I543">
            <v>1</v>
          </cell>
          <cell r="J543" t="str">
            <v>C.5.7.4.1</v>
          </cell>
          <cell r="K543" t="str">
            <v>Med Física y Rehabilitación</v>
          </cell>
          <cell r="L543">
            <v>1</v>
          </cell>
          <cell r="M543">
            <v>46013</v>
          </cell>
          <cell r="N543">
            <v>46014</v>
          </cell>
          <cell r="O543">
            <v>1</v>
          </cell>
          <cell r="P543">
            <v>46015</v>
          </cell>
          <cell r="Q543">
            <v>1</v>
          </cell>
          <cell r="R543" t="str">
            <v>NA</v>
          </cell>
          <cell r="S543">
            <v>5</v>
          </cell>
        </row>
        <row r="544">
          <cell r="B544" t="str">
            <v>EMMC</v>
          </cell>
          <cell r="C544" t="str">
            <v>HSLB11693</v>
          </cell>
          <cell r="D544">
            <v>112013</v>
          </cell>
          <cell r="E544" t="str">
            <v>Camilla Kinesiológica</v>
          </cell>
          <cell r="F544" t="str">
            <v>NO</v>
          </cell>
          <cell r="G544" t="str">
            <v>NO</v>
          </cell>
          <cell r="H544" t="str">
            <v>SALA PREPARACIÓN DE PACIENTES</v>
          </cell>
          <cell r="I544">
            <v>1</v>
          </cell>
          <cell r="J544" t="str">
            <v>C.5.7.6</v>
          </cell>
          <cell r="K544" t="str">
            <v>Med Física y Rehabilitación</v>
          </cell>
          <cell r="L544">
            <v>1</v>
          </cell>
          <cell r="M544">
            <v>46013</v>
          </cell>
          <cell r="N544">
            <v>46014</v>
          </cell>
          <cell r="O544">
            <v>1</v>
          </cell>
          <cell r="P544">
            <v>46015</v>
          </cell>
          <cell r="Q544">
            <v>1</v>
          </cell>
          <cell r="R544" t="str">
            <v>NA</v>
          </cell>
          <cell r="S544">
            <v>5</v>
          </cell>
        </row>
        <row r="545">
          <cell r="B545" t="str">
            <v>EMMC</v>
          </cell>
          <cell r="C545" t="str">
            <v>HSLB11694</v>
          </cell>
          <cell r="D545">
            <v>112013</v>
          </cell>
          <cell r="E545" t="str">
            <v>Camilla Kinesiológica</v>
          </cell>
          <cell r="F545" t="str">
            <v>NO</v>
          </cell>
          <cell r="G545" t="str">
            <v>NO</v>
          </cell>
          <cell r="H545" t="str">
            <v>SALA KINESOTERÁPIA CUBICULO BAÑO PARAFINA</v>
          </cell>
          <cell r="I545">
            <v>1</v>
          </cell>
          <cell r="J545" t="str">
            <v>C.5.7.9</v>
          </cell>
          <cell r="K545" t="str">
            <v>Med Física y Rehabilitación</v>
          </cell>
          <cell r="L545">
            <v>1</v>
          </cell>
          <cell r="M545">
            <v>46013</v>
          </cell>
          <cell r="N545">
            <v>46014</v>
          </cell>
          <cell r="O545">
            <v>1</v>
          </cell>
          <cell r="P545">
            <v>46015</v>
          </cell>
          <cell r="Q545">
            <v>1</v>
          </cell>
          <cell r="R545" t="str">
            <v>NA</v>
          </cell>
          <cell r="S545">
            <v>5</v>
          </cell>
        </row>
        <row r="546">
          <cell r="B546" t="str">
            <v>EMMC</v>
          </cell>
          <cell r="C546" t="str">
            <v>HSLB11751</v>
          </cell>
          <cell r="D546">
            <v>112016</v>
          </cell>
          <cell r="E546" t="str">
            <v>Camilla Transporte Paciente</v>
          </cell>
          <cell r="F546" t="str">
            <v>NO</v>
          </cell>
          <cell r="G546" t="str">
            <v>NO</v>
          </cell>
          <cell r="H546" t="str">
            <v>ESTAC. CAMILLAS Y SILLA DE RUIEDAS</v>
          </cell>
          <cell r="I546">
            <v>1</v>
          </cell>
          <cell r="J546" t="str">
            <v>C.5.7.35</v>
          </cell>
          <cell r="K546" t="str">
            <v>Med Física y Rehabilitación</v>
          </cell>
          <cell r="L546">
            <v>1</v>
          </cell>
          <cell r="M546">
            <v>46013</v>
          </cell>
          <cell r="N546">
            <v>46014</v>
          </cell>
          <cell r="O546">
            <v>1</v>
          </cell>
          <cell r="P546">
            <v>46015</v>
          </cell>
          <cell r="Q546">
            <v>1</v>
          </cell>
          <cell r="R546" t="str">
            <v>NA</v>
          </cell>
          <cell r="S546">
            <v>5</v>
          </cell>
        </row>
        <row r="547">
          <cell r="B547" t="str">
            <v>EMMC</v>
          </cell>
          <cell r="C547" t="str">
            <v>HSLB11752</v>
          </cell>
          <cell r="D547">
            <v>112016</v>
          </cell>
          <cell r="E547" t="str">
            <v>Camilla Transporte Paciente</v>
          </cell>
          <cell r="F547" t="str">
            <v>NO</v>
          </cell>
          <cell r="G547" t="str">
            <v>NO</v>
          </cell>
          <cell r="H547" t="str">
            <v>SALA PROCEDIMIENTOS C/BAÑO</v>
          </cell>
          <cell r="I547">
            <v>1</v>
          </cell>
          <cell r="J547" t="str">
            <v>C.5.7.6.1</v>
          </cell>
          <cell r="K547" t="str">
            <v>Med Física y Rehabilitación</v>
          </cell>
          <cell r="L547">
            <v>1</v>
          </cell>
          <cell r="M547">
            <v>46013</v>
          </cell>
          <cell r="N547">
            <v>46014</v>
          </cell>
          <cell r="O547">
            <v>1</v>
          </cell>
          <cell r="P547">
            <v>46015</v>
          </cell>
          <cell r="Q547">
            <v>1</v>
          </cell>
          <cell r="R547" t="str">
            <v>NA</v>
          </cell>
          <cell r="S547">
            <v>5</v>
          </cell>
        </row>
        <row r="548">
          <cell r="B548" t="str">
            <v>EMMC</v>
          </cell>
          <cell r="C548" t="str">
            <v>HSLB10069</v>
          </cell>
          <cell r="D548">
            <v>101021</v>
          </cell>
          <cell r="E548" t="str">
            <v>Colposcopio</v>
          </cell>
          <cell r="F548" t="str">
            <v>NO</v>
          </cell>
          <cell r="G548" t="str">
            <v>NO</v>
          </cell>
          <cell r="H548" t="str">
            <v>BOX AT. ACOGIDA C/BAÑO Y DUCHA</v>
          </cell>
          <cell r="I548">
            <v>1</v>
          </cell>
          <cell r="J548" t="str">
            <v>C.4.5.16</v>
          </cell>
          <cell r="K548" t="str">
            <v>Urgencia</v>
          </cell>
          <cell r="L548">
            <v>1</v>
          </cell>
          <cell r="M548">
            <v>46003</v>
          </cell>
          <cell r="N548">
            <v>46006</v>
          </cell>
          <cell r="O548">
            <v>1</v>
          </cell>
          <cell r="P548">
            <v>46007</v>
          </cell>
          <cell r="Q548">
            <v>1</v>
          </cell>
          <cell r="R548" t="str">
            <v>NA</v>
          </cell>
          <cell r="S548">
            <v>5</v>
          </cell>
        </row>
        <row r="549">
          <cell r="B549" t="str">
            <v>EMMC</v>
          </cell>
          <cell r="C549" t="str">
            <v>HSLB11175</v>
          </cell>
          <cell r="D549">
            <v>109002</v>
          </cell>
          <cell r="E549" t="str">
            <v>Contenedor instrumental en tránsito</v>
          </cell>
          <cell r="F549" t="str">
            <v>NO</v>
          </cell>
          <cell r="G549" t="str">
            <v>NO</v>
          </cell>
          <cell r="H549" t="str">
            <v>SALA DE PROCEDIMIENTOS</v>
          </cell>
          <cell r="I549">
            <v>2</v>
          </cell>
          <cell r="J549" t="str">
            <v>C.3.6.2.12</v>
          </cell>
          <cell r="K549" t="str">
            <v>Urgencia</v>
          </cell>
          <cell r="L549">
            <v>1</v>
          </cell>
          <cell r="M549">
            <v>46003</v>
          </cell>
          <cell r="N549">
            <v>46006</v>
          </cell>
          <cell r="O549">
            <v>1</v>
          </cell>
          <cell r="P549">
            <v>46007</v>
          </cell>
          <cell r="Q549">
            <v>1</v>
          </cell>
          <cell r="R549" t="str">
            <v>NA</v>
          </cell>
          <cell r="S549">
            <v>5</v>
          </cell>
        </row>
        <row r="550">
          <cell r="B550" t="str">
            <v>EMMC</v>
          </cell>
          <cell r="C550" t="str">
            <v>HSLB11176</v>
          </cell>
          <cell r="D550">
            <v>109002</v>
          </cell>
          <cell r="E550" t="str">
            <v>Contenedor instrumental en tránsito</v>
          </cell>
          <cell r="F550" t="str">
            <v>NO</v>
          </cell>
          <cell r="G550" t="str">
            <v>NO</v>
          </cell>
          <cell r="H550" t="str">
            <v>BOX AT. ACOGIDA C/BAÑO Y DUCHA</v>
          </cell>
          <cell r="I550">
            <v>1</v>
          </cell>
          <cell r="J550" t="str">
            <v>C.4.5.16</v>
          </cell>
          <cell r="K550" t="str">
            <v>Urgencia</v>
          </cell>
          <cell r="L550">
            <v>1</v>
          </cell>
          <cell r="M550">
            <v>46003</v>
          </cell>
          <cell r="N550">
            <v>46006</v>
          </cell>
          <cell r="O550">
            <v>1</v>
          </cell>
          <cell r="P550">
            <v>46007</v>
          </cell>
          <cell r="Q550">
            <v>1</v>
          </cell>
          <cell r="R550" t="str">
            <v>NA</v>
          </cell>
          <cell r="S550">
            <v>5</v>
          </cell>
        </row>
        <row r="551">
          <cell r="B551" t="str">
            <v>EMMC</v>
          </cell>
          <cell r="C551" t="str">
            <v>HSLB11447</v>
          </cell>
          <cell r="D551">
            <v>111001</v>
          </cell>
          <cell r="E551" t="str">
            <v>Banca Sueca</v>
          </cell>
          <cell r="F551" t="str">
            <v>NO</v>
          </cell>
          <cell r="G551" t="str">
            <v>NO</v>
          </cell>
          <cell r="H551" t="str">
            <v>GIMNASIO PEDIATRICO</v>
          </cell>
          <cell r="I551">
            <v>1</v>
          </cell>
          <cell r="J551" t="str">
            <v>C.5.7.15</v>
          </cell>
          <cell r="K551" t="str">
            <v>Med Física y Rehabilitación</v>
          </cell>
          <cell r="L551">
            <v>1</v>
          </cell>
          <cell r="M551">
            <v>46013</v>
          </cell>
          <cell r="N551">
            <v>46014</v>
          </cell>
          <cell r="O551">
            <v>1</v>
          </cell>
          <cell r="P551">
            <v>46015</v>
          </cell>
          <cell r="Q551">
            <v>1</v>
          </cell>
          <cell r="R551" t="str">
            <v>NA</v>
          </cell>
          <cell r="S551">
            <v>5</v>
          </cell>
        </row>
        <row r="552">
          <cell r="B552" t="str">
            <v>EMMC</v>
          </cell>
          <cell r="C552" t="str">
            <v>HSLB11449</v>
          </cell>
          <cell r="D552">
            <v>111003</v>
          </cell>
          <cell r="E552" t="str">
            <v>Batería Evaluación Funcional</v>
          </cell>
          <cell r="F552" t="str">
            <v>NO</v>
          </cell>
          <cell r="G552" t="str">
            <v>NO</v>
          </cell>
          <cell r="H552" t="str">
            <v>GIMNASIO TERAPIA OCUPACIONAL PEDIATRICO</v>
          </cell>
          <cell r="I552">
            <v>1</v>
          </cell>
          <cell r="J552" t="str">
            <v>C.5.7.15.1</v>
          </cell>
          <cell r="K552" t="str">
            <v>Med Física y Rehabilitación</v>
          </cell>
          <cell r="L552">
            <v>1</v>
          </cell>
          <cell r="M552">
            <v>46013</v>
          </cell>
          <cell r="N552">
            <v>46014</v>
          </cell>
          <cell r="O552">
            <v>1</v>
          </cell>
          <cell r="P552">
            <v>46015</v>
          </cell>
          <cell r="Q552">
            <v>1</v>
          </cell>
          <cell r="R552" t="str">
            <v>NA</v>
          </cell>
          <cell r="S552">
            <v>5</v>
          </cell>
        </row>
        <row r="553">
          <cell r="B553" t="str">
            <v>EMMC</v>
          </cell>
          <cell r="C553" t="str">
            <v>HSLB11450</v>
          </cell>
          <cell r="D553">
            <v>111004</v>
          </cell>
          <cell r="E553" t="str">
            <v>Batería Evaluación Psicomotora</v>
          </cell>
          <cell r="F553" t="str">
            <v>NO</v>
          </cell>
          <cell r="G553" t="str">
            <v>NO</v>
          </cell>
          <cell r="H553" t="str">
            <v>GIMNASIO TERAPIA OCUPACIONAL PEDIATRICO</v>
          </cell>
          <cell r="I553">
            <v>1</v>
          </cell>
          <cell r="J553" t="str">
            <v>C.5.7.15.1</v>
          </cell>
          <cell r="K553" t="str">
            <v>Med Física y Rehabilitación</v>
          </cell>
          <cell r="L553">
            <v>1</v>
          </cell>
          <cell r="M553">
            <v>46013</v>
          </cell>
          <cell r="N553">
            <v>46014</v>
          </cell>
          <cell r="O553">
            <v>1</v>
          </cell>
          <cell r="P553">
            <v>46015</v>
          </cell>
          <cell r="Q553">
            <v>1</v>
          </cell>
          <cell r="R553" t="str">
            <v>NA</v>
          </cell>
          <cell r="S553">
            <v>5</v>
          </cell>
        </row>
        <row r="554">
          <cell r="B554" t="str">
            <v>EMMC</v>
          </cell>
          <cell r="C554" t="str">
            <v>HSLB11451</v>
          </cell>
          <cell r="D554">
            <v>111005</v>
          </cell>
          <cell r="E554" t="str">
            <v>Batería Trastornos del Lenguaje</v>
          </cell>
          <cell r="F554" t="str">
            <v>NO</v>
          </cell>
          <cell r="G554" t="str">
            <v>NO</v>
          </cell>
          <cell r="H554" t="str">
            <v>BOX INDIFERENCIADO (FONOAUDIO Y TERAPIA OCU)(1)</v>
          </cell>
          <cell r="I554">
            <v>1</v>
          </cell>
          <cell r="J554" t="str">
            <v>C.5.7.5.1</v>
          </cell>
          <cell r="K554" t="str">
            <v>Med Física y Rehabilitación</v>
          </cell>
          <cell r="L554">
            <v>1</v>
          </cell>
          <cell r="M554">
            <v>46013</v>
          </cell>
          <cell r="N554">
            <v>46014</v>
          </cell>
          <cell r="O554">
            <v>1</v>
          </cell>
          <cell r="P554">
            <v>46015</v>
          </cell>
          <cell r="Q554">
            <v>1</v>
          </cell>
          <cell r="R554" t="str">
            <v>NA</v>
          </cell>
          <cell r="S554">
            <v>5</v>
          </cell>
        </row>
        <row r="555">
          <cell r="B555" t="str">
            <v>EMMC</v>
          </cell>
          <cell r="C555" t="str">
            <v>HSLB11473</v>
          </cell>
          <cell r="D555">
            <v>111024</v>
          </cell>
          <cell r="E555" t="str">
            <v>Decibelímetro</v>
          </cell>
          <cell r="F555" t="str">
            <v>NO</v>
          </cell>
          <cell r="G555" t="str">
            <v>NO</v>
          </cell>
          <cell r="H555" t="str">
            <v>BOX INDIFERENCIADO (FONOAUDIO Y TERAPIA OCU)(1)</v>
          </cell>
          <cell r="I555">
            <v>1</v>
          </cell>
          <cell r="J555" t="str">
            <v>C.5.7.5.1</v>
          </cell>
          <cell r="K555" t="str">
            <v>Med Física y Rehabilitación</v>
          </cell>
          <cell r="L555">
            <v>1</v>
          </cell>
          <cell r="M555">
            <v>46013</v>
          </cell>
          <cell r="N555">
            <v>46014</v>
          </cell>
          <cell r="O555">
            <v>1</v>
          </cell>
          <cell r="P555">
            <v>46015</v>
          </cell>
          <cell r="Q555">
            <v>1</v>
          </cell>
          <cell r="R555" t="str">
            <v>NA</v>
          </cell>
          <cell r="S555">
            <v>5</v>
          </cell>
        </row>
        <row r="556">
          <cell r="B556" t="str">
            <v>EMMC</v>
          </cell>
          <cell r="C556" t="str">
            <v>HSLB11474</v>
          </cell>
          <cell r="D556">
            <v>111024</v>
          </cell>
          <cell r="E556" t="str">
            <v>Decibelímetro</v>
          </cell>
          <cell r="F556" t="str">
            <v>NO</v>
          </cell>
          <cell r="G556" t="str">
            <v>NO</v>
          </cell>
          <cell r="H556" t="str">
            <v>BOX FONOAUDIO PEDIATRICO</v>
          </cell>
          <cell r="I556">
            <v>1</v>
          </cell>
          <cell r="J556" t="str">
            <v>C.5.7.5.2.1</v>
          </cell>
          <cell r="K556" t="str">
            <v>Med Física y Rehabilitación</v>
          </cell>
          <cell r="L556">
            <v>1</v>
          </cell>
          <cell r="M556">
            <v>46013</v>
          </cell>
          <cell r="N556">
            <v>46014</v>
          </cell>
          <cell r="O556">
            <v>1</v>
          </cell>
          <cell r="P556">
            <v>46015</v>
          </cell>
          <cell r="Q556">
            <v>1</v>
          </cell>
          <cell r="R556" t="str">
            <v>NA</v>
          </cell>
          <cell r="S556">
            <v>5</v>
          </cell>
        </row>
        <row r="557">
          <cell r="B557" t="str">
            <v>EMMC</v>
          </cell>
          <cell r="C557" t="str">
            <v>HSLB11452</v>
          </cell>
          <cell r="D557">
            <v>111005</v>
          </cell>
          <cell r="E557" t="str">
            <v>Batería Trastornos del Lenguaje</v>
          </cell>
          <cell r="F557" t="str">
            <v>NO</v>
          </cell>
          <cell r="G557" t="str">
            <v>NO</v>
          </cell>
          <cell r="H557" t="str">
            <v>BOX FONOAUDIO PEDIATRICO</v>
          </cell>
          <cell r="I557">
            <v>1</v>
          </cell>
          <cell r="J557" t="str">
            <v>C.5.7.5.2.1</v>
          </cell>
          <cell r="K557" t="str">
            <v>Med Física y Rehabilitación</v>
          </cell>
          <cell r="L557">
            <v>1</v>
          </cell>
          <cell r="M557">
            <v>46013</v>
          </cell>
          <cell r="N557">
            <v>46014</v>
          </cell>
          <cell r="O557">
            <v>1</v>
          </cell>
          <cell r="P557">
            <v>46015</v>
          </cell>
          <cell r="Q557">
            <v>1</v>
          </cell>
          <cell r="R557" t="str">
            <v>NA</v>
          </cell>
          <cell r="S557">
            <v>5</v>
          </cell>
        </row>
        <row r="558">
          <cell r="B558" t="str">
            <v>EMMC</v>
          </cell>
          <cell r="C558" t="str">
            <v>HSLB10664</v>
          </cell>
          <cell r="D558">
            <v>105008</v>
          </cell>
          <cell r="E558" t="str">
            <v>Desfibrilador Externo Automatizado</v>
          </cell>
          <cell r="F558" t="str">
            <v>NO</v>
          </cell>
          <cell r="G558" t="str">
            <v>NO</v>
          </cell>
          <cell r="H558" t="str">
            <v>SALA DE ESPERA (ADULTO)</v>
          </cell>
          <cell r="I558">
            <v>1</v>
          </cell>
          <cell r="J558" t="str">
            <v>C.4.2.1.1</v>
          </cell>
          <cell r="K558" t="str">
            <v>Urgencia</v>
          </cell>
          <cell r="L558">
            <v>1</v>
          </cell>
          <cell r="M558">
            <v>46003</v>
          </cell>
          <cell r="N558">
            <v>46006</v>
          </cell>
          <cell r="O558">
            <v>1</v>
          </cell>
          <cell r="P558">
            <v>46007</v>
          </cell>
          <cell r="Q558">
            <v>1</v>
          </cell>
          <cell r="R558" t="str">
            <v>NA</v>
          </cell>
          <cell r="S558">
            <v>5</v>
          </cell>
        </row>
        <row r="559">
          <cell r="B559" t="str">
            <v>EMMC</v>
          </cell>
          <cell r="C559" t="str">
            <v>HSLB10665</v>
          </cell>
          <cell r="D559">
            <v>105008</v>
          </cell>
          <cell r="E559" t="str">
            <v>Desfibrilador Externo Automatizado</v>
          </cell>
          <cell r="F559" t="str">
            <v>NO</v>
          </cell>
          <cell r="G559" t="str">
            <v>NO</v>
          </cell>
          <cell r="H559" t="str">
            <v>SALA DE ESPERA</v>
          </cell>
          <cell r="I559">
            <v>1</v>
          </cell>
          <cell r="J559" t="str">
            <v>C.4.2.1.2</v>
          </cell>
          <cell r="K559" t="str">
            <v>Urgencia</v>
          </cell>
          <cell r="L559">
            <v>1</v>
          </cell>
          <cell r="M559">
            <v>46003</v>
          </cell>
          <cell r="N559">
            <v>46006</v>
          </cell>
          <cell r="O559">
            <v>1</v>
          </cell>
          <cell r="P559">
            <v>46007</v>
          </cell>
          <cell r="Q559">
            <v>1</v>
          </cell>
          <cell r="R559" t="str">
            <v>NA</v>
          </cell>
          <cell r="S559">
            <v>5</v>
          </cell>
        </row>
        <row r="560">
          <cell r="B560" t="str">
            <v>EMMC</v>
          </cell>
          <cell r="C560" t="str">
            <v>HSLB10070</v>
          </cell>
          <cell r="D560">
            <v>101022</v>
          </cell>
          <cell r="E560" t="str">
            <v>Detector de Emisión Nasal</v>
          </cell>
          <cell r="F560" t="str">
            <v>NO</v>
          </cell>
          <cell r="G560" t="str">
            <v>NO</v>
          </cell>
          <cell r="H560" t="str">
            <v>BOX INDIFERENCIADO (FONOAUDIO Y TERAPIA OCU)(1)</v>
          </cell>
          <cell r="I560">
            <v>1</v>
          </cell>
          <cell r="J560" t="str">
            <v>C.5.7.5.1</v>
          </cell>
          <cell r="K560" t="str">
            <v>Med Física y Rehabilitación</v>
          </cell>
          <cell r="L560">
            <v>1</v>
          </cell>
          <cell r="M560">
            <v>46013</v>
          </cell>
          <cell r="N560">
            <v>46014</v>
          </cell>
          <cell r="O560">
            <v>1</v>
          </cell>
          <cell r="P560">
            <v>46015</v>
          </cell>
          <cell r="Q560">
            <v>1</v>
          </cell>
          <cell r="R560" t="str">
            <v>NA</v>
          </cell>
          <cell r="S560">
            <v>5</v>
          </cell>
        </row>
        <row r="561">
          <cell r="B561" t="str">
            <v>EMMC</v>
          </cell>
          <cell r="C561" t="str">
            <v>HSLB10071</v>
          </cell>
          <cell r="D561">
            <v>101022</v>
          </cell>
          <cell r="E561" t="str">
            <v>Detector de Emisión Nasal</v>
          </cell>
          <cell r="F561" t="str">
            <v>NO</v>
          </cell>
          <cell r="G561" t="str">
            <v>NO</v>
          </cell>
          <cell r="H561" t="str">
            <v>BOX FONOAUDIO PEDIATRICO</v>
          </cell>
          <cell r="I561">
            <v>1</v>
          </cell>
          <cell r="J561" t="str">
            <v>C.5.7.5.2.1</v>
          </cell>
          <cell r="K561" t="str">
            <v>Med Física y Rehabilitación</v>
          </cell>
          <cell r="L561">
            <v>1</v>
          </cell>
          <cell r="M561">
            <v>46013</v>
          </cell>
          <cell r="N561">
            <v>46014</v>
          </cell>
          <cell r="O561">
            <v>1</v>
          </cell>
          <cell r="P561">
            <v>46015</v>
          </cell>
          <cell r="Q561">
            <v>1</v>
          </cell>
          <cell r="R561" t="str">
            <v>NA</v>
          </cell>
          <cell r="S561">
            <v>5</v>
          </cell>
        </row>
        <row r="562">
          <cell r="B562" t="str">
            <v>EMMC</v>
          </cell>
          <cell r="C562" t="str">
            <v>HSLB11617</v>
          </cell>
          <cell r="D562">
            <v>112002</v>
          </cell>
          <cell r="E562" t="str">
            <v>Biombo Clínico 2 Cuerpos</v>
          </cell>
          <cell r="F562" t="str">
            <v>NO</v>
          </cell>
          <cell r="G562" t="str">
            <v>NO</v>
          </cell>
          <cell r="H562" t="str">
            <v>LAVACHATA AUTOMATICO</v>
          </cell>
          <cell r="I562">
            <v>3</v>
          </cell>
          <cell r="J562" t="str">
            <v>C.4.5.6.2</v>
          </cell>
          <cell r="K562" t="str">
            <v>Urgencia</v>
          </cell>
          <cell r="L562">
            <v>1</v>
          </cell>
          <cell r="M562">
            <v>46003</v>
          </cell>
          <cell r="N562">
            <v>46006</v>
          </cell>
          <cell r="O562">
            <v>1</v>
          </cell>
          <cell r="P562">
            <v>46007</v>
          </cell>
          <cell r="Q562">
            <v>1</v>
          </cell>
          <cell r="R562" t="str">
            <v>NA</v>
          </cell>
          <cell r="S562">
            <v>5</v>
          </cell>
        </row>
        <row r="563">
          <cell r="B563" t="str">
            <v>EMMC</v>
          </cell>
          <cell r="C563" t="str">
            <v>HSLB11458</v>
          </cell>
          <cell r="D563">
            <v>111010</v>
          </cell>
          <cell r="E563" t="str">
            <v>Bipedestador Mecánico Inclinable Grande</v>
          </cell>
          <cell r="F563" t="str">
            <v>NO</v>
          </cell>
          <cell r="G563" t="str">
            <v>SI</v>
          </cell>
          <cell r="H563" t="str">
            <v>GIMNASIO ADULTO REHABILITACIÓN CARDIOVASCULAR</v>
          </cell>
          <cell r="I563">
            <v>1</v>
          </cell>
          <cell r="J563" t="str">
            <v>C.5.7.14</v>
          </cell>
          <cell r="K563" t="str">
            <v>Med Física y Rehabilitación</v>
          </cell>
          <cell r="L563">
            <v>1</v>
          </cell>
          <cell r="M563">
            <v>46003</v>
          </cell>
          <cell r="N563">
            <v>46006</v>
          </cell>
          <cell r="O563">
            <v>1</v>
          </cell>
          <cell r="P563">
            <v>46007</v>
          </cell>
          <cell r="Q563">
            <v>1</v>
          </cell>
          <cell r="R563" t="str">
            <v>NA</v>
          </cell>
          <cell r="S563">
            <v>5</v>
          </cell>
        </row>
        <row r="564">
          <cell r="B564" t="str">
            <v>EMMC</v>
          </cell>
          <cell r="C564" t="str">
            <v>HSLB11459</v>
          </cell>
          <cell r="D564">
            <v>111011</v>
          </cell>
          <cell r="E564" t="str">
            <v>Bipedestador Mecánico Inclinable Mediano</v>
          </cell>
          <cell r="F564" t="str">
            <v>NO</v>
          </cell>
          <cell r="G564" t="str">
            <v>NO</v>
          </cell>
          <cell r="H564" t="str">
            <v>GIMNASIO PEDIATRICO</v>
          </cell>
          <cell r="I564">
            <v>1</v>
          </cell>
          <cell r="J564" t="str">
            <v>C.5.7.15</v>
          </cell>
          <cell r="K564" t="str">
            <v>Med Física y Rehabilitación</v>
          </cell>
          <cell r="L564">
            <v>1</v>
          </cell>
          <cell r="M564">
            <v>46013</v>
          </cell>
          <cell r="N564">
            <v>46014</v>
          </cell>
          <cell r="O564">
            <v>1</v>
          </cell>
          <cell r="P564">
            <v>46015</v>
          </cell>
          <cell r="Q564">
            <v>1</v>
          </cell>
          <cell r="R564" t="str">
            <v>NA</v>
          </cell>
          <cell r="S564">
            <v>5</v>
          </cell>
        </row>
        <row r="565">
          <cell r="B565" t="str">
            <v>EMMC</v>
          </cell>
          <cell r="C565" t="str">
            <v>HSLB11462</v>
          </cell>
          <cell r="D565">
            <v>111014</v>
          </cell>
          <cell r="E565" t="str">
            <v>Camastro</v>
          </cell>
          <cell r="F565" t="str">
            <v>NO</v>
          </cell>
          <cell r="G565" t="str">
            <v>NO</v>
          </cell>
          <cell r="H565" t="str">
            <v>GIMNASIO PEDIATRICO</v>
          </cell>
          <cell r="I565">
            <v>1</v>
          </cell>
          <cell r="J565" t="str">
            <v>C.5.7.15</v>
          </cell>
          <cell r="K565" t="str">
            <v>Med Física y Rehabilitación</v>
          </cell>
          <cell r="L565">
            <v>1</v>
          </cell>
          <cell r="M565">
            <v>46013</v>
          </cell>
          <cell r="N565">
            <v>46014</v>
          </cell>
          <cell r="O565">
            <v>1</v>
          </cell>
          <cell r="P565">
            <v>46015</v>
          </cell>
          <cell r="Q565">
            <v>1</v>
          </cell>
          <cell r="R565" t="str">
            <v>NA</v>
          </cell>
          <cell r="S565">
            <v>5</v>
          </cell>
        </row>
        <row r="566">
          <cell r="B566" t="str">
            <v>EMMC</v>
          </cell>
          <cell r="C566" t="str">
            <v>HSLB10738</v>
          </cell>
          <cell r="D566">
            <v>106002</v>
          </cell>
          <cell r="E566" t="str">
            <v>Chatas</v>
          </cell>
          <cell r="F566" t="str">
            <v>NO</v>
          </cell>
          <cell r="G566" t="str">
            <v>NO</v>
          </cell>
          <cell r="H566" t="str">
            <v>LAVACHATA AUTOMATICO</v>
          </cell>
          <cell r="I566">
            <v>10</v>
          </cell>
          <cell r="J566" t="str">
            <v>C.4.5.12.1</v>
          </cell>
          <cell r="K566" t="str">
            <v>Urgencia</v>
          </cell>
          <cell r="L566">
            <v>1</v>
          </cell>
          <cell r="M566">
            <v>46003</v>
          </cell>
          <cell r="N566">
            <v>46006</v>
          </cell>
          <cell r="O566">
            <v>1</v>
          </cell>
          <cell r="P566">
            <v>46007</v>
          </cell>
          <cell r="Q566">
            <v>1</v>
          </cell>
          <cell r="R566" t="str">
            <v>NA</v>
          </cell>
          <cell r="S566">
            <v>5</v>
          </cell>
        </row>
        <row r="567">
          <cell r="B567" t="str">
            <v>EMMC</v>
          </cell>
          <cell r="C567" t="str">
            <v>HSLB10739</v>
          </cell>
          <cell r="D567">
            <v>106002</v>
          </cell>
          <cell r="E567" t="str">
            <v>Chatas</v>
          </cell>
          <cell r="F567" t="str">
            <v>NO</v>
          </cell>
          <cell r="G567" t="str">
            <v>NO</v>
          </cell>
          <cell r="H567" t="str">
            <v>LAVACHATA AUTOMATICO</v>
          </cell>
          <cell r="I567">
            <v>5</v>
          </cell>
          <cell r="J567" t="str">
            <v>C.4.5.12.2</v>
          </cell>
          <cell r="K567" t="str">
            <v>Urgencia</v>
          </cell>
          <cell r="L567">
            <v>1</v>
          </cell>
          <cell r="M567">
            <v>46003</v>
          </cell>
          <cell r="N567">
            <v>46006</v>
          </cell>
          <cell r="O567">
            <v>1</v>
          </cell>
          <cell r="P567">
            <v>46007</v>
          </cell>
          <cell r="Q567">
            <v>1</v>
          </cell>
          <cell r="R567" t="str">
            <v>NA</v>
          </cell>
          <cell r="S567">
            <v>5</v>
          </cell>
        </row>
        <row r="568">
          <cell r="B568" t="str">
            <v>EMMC</v>
          </cell>
          <cell r="C568" t="str">
            <v>HSLB11472</v>
          </cell>
          <cell r="D568">
            <v>111023</v>
          </cell>
          <cell r="E568" t="str">
            <v>Consola para Entrenamiento de Equilibrio</v>
          </cell>
          <cell r="F568" t="str">
            <v>NO</v>
          </cell>
          <cell r="G568" t="str">
            <v>SI</v>
          </cell>
          <cell r="H568" t="str">
            <v>GIMNASIO ADULTO REHABILITACIÓN CARDIOVASCULAR</v>
          </cell>
          <cell r="I568">
            <v>1</v>
          </cell>
          <cell r="J568" t="str">
            <v>C.5.7.14</v>
          </cell>
          <cell r="K568" t="str">
            <v>Med Física y Rehabilitación</v>
          </cell>
          <cell r="L568">
            <v>1</v>
          </cell>
          <cell r="M568">
            <v>46003</v>
          </cell>
          <cell r="N568">
            <v>46006</v>
          </cell>
          <cell r="O568">
            <v>1</v>
          </cell>
          <cell r="P568">
            <v>46007</v>
          </cell>
          <cell r="Q568">
            <v>1</v>
          </cell>
          <cell r="R568" t="str">
            <v>NA</v>
          </cell>
          <cell r="S568">
            <v>5</v>
          </cell>
        </row>
        <row r="569">
          <cell r="B569" t="str">
            <v>EMMC</v>
          </cell>
          <cell r="C569" t="str">
            <v>HSLB11475</v>
          </cell>
          <cell r="D569">
            <v>111025</v>
          </cell>
          <cell r="E569" t="str">
            <v>Dinamómetro</v>
          </cell>
          <cell r="F569" t="str">
            <v>NO</v>
          </cell>
          <cell r="G569" t="str">
            <v>NO</v>
          </cell>
          <cell r="H569" t="str">
            <v>BOX INDIFERENCIADO (FONOAUDIO Y TERAPIA OCU)(2)</v>
          </cell>
          <cell r="I569">
            <v>1</v>
          </cell>
          <cell r="J569" t="str">
            <v>C.5.7.5.2</v>
          </cell>
          <cell r="K569" t="str">
            <v>Med Física y Rehabilitación</v>
          </cell>
          <cell r="L569">
            <v>1</v>
          </cell>
          <cell r="M569">
            <v>46013</v>
          </cell>
          <cell r="N569">
            <v>46014</v>
          </cell>
          <cell r="O569">
            <v>1</v>
          </cell>
          <cell r="P569">
            <v>46015</v>
          </cell>
          <cell r="Q569">
            <v>1</v>
          </cell>
          <cell r="R569" t="str">
            <v>NA</v>
          </cell>
          <cell r="S569">
            <v>5</v>
          </cell>
        </row>
        <row r="570">
          <cell r="B570" t="str">
            <v>EMMC</v>
          </cell>
          <cell r="C570" t="str">
            <v>HSLB11476</v>
          </cell>
          <cell r="D570">
            <v>111026</v>
          </cell>
          <cell r="E570" t="str">
            <v>Disco Freeman</v>
          </cell>
          <cell r="F570" t="str">
            <v>NO</v>
          </cell>
          <cell r="G570" t="str">
            <v>NO</v>
          </cell>
          <cell r="H570" t="str">
            <v>GIMNASIO PEDIATRICO</v>
          </cell>
          <cell r="I570">
            <v>2</v>
          </cell>
          <cell r="J570" t="str">
            <v>C.5.7.15</v>
          </cell>
          <cell r="K570" t="str">
            <v>Med Física y Rehabilitación</v>
          </cell>
          <cell r="L570">
            <v>1</v>
          </cell>
          <cell r="M570">
            <v>46013</v>
          </cell>
          <cell r="N570">
            <v>46014</v>
          </cell>
          <cell r="O570">
            <v>1</v>
          </cell>
          <cell r="P570">
            <v>46015</v>
          </cell>
          <cell r="Q570">
            <v>1</v>
          </cell>
          <cell r="R570" t="str">
            <v>NA</v>
          </cell>
          <cell r="S570">
            <v>5</v>
          </cell>
        </row>
        <row r="571">
          <cell r="B571" t="str">
            <v>EMMC</v>
          </cell>
          <cell r="C571" t="str">
            <v>HSLB10763</v>
          </cell>
          <cell r="D571">
            <v>106003</v>
          </cell>
          <cell r="E571" t="str">
            <v>Equipo de Música</v>
          </cell>
          <cell r="F571" t="str">
            <v>NO</v>
          </cell>
          <cell r="G571" t="str">
            <v>SI</v>
          </cell>
          <cell r="H571" t="str">
            <v>GIMNASIO ADULTO REHABILITACIÓN CARDIOVASCULAR</v>
          </cell>
          <cell r="I571">
            <v>1</v>
          </cell>
          <cell r="J571" t="str">
            <v>C.5.7.14</v>
          </cell>
          <cell r="K571" t="str">
            <v>Med Física y Rehabilitación</v>
          </cell>
          <cell r="L571">
            <v>1</v>
          </cell>
          <cell r="M571">
            <v>46003</v>
          </cell>
          <cell r="N571">
            <v>46006</v>
          </cell>
          <cell r="O571">
            <v>1</v>
          </cell>
          <cell r="P571">
            <v>46007</v>
          </cell>
          <cell r="Q571">
            <v>1</v>
          </cell>
          <cell r="R571" t="str">
            <v>NA</v>
          </cell>
          <cell r="S571">
            <v>5</v>
          </cell>
        </row>
        <row r="572">
          <cell r="B572" t="str">
            <v>EMMC</v>
          </cell>
          <cell r="C572" t="str">
            <v>HSLB10764</v>
          </cell>
          <cell r="D572">
            <v>106003</v>
          </cell>
          <cell r="E572" t="str">
            <v>Equipo de Música</v>
          </cell>
          <cell r="F572" t="str">
            <v>NO</v>
          </cell>
          <cell r="G572" t="str">
            <v>NO</v>
          </cell>
          <cell r="H572" t="str">
            <v>GIMNASIO PEDIATRICO</v>
          </cell>
          <cell r="I572">
            <v>1</v>
          </cell>
          <cell r="J572" t="str">
            <v>C.5.7.15</v>
          </cell>
          <cell r="K572" t="str">
            <v>Med Física y Rehabilitación</v>
          </cell>
          <cell r="L572">
            <v>1</v>
          </cell>
          <cell r="M572">
            <v>46013</v>
          </cell>
          <cell r="N572">
            <v>46014</v>
          </cell>
          <cell r="O572">
            <v>1</v>
          </cell>
          <cell r="P572">
            <v>46015</v>
          </cell>
          <cell r="Q572">
            <v>1</v>
          </cell>
          <cell r="R572" t="str">
            <v>NA</v>
          </cell>
          <cell r="S572">
            <v>5</v>
          </cell>
        </row>
        <row r="573">
          <cell r="B573" t="str">
            <v>EMMC</v>
          </cell>
          <cell r="C573" t="str">
            <v>HSLB10765</v>
          </cell>
          <cell r="D573">
            <v>106003</v>
          </cell>
          <cell r="E573" t="str">
            <v>Equipo de Música</v>
          </cell>
          <cell r="F573" t="str">
            <v>NO</v>
          </cell>
          <cell r="G573" t="str">
            <v>NO</v>
          </cell>
          <cell r="H573" t="str">
            <v>SALA DE TERAPIA GRUPAL (12 MAX)</v>
          </cell>
          <cell r="I573">
            <v>1</v>
          </cell>
          <cell r="J573" t="str">
            <v>C.5.7.18</v>
          </cell>
          <cell r="K573" t="str">
            <v>Med Física y Rehabilitación</v>
          </cell>
          <cell r="L573">
            <v>1</v>
          </cell>
          <cell r="M573">
            <v>46013</v>
          </cell>
          <cell r="N573">
            <v>46014</v>
          </cell>
          <cell r="O573">
            <v>1</v>
          </cell>
          <cell r="P573">
            <v>46015</v>
          </cell>
          <cell r="Q573">
            <v>1</v>
          </cell>
          <cell r="R573" t="str">
            <v>NA</v>
          </cell>
          <cell r="S573">
            <v>5</v>
          </cell>
        </row>
        <row r="574">
          <cell r="B574" t="str">
            <v>EMMC</v>
          </cell>
          <cell r="C574" t="str">
            <v>HSLB10766</v>
          </cell>
          <cell r="D574">
            <v>106003</v>
          </cell>
          <cell r="E574" t="str">
            <v>Equipo de Música</v>
          </cell>
          <cell r="F574" t="str">
            <v>NO</v>
          </cell>
          <cell r="G574" t="str">
            <v>NO</v>
          </cell>
          <cell r="H574" t="str">
            <v>SALA MULTIUSO CON KITCHENETTE</v>
          </cell>
          <cell r="I574">
            <v>1</v>
          </cell>
          <cell r="J574" t="str">
            <v>H.1.2</v>
          </cell>
          <cell r="K574" t="str">
            <v>Urgencia</v>
          </cell>
          <cell r="L574">
            <v>1</v>
          </cell>
          <cell r="M574">
            <v>46003</v>
          </cell>
          <cell r="N574">
            <v>46006</v>
          </cell>
          <cell r="O574">
            <v>1</v>
          </cell>
          <cell r="P574">
            <v>46007</v>
          </cell>
          <cell r="Q574">
            <v>1</v>
          </cell>
          <cell r="R574" t="str">
            <v>NA</v>
          </cell>
          <cell r="S574">
            <v>5</v>
          </cell>
        </row>
        <row r="575">
          <cell r="B575" t="str">
            <v>EMMC</v>
          </cell>
          <cell r="C575" t="str">
            <v>HSLB11486</v>
          </cell>
          <cell r="D575">
            <v>111033</v>
          </cell>
          <cell r="E575" t="str">
            <v>Equipo Terapia Combinada</v>
          </cell>
          <cell r="F575" t="str">
            <v>NO</v>
          </cell>
          <cell r="G575" t="str">
            <v>NO</v>
          </cell>
          <cell r="H575" t="str">
            <v>SALA KINESOTERÁPIA CUBICULO ULTRASONIDO</v>
          </cell>
          <cell r="I575">
            <v>1</v>
          </cell>
          <cell r="J575" t="str">
            <v>C.5.7.12</v>
          </cell>
          <cell r="K575" t="str">
            <v>Med Física y Rehabilitación</v>
          </cell>
          <cell r="L575">
            <v>1</v>
          </cell>
          <cell r="M575">
            <v>46013</v>
          </cell>
          <cell r="N575">
            <v>46014</v>
          </cell>
          <cell r="O575">
            <v>1</v>
          </cell>
          <cell r="P575">
            <v>46015</v>
          </cell>
          <cell r="Q575">
            <v>1</v>
          </cell>
          <cell r="R575" t="str">
            <v>NA</v>
          </cell>
          <cell r="S575">
            <v>5</v>
          </cell>
        </row>
        <row r="576">
          <cell r="B576" t="str">
            <v>EMMC</v>
          </cell>
          <cell r="C576" t="str">
            <v>HSLB12176</v>
          </cell>
          <cell r="D576">
            <v>112054</v>
          </cell>
          <cell r="E576" t="str">
            <v>Escabel</v>
          </cell>
          <cell r="F576" t="str">
            <v>NO</v>
          </cell>
          <cell r="G576" t="str">
            <v>NO</v>
          </cell>
          <cell r="H576" t="str">
            <v>BOX KINESIOLOGO(1)</v>
          </cell>
          <cell r="I576">
            <v>1</v>
          </cell>
          <cell r="J576" t="str">
            <v>C.5.7.4.1</v>
          </cell>
          <cell r="K576" t="str">
            <v>Med Física y Rehabilitación</v>
          </cell>
          <cell r="L576">
            <v>1</v>
          </cell>
          <cell r="M576">
            <v>46013</v>
          </cell>
          <cell r="N576">
            <v>46014</v>
          </cell>
          <cell r="O576">
            <v>1</v>
          </cell>
          <cell r="P576">
            <v>46015</v>
          </cell>
          <cell r="Q576">
            <v>1</v>
          </cell>
          <cell r="R576" t="str">
            <v>NA</v>
          </cell>
          <cell r="S576">
            <v>5</v>
          </cell>
        </row>
        <row r="577">
          <cell r="B577" t="str">
            <v>EMMC</v>
          </cell>
          <cell r="C577" t="str">
            <v>HSLB12177</v>
          </cell>
          <cell r="D577">
            <v>112054</v>
          </cell>
          <cell r="E577" t="str">
            <v>Escabel</v>
          </cell>
          <cell r="F577" t="str">
            <v>NO</v>
          </cell>
          <cell r="G577" t="str">
            <v>NO</v>
          </cell>
          <cell r="H577" t="str">
            <v>BOX INDIFERENCIADO (FONOAUDIO Y TERAPIA OCU)(2)</v>
          </cell>
          <cell r="I577">
            <v>1</v>
          </cell>
          <cell r="J577" t="str">
            <v>C.5.7.5.2</v>
          </cell>
          <cell r="K577" t="str">
            <v>Med Física y Rehabilitación</v>
          </cell>
          <cell r="L577">
            <v>1</v>
          </cell>
          <cell r="M577">
            <v>46013</v>
          </cell>
          <cell r="N577">
            <v>46014</v>
          </cell>
          <cell r="O577">
            <v>1</v>
          </cell>
          <cell r="P577">
            <v>46015</v>
          </cell>
          <cell r="Q577">
            <v>1</v>
          </cell>
          <cell r="R577" t="str">
            <v>NA</v>
          </cell>
          <cell r="S577">
            <v>5</v>
          </cell>
        </row>
        <row r="578">
          <cell r="B578" t="str">
            <v>EMMC</v>
          </cell>
          <cell r="C578" t="str">
            <v>HSLB12148</v>
          </cell>
          <cell r="D578">
            <v>112054</v>
          </cell>
          <cell r="E578" t="str">
            <v>Escabel</v>
          </cell>
          <cell r="F578" t="str">
            <v>NO</v>
          </cell>
          <cell r="G578" t="str">
            <v>NO</v>
          </cell>
          <cell r="H578" t="str">
            <v>SALA DE PROCEDIMIENTOS</v>
          </cell>
          <cell r="I578">
            <v>1</v>
          </cell>
          <cell r="J578" t="str">
            <v>C.3.6.2.12</v>
          </cell>
          <cell r="K578" t="str">
            <v>Urgencia</v>
          </cell>
          <cell r="L578">
            <v>1</v>
          </cell>
          <cell r="M578">
            <v>46003</v>
          </cell>
          <cell r="N578">
            <v>46006</v>
          </cell>
          <cell r="O578">
            <v>1</v>
          </cell>
          <cell r="P578">
            <v>46007</v>
          </cell>
          <cell r="Q578">
            <v>1</v>
          </cell>
          <cell r="R578" t="str">
            <v>NA</v>
          </cell>
          <cell r="S578">
            <v>5</v>
          </cell>
        </row>
        <row r="579">
          <cell r="B579" t="str">
            <v>EMMC</v>
          </cell>
          <cell r="C579" t="str">
            <v>HSLB12149</v>
          </cell>
          <cell r="D579">
            <v>112054</v>
          </cell>
          <cell r="E579" t="str">
            <v>Escabel</v>
          </cell>
          <cell r="F579" t="str">
            <v>NO</v>
          </cell>
          <cell r="G579" t="str">
            <v>NO</v>
          </cell>
          <cell r="H579" t="str">
            <v>BOX ATENCIÓN MEDICO C/BAÑO Y ECO</v>
          </cell>
          <cell r="I579">
            <v>1</v>
          </cell>
          <cell r="J579" t="str">
            <v>C.3.6.2.8</v>
          </cell>
          <cell r="K579" t="str">
            <v>Urgencia</v>
          </cell>
          <cell r="L579">
            <v>1</v>
          </cell>
          <cell r="M579">
            <v>46003</v>
          </cell>
          <cell r="N579">
            <v>46006</v>
          </cell>
          <cell r="O579">
            <v>1</v>
          </cell>
          <cell r="P579">
            <v>46007</v>
          </cell>
          <cell r="Q579">
            <v>1</v>
          </cell>
          <cell r="R579" t="str">
            <v>NA</v>
          </cell>
          <cell r="S579">
            <v>5</v>
          </cell>
        </row>
        <row r="580">
          <cell r="B580" t="str">
            <v>EMMC</v>
          </cell>
          <cell r="C580" t="str">
            <v>HSLB10343</v>
          </cell>
          <cell r="D580">
            <v>103024</v>
          </cell>
          <cell r="E580" t="str">
            <v>Encimera Eléctrica</v>
          </cell>
          <cell r="F580" t="str">
            <v>SI</v>
          </cell>
          <cell r="G580" t="str">
            <v>NO</v>
          </cell>
          <cell r="H580" t="str">
            <v>SALA DE ACTIVDAD DE LA VIDA DIARIA C/BAÑO DE INSTRUCCIÓN</v>
          </cell>
          <cell r="I580">
            <v>1</v>
          </cell>
          <cell r="J580" t="str">
            <v>C.5.7.20</v>
          </cell>
          <cell r="K580" t="str">
            <v>Med Física y Rehabilitación</v>
          </cell>
          <cell r="L580">
            <v>1</v>
          </cell>
          <cell r="M580">
            <v>46052</v>
          </cell>
          <cell r="N580">
            <v>46055</v>
          </cell>
          <cell r="O580">
            <v>4</v>
          </cell>
          <cell r="P580">
            <v>46059</v>
          </cell>
          <cell r="Q580">
            <v>5</v>
          </cell>
          <cell r="R580" t="str">
            <v>NA</v>
          </cell>
          <cell r="S580">
            <v>5</v>
          </cell>
        </row>
        <row r="581">
          <cell r="B581" t="str">
            <v>EMMC</v>
          </cell>
          <cell r="C581" t="str">
            <v>HSLB12150</v>
          </cell>
          <cell r="D581">
            <v>112054</v>
          </cell>
          <cell r="E581" t="str">
            <v>Escabel</v>
          </cell>
          <cell r="F581" t="str">
            <v>NO</v>
          </cell>
          <cell r="G581" t="str">
            <v>NO</v>
          </cell>
          <cell r="H581" t="str">
            <v>BOX MATRONA</v>
          </cell>
          <cell r="I581">
            <v>1</v>
          </cell>
          <cell r="J581" t="str">
            <v>C.3.6.2.8.1</v>
          </cell>
          <cell r="K581" t="str">
            <v>Urgencia</v>
          </cell>
          <cell r="L581">
            <v>1</v>
          </cell>
          <cell r="M581">
            <v>46003</v>
          </cell>
          <cell r="N581">
            <v>46006</v>
          </cell>
          <cell r="O581">
            <v>1</v>
          </cell>
          <cell r="P581">
            <v>46007</v>
          </cell>
          <cell r="Q581">
            <v>1</v>
          </cell>
          <cell r="R581" t="str">
            <v>NA</v>
          </cell>
          <cell r="S581">
            <v>5</v>
          </cell>
        </row>
        <row r="582">
          <cell r="B582" t="str">
            <v>EMMC</v>
          </cell>
          <cell r="C582" t="str">
            <v>HSLB11482</v>
          </cell>
          <cell r="D582">
            <v>111029</v>
          </cell>
          <cell r="E582" t="str">
            <v>Enfriador de Compresas</v>
          </cell>
          <cell r="F582" t="str">
            <v>NO</v>
          </cell>
          <cell r="G582" t="str">
            <v>NO</v>
          </cell>
          <cell r="H582" t="str">
            <v>SALA KINESOTERAPIA ZONA COMPRESERO</v>
          </cell>
          <cell r="I582">
            <v>1</v>
          </cell>
          <cell r="J582" t="str">
            <v>C.5.7.10</v>
          </cell>
          <cell r="K582" t="str">
            <v>Med Física y Rehabilitación</v>
          </cell>
          <cell r="L582">
            <v>1</v>
          </cell>
          <cell r="M582">
            <v>46013</v>
          </cell>
          <cell r="N582">
            <v>46014</v>
          </cell>
          <cell r="O582">
            <v>1</v>
          </cell>
          <cell r="P582">
            <v>46015</v>
          </cell>
          <cell r="Q582">
            <v>1</v>
          </cell>
          <cell r="R582" t="str">
            <v>NA</v>
          </cell>
          <cell r="S582">
            <v>5</v>
          </cell>
        </row>
        <row r="583">
          <cell r="B583" t="str">
            <v>EMMC</v>
          </cell>
          <cell r="C583" t="str">
            <v>HSLB12151</v>
          </cell>
          <cell r="D583">
            <v>112054</v>
          </cell>
          <cell r="E583" t="str">
            <v>Escabel</v>
          </cell>
          <cell r="F583" t="str">
            <v>NO</v>
          </cell>
          <cell r="G583" t="str">
            <v>NO</v>
          </cell>
          <cell r="H583" t="str">
            <v>SALA DE OBSERVACIONES</v>
          </cell>
          <cell r="I583">
            <v>1</v>
          </cell>
          <cell r="J583" t="str">
            <v>C.3.6.2.9</v>
          </cell>
          <cell r="K583" t="str">
            <v>Urgencia</v>
          </cell>
          <cell r="L583">
            <v>1</v>
          </cell>
          <cell r="M583">
            <v>46003</v>
          </cell>
          <cell r="N583">
            <v>46006</v>
          </cell>
          <cell r="O583">
            <v>1</v>
          </cell>
          <cell r="P583">
            <v>46007</v>
          </cell>
          <cell r="Q583">
            <v>1</v>
          </cell>
          <cell r="R583" t="str">
            <v>NA</v>
          </cell>
          <cell r="S583">
            <v>5</v>
          </cell>
        </row>
        <row r="584">
          <cell r="B584" t="str">
            <v>EMMC</v>
          </cell>
          <cell r="C584" t="str">
            <v>HSLB12157</v>
          </cell>
          <cell r="D584">
            <v>112054</v>
          </cell>
          <cell r="E584" t="str">
            <v>Escabel</v>
          </cell>
          <cell r="F584" t="str">
            <v>NO</v>
          </cell>
          <cell r="G584" t="str">
            <v>NO</v>
          </cell>
          <cell r="H584" t="str">
            <v>BOX URGENCIA(1)</v>
          </cell>
          <cell r="I584">
            <v>1</v>
          </cell>
          <cell r="J584" t="str">
            <v>C.4.3.3.1</v>
          </cell>
          <cell r="K584" t="str">
            <v>Urgencia</v>
          </cell>
          <cell r="L584">
            <v>1</v>
          </cell>
          <cell r="M584">
            <v>46003</v>
          </cell>
          <cell r="N584">
            <v>46006</v>
          </cell>
          <cell r="O584">
            <v>1</v>
          </cell>
          <cell r="P584">
            <v>46007</v>
          </cell>
          <cell r="Q584">
            <v>1</v>
          </cell>
          <cell r="R584" t="str">
            <v>NA</v>
          </cell>
          <cell r="S584">
            <v>5</v>
          </cell>
        </row>
        <row r="585">
          <cell r="B585" t="str">
            <v>EMMC</v>
          </cell>
          <cell r="C585" t="str">
            <v>HSLB12158</v>
          </cell>
          <cell r="D585">
            <v>112054</v>
          </cell>
          <cell r="E585" t="str">
            <v>Escabel</v>
          </cell>
          <cell r="F585" t="str">
            <v>NO</v>
          </cell>
          <cell r="G585" t="str">
            <v>NO</v>
          </cell>
          <cell r="H585" t="str">
            <v>BOX URGENCIA (2)</v>
          </cell>
          <cell r="I585">
            <v>1</v>
          </cell>
          <cell r="J585" t="str">
            <v>C.4.3.3.2</v>
          </cell>
          <cell r="K585" t="str">
            <v>Urgencia</v>
          </cell>
          <cell r="L585">
            <v>1</v>
          </cell>
          <cell r="M585">
            <v>46003</v>
          </cell>
          <cell r="N585">
            <v>46006</v>
          </cell>
          <cell r="O585">
            <v>1</v>
          </cell>
          <cell r="P585">
            <v>46007</v>
          </cell>
          <cell r="Q585">
            <v>1</v>
          </cell>
          <cell r="R585" t="str">
            <v>NA</v>
          </cell>
          <cell r="S585">
            <v>5</v>
          </cell>
        </row>
        <row r="586">
          <cell r="B586" t="str">
            <v>EMMC</v>
          </cell>
          <cell r="C586" t="str">
            <v>HSLB12159</v>
          </cell>
          <cell r="D586">
            <v>112054</v>
          </cell>
          <cell r="E586" t="str">
            <v>Escabel</v>
          </cell>
          <cell r="F586" t="str">
            <v>NO</v>
          </cell>
          <cell r="G586" t="str">
            <v>NO</v>
          </cell>
          <cell r="H586" t="str">
            <v>BOX URGENCIA(3)</v>
          </cell>
          <cell r="I586">
            <v>1</v>
          </cell>
          <cell r="J586" t="str">
            <v>C.4.3.3.3</v>
          </cell>
          <cell r="K586" t="str">
            <v>Urgencia</v>
          </cell>
          <cell r="L586">
            <v>1</v>
          </cell>
          <cell r="M586">
            <v>46003</v>
          </cell>
          <cell r="N586">
            <v>46006</v>
          </cell>
          <cell r="O586">
            <v>1</v>
          </cell>
          <cell r="P586">
            <v>46007</v>
          </cell>
          <cell r="Q586">
            <v>1</v>
          </cell>
          <cell r="R586" t="str">
            <v>NA</v>
          </cell>
          <cell r="S586">
            <v>5</v>
          </cell>
        </row>
        <row r="587">
          <cell r="B587" t="str">
            <v>EMMC</v>
          </cell>
          <cell r="C587" t="str">
            <v>HSLB12160</v>
          </cell>
          <cell r="D587">
            <v>112054</v>
          </cell>
          <cell r="E587" t="str">
            <v>Escabel</v>
          </cell>
          <cell r="F587" t="str">
            <v>NO</v>
          </cell>
          <cell r="G587" t="str">
            <v>NO</v>
          </cell>
          <cell r="H587" t="str">
            <v>BOX URGENCIA(4)</v>
          </cell>
          <cell r="I587">
            <v>1</v>
          </cell>
          <cell r="J587" t="str">
            <v>C.4.3.3.4</v>
          </cell>
          <cell r="K587" t="str">
            <v>Urgencia</v>
          </cell>
          <cell r="L587">
            <v>1</v>
          </cell>
          <cell r="M587">
            <v>46003</v>
          </cell>
          <cell r="N587">
            <v>46006</v>
          </cell>
          <cell r="O587">
            <v>1</v>
          </cell>
          <cell r="P587">
            <v>46007</v>
          </cell>
          <cell r="Q587">
            <v>1</v>
          </cell>
          <cell r="R587" t="str">
            <v>NA</v>
          </cell>
          <cell r="S587">
            <v>5</v>
          </cell>
        </row>
        <row r="588">
          <cell r="B588" t="str">
            <v>EMMC</v>
          </cell>
          <cell r="C588" t="str">
            <v>HSLB12161</v>
          </cell>
          <cell r="D588">
            <v>112054</v>
          </cell>
          <cell r="E588" t="str">
            <v>Escabel</v>
          </cell>
          <cell r="F588" t="str">
            <v>NO</v>
          </cell>
          <cell r="G588" t="str">
            <v>NO</v>
          </cell>
          <cell r="H588" t="str">
            <v>BOX URGENCIA(5)</v>
          </cell>
          <cell r="I588">
            <v>1</v>
          </cell>
          <cell r="J588" t="str">
            <v>C.4.3.3.5</v>
          </cell>
          <cell r="K588" t="str">
            <v>Urgencia</v>
          </cell>
          <cell r="L588">
            <v>1</v>
          </cell>
          <cell r="M588">
            <v>46003</v>
          </cell>
          <cell r="N588">
            <v>46006</v>
          </cell>
          <cell r="O588">
            <v>1</v>
          </cell>
          <cell r="P588">
            <v>46007</v>
          </cell>
          <cell r="Q588">
            <v>1</v>
          </cell>
          <cell r="R588" t="str">
            <v>NA</v>
          </cell>
          <cell r="S588">
            <v>5</v>
          </cell>
        </row>
        <row r="589">
          <cell r="B589" t="str">
            <v>EMMC</v>
          </cell>
          <cell r="C589" t="str">
            <v>HSLB12162</v>
          </cell>
          <cell r="D589">
            <v>112054</v>
          </cell>
          <cell r="E589" t="str">
            <v>Escabel</v>
          </cell>
          <cell r="F589" t="str">
            <v>NO</v>
          </cell>
          <cell r="G589" t="str">
            <v>NO</v>
          </cell>
          <cell r="H589" t="str">
            <v>SALA DE OBSERVACIONES (ADULTO)</v>
          </cell>
          <cell r="I589">
            <v>5</v>
          </cell>
          <cell r="J589" t="str">
            <v>C.4.3.4</v>
          </cell>
          <cell r="K589" t="str">
            <v>Urgencia</v>
          </cell>
          <cell r="L589">
            <v>1</v>
          </cell>
          <cell r="M589">
            <v>46003</v>
          </cell>
          <cell r="N589">
            <v>46006</v>
          </cell>
          <cell r="O589">
            <v>1</v>
          </cell>
          <cell r="P589">
            <v>46007</v>
          </cell>
          <cell r="Q589">
            <v>1</v>
          </cell>
          <cell r="R589" t="str">
            <v>NA</v>
          </cell>
          <cell r="S589">
            <v>5</v>
          </cell>
        </row>
        <row r="590">
          <cell r="B590" t="str">
            <v>EMMC</v>
          </cell>
          <cell r="C590" t="str">
            <v>HSLB12163</v>
          </cell>
          <cell r="D590">
            <v>112054</v>
          </cell>
          <cell r="E590" t="str">
            <v>Escabel</v>
          </cell>
          <cell r="F590" t="str">
            <v>NO</v>
          </cell>
          <cell r="G590" t="str">
            <v>NO</v>
          </cell>
          <cell r="H590" t="str">
            <v xml:space="preserve">SALA DE PROCEDIMIENTO </v>
          </cell>
          <cell r="I590">
            <v>1</v>
          </cell>
          <cell r="J590" t="str">
            <v>C.4.3.5.1</v>
          </cell>
          <cell r="K590" t="str">
            <v>Urgencia</v>
          </cell>
          <cell r="L590">
            <v>1</v>
          </cell>
          <cell r="M590">
            <v>46003</v>
          </cell>
          <cell r="N590">
            <v>46006</v>
          </cell>
          <cell r="O590">
            <v>1</v>
          </cell>
          <cell r="P590">
            <v>46007</v>
          </cell>
          <cell r="Q590">
            <v>1</v>
          </cell>
          <cell r="R590" t="str">
            <v>NA</v>
          </cell>
          <cell r="S590">
            <v>5</v>
          </cell>
        </row>
        <row r="591">
          <cell r="B591" t="str">
            <v>EMMC</v>
          </cell>
          <cell r="C591" t="str">
            <v>HSLB12164</v>
          </cell>
          <cell r="D591">
            <v>112054</v>
          </cell>
          <cell r="E591" t="str">
            <v>Escabel</v>
          </cell>
          <cell r="F591" t="str">
            <v>NO</v>
          </cell>
          <cell r="G591" t="str">
            <v>NO</v>
          </cell>
          <cell r="H591" t="str">
            <v>SALA DE PROCEDIMIENTO</v>
          </cell>
          <cell r="I591">
            <v>1</v>
          </cell>
          <cell r="J591" t="str">
            <v>C.4.3.5.2</v>
          </cell>
          <cell r="K591" t="str">
            <v>Urgencia</v>
          </cell>
          <cell r="L591">
            <v>1</v>
          </cell>
          <cell r="M591">
            <v>46003</v>
          </cell>
          <cell r="N591">
            <v>46006</v>
          </cell>
          <cell r="O591">
            <v>1</v>
          </cell>
          <cell r="P591">
            <v>46007</v>
          </cell>
          <cell r="Q591">
            <v>1</v>
          </cell>
          <cell r="R591" t="str">
            <v>NA</v>
          </cell>
          <cell r="S591">
            <v>5</v>
          </cell>
        </row>
        <row r="592">
          <cell r="B592" t="str">
            <v>EMMC</v>
          </cell>
          <cell r="C592" t="str">
            <v>HSLB12165</v>
          </cell>
          <cell r="D592">
            <v>112054</v>
          </cell>
          <cell r="E592" t="str">
            <v>Escabel</v>
          </cell>
          <cell r="F592" t="str">
            <v>NO</v>
          </cell>
          <cell r="G592" t="str">
            <v>NO</v>
          </cell>
          <cell r="H592" t="str">
            <v>SELECTOR DE DEMANDA (infantil)</v>
          </cell>
          <cell r="I592">
            <v>1</v>
          </cell>
          <cell r="J592" t="str">
            <v>C.4.4.1</v>
          </cell>
          <cell r="K592" t="str">
            <v>Urgencia</v>
          </cell>
          <cell r="L592">
            <v>1</v>
          </cell>
          <cell r="M592">
            <v>46003</v>
          </cell>
          <cell r="N592">
            <v>46006</v>
          </cell>
          <cell r="O592">
            <v>1</v>
          </cell>
          <cell r="P592">
            <v>46007</v>
          </cell>
          <cell r="Q592">
            <v>1</v>
          </cell>
          <cell r="R592" t="str">
            <v>NA</v>
          </cell>
          <cell r="S592">
            <v>5</v>
          </cell>
        </row>
        <row r="593">
          <cell r="B593" t="str">
            <v>EMMC</v>
          </cell>
          <cell r="C593" t="str">
            <v>HSLB12166</v>
          </cell>
          <cell r="D593">
            <v>112054</v>
          </cell>
          <cell r="E593" t="str">
            <v>Escabel</v>
          </cell>
          <cell r="F593" t="str">
            <v>NO</v>
          </cell>
          <cell r="G593" t="str">
            <v>NO</v>
          </cell>
          <cell r="H593" t="str">
            <v>BOX URGENCIA (infantil)</v>
          </cell>
          <cell r="I593">
            <v>1</v>
          </cell>
          <cell r="J593" t="str">
            <v>C.4.4.3.1</v>
          </cell>
          <cell r="K593" t="str">
            <v>Urgencia</v>
          </cell>
          <cell r="L593">
            <v>1</v>
          </cell>
          <cell r="M593">
            <v>46003</v>
          </cell>
          <cell r="N593">
            <v>46006</v>
          </cell>
          <cell r="O593">
            <v>1</v>
          </cell>
          <cell r="P593">
            <v>46007</v>
          </cell>
          <cell r="Q593">
            <v>1</v>
          </cell>
          <cell r="R593" t="str">
            <v>NA</v>
          </cell>
          <cell r="S593">
            <v>5</v>
          </cell>
        </row>
        <row r="594">
          <cell r="B594" t="str">
            <v>EMMC</v>
          </cell>
          <cell r="C594" t="str">
            <v>HSLB12167</v>
          </cell>
          <cell r="D594">
            <v>112054</v>
          </cell>
          <cell r="E594" t="str">
            <v>Escabel</v>
          </cell>
          <cell r="F594" t="str">
            <v>NO</v>
          </cell>
          <cell r="G594" t="str">
            <v>NO</v>
          </cell>
          <cell r="H594" t="str">
            <v>BOX URGENCIA (infantil)</v>
          </cell>
          <cell r="I594">
            <v>1</v>
          </cell>
          <cell r="J594" t="str">
            <v>C.4.4.3.2</v>
          </cell>
          <cell r="K594" t="str">
            <v>Urgencia</v>
          </cell>
          <cell r="L594">
            <v>1</v>
          </cell>
          <cell r="M594">
            <v>46003</v>
          </cell>
          <cell r="N594">
            <v>46006</v>
          </cell>
          <cell r="O594">
            <v>1</v>
          </cell>
          <cell r="P594">
            <v>46007</v>
          </cell>
          <cell r="Q594">
            <v>1</v>
          </cell>
          <cell r="R594" t="str">
            <v>NA</v>
          </cell>
          <cell r="S594">
            <v>5</v>
          </cell>
        </row>
        <row r="595">
          <cell r="B595" t="str">
            <v>EMMC</v>
          </cell>
          <cell r="C595" t="str">
            <v>HSLB12168</v>
          </cell>
          <cell r="D595">
            <v>112054</v>
          </cell>
          <cell r="E595" t="str">
            <v>Escabel</v>
          </cell>
          <cell r="F595" t="str">
            <v>NO</v>
          </cell>
          <cell r="G595" t="str">
            <v>NO</v>
          </cell>
          <cell r="H595" t="str">
            <v>SALA OBSERVACIÓN (INFANTIL)</v>
          </cell>
          <cell r="I595">
            <v>2</v>
          </cell>
          <cell r="J595" t="str">
            <v>C.4.4.4</v>
          </cell>
          <cell r="K595" t="str">
            <v>Urgencia</v>
          </cell>
          <cell r="L595">
            <v>1</v>
          </cell>
          <cell r="M595">
            <v>46003</v>
          </cell>
          <cell r="N595">
            <v>46006</v>
          </cell>
          <cell r="O595">
            <v>1</v>
          </cell>
          <cell r="P595">
            <v>46007</v>
          </cell>
          <cell r="Q595">
            <v>1</v>
          </cell>
          <cell r="R595" t="str">
            <v>NA</v>
          </cell>
          <cell r="S595">
            <v>5</v>
          </cell>
        </row>
        <row r="596">
          <cell r="B596" t="str">
            <v>EMMC</v>
          </cell>
          <cell r="C596" t="str">
            <v>HSLB12169</v>
          </cell>
          <cell r="D596">
            <v>112054</v>
          </cell>
          <cell r="E596" t="str">
            <v>Escabel</v>
          </cell>
          <cell r="F596" t="str">
            <v>NO</v>
          </cell>
          <cell r="G596" t="str">
            <v>NO</v>
          </cell>
          <cell r="H596" t="str">
            <v>SALA DE PROCEDIMIENTO (infantil)</v>
          </cell>
          <cell r="I596">
            <v>1</v>
          </cell>
          <cell r="J596" t="str">
            <v>C.4.4.5</v>
          </cell>
          <cell r="K596" t="str">
            <v>Urgencia</v>
          </cell>
          <cell r="L596">
            <v>1</v>
          </cell>
          <cell r="M596">
            <v>46003</v>
          </cell>
          <cell r="N596">
            <v>46006</v>
          </cell>
          <cell r="O596">
            <v>1</v>
          </cell>
          <cell r="P596">
            <v>46007</v>
          </cell>
          <cell r="Q596">
            <v>1</v>
          </cell>
          <cell r="R596" t="str">
            <v>NA</v>
          </cell>
          <cell r="S596">
            <v>5</v>
          </cell>
        </row>
        <row r="597">
          <cell r="B597" t="str">
            <v>EMMC</v>
          </cell>
          <cell r="C597" t="str">
            <v>HSLB12170</v>
          </cell>
          <cell r="D597">
            <v>112054</v>
          </cell>
          <cell r="E597" t="str">
            <v>Escabel</v>
          </cell>
          <cell r="F597" t="str">
            <v>NO</v>
          </cell>
          <cell r="G597" t="str">
            <v>NO</v>
          </cell>
          <cell r="H597" t="str">
            <v>BOX AT. ACOGIDA C/BAÑO Y DUCHA</v>
          </cell>
          <cell r="I597">
            <v>1</v>
          </cell>
          <cell r="J597" t="str">
            <v>C.4.5.16</v>
          </cell>
          <cell r="K597" t="str">
            <v>Urgencia</v>
          </cell>
          <cell r="L597">
            <v>1</v>
          </cell>
          <cell r="M597">
            <v>46003</v>
          </cell>
          <cell r="N597">
            <v>46006</v>
          </cell>
          <cell r="O597">
            <v>1</v>
          </cell>
          <cell r="P597">
            <v>46007</v>
          </cell>
          <cell r="Q597">
            <v>1</v>
          </cell>
          <cell r="R597" t="str">
            <v>NA</v>
          </cell>
          <cell r="S597">
            <v>5</v>
          </cell>
        </row>
        <row r="598">
          <cell r="B598" t="str">
            <v>EMMC</v>
          </cell>
          <cell r="C598" t="str">
            <v>HSLB12171</v>
          </cell>
          <cell r="D598">
            <v>112054</v>
          </cell>
          <cell r="E598" t="str">
            <v>Escabel</v>
          </cell>
          <cell r="F598" t="str">
            <v>NO</v>
          </cell>
          <cell r="G598" t="str">
            <v>NO</v>
          </cell>
          <cell r="H598" t="str">
            <v>SALA YESO</v>
          </cell>
          <cell r="I598">
            <v>1</v>
          </cell>
          <cell r="J598" t="str">
            <v>C.4.5.4</v>
          </cell>
          <cell r="K598" t="str">
            <v>Urgencia</v>
          </cell>
          <cell r="L598">
            <v>1</v>
          </cell>
          <cell r="M598">
            <v>46003</v>
          </cell>
          <cell r="N598">
            <v>46006</v>
          </cell>
          <cell r="O598">
            <v>1</v>
          </cell>
          <cell r="P598">
            <v>46007</v>
          </cell>
          <cell r="Q598">
            <v>1</v>
          </cell>
          <cell r="R598" t="str">
            <v>NA</v>
          </cell>
          <cell r="S598">
            <v>5</v>
          </cell>
        </row>
        <row r="599">
          <cell r="B599" t="str">
            <v>EMMC</v>
          </cell>
          <cell r="C599" t="str">
            <v>HSLB12178</v>
          </cell>
          <cell r="D599">
            <v>112054</v>
          </cell>
          <cell r="E599" t="str">
            <v>Escabel</v>
          </cell>
          <cell r="F599" t="str">
            <v>NO</v>
          </cell>
          <cell r="G599" t="str">
            <v>NO</v>
          </cell>
          <cell r="H599" t="str">
            <v>SALA PREPARACIÓN DE PACIENTES</v>
          </cell>
          <cell r="I599">
            <v>1</v>
          </cell>
          <cell r="J599" t="str">
            <v>C.5.7.6</v>
          </cell>
          <cell r="K599" t="str">
            <v>Med Física y Rehabilitación</v>
          </cell>
          <cell r="L599">
            <v>1</v>
          </cell>
          <cell r="M599">
            <v>46013</v>
          </cell>
          <cell r="N599">
            <v>46014</v>
          </cell>
          <cell r="O599">
            <v>1</v>
          </cell>
          <cell r="P599">
            <v>46015</v>
          </cell>
          <cell r="Q599">
            <v>1</v>
          </cell>
          <cell r="R599" t="str">
            <v>NA</v>
          </cell>
          <cell r="S599">
            <v>5</v>
          </cell>
        </row>
        <row r="600">
          <cell r="B600" t="str">
            <v>EMMC</v>
          </cell>
          <cell r="C600" t="str">
            <v>HSLB11488</v>
          </cell>
          <cell r="D600">
            <v>111035</v>
          </cell>
          <cell r="E600" t="str">
            <v>Escalera de Dedos</v>
          </cell>
          <cell r="F600" t="str">
            <v>NO</v>
          </cell>
          <cell r="G600" t="str">
            <v>NO</v>
          </cell>
          <cell r="H600" t="str">
            <v>SALA TERÁPIA OCUP. ADULTO E INFANTIL</v>
          </cell>
          <cell r="I600">
            <v>1</v>
          </cell>
          <cell r="J600" t="str">
            <v>C.5.7.19</v>
          </cell>
          <cell r="K600" t="str">
            <v>Med Física y Rehabilitación</v>
          </cell>
          <cell r="L600">
            <v>1</v>
          </cell>
          <cell r="M600">
            <v>46013</v>
          </cell>
          <cell r="N600">
            <v>46014</v>
          </cell>
          <cell r="O600">
            <v>1</v>
          </cell>
          <cell r="P600">
            <v>46015</v>
          </cell>
          <cell r="Q600">
            <v>1</v>
          </cell>
          <cell r="R600" t="str">
            <v>NA</v>
          </cell>
          <cell r="S600">
            <v>5</v>
          </cell>
        </row>
        <row r="601">
          <cell r="B601" t="str">
            <v>EMMC</v>
          </cell>
          <cell r="C601" t="str">
            <v>HSLB11489</v>
          </cell>
          <cell r="D601">
            <v>111036</v>
          </cell>
          <cell r="E601" t="str">
            <v>Escalera de Espuma</v>
          </cell>
          <cell r="F601" t="str">
            <v>NO</v>
          </cell>
          <cell r="G601" t="str">
            <v>NO</v>
          </cell>
          <cell r="H601" t="str">
            <v>GIMNASIO PEDIATRICO</v>
          </cell>
          <cell r="I601">
            <v>1</v>
          </cell>
          <cell r="J601" t="str">
            <v>C.5.7.15</v>
          </cell>
          <cell r="K601" t="str">
            <v>Med Física y Rehabilitación</v>
          </cell>
          <cell r="L601">
            <v>1</v>
          </cell>
          <cell r="M601">
            <v>46013</v>
          </cell>
          <cell r="N601">
            <v>46014</v>
          </cell>
          <cell r="O601">
            <v>1</v>
          </cell>
          <cell r="P601">
            <v>46015</v>
          </cell>
          <cell r="Q601">
            <v>1</v>
          </cell>
          <cell r="R601" t="str">
            <v>NA</v>
          </cell>
          <cell r="S601">
            <v>5</v>
          </cell>
        </row>
        <row r="602">
          <cell r="B602" t="str">
            <v>EMMC</v>
          </cell>
          <cell r="C602" t="str">
            <v>HSLB11490</v>
          </cell>
          <cell r="D602">
            <v>111037</v>
          </cell>
          <cell r="E602" t="str">
            <v>Escalera Esquina con Rampla</v>
          </cell>
          <cell r="F602" t="str">
            <v>NO</v>
          </cell>
          <cell r="G602" t="str">
            <v>SI</v>
          </cell>
          <cell r="H602" t="str">
            <v>GIMNASIO ADULTO REHABILITACIÓN CARDIOVASCULAR</v>
          </cell>
          <cell r="I602">
            <v>1</v>
          </cell>
          <cell r="J602" t="str">
            <v>C.5.7.14</v>
          </cell>
          <cell r="K602" t="str">
            <v>Med Física y Rehabilitación</v>
          </cell>
          <cell r="L602">
            <v>1</v>
          </cell>
          <cell r="M602">
            <v>46003</v>
          </cell>
          <cell r="N602">
            <v>46006</v>
          </cell>
          <cell r="O602">
            <v>1</v>
          </cell>
          <cell r="P602">
            <v>46007</v>
          </cell>
          <cell r="Q602">
            <v>1</v>
          </cell>
          <cell r="R602" t="str">
            <v>NA</v>
          </cell>
          <cell r="S602">
            <v>5</v>
          </cell>
        </row>
        <row r="603">
          <cell r="B603" t="str">
            <v>EMMC</v>
          </cell>
          <cell r="C603" t="str">
            <v>HSLB11491</v>
          </cell>
          <cell r="D603">
            <v>111038</v>
          </cell>
          <cell r="E603" t="str">
            <v>Espaldera</v>
          </cell>
          <cell r="F603" t="str">
            <v>NO</v>
          </cell>
          <cell r="G603" t="str">
            <v>SI</v>
          </cell>
          <cell r="H603" t="str">
            <v>GIMNASIO ADULTO REHABILITACIÓN CARDIOVASCULAR</v>
          </cell>
          <cell r="I603">
            <v>1</v>
          </cell>
          <cell r="J603" t="str">
            <v>C.5.7.14</v>
          </cell>
          <cell r="K603" t="str">
            <v>Med Física y Rehabilitación</v>
          </cell>
          <cell r="L603">
            <v>1</v>
          </cell>
          <cell r="M603">
            <v>46003</v>
          </cell>
          <cell r="N603">
            <v>46006</v>
          </cell>
          <cell r="O603">
            <v>1</v>
          </cell>
          <cell r="P603">
            <v>46007</v>
          </cell>
          <cell r="Q603">
            <v>1</v>
          </cell>
          <cell r="R603" t="str">
            <v>NA</v>
          </cell>
          <cell r="S603">
            <v>5</v>
          </cell>
        </row>
        <row r="604">
          <cell r="B604" t="str">
            <v>EMMC</v>
          </cell>
          <cell r="C604" t="str">
            <v>HSLB11492</v>
          </cell>
          <cell r="D604">
            <v>111038</v>
          </cell>
          <cell r="E604" t="str">
            <v>Espaldera</v>
          </cell>
          <cell r="F604" t="str">
            <v>NO</v>
          </cell>
          <cell r="G604" t="str">
            <v>NO</v>
          </cell>
          <cell r="H604" t="str">
            <v>GIMNASIO PEDIATRICO</v>
          </cell>
          <cell r="I604">
            <v>1</v>
          </cell>
          <cell r="J604" t="str">
            <v>C.5.7.15</v>
          </cell>
          <cell r="K604" t="str">
            <v>Med Física y Rehabilitación</v>
          </cell>
          <cell r="L604">
            <v>1</v>
          </cell>
          <cell r="M604">
            <v>46013</v>
          </cell>
          <cell r="N604">
            <v>46014</v>
          </cell>
          <cell r="O604">
            <v>1</v>
          </cell>
          <cell r="P604">
            <v>46015</v>
          </cell>
          <cell r="Q604">
            <v>1</v>
          </cell>
          <cell r="R604" t="str">
            <v>NA</v>
          </cell>
          <cell r="S604">
            <v>5</v>
          </cell>
        </row>
        <row r="605">
          <cell r="B605" t="str">
            <v>EMMC</v>
          </cell>
          <cell r="C605" t="str">
            <v>HSLB11493</v>
          </cell>
          <cell r="D605">
            <v>111039</v>
          </cell>
          <cell r="E605" t="str">
            <v>Espejo Corrección</v>
          </cell>
          <cell r="F605" t="str">
            <v>NO</v>
          </cell>
          <cell r="G605" t="str">
            <v>SI</v>
          </cell>
          <cell r="H605" t="str">
            <v>GIMNASIO ADULTO REHABILITACIÓN CARDIOVASCULAR</v>
          </cell>
          <cell r="I605">
            <v>1</v>
          </cell>
          <cell r="J605" t="str">
            <v>C.5.7.14</v>
          </cell>
          <cell r="K605" t="str">
            <v>Med Física y Rehabilitación</v>
          </cell>
          <cell r="L605">
            <v>1</v>
          </cell>
          <cell r="M605">
            <v>46003</v>
          </cell>
          <cell r="N605">
            <v>46006</v>
          </cell>
          <cell r="O605">
            <v>1</v>
          </cell>
          <cell r="P605">
            <v>46007</v>
          </cell>
          <cell r="Q605">
            <v>1</v>
          </cell>
          <cell r="R605" t="str">
            <v>NA</v>
          </cell>
          <cell r="S605">
            <v>5</v>
          </cell>
        </row>
        <row r="606">
          <cell r="B606" t="str">
            <v>EMMC</v>
          </cell>
          <cell r="C606" t="str">
            <v>HSLB11494</v>
          </cell>
          <cell r="D606">
            <v>111039</v>
          </cell>
          <cell r="E606" t="str">
            <v>Espejo Corrección</v>
          </cell>
          <cell r="F606" t="str">
            <v>NO</v>
          </cell>
          <cell r="G606" t="str">
            <v>NO</v>
          </cell>
          <cell r="H606" t="str">
            <v>GIMNASIO PEDIATRICO</v>
          </cell>
          <cell r="I606">
            <v>1</v>
          </cell>
          <cell r="J606" t="str">
            <v>C.5.7.15</v>
          </cell>
          <cell r="K606" t="str">
            <v>Med Física y Rehabilitación</v>
          </cell>
          <cell r="L606">
            <v>1</v>
          </cell>
          <cell r="M606">
            <v>46013</v>
          </cell>
          <cell r="N606">
            <v>46014</v>
          </cell>
          <cell r="O606">
            <v>1</v>
          </cell>
          <cell r="P606">
            <v>46015</v>
          </cell>
          <cell r="Q606">
            <v>1</v>
          </cell>
          <cell r="R606" t="str">
            <v>NA</v>
          </cell>
          <cell r="S606">
            <v>5</v>
          </cell>
        </row>
        <row r="607">
          <cell r="B607" t="str">
            <v>EMMC</v>
          </cell>
          <cell r="C607" t="str">
            <v>HSLB10771</v>
          </cell>
          <cell r="D607">
            <v>106004</v>
          </cell>
          <cell r="E607" t="str">
            <v>Flujómetro de Wright</v>
          </cell>
          <cell r="F607" t="str">
            <v>NO</v>
          </cell>
          <cell r="G607" t="str">
            <v>NO</v>
          </cell>
          <cell r="H607" t="str">
            <v>GIMNASIO PEDIATRICO</v>
          </cell>
          <cell r="I607">
            <v>4</v>
          </cell>
          <cell r="J607" t="str">
            <v>C.5.7.15</v>
          </cell>
          <cell r="K607" t="str">
            <v>Med Física y Rehabilitación</v>
          </cell>
          <cell r="L607">
            <v>1</v>
          </cell>
          <cell r="M607">
            <v>46013</v>
          </cell>
          <cell r="N607">
            <v>46014</v>
          </cell>
          <cell r="O607">
            <v>1</v>
          </cell>
          <cell r="P607">
            <v>46015</v>
          </cell>
          <cell r="Q607">
            <v>1</v>
          </cell>
          <cell r="R607" t="str">
            <v>NA</v>
          </cell>
          <cell r="S607">
            <v>5</v>
          </cell>
        </row>
        <row r="608">
          <cell r="B608" t="str">
            <v>EMMC</v>
          </cell>
          <cell r="C608" t="str">
            <v>HSLB10772</v>
          </cell>
          <cell r="D608">
            <v>106005</v>
          </cell>
          <cell r="E608" t="str">
            <v>Fonendoscopio Pediátrico</v>
          </cell>
          <cell r="F608" t="str">
            <v>NO</v>
          </cell>
          <cell r="G608" t="str">
            <v>NO</v>
          </cell>
          <cell r="H608" t="str">
            <v>BOX FONOAUDIO PEDIATRICO</v>
          </cell>
          <cell r="I608">
            <v>1</v>
          </cell>
          <cell r="J608" t="str">
            <v>C.5.7.5.2.1</v>
          </cell>
          <cell r="K608" t="str">
            <v>Med Física y Rehabilitación</v>
          </cell>
          <cell r="L608">
            <v>1</v>
          </cell>
          <cell r="M608">
            <v>46013</v>
          </cell>
          <cell r="N608">
            <v>46014</v>
          </cell>
          <cell r="O608">
            <v>1</v>
          </cell>
          <cell r="P608">
            <v>46015</v>
          </cell>
          <cell r="Q608">
            <v>1</v>
          </cell>
          <cell r="R608" t="str">
            <v>NA</v>
          </cell>
          <cell r="S608">
            <v>5</v>
          </cell>
        </row>
        <row r="609">
          <cell r="B609" t="str">
            <v>EMMC</v>
          </cell>
          <cell r="C609" t="str">
            <v>HSLB10773</v>
          </cell>
          <cell r="D609">
            <v>106006</v>
          </cell>
          <cell r="E609" t="str">
            <v>Grabadora de Voz Digital</v>
          </cell>
          <cell r="F609" t="str">
            <v>NO</v>
          </cell>
          <cell r="G609" t="str">
            <v>NO</v>
          </cell>
          <cell r="H609" t="str">
            <v>BOX INDIFERENCIADO (FONOAUDIO Y TERAPIA OCU)(1)</v>
          </cell>
          <cell r="I609">
            <v>1</v>
          </cell>
          <cell r="J609" t="str">
            <v>C.5.7.5.1</v>
          </cell>
          <cell r="K609" t="str">
            <v>Med Física y Rehabilitación</v>
          </cell>
          <cell r="L609">
            <v>1</v>
          </cell>
          <cell r="M609">
            <v>46013</v>
          </cell>
          <cell r="N609">
            <v>46014</v>
          </cell>
          <cell r="O609">
            <v>1</v>
          </cell>
          <cell r="P609">
            <v>46015</v>
          </cell>
          <cell r="Q609">
            <v>1</v>
          </cell>
          <cell r="R609" t="str">
            <v>NA</v>
          </cell>
          <cell r="S609">
            <v>5</v>
          </cell>
        </row>
        <row r="610">
          <cell r="B610" t="str">
            <v>EMMC</v>
          </cell>
          <cell r="C610" t="str">
            <v>HSLB10774</v>
          </cell>
          <cell r="D610">
            <v>106006</v>
          </cell>
          <cell r="E610" t="str">
            <v>Grabadora de Voz Digital</v>
          </cell>
          <cell r="F610" t="str">
            <v>NO</v>
          </cell>
          <cell r="G610" t="str">
            <v>NO</v>
          </cell>
          <cell r="H610" t="str">
            <v>BOX FONOAUDIO PEDIATRICO</v>
          </cell>
          <cell r="I610">
            <v>1</v>
          </cell>
          <cell r="J610" t="str">
            <v>C.5.7.5.2.1</v>
          </cell>
          <cell r="K610" t="str">
            <v>Med Física y Rehabilitación</v>
          </cell>
          <cell r="L610">
            <v>1</v>
          </cell>
          <cell r="M610">
            <v>46013</v>
          </cell>
          <cell r="N610">
            <v>46014</v>
          </cell>
          <cell r="O610">
            <v>1</v>
          </cell>
          <cell r="P610">
            <v>46015</v>
          </cell>
          <cell r="Q610">
            <v>1</v>
          </cell>
          <cell r="R610" t="str">
            <v>NA</v>
          </cell>
          <cell r="S610">
            <v>5</v>
          </cell>
        </row>
        <row r="611">
          <cell r="B611" t="str">
            <v>EMMC</v>
          </cell>
          <cell r="C611" t="str">
            <v>HSLB10800</v>
          </cell>
          <cell r="D611">
            <v>106007</v>
          </cell>
          <cell r="E611" t="str">
            <v>Hervidor Eléctrico</v>
          </cell>
          <cell r="F611" t="str">
            <v>NO</v>
          </cell>
          <cell r="G611" t="str">
            <v>NO</v>
          </cell>
          <cell r="H611" t="str">
            <v>ESTAR PERSONAL C/ KITCHENETTE</v>
          </cell>
          <cell r="I611">
            <v>1</v>
          </cell>
          <cell r="J611" t="str">
            <v>C.4.6.2.1</v>
          </cell>
          <cell r="K611" t="str">
            <v>Urgencia</v>
          </cell>
          <cell r="L611">
            <v>1</v>
          </cell>
          <cell r="M611">
            <v>46003</v>
          </cell>
          <cell r="N611">
            <v>46006</v>
          </cell>
          <cell r="O611">
            <v>1</v>
          </cell>
          <cell r="P611">
            <v>46007</v>
          </cell>
          <cell r="Q611">
            <v>1</v>
          </cell>
          <cell r="R611" t="str">
            <v>NA</v>
          </cell>
          <cell r="S611">
            <v>5</v>
          </cell>
        </row>
        <row r="612">
          <cell r="B612" t="str">
            <v>EMMC</v>
          </cell>
          <cell r="C612" t="str">
            <v>HSLB10801</v>
          </cell>
          <cell r="D612">
            <v>106007</v>
          </cell>
          <cell r="E612" t="str">
            <v>Hervidor Eléctrico</v>
          </cell>
          <cell r="F612" t="str">
            <v>NO</v>
          </cell>
          <cell r="G612" t="str">
            <v>NO</v>
          </cell>
          <cell r="H612" t="str">
            <v>ESTAR PERSONAL C/ KITCHENETTE</v>
          </cell>
          <cell r="I612">
            <v>1</v>
          </cell>
          <cell r="J612" t="str">
            <v>C.4.6.2.2</v>
          </cell>
          <cell r="K612" t="str">
            <v>Urgencia</v>
          </cell>
          <cell r="L612">
            <v>1</v>
          </cell>
          <cell r="M612">
            <v>46003</v>
          </cell>
          <cell r="N612">
            <v>46006</v>
          </cell>
          <cell r="O612">
            <v>1</v>
          </cell>
          <cell r="P612">
            <v>46007</v>
          </cell>
          <cell r="Q612">
            <v>1</v>
          </cell>
          <cell r="R612" t="str">
            <v>NA</v>
          </cell>
          <cell r="S612">
            <v>5</v>
          </cell>
        </row>
        <row r="613">
          <cell r="B613" t="str">
            <v>EMMC</v>
          </cell>
          <cell r="C613" t="str">
            <v>HSLB11484</v>
          </cell>
          <cell r="D613">
            <v>111031</v>
          </cell>
          <cell r="E613" t="str">
            <v>Equipo de Presoterapia</v>
          </cell>
          <cell r="F613" t="str">
            <v>NO</v>
          </cell>
          <cell r="G613" t="str">
            <v>SI</v>
          </cell>
          <cell r="H613" t="str">
            <v>GIMNASIO ADULTO REHABILITACIÓN CARDIOVASCULAR</v>
          </cell>
          <cell r="I613">
            <v>1</v>
          </cell>
          <cell r="J613" t="str">
            <v>C.5.7.14</v>
          </cell>
          <cell r="K613" t="str">
            <v>Med Física y Rehabilitación</v>
          </cell>
          <cell r="L613">
            <v>1</v>
          </cell>
          <cell r="M613">
            <v>46003</v>
          </cell>
          <cell r="N613">
            <v>46006</v>
          </cell>
          <cell r="O613">
            <v>1</v>
          </cell>
          <cell r="P613">
            <v>46007</v>
          </cell>
          <cell r="Q613">
            <v>1</v>
          </cell>
          <cell r="R613" t="str">
            <v>NA</v>
          </cell>
          <cell r="S613">
            <v>5</v>
          </cell>
        </row>
        <row r="614">
          <cell r="B614" t="str">
            <v>EMMC</v>
          </cell>
          <cell r="C614" t="str">
            <v>HSLB10802</v>
          </cell>
          <cell r="D614">
            <v>106007</v>
          </cell>
          <cell r="E614" t="str">
            <v>Hervidor Eléctrico</v>
          </cell>
          <cell r="F614" t="str">
            <v>NO</v>
          </cell>
          <cell r="G614" t="str">
            <v>NO</v>
          </cell>
          <cell r="H614" t="str">
            <v>ESTAR PERSONAL C/ KITCHENETTE</v>
          </cell>
          <cell r="I614">
            <v>1</v>
          </cell>
          <cell r="J614" t="str">
            <v>C.4.6.2.3</v>
          </cell>
          <cell r="K614" t="str">
            <v>Urgencia</v>
          </cell>
          <cell r="L614">
            <v>1</v>
          </cell>
          <cell r="M614">
            <v>46003</v>
          </cell>
          <cell r="N614">
            <v>46006</v>
          </cell>
          <cell r="O614">
            <v>1</v>
          </cell>
          <cell r="P614">
            <v>46007</v>
          </cell>
          <cell r="Q614">
            <v>1</v>
          </cell>
          <cell r="R614" t="str">
            <v>NA</v>
          </cell>
          <cell r="S614">
            <v>5</v>
          </cell>
        </row>
        <row r="615">
          <cell r="B615" t="str">
            <v>EMMC</v>
          </cell>
          <cell r="C615" t="str">
            <v>HSLB10803</v>
          </cell>
          <cell r="D615">
            <v>106007</v>
          </cell>
          <cell r="E615" t="str">
            <v>Hervidor Eléctrico</v>
          </cell>
          <cell r="F615" t="str">
            <v>NO</v>
          </cell>
          <cell r="G615" t="str">
            <v>NO</v>
          </cell>
          <cell r="H615" t="str">
            <v>ESTAR PERSONAL C/ KITCHENETTE</v>
          </cell>
          <cell r="I615">
            <v>1</v>
          </cell>
          <cell r="J615" t="str">
            <v>C.4.6.2.4</v>
          </cell>
          <cell r="K615" t="str">
            <v>Urgencia</v>
          </cell>
          <cell r="L615">
            <v>1</v>
          </cell>
          <cell r="M615">
            <v>46003</v>
          </cell>
          <cell r="N615">
            <v>46006</v>
          </cell>
          <cell r="O615">
            <v>1</v>
          </cell>
          <cell r="P615">
            <v>46007</v>
          </cell>
          <cell r="Q615">
            <v>1</v>
          </cell>
          <cell r="R615" t="str">
            <v>NA</v>
          </cell>
          <cell r="S615">
            <v>5</v>
          </cell>
        </row>
        <row r="616">
          <cell r="B616" t="str">
            <v>EMMC</v>
          </cell>
          <cell r="C616" t="str">
            <v>HSLB10804</v>
          </cell>
          <cell r="D616">
            <v>106007</v>
          </cell>
          <cell r="E616" t="str">
            <v>Hervidor Eléctrico</v>
          </cell>
          <cell r="F616" t="str">
            <v>NO</v>
          </cell>
          <cell r="G616" t="str">
            <v>NO</v>
          </cell>
          <cell r="H616" t="str">
            <v>ESTAR PERSONAL C/ KITCHENETTE</v>
          </cell>
          <cell r="I616">
            <v>1</v>
          </cell>
          <cell r="J616" t="str">
            <v>C.4.6.2.5</v>
          </cell>
          <cell r="K616" t="str">
            <v>Urgencia</v>
          </cell>
          <cell r="L616">
            <v>1</v>
          </cell>
          <cell r="M616">
            <v>46003</v>
          </cell>
          <cell r="N616">
            <v>46006</v>
          </cell>
          <cell r="O616">
            <v>1</v>
          </cell>
          <cell r="P616">
            <v>46007</v>
          </cell>
          <cell r="Q616">
            <v>1</v>
          </cell>
          <cell r="R616" t="str">
            <v>NA</v>
          </cell>
          <cell r="S616">
            <v>5</v>
          </cell>
        </row>
        <row r="617">
          <cell r="B617" t="str">
            <v>EMMC</v>
          </cell>
          <cell r="C617" t="str">
            <v>HSLB10810</v>
          </cell>
          <cell r="D617">
            <v>106007</v>
          </cell>
          <cell r="E617" t="str">
            <v>Hervidor Eléctrico</v>
          </cell>
          <cell r="F617" t="str">
            <v>NO</v>
          </cell>
          <cell r="G617" t="str">
            <v>NO</v>
          </cell>
          <cell r="H617" t="str">
            <v>KITCHENETTE</v>
          </cell>
          <cell r="I617">
            <v>1</v>
          </cell>
          <cell r="J617" t="str">
            <v>C.5.7.24</v>
          </cell>
          <cell r="K617" t="str">
            <v>Med Física y Rehabilitación</v>
          </cell>
          <cell r="L617">
            <v>1</v>
          </cell>
          <cell r="M617">
            <v>46013</v>
          </cell>
          <cell r="N617">
            <v>46014</v>
          </cell>
          <cell r="O617">
            <v>1</v>
          </cell>
          <cell r="P617">
            <v>46015</v>
          </cell>
          <cell r="Q617">
            <v>1</v>
          </cell>
          <cell r="R617" t="str">
            <v>NA</v>
          </cell>
          <cell r="S617">
            <v>5</v>
          </cell>
        </row>
        <row r="618">
          <cell r="B618" t="str">
            <v>EMMC</v>
          </cell>
          <cell r="C618" t="str">
            <v>HSLB11485</v>
          </cell>
          <cell r="D618">
            <v>111032</v>
          </cell>
          <cell r="E618" t="str">
            <v>Equipo Miofeedback (EMG biofeedback)</v>
          </cell>
          <cell r="F618" t="str">
            <v>NO</v>
          </cell>
          <cell r="G618" t="str">
            <v>SI</v>
          </cell>
          <cell r="H618" t="str">
            <v>GIMNASIO ADULTO REHABILITACIÓN CARDIOVASCULAR</v>
          </cell>
          <cell r="I618">
            <v>1</v>
          </cell>
          <cell r="J618" t="str">
            <v>C.5.7.14</v>
          </cell>
          <cell r="K618" t="str">
            <v>Med Física y Rehabilitación</v>
          </cell>
          <cell r="L618">
            <v>1</v>
          </cell>
          <cell r="M618">
            <v>46003</v>
          </cell>
          <cell r="N618">
            <v>46006</v>
          </cell>
          <cell r="O618">
            <v>1</v>
          </cell>
          <cell r="P618">
            <v>46007</v>
          </cell>
          <cell r="Q618">
            <v>1</v>
          </cell>
          <cell r="R618" t="str">
            <v>NA</v>
          </cell>
          <cell r="S618">
            <v>5</v>
          </cell>
        </row>
        <row r="619">
          <cell r="B619" t="str">
            <v>EMMC</v>
          </cell>
          <cell r="C619" t="str">
            <v>HSLB10815</v>
          </cell>
          <cell r="D619">
            <v>106007</v>
          </cell>
          <cell r="E619" t="str">
            <v>Hervidor Eléctrico</v>
          </cell>
          <cell r="F619" t="str">
            <v>NO</v>
          </cell>
          <cell r="G619" t="str">
            <v>NO</v>
          </cell>
          <cell r="H619" t="str">
            <v>ESTAR PERSONAL C/ KITCHENETTE</v>
          </cell>
          <cell r="I619">
            <v>1</v>
          </cell>
          <cell r="J619" t="str">
            <v>D.2.2.3.2</v>
          </cell>
          <cell r="K619" t="str">
            <v>Urgencia</v>
          </cell>
          <cell r="L619">
            <v>1</v>
          </cell>
          <cell r="M619">
            <v>46003</v>
          </cell>
          <cell r="N619">
            <v>46006</v>
          </cell>
          <cell r="O619">
            <v>1</v>
          </cell>
          <cell r="P619">
            <v>46007</v>
          </cell>
          <cell r="Q619">
            <v>1</v>
          </cell>
          <cell r="R619" t="str">
            <v>NA</v>
          </cell>
          <cell r="S619">
            <v>5</v>
          </cell>
        </row>
        <row r="620">
          <cell r="B620" t="str">
            <v>EMMC</v>
          </cell>
          <cell r="C620" t="str">
            <v>HSLB11487</v>
          </cell>
          <cell r="D620">
            <v>111034</v>
          </cell>
          <cell r="E620" t="str">
            <v>Equipo Terapia Ondas de Choque</v>
          </cell>
          <cell r="F620" t="str">
            <v>NO</v>
          </cell>
          <cell r="G620" t="str">
            <v>NO</v>
          </cell>
          <cell r="H620" t="str">
            <v>SALA KINESOTERÁPIA CUBICULO ONDA CORTA</v>
          </cell>
          <cell r="I620">
            <v>1</v>
          </cell>
          <cell r="J620" t="str">
            <v>C.5.7.11</v>
          </cell>
          <cell r="K620" t="str">
            <v>Med Física y Rehabilitación</v>
          </cell>
          <cell r="L620">
            <v>1</v>
          </cell>
          <cell r="M620">
            <v>46013</v>
          </cell>
          <cell r="N620">
            <v>46014</v>
          </cell>
          <cell r="O620">
            <v>1</v>
          </cell>
          <cell r="P620">
            <v>46015</v>
          </cell>
          <cell r="Q620">
            <v>1</v>
          </cell>
          <cell r="R620" t="str">
            <v>NA</v>
          </cell>
          <cell r="S620">
            <v>5</v>
          </cell>
        </row>
        <row r="621">
          <cell r="B621" t="str">
            <v>EMMC</v>
          </cell>
          <cell r="C621" t="str">
            <v>HSLB10829</v>
          </cell>
          <cell r="D621">
            <v>106007</v>
          </cell>
          <cell r="E621" t="str">
            <v>Hervidor Eléctrico</v>
          </cell>
          <cell r="F621" t="str">
            <v>NO</v>
          </cell>
          <cell r="G621" t="str">
            <v>NO</v>
          </cell>
          <cell r="H621" t="str">
            <v>ESTAR PERSONAL</v>
          </cell>
          <cell r="I621">
            <v>1</v>
          </cell>
          <cell r="J621" t="str">
            <v>H.1.3</v>
          </cell>
          <cell r="K621" t="str">
            <v>Urgencia</v>
          </cell>
          <cell r="L621">
            <v>1</v>
          </cell>
          <cell r="M621">
            <v>46003</v>
          </cell>
          <cell r="N621">
            <v>46006</v>
          </cell>
          <cell r="O621">
            <v>1</v>
          </cell>
          <cell r="P621">
            <v>46007</v>
          </cell>
          <cell r="Q621">
            <v>1</v>
          </cell>
          <cell r="R621" t="str">
            <v>NA</v>
          </cell>
          <cell r="S621">
            <v>5</v>
          </cell>
        </row>
        <row r="622">
          <cell r="B622" t="str">
            <v>EMMC</v>
          </cell>
          <cell r="C622" t="str">
            <v>HSLB11497</v>
          </cell>
          <cell r="D622">
            <v>111042</v>
          </cell>
          <cell r="E622" t="str">
            <v>Kit Ayudas Técnicas Higiene, Vestuario y Alimentación</v>
          </cell>
          <cell r="F622" t="str">
            <v>NO</v>
          </cell>
          <cell r="G622" t="str">
            <v>NO</v>
          </cell>
          <cell r="H622" t="str">
            <v>SALA DE ACTIVDAD DE LA VIDA DIARIA C/BAÑO DE INSTRUCCIÓN</v>
          </cell>
          <cell r="I622">
            <v>1</v>
          </cell>
          <cell r="J622" t="str">
            <v>C.5.7.20</v>
          </cell>
          <cell r="K622" t="str">
            <v>Med Física y Rehabilitación</v>
          </cell>
          <cell r="L622">
            <v>1</v>
          </cell>
          <cell r="M622">
            <v>46013</v>
          </cell>
          <cell r="N622">
            <v>46014</v>
          </cell>
          <cell r="O622">
            <v>1</v>
          </cell>
          <cell r="P622">
            <v>46015</v>
          </cell>
          <cell r="Q622">
            <v>1</v>
          </cell>
          <cell r="R622" t="str">
            <v>NA</v>
          </cell>
          <cell r="S622">
            <v>5</v>
          </cell>
        </row>
        <row r="623">
          <cell r="B623" t="str">
            <v>EMMC</v>
          </cell>
          <cell r="C623" t="str">
            <v>HSLB11498</v>
          </cell>
          <cell r="D623">
            <v>111043</v>
          </cell>
          <cell r="E623" t="str">
            <v>Kit Estimulación Sensorial</v>
          </cell>
          <cell r="F623" t="str">
            <v>NO</v>
          </cell>
          <cell r="G623" t="str">
            <v>NO</v>
          </cell>
          <cell r="H623" t="str">
            <v>BOX INDIFERENCIADO (FONOAUDIO Y TERAPIA OCU)(1)</v>
          </cell>
          <cell r="I623">
            <v>1</v>
          </cell>
          <cell r="J623" t="str">
            <v>C.5.7.5.1</v>
          </cell>
          <cell r="K623" t="str">
            <v>Med Física y Rehabilitación</v>
          </cell>
          <cell r="L623">
            <v>1</v>
          </cell>
          <cell r="M623">
            <v>46013</v>
          </cell>
          <cell r="N623">
            <v>46014</v>
          </cell>
          <cell r="O623">
            <v>1</v>
          </cell>
          <cell r="P623">
            <v>46015</v>
          </cell>
          <cell r="Q623">
            <v>1</v>
          </cell>
          <cell r="R623" t="str">
            <v>NA</v>
          </cell>
          <cell r="S623">
            <v>5</v>
          </cell>
        </row>
        <row r="624">
          <cell r="B624" t="str">
            <v>EMMC</v>
          </cell>
          <cell r="C624" t="str">
            <v>HSLB11499</v>
          </cell>
          <cell r="D624">
            <v>111043</v>
          </cell>
          <cell r="E624" t="str">
            <v>Kit Estimulación Sensorial</v>
          </cell>
          <cell r="F624" t="str">
            <v>NO</v>
          </cell>
          <cell r="G624" t="str">
            <v>NO</v>
          </cell>
          <cell r="H624" t="str">
            <v>BOX FONOAUDIO PEDIATRICO</v>
          </cell>
          <cell r="I624">
            <v>1</v>
          </cell>
          <cell r="J624" t="str">
            <v>C.5.7.5.2.1</v>
          </cell>
          <cell r="K624" t="str">
            <v>Med Física y Rehabilitación</v>
          </cell>
          <cell r="L624">
            <v>1</v>
          </cell>
          <cell r="M624">
            <v>46013</v>
          </cell>
          <cell r="N624">
            <v>46014</v>
          </cell>
          <cell r="O624">
            <v>1</v>
          </cell>
          <cell r="P624">
            <v>46015</v>
          </cell>
          <cell r="Q624">
            <v>1</v>
          </cell>
          <cell r="R624" t="str">
            <v>NA</v>
          </cell>
          <cell r="S624">
            <v>5</v>
          </cell>
        </row>
        <row r="625">
          <cell r="B625" t="str">
            <v>EMMC</v>
          </cell>
          <cell r="C625" t="str">
            <v>HSLB11500</v>
          </cell>
          <cell r="D625">
            <v>111044</v>
          </cell>
          <cell r="E625" t="str">
            <v>Kit Herramientas Multipropósito</v>
          </cell>
          <cell r="F625" t="str">
            <v>NO</v>
          </cell>
          <cell r="G625" t="str">
            <v>NO</v>
          </cell>
          <cell r="H625" t="str">
            <v>TALLER DE ÓRTESIS (MUEBLE)</v>
          </cell>
          <cell r="I625">
            <v>1</v>
          </cell>
          <cell r="J625" t="str">
            <v>C.5.7.29</v>
          </cell>
          <cell r="K625" t="str">
            <v>Med Física y Rehabilitación</v>
          </cell>
          <cell r="L625">
            <v>1</v>
          </cell>
          <cell r="M625">
            <v>46013</v>
          </cell>
          <cell r="N625">
            <v>46014</v>
          </cell>
          <cell r="O625">
            <v>1</v>
          </cell>
          <cell r="P625">
            <v>46015</v>
          </cell>
          <cell r="Q625">
            <v>1</v>
          </cell>
          <cell r="R625" t="str">
            <v>NA</v>
          </cell>
          <cell r="S625">
            <v>5</v>
          </cell>
        </row>
        <row r="626">
          <cell r="B626" t="str">
            <v>EMMC</v>
          </cell>
          <cell r="C626" t="str">
            <v>HSLB12190</v>
          </cell>
          <cell r="D626">
            <v>112057</v>
          </cell>
          <cell r="E626" t="str">
            <v>Kit Protección Radiológica Imagenología</v>
          </cell>
          <cell r="F626" t="str">
            <v>NO</v>
          </cell>
          <cell r="G626" t="str">
            <v>NO</v>
          </cell>
          <cell r="H626" t="str">
            <v>SALA TOMOGRAFO AXIAL COMPUTARIZADO (PREPARACIÓN/EQUIPO/COMANDO/VESTIDOR)</v>
          </cell>
          <cell r="I626">
            <v>1</v>
          </cell>
          <cell r="J626" t="str">
            <v>C.5.3.7</v>
          </cell>
          <cell r="K626" t="str">
            <v>Imagenología</v>
          </cell>
          <cell r="L626">
            <v>1</v>
          </cell>
          <cell r="M626">
            <v>46008</v>
          </cell>
          <cell r="N626">
            <v>46009</v>
          </cell>
          <cell r="O626">
            <v>1</v>
          </cell>
          <cell r="P626">
            <v>46010</v>
          </cell>
          <cell r="Q626">
            <v>1</v>
          </cell>
          <cell r="R626" t="str">
            <v>NA</v>
          </cell>
          <cell r="S626">
            <v>5</v>
          </cell>
        </row>
        <row r="627">
          <cell r="B627" t="str">
            <v>EMMC</v>
          </cell>
          <cell r="C627" t="str">
            <v>HSLB11502</v>
          </cell>
          <cell r="D627">
            <v>111046</v>
          </cell>
          <cell r="E627" t="str">
            <v>Kit Rehabilitación Oral</v>
          </cell>
          <cell r="F627" t="str">
            <v>NO</v>
          </cell>
          <cell r="G627" t="str">
            <v>NO</v>
          </cell>
          <cell r="H627" t="str">
            <v>BOX INDIFERENCIADO (FONOAUDIO Y TERAPIA OCU)(1)</v>
          </cell>
          <cell r="I627">
            <v>1</v>
          </cell>
          <cell r="J627" t="str">
            <v>C.5.7.5.1</v>
          </cell>
          <cell r="K627" t="str">
            <v>Med Física y Rehabilitación</v>
          </cell>
          <cell r="L627">
            <v>1</v>
          </cell>
          <cell r="M627">
            <v>46013</v>
          </cell>
          <cell r="N627">
            <v>46014</v>
          </cell>
          <cell r="O627">
            <v>1</v>
          </cell>
          <cell r="P627">
            <v>46015</v>
          </cell>
          <cell r="Q627">
            <v>1</v>
          </cell>
          <cell r="R627" t="str">
            <v>NA</v>
          </cell>
          <cell r="S627">
            <v>5</v>
          </cell>
        </row>
        <row r="628">
          <cell r="B628" t="str">
            <v>EMMC</v>
          </cell>
          <cell r="C628" t="str">
            <v>HSLB11503</v>
          </cell>
          <cell r="D628">
            <v>111046</v>
          </cell>
          <cell r="E628" t="str">
            <v>Kit Rehabilitación Oral</v>
          </cell>
          <cell r="F628" t="str">
            <v>NO</v>
          </cell>
          <cell r="G628" t="str">
            <v>NO</v>
          </cell>
          <cell r="H628" t="str">
            <v>BOX FONOAUDIO PEDIATRICO</v>
          </cell>
          <cell r="I628">
            <v>1</v>
          </cell>
          <cell r="J628" t="str">
            <v>C.5.7.5.2.1</v>
          </cell>
          <cell r="K628" t="str">
            <v>Med Física y Rehabilitación</v>
          </cell>
          <cell r="L628">
            <v>1</v>
          </cell>
          <cell r="M628">
            <v>46013</v>
          </cell>
          <cell r="N628">
            <v>46014</v>
          </cell>
          <cell r="O628">
            <v>1</v>
          </cell>
          <cell r="P628">
            <v>46015</v>
          </cell>
          <cell r="Q628">
            <v>1</v>
          </cell>
          <cell r="R628" t="str">
            <v>NA</v>
          </cell>
          <cell r="S628">
            <v>5</v>
          </cell>
        </row>
        <row r="629">
          <cell r="B629" t="str">
            <v>EMMC</v>
          </cell>
          <cell r="C629" t="str">
            <v>HSLB11506</v>
          </cell>
          <cell r="D629">
            <v>111048</v>
          </cell>
          <cell r="E629" t="str">
            <v>Masajeador por Vibración</v>
          </cell>
          <cell r="F629" t="str">
            <v>NO</v>
          </cell>
          <cell r="G629" t="str">
            <v>NO</v>
          </cell>
          <cell r="H629" t="str">
            <v>BOX INDIFERENCIADO (FONOAUDIO Y TERAPIA OCU)(1)</v>
          </cell>
          <cell r="I629">
            <v>1</v>
          </cell>
          <cell r="J629" t="str">
            <v>C.5.7.5.1</v>
          </cell>
          <cell r="K629" t="str">
            <v>Med Física y Rehabilitación</v>
          </cell>
          <cell r="L629">
            <v>1</v>
          </cell>
          <cell r="M629">
            <v>46013</v>
          </cell>
          <cell r="N629">
            <v>46014</v>
          </cell>
          <cell r="O629">
            <v>1</v>
          </cell>
          <cell r="P629">
            <v>46015</v>
          </cell>
          <cell r="Q629">
            <v>1</v>
          </cell>
          <cell r="R629" t="str">
            <v>NA</v>
          </cell>
          <cell r="S629">
            <v>5</v>
          </cell>
        </row>
        <row r="630">
          <cell r="B630" t="str">
            <v>EMMC</v>
          </cell>
          <cell r="C630" t="str">
            <v>HSLB11507</v>
          </cell>
          <cell r="D630">
            <v>111048</v>
          </cell>
          <cell r="E630" t="str">
            <v>Masajeador por Vibración</v>
          </cell>
          <cell r="F630" t="str">
            <v>NO</v>
          </cell>
          <cell r="G630" t="str">
            <v>NO</v>
          </cell>
          <cell r="H630" t="str">
            <v>BOX FONOAUDIO PEDIATRICO</v>
          </cell>
          <cell r="I630">
            <v>1</v>
          </cell>
          <cell r="J630" t="str">
            <v>C.5.7.5.2.1</v>
          </cell>
          <cell r="K630" t="str">
            <v>Med Física y Rehabilitación</v>
          </cell>
          <cell r="L630">
            <v>1</v>
          </cell>
          <cell r="M630">
            <v>46013</v>
          </cell>
          <cell r="N630">
            <v>46014</v>
          </cell>
          <cell r="O630">
            <v>1</v>
          </cell>
          <cell r="P630">
            <v>46015</v>
          </cell>
          <cell r="Q630">
            <v>1</v>
          </cell>
          <cell r="R630" t="str">
            <v>NA</v>
          </cell>
          <cell r="S630">
            <v>5</v>
          </cell>
        </row>
        <row r="631">
          <cell r="B631" t="str">
            <v>EMMC</v>
          </cell>
          <cell r="C631" t="str">
            <v>HSLB11508</v>
          </cell>
          <cell r="D631">
            <v>111049</v>
          </cell>
          <cell r="E631" t="str">
            <v>Mesa Basculante</v>
          </cell>
          <cell r="F631" t="str">
            <v>NO</v>
          </cell>
          <cell r="G631" t="str">
            <v>SI</v>
          </cell>
          <cell r="H631" t="str">
            <v>GIMNASIO ADULTO REHABILITACIÓN CARDIOVASCULAR</v>
          </cell>
          <cell r="I631">
            <v>1</v>
          </cell>
          <cell r="J631" t="str">
            <v>C.5.7.14</v>
          </cell>
          <cell r="K631" t="str">
            <v>Med Física y Rehabilitación</v>
          </cell>
          <cell r="L631">
            <v>1</v>
          </cell>
          <cell r="M631">
            <v>46003</v>
          </cell>
          <cell r="N631">
            <v>46006</v>
          </cell>
          <cell r="O631">
            <v>1</v>
          </cell>
          <cell r="P631">
            <v>46007</v>
          </cell>
          <cell r="Q631">
            <v>1</v>
          </cell>
          <cell r="R631" t="str">
            <v>NA</v>
          </cell>
          <cell r="S631">
            <v>5</v>
          </cell>
        </row>
        <row r="632">
          <cell r="B632" t="str">
            <v>EMMC</v>
          </cell>
          <cell r="C632" t="str">
            <v>HSLB11509</v>
          </cell>
          <cell r="D632">
            <v>111049</v>
          </cell>
          <cell r="E632" t="str">
            <v>Mesa Basculante</v>
          </cell>
          <cell r="F632" t="str">
            <v>NO</v>
          </cell>
          <cell r="G632" t="str">
            <v>NO</v>
          </cell>
          <cell r="H632" t="str">
            <v>GIMNASIO PEDIATRICO</v>
          </cell>
          <cell r="I632">
            <v>1</v>
          </cell>
          <cell r="J632" t="str">
            <v>C.5.7.15</v>
          </cell>
          <cell r="K632" t="str">
            <v>Med Física y Rehabilitación</v>
          </cell>
          <cell r="L632">
            <v>1</v>
          </cell>
          <cell r="M632">
            <v>46013</v>
          </cell>
          <cell r="N632">
            <v>46014</v>
          </cell>
          <cell r="O632">
            <v>1</v>
          </cell>
          <cell r="P632">
            <v>46015</v>
          </cell>
          <cell r="Q632">
            <v>1</v>
          </cell>
          <cell r="R632" t="str">
            <v>NA</v>
          </cell>
          <cell r="S632">
            <v>5</v>
          </cell>
        </row>
        <row r="633">
          <cell r="B633" t="str">
            <v>EMMC</v>
          </cell>
          <cell r="C633" t="str">
            <v>HSLB12286</v>
          </cell>
          <cell r="D633">
            <v>112060</v>
          </cell>
          <cell r="E633" t="str">
            <v>Mesa Comer en Cama</v>
          </cell>
          <cell r="F633" t="str">
            <v>NO</v>
          </cell>
          <cell r="G633" t="str">
            <v>NO</v>
          </cell>
          <cell r="H633" t="str">
            <v>LAVACHATA AUTOMATICO</v>
          </cell>
          <cell r="I633">
            <v>3</v>
          </cell>
          <cell r="J633" t="str">
            <v>C.4.5.6.2</v>
          </cell>
          <cell r="K633" t="str">
            <v>Urgencia</v>
          </cell>
          <cell r="L633">
            <v>1</v>
          </cell>
          <cell r="M633">
            <v>46003</v>
          </cell>
          <cell r="N633">
            <v>46006</v>
          </cell>
          <cell r="O633">
            <v>1</v>
          </cell>
          <cell r="P633">
            <v>46007</v>
          </cell>
          <cell r="Q633">
            <v>1</v>
          </cell>
          <cell r="R633" t="str">
            <v>NA</v>
          </cell>
          <cell r="S633">
            <v>5</v>
          </cell>
        </row>
        <row r="634">
          <cell r="B634" t="str">
            <v>EMMC</v>
          </cell>
          <cell r="C634" t="str">
            <v>HSLB11510</v>
          </cell>
          <cell r="D634">
            <v>111050</v>
          </cell>
          <cell r="E634" t="str">
            <v>Mesa con Escotadura</v>
          </cell>
          <cell r="F634" t="str">
            <v>NO</v>
          </cell>
          <cell r="G634" t="str">
            <v>SI</v>
          </cell>
          <cell r="H634" t="str">
            <v>GIMNASIO ADULTO REHABILITACIÓN CARDIOVASCULAR</v>
          </cell>
          <cell r="I634">
            <v>1</v>
          </cell>
          <cell r="J634" t="str">
            <v>C.5.7.14</v>
          </cell>
          <cell r="K634" t="str">
            <v>Med Física y Rehabilitación</v>
          </cell>
          <cell r="L634">
            <v>1</v>
          </cell>
          <cell r="M634">
            <v>46003</v>
          </cell>
          <cell r="N634">
            <v>46006</v>
          </cell>
          <cell r="O634">
            <v>1</v>
          </cell>
          <cell r="P634">
            <v>46007</v>
          </cell>
          <cell r="Q634">
            <v>1</v>
          </cell>
          <cell r="R634" t="str">
            <v>NA</v>
          </cell>
          <cell r="S634">
            <v>5</v>
          </cell>
        </row>
        <row r="635">
          <cell r="B635" t="str">
            <v>EMMC</v>
          </cell>
          <cell r="C635" t="str">
            <v>HSLB11511</v>
          </cell>
          <cell r="D635">
            <v>111050</v>
          </cell>
          <cell r="E635" t="str">
            <v>Mesa con Escotadura</v>
          </cell>
          <cell r="F635" t="str">
            <v>NO</v>
          </cell>
          <cell r="G635" t="str">
            <v>NO</v>
          </cell>
          <cell r="H635" t="str">
            <v>GIMNASIO PEDIATRICO</v>
          </cell>
          <cell r="I635">
            <v>1</v>
          </cell>
          <cell r="J635" t="str">
            <v>C.5.7.15</v>
          </cell>
          <cell r="K635" t="str">
            <v>Med Física y Rehabilitación</v>
          </cell>
          <cell r="L635">
            <v>1</v>
          </cell>
          <cell r="M635">
            <v>46013</v>
          </cell>
          <cell r="N635">
            <v>46014</v>
          </cell>
          <cell r="O635">
            <v>1</v>
          </cell>
          <cell r="P635">
            <v>46015</v>
          </cell>
          <cell r="Q635">
            <v>1</v>
          </cell>
          <cell r="R635" t="str">
            <v>NA</v>
          </cell>
          <cell r="S635">
            <v>5</v>
          </cell>
        </row>
        <row r="636">
          <cell r="B636" t="str">
            <v>EMMC</v>
          </cell>
          <cell r="C636" t="str">
            <v>HSLB12290</v>
          </cell>
          <cell r="D636">
            <v>112061</v>
          </cell>
          <cell r="E636" t="str">
            <v>Mesa Killian</v>
          </cell>
          <cell r="F636" t="str">
            <v>NO</v>
          </cell>
          <cell r="G636" t="str">
            <v>NO</v>
          </cell>
          <cell r="H636" t="str">
            <v>SALA TELEMEDICINA</v>
          </cell>
          <cell r="I636">
            <v>1</v>
          </cell>
          <cell r="J636" t="str">
            <v>C.4.5.1.1</v>
          </cell>
          <cell r="K636" t="str">
            <v>Urgencia</v>
          </cell>
          <cell r="L636">
            <v>1</v>
          </cell>
          <cell r="M636">
            <v>46003</v>
          </cell>
          <cell r="N636">
            <v>46006</v>
          </cell>
          <cell r="O636">
            <v>1</v>
          </cell>
          <cell r="P636">
            <v>46007</v>
          </cell>
          <cell r="Q636">
            <v>1</v>
          </cell>
          <cell r="R636" t="str">
            <v>NA</v>
          </cell>
          <cell r="S636">
            <v>5</v>
          </cell>
        </row>
        <row r="637">
          <cell r="B637" t="str">
            <v>EMMC</v>
          </cell>
          <cell r="C637" t="str">
            <v>HSLB12291</v>
          </cell>
          <cell r="D637">
            <v>112061</v>
          </cell>
          <cell r="E637" t="str">
            <v>Mesa Killian</v>
          </cell>
          <cell r="F637" t="str">
            <v>NO</v>
          </cell>
          <cell r="G637" t="str">
            <v>NO</v>
          </cell>
          <cell r="H637" t="str">
            <v>SALA TELEMEDICINA</v>
          </cell>
          <cell r="I637">
            <v>1</v>
          </cell>
          <cell r="J637" t="str">
            <v>C.4.5.1.2</v>
          </cell>
          <cell r="K637" t="str">
            <v>Urgencia</v>
          </cell>
          <cell r="L637">
            <v>1</v>
          </cell>
          <cell r="M637">
            <v>46003</v>
          </cell>
          <cell r="N637">
            <v>46006</v>
          </cell>
          <cell r="O637">
            <v>1</v>
          </cell>
          <cell r="P637">
            <v>46007</v>
          </cell>
          <cell r="Q637">
            <v>1</v>
          </cell>
          <cell r="R637" t="str">
            <v>NA</v>
          </cell>
          <cell r="S637">
            <v>5</v>
          </cell>
        </row>
        <row r="638">
          <cell r="B638" t="str">
            <v>EMMC</v>
          </cell>
          <cell r="C638" t="str">
            <v>HSLB12319</v>
          </cell>
          <cell r="D638">
            <v>112063</v>
          </cell>
          <cell r="E638" t="str">
            <v>Mesa Mayo</v>
          </cell>
          <cell r="F638" t="str">
            <v>NO</v>
          </cell>
          <cell r="G638" t="str">
            <v>NO</v>
          </cell>
          <cell r="H638" t="str">
            <v>SALA DE PROCEDIMIENTOS</v>
          </cell>
          <cell r="I638">
            <v>1</v>
          </cell>
          <cell r="J638" t="str">
            <v>C.3.6.2.12</v>
          </cell>
          <cell r="K638" t="str">
            <v>Urgencia</v>
          </cell>
          <cell r="L638">
            <v>1</v>
          </cell>
          <cell r="M638">
            <v>46003</v>
          </cell>
          <cell r="N638">
            <v>46006</v>
          </cell>
          <cell r="O638">
            <v>1</v>
          </cell>
          <cell r="P638">
            <v>46007</v>
          </cell>
          <cell r="Q638">
            <v>1</v>
          </cell>
          <cell r="R638" t="str">
            <v>NA</v>
          </cell>
          <cell r="S638">
            <v>5</v>
          </cell>
        </row>
        <row r="639">
          <cell r="B639" t="str">
            <v>EMMC</v>
          </cell>
          <cell r="C639" t="str">
            <v>HSLB12320</v>
          </cell>
          <cell r="D639">
            <v>112063</v>
          </cell>
          <cell r="E639" t="str">
            <v>Mesa Mayo</v>
          </cell>
          <cell r="F639" t="str">
            <v>NO</v>
          </cell>
          <cell r="G639" t="str">
            <v>NO</v>
          </cell>
          <cell r="H639" t="str">
            <v>BOX ATENCIÓN MEDICO C/BAÑO Y ECO</v>
          </cell>
          <cell r="I639">
            <v>1</v>
          </cell>
          <cell r="J639" t="str">
            <v>C.3.6.2.8</v>
          </cell>
          <cell r="K639" t="str">
            <v>Urgencia</v>
          </cell>
          <cell r="L639">
            <v>1</v>
          </cell>
          <cell r="M639">
            <v>46003</v>
          </cell>
          <cell r="N639">
            <v>46006</v>
          </cell>
          <cell r="O639">
            <v>1</v>
          </cell>
          <cell r="P639">
            <v>46007</v>
          </cell>
          <cell r="Q639">
            <v>1</v>
          </cell>
          <cell r="R639" t="str">
            <v>NA</v>
          </cell>
          <cell r="S639">
            <v>5</v>
          </cell>
        </row>
        <row r="640">
          <cell r="B640" t="str">
            <v>EMMC</v>
          </cell>
          <cell r="C640" t="str">
            <v>HSLB12323</v>
          </cell>
          <cell r="D640">
            <v>112063</v>
          </cell>
          <cell r="E640" t="str">
            <v>Mesa Mayo</v>
          </cell>
          <cell r="F640" t="str">
            <v>NO</v>
          </cell>
          <cell r="G640" t="str">
            <v>NO</v>
          </cell>
          <cell r="H640" t="str">
            <v xml:space="preserve">SALA DE PROCEDIMIENTO </v>
          </cell>
          <cell r="I640">
            <v>1</v>
          </cell>
          <cell r="J640" t="str">
            <v>C.4.3.5.1</v>
          </cell>
          <cell r="K640" t="str">
            <v>Urgencia</v>
          </cell>
          <cell r="L640">
            <v>1</v>
          </cell>
          <cell r="M640">
            <v>46003</v>
          </cell>
          <cell r="N640">
            <v>46006</v>
          </cell>
          <cell r="O640">
            <v>1</v>
          </cell>
          <cell r="P640">
            <v>46007</v>
          </cell>
          <cell r="Q640">
            <v>1</v>
          </cell>
          <cell r="R640" t="str">
            <v>NA</v>
          </cell>
          <cell r="S640">
            <v>5</v>
          </cell>
        </row>
        <row r="641">
          <cell r="B641" t="str">
            <v>EMMC</v>
          </cell>
          <cell r="C641" t="str">
            <v>HSLB12324</v>
          </cell>
          <cell r="D641">
            <v>112063</v>
          </cell>
          <cell r="E641" t="str">
            <v>Mesa Mayo</v>
          </cell>
          <cell r="F641" t="str">
            <v>NO</v>
          </cell>
          <cell r="G641" t="str">
            <v>NO</v>
          </cell>
          <cell r="H641" t="str">
            <v>SALA DE PROCEDIMIENTO</v>
          </cell>
          <cell r="I641">
            <v>1</v>
          </cell>
          <cell r="J641" t="str">
            <v>C.4.3.5.2</v>
          </cell>
          <cell r="K641" t="str">
            <v>Urgencia</v>
          </cell>
          <cell r="L641">
            <v>1</v>
          </cell>
          <cell r="M641">
            <v>46003</v>
          </cell>
          <cell r="N641">
            <v>46006</v>
          </cell>
          <cell r="O641">
            <v>1</v>
          </cell>
          <cell r="P641">
            <v>46007</v>
          </cell>
          <cell r="Q641">
            <v>1</v>
          </cell>
          <cell r="R641" t="str">
            <v>NA</v>
          </cell>
          <cell r="S641">
            <v>5</v>
          </cell>
        </row>
        <row r="642">
          <cell r="B642" t="str">
            <v>EMMC</v>
          </cell>
          <cell r="C642" t="str">
            <v>HSLB12325</v>
          </cell>
          <cell r="D642">
            <v>112063</v>
          </cell>
          <cell r="E642" t="str">
            <v>Mesa Mayo</v>
          </cell>
          <cell r="F642" t="str">
            <v>NO</v>
          </cell>
          <cell r="G642" t="str">
            <v>NO</v>
          </cell>
          <cell r="H642" t="str">
            <v>SALA DE PROCEDIMIENTO (infantil)</v>
          </cell>
          <cell r="I642">
            <v>1</v>
          </cell>
          <cell r="J642" t="str">
            <v>C.4.4.5</v>
          </cell>
          <cell r="K642" t="str">
            <v>Urgencia</v>
          </cell>
          <cell r="L642">
            <v>1</v>
          </cell>
          <cell r="M642">
            <v>46003</v>
          </cell>
          <cell r="N642">
            <v>46006</v>
          </cell>
          <cell r="O642">
            <v>1</v>
          </cell>
          <cell r="P642">
            <v>46007</v>
          </cell>
          <cell r="Q642">
            <v>1</v>
          </cell>
          <cell r="R642" t="str">
            <v>NA</v>
          </cell>
          <cell r="S642">
            <v>5</v>
          </cell>
        </row>
        <row r="643">
          <cell r="B643" t="str">
            <v>EMMC</v>
          </cell>
          <cell r="C643" t="str">
            <v>HSLB12326</v>
          </cell>
          <cell r="D643">
            <v>112063</v>
          </cell>
          <cell r="E643" t="str">
            <v>Mesa Mayo</v>
          </cell>
          <cell r="F643" t="str">
            <v>NO</v>
          </cell>
          <cell r="G643" t="str">
            <v>NO</v>
          </cell>
          <cell r="H643" t="str">
            <v>BOX AT. ACOGIDA C/BAÑO Y DUCHA</v>
          </cell>
          <cell r="I643">
            <v>1</v>
          </cell>
          <cell r="J643" t="str">
            <v>C.4.5.16</v>
          </cell>
          <cell r="K643" t="str">
            <v>Urgencia</v>
          </cell>
          <cell r="L643">
            <v>1</v>
          </cell>
          <cell r="M643">
            <v>46003</v>
          </cell>
          <cell r="N643">
            <v>46006</v>
          </cell>
          <cell r="O643">
            <v>1</v>
          </cell>
          <cell r="P643">
            <v>46007</v>
          </cell>
          <cell r="Q643">
            <v>1</v>
          </cell>
          <cell r="R643" t="str">
            <v>NA</v>
          </cell>
          <cell r="S643">
            <v>5</v>
          </cell>
        </row>
        <row r="644">
          <cell r="B644" t="str">
            <v>EMMC</v>
          </cell>
          <cell r="C644" t="str">
            <v>HSLB11512</v>
          </cell>
          <cell r="D644">
            <v>111051</v>
          </cell>
          <cell r="E644" t="str">
            <v>Mesa Trabajo Mano Universal con Accesorios</v>
          </cell>
          <cell r="F644" t="str">
            <v>NO</v>
          </cell>
          <cell r="G644" t="str">
            <v>SI</v>
          </cell>
          <cell r="H644" t="str">
            <v>GIMNASIO ADULTO REHABILITACIÓN CARDIOVASCULAR</v>
          </cell>
          <cell r="I644">
            <v>1</v>
          </cell>
          <cell r="J644" t="str">
            <v>C.5.7.14</v>
          </cell>
          <cell r="K644" t="str">
            <v>Med Física y Rehabilitación</v>
          </cell>
          <cell r="L644">
            <v>1</v>
          </cell>
          <cell r="M644">
            <v>46003</v>
          </cell>
          <cell r="N644">
            <v>46006</v>
          </cell>
          <cell r="O644">
            <v>1</v>
          </cell>
          <cell r="P644">
            <v>46007</v>
          </cell>
          <cell r="Q644">
            <v>1</v>
          </cell>
          <cell r="R644" t="str">
            <v>NA</v>
          </cell>
          <cell r="S644">
            <v>5</v>
          </cell>
        </row>
        <row r="645">
          <cell r="B645" t="str">
            <v>EMMC</v>
          </cell>
          <cell r="C645" t="str">
            <v>HSLB10834</v>
          </cell>
          <cell r="D645">
            <v>106009</v>
          </cell>
          <cell r="E645" t="str">
            <v>Micrófono Omnidireccional</v>
          </cell>
          <cell r="F645" t="str">
            <v>NO</v>
          </cell>
          <cell r="G645" t="str">
            <v>NO</v>
          </cell>
          <cell r="H645" t="str">
            <v>BOX INDIFERENCIADO (FONOAUDIO Y TERAPIA OCU)(1)</v>
          </cell>
          <cell r="I645">
            <v>1</v>
          </cell>
          <cell r="J645" t="str">
            <v>C.5.7.5.1</v>
          </cell>
          <cell r="K645" t="str">
            <v>Med Física y Rehabilitación</v>
          </cell>
          <cell r="L645">
            <v>1</v>
          </cell>
          <cell r="M645">
            <v>46013</v>
          </cell>
          <cell r="N645">
            <v>46014</v>
          </cell>
          <cell r="O645">
            <v>1</v>
          </cell>
          <cell r="P645">
            <v>46015</v>
          </cell>
          <cell r="Q645">
            <v>1</v>
          </cell>
          <cell r="R645" t="str">
            <v>NA</v>
          </cell>
          <cell r="S645">
            <v>5</v>
          </cell>
        </row>
        <row r="646">
          <cell r="B646" t="str">
            <v>EMMC</v>
          </cell>
          <cell r="C646" t="str">
            <v>HSLB10835</v>
          </cell>
          <cell r="D646">
            <v>106009</v>
          </cell>
          <cell r="E646" t="str">
            <v>Micrófono Omnidireccional</v>
          </cell>
          <cell r="F646" t="str">
            <v>NO</v>
          </cell>
          <cell r="G646" t="str">
            <v>NO</v>
          </cell>
          <cell r="H646" t="str">
            <v>BOX FONOAUDIO PEDIATRICO</v>
          </cell>
          <cell r="I646">
            <v>1</v>
          </cell>
          <cell r="J646" t="str">
            <v>C.5.7.5.2.1</v>
          </cell>
          <cell r="K646" t="str">
            <v>Med Física y Rehabilitación</v>
          </cell>
          <cell r="L646">
            <v>1</v>
          </cell>
          <cell r="M646">
            <v>46013</v>
          </cell>
          <cell r="N646">
            <v>46014</v>
          </cell>
          <cell r="O646">
            <v>1</v>
          </cell>
          <cell r="P646">
            <v>46015</v>
          </cell>
          <cell r="Q646">
            <v>1</v>
          </cell>
          <cell r="R646" t="str">
            <v>NA</v>
          </cell>
          <cell r="S646">
            <v>5</v>
          </cell>
        </row>
        <row r="647">
          <cell r="B647" t="str">
            <v>EMMC</v>
          </cell>
          <cell r="C647" t="str">
            <v>HSLB10885</v>
          </cell>
          <cell r="D647">
            <v>106010</v>
          </cell>
          <cell r="E647" t="str">
            <v>Microondas</v>
          </cell>
          <cell r="F647" t="str">
            <v>NO</v>
          </cell>
          <cell r="G647" t="str">
            <v>SI</v>
          </cell>
          <cell r="H647" t="str">
            <v>GIMNASIO ADULTO REHABILITACIÓN CARDIOVASCULAR</v>
          </cell>
          <cell r="I647">
            <v>1</v>
          </cell>
          <cell r="J647" t="str">
            <v>C.5.7.14</v>
          </cell>
          <cell r="K647" t="str">
            <v>Med Física y Rehabilitación</v>
          </cell>
          <cell r="L647">
            <v>1</v>
          </cell>
          <cell r="M647">
            <v>46003</v>
          </cell>
          <cell r="N647">
            <v>46006</v>
          </cell>
          <cell r="O647">
            <v>1</v>
          </cell>
          <cell r="P647">
            <v>46007</v>
          </cell>
          <cell r="Q647">
            <v>1</v>
          </cell>
          <cell r="R647" t="str">
            <v>NA</v>
          </cell>
          <cell r="S647">
            <v>5</v>
          </cell>
        </row>
        <row r="648">
          <cell r="B648" t="str">
            <v>EMMC</v>
          </cell>
          <cell r="C648" t="str">
            <v>HSLB10853</v>
          </cell>
          <cell r="D648">
            <v>106010</v>
          </cell>
          <cell r="E648" t="str">
            <v>Microondas</v>
          </cell>
          <cell r="F648" t="str">
            <v>NO</v>
          </cell>
          <cell r="G648" t="str">
            <v>NO</v>
          </cell>
          <cell r="H648" t="str">
            <v>ESTAR PERSONAL C/ KITCHENETTE</v>
          </cell>
          <cell r="I648">
            <v>1</v>
          </cell>
          <cell r="J648" t="str">
            <v>C.4.6.2.1</v>
          </cell>
          <cell r="K648" t="str">
            <v>Urgencia</v>
          </cell>
          <cell r="L648">
            <v>1</v>
          </cell>
          <cell r="M648">
            <v>46003</v>
          </cell>
          <cell r="N648">
            <v>46006</v>
          </cell>
          <cell r="O648">
            <v>1</v>
          </cell>
          <cell r="P648">
            <v>46007</v>
          </cell>
          <cell r="Q648">
            <v>1</v>
          </cell>
          <cell r="R648" t="str">
            <v>NA</v>
          </cell>
          <cell r="S648">
            <v>5</v>
          </cell>
        </row>
        <row r="649">
          <cell r="B649" t="str">
            <v>EMMC</v>
          </cell>
          <cell r="C649" t="str">
            <v>HSLB10854</v>
          </cell>
          <cell r="D649">
            <v>106010</v>
          </cell>
          <cell r="E649" t="str">
            <v>Microondas</v>
          </cell>
          <cell r="F649" t="str">
            <v>NO</v>
          </cell>
          <cell r="G649" t="str">
            <v>NO</v>
          </cell>
          <cell r="H649" t="str">
            <v>ESTAR PERSONAL C/ KITCHENETTE</v>
          </cell>
          <cell r="I649">
            <v>1</v>
          </cell>
          <cell r="J649" t="str">
            <v>C.4.6.2.2</v>
          </cell>
          <cell r="K649" t="str">
            <v>Urgencia</v>
          </cell>
          <cell r="L649">
            <v>1</v>
          </cell>
          <cell r="M649">
            <v>46003</v>
          </cell>
          <cell r="N649">
            <v>46006</v>
          </cell>
          <cell r="O649">
            <v>1</v>
          </cell>
          <cell r="P649">
            <v>46007</v>
          </cell>
          <cell r="Q649">
            <v>1</v>
          </cell>
          <cell r="R649" t="str">
            <v>NA</v>
          </cell>
          <cell r="S649">
            <v>5</v>
          </cell>
        </row>
        <row r="650">
          <cell r="B650" t="str">
            <v>EMMC</v>
          </cell>
          <cell r="C650" t="str">
            <v>HSLB10855</v>
          </cell>
          <cell r="D650">
            <v>106010</v>
          </cell>
          <cell r="E650" t="str">
            <v>Microondas</v>
          </cell>
          <cell r="F650" t="str">
            <v>NO</v>
          </cell>
          <cell r="G650" t="str">
            <v>NO</v>
          </cell>
          <cell r="H650" t="str">
            <v>ESTAR PERSONAL C/ KITCHENETTE</v>
          </cell>
          <cell r="I650">
            <v>1</v>
          </cell>
          <cell r="J650" t="str">
            <v>C.4.6.2.3</v>
          </cell>
          <cell r="K650" t="str">
            <v>Urgencia</v>
          </cell>
          <cell r="L650">
            <v>1</v>
          </cell>
          <cell r="M650">
            <v>46003</v>
          </cell>
          <cell r="N650">
            <v>46006</v>
          </cell>
          <cell r="O650">
            <v>1</v>
          </cell>
          <cell r="P650">
            <v>46007</v>
          </cell>
          <cell r="Q650">
            <v>1</v>
          </cell>
          <cell r="R650" t="str">
            <v>NA</v>
          </cell>
          <cell r="S650">
            <v>5</v>
          </cell>
        </row>
        <row r="651">
          <cell r="B651" t="str">
            <v>EMMC</v>
          </cell>
          <cell r="C651" t="str">
            <v>HSLB10856</v>
          </cell>
          <cell r="D651">
            <v>106010</v>
          </cell>
          <cell r="E651" t="str">
            <v>Microondas</v>
          </cell>
          <cell r="F651" t="str">
            <v>NO</v>
          </cell>
          <cell r="G651" t="str">
            <v>NO</v>
          </cell>
          <cell r="H651" t="str">
            <v>ESTAR PERSONAL C/ KITCHENETTE</v>
          </cell>
          <cell r="I651">
            <v>1</v>
          </cell>
          <cell r="J651" t="str">
            <v>C.4.6.2.4</v>
          </cell>
          <cell r="K651" t="str">
            <v>Urgencia</v>
          </cell>
          <cell r="L651">
            <v>1</v>
          </cell>
          <cell r="M651">
            <v>46003</v>
          </cell>
          <cell r="N651">
            <v>46006</v>
          </cell>
          <cell r="O651">
            <v>1</v>
          </cell>
          <cell r="P651">
            <v>46007</v>
          </cell>
          <cell r="Q651">
            <v>1</v>
          </cell>
          <cell r="R651" t="str">
            <v>NA</v>
          </cell>
          <cell r="S651">
            <v>5</v>
          </cell>
        </row>
        <row r="652">
          <cell r="B652" t="str">
            <v>EMMC</v>
          </cell>
          <cell r="C652" t="str">
            <v>HSLB10857</v>
          </cell>
          <cell r="D652">
            <v>106010</v>
          </cell>
          <cell r="E652" t="str">
            <v>Microondas</v>
          </cell>
          <cell r="F652" t="str">
            <v>NO</v>
          </cell>
          <cell r="G652" t="str">
            <v>NO</v>
          </cell>
          <cell r="H652" t="str">
            <v>ESTAR PERSONAL C/ KITCHENETTE</v>
          </cell>
          <cell r="I652">
            <v>1</v>
          </cell>
          <cell r="J652" t="str">
            <v>C.4.6.2.5</v>
          </cell>
          <cell r="K652" t="str">
            <v>Urgencia</v>
          </cell>
          <cell r="L652">
            <v>1</v>
          </cell>
          <cell r="M652">
            <v>46003</v>
          </cell>
          <cell r="N652">
            <v>46006</v>
          </cell>
          <cell r="O652">
            <v>1</v>
          </cell>
          <cell r="P652">
            <v>46007</v>
          </cell>
          <cell r="Q652">
            <v>1</v>
          </cell>
          <cell r="R652" t="str">
            <v>NA</v>
          </cell>
          <cell r="S652">
            <v>5</v>
          </cell>
        </row>
        <row r="653">
          <cell r="B653" t="str">
            <v>EMMC</v>
          </cell>
          <cell r="C653" t="str">
            <v>HSLB10863</v>
          </cell>
          <cell r="D653">
            <v>106010</v>
          </cell>
          <cell r="E653" t="str">
            <v>Microondas</v>
          </cell>
          <cell r="F653" t="str">
            <v>NO</v>
          </cell>
          <cell r="G653" t="str">
            <v>NO</v>
          </cell>
          <cell r="H653" t="str">
            <v>KITCHENETTE</v>
          </cell>
          <cell r="I653">
            <v>1</v>
          </cell>
          <cell r="J653" t="str">
            <v>C.5.7.24</v>
          </cell>
          <cell r="K653" t="str">
            <v>Med Física y Rehabilitación</v>
          </cell>
          <cell r="L653">
            <v>1</v>
          </cell>
          <cell r="M653">
            <v>46013</v>
          </cell>
          <cell r="N653">
            <v>46014</v>
          </cell>
          <cell r="O653">
            <v>1</v>
          </cell>
          <cell r="P653">
            <v>46015</v>
          </cell>
          <cell r="Q653">
            <v>1</v>
          </cell>
          <cell r="R653" t="str">
            <v>NA</v>
          </cell>
          <cell r="S653">
            <v>5</v>
          </cell>
        </row>
        <row r="654">
          <cell r="B654" t="str">
            <v>EMMC</v>
          </cell>
          <cell r="C654" t="str">
            <v>HSLB10868</v>
          </cell>
          <cell r="D654">
            <v>106010</v>
          </cell>
          <cell r="E654" t="str">
            <v>Microondas</v>
          </cell>
          <cell r="F654" t="str">
            <v>NO</v>
          </cell>
          <cell r="G654" t="str">
            <v>NO</v>
          </cell>
          <cell r="H654" t="str">
            <v>ESTAR PERSONAL C/ KITCHENETTE</v>
          </cell>
          <cell r="I654">
            <v>1</v>
          </cell>
          <cell r="J654" t="str">
            <v>D.2.2.3.2</v>
          </cell>
          <cell r="K654" t="str">
            <v>Urgencia</v>
          </cell>
          <cell r="L654">
            <v>1</v>
          </cell>
          <cell r="M654">
            <v>46003</v>
          </cell>
          <cell r="N654">
            <v>46006</v>
          </cell>
          <cell r="O654">
            <v>1</v>
          </cell>
          <cell r="P654">
            <v>46007</v>
          </cell>
          <cell r="Q654">
            <v>1</v>
          </cell>
          <cell r="R654" t="str">
            <v>NA</v>
          </cell>
          <cell r="S654">
            <v>5</v>
          </cell>
        </row>
        <row r="655">
          <cell r="B655" t="str">
            <v>EMMC</v>
          </cell>
          <cell r="C655" t="str">
            <v>HSLB10879</v>
          </cell>
          <cell r="D655">
            <v>106010</v>
          </cell>
          <cell r="E655" t="str">
            <v>Microondas</v>
          </cell>
          <cell r="F655" t="str">
            <v>NO</v>
          </cell>
          <cell r="G655" t="str">
            <v>NO</v>
          </cell>
          <cell r="H655" t="str">
            <v>ESTAR PERSONAL</v>
          </cell>
          <cell r="I655">
            <v>1</v>
          </cell>
          <cell r="J655" t="str">
            <v>H.1.3</v>
          </cell>
          <cell r="K655" t="str">
            <v>Urgencia</v>
          </cell>
          <cell r="L655">
            <v>1</v>
          </cell>
          <cell r="M655">
            <v>46003</v>
          </cell>
          <cell r="N655">
            <v>46006</v>
          </cell>
          <cell r="O655">
            <v>1</v>
          </cell>
          <cell r="P655">
            <v>46007</v>
          </cell>
          <cell r="Q655">
            <v>1</v>
          </cell>
          <cell r="R655" t="str">
            <v>NA</v>
          </cell>
          <cell r="S655">
            <v>5</v>
          </cell>
        </row>
        <row r="656">
          <cell r="B656" t="str">
            <v>EMMC</v>
          </cell>
          <cell r="C656" t="str">
            <v>HSLB10889</v>
          </cell>
          <cell r="D656">
            <v>106011</v>
          </cell>
          <cell r="E656" t="str">
            <v>Mini freezer</v>
          </cell>
          <cell r="F656" t="str">
            <v>NO</v>
          </cell>
          <cell r="G656" t="str">
            <v>NO</v>
          </cell>
          <cell r="H656" t="str">
            <v>BOX INDIFERENCIADO (FONOAUDIO Y TERAPIA OCU)(1)</v>
          </cell>
          <cell r="I656">
            <v>1</v>
          </cell>
          <cell r="J656" t="str">
            <v>C.5.7.5.1</v>
          </cell>
          <cell r="K656" t="str">
            <v>Med Física y Rehabilitación</v>
          </cell>
          <cell r="L656">
            <v>1</v>
          </cell>
          <cell r="M656">
            <v>46013</v>
          </cell>
          <cell r="N656">
            <v>46014</v>
          </cell>
          <cell r="O656">
            <v>1</v>
          </cell>
          <cell r="P656">
            <v>46015</v>
          </cell>
          <cell r="Q656">
            <v>1</v>
          </cell>
          <cell r="R656" t="str">
            <v>NA</v>
          </cell>
          <cell r="S656">
            <v>5</v>
          </cell>
        </row>
        <row r="657">
          <cell r="B657" t="str">
            <v>EMMC</v>
          </cell>
          <cell r="C657" t="str">
            <v>HSLB10890</v>
          </cell>
          <cell r="D657">
            <v>106011</v>
          </cell>
          <cell r="E657" t="str">
            <v>Mini freezer</v>
          </cell>
          <cell r="F657" t="str">
            <v>NO</v>
          </cell>
          <cell r="G657" t="str">
            <v>NO</v>
          </cell>
          <cell r="H657" t="str">
            <v>BOX FONOAUDIO PEDIATRICO</v>
          </cell>
          <cell r="I657">
            <v>1</v>
          </cell>
          <cell r="J657" t="str">
            <v>C.5.7.5.2.1</v>
          </cell>
          <cell r="K657" t="str">
            <v>Med Física y Rehabilitación</v>
          </cell>
          <cell r="L657">
            <v>1</v>
          </cell>
          <cell r="M657">
            <v>46013</v>
          </cell>
          <cell r="N657">
            <v>46014</v>
          </cell>
          <cell r="O657">
            <v>1</v>
          </cell>
          <cell r="P657">
            <v>46015</v>
          </cell>
          <cell r="Q657">
            <v>1</v>
          </cell>
          <cell r="R657" t="str">
            <v>NA</v>
          </cell>
          <cell r="S657">
            <v>5</v>
          </cell>
        </row>
        <row r="658">
          <cell r="B658" t="str">
            <v>EMMC</v>
          </cell>
          <cell r="C658" t="str">
            <v>HSLB11513</v>
          </cell>
          <cell r="D658">
            <v>111052</v>
          </cell>
          <cell r="E658" t="str">
            <v>Movilizador Pasivo - Asistido - Activo Extremidad Inferior</v>
          </cell>
          <cell r="F658" t="str">
            <v>NO</v>
          </cell>
          <cell r="G658" t="str">
            <v>SI</v>
          </cell>
          <cell r="H658" t="str">
            <v>GIMNASIO ADULTO REHABILITACIÓN CARDIOVASCULAR</v>
          </cell>
          <cell r="I658">
            <v>1</v>
          </cell>
          <cell r="J658" t="str">
            <v>C.5.7.14</v>
          </cell>
          <cell r="K658" t="str">
            <v>Med Física y Rehabilitación</v>
          </cell>
          <cell r="L658">
            <v>1</v>
          </cell>
          <cell r="M658">
            <v>46003</v>
          </cell>
          <cell r="N658">
            <v>46006</v>
          </cell>
          <cell r="O658">
            <v>1</v>
          </cell>
          <cell r="P658">
            <v>46007</v>
          </cell>
          <cell r="Q658">
            <v>1</v>
          </cell>
          <cell r="R658" t="str">
            <v>NA</v>
          </cell>
          <cell r="S658">
            <v>5</v>
          </cell>
        </row>
        <row r="659">
          <cell r="B659" t="str">
            <v>EMMC</v>
          </cell>
          <cell r="C659" t="str">
            <v>HSLB11514</v>
          </cell>
          <cell r="D659">
            <v>111053</v>
          </cell>
          <cell r="E659" t="str">
            <v>Movilizador Pasivo - Asistido - Activo Extremidad Superior</v>
          </cell>
          <cell r="F659" t="str">
            <v>NO</v>
          </cell>
          <cell r="G659" t="str">
            <v>SI</v>
          </cell>
          <cell r="H659" t="str">
            <v>GIMNASIO ADULTO REHABILITACIÓN CARDIOVASCULAR</v>
          </cell>
          <cell r="I659">
            <v>1</v>
          </cell>
          <cell r="J659" t="str">
            <v>C.5.7.14</v>
          </cell>
          <cell r="K659" t="str">
            <v>Med Física y Rehabilitación</v>
          </cell>
          <cell r="L659">
            <v>1</v>
          </cell>
          <cell r="M659">
            <v>46003</v>
          </cell>
          <cell r="N659">
            <v>46006</v>
          </cell>
          <cell r="O659">
            <v>1</v>
          </cell>
          <cell r="P659">
            <v>46007</v>
          </cell>
          <cell r="Q659">
            <v>1</v>
          </cell>
          <cell r="R659" t="str">
            <v>NA</v>
          </cell>
          <cell r="S659">
            <v>5</v>
          </cell>
        </row>
        <row r="660">
          <cell r="B660" t="str">
            <v>EMMC</v>
          </cell>
          <cell r="C660" t="str">
            <v>HSLB12349</v>
          </cell>
          <cell r="D660">
            <v>112067</v>
          </cell>
          <cell r="E660" t="str">
            <v>Mudador Adulto</v>
          </cell>
          <cell r="F660" t="str">
            <v>NO</v>
          </cell>
          <cell r="G660" t="str">
            <v>NO</v>
          </cell>
          <cell r="H660" t="str">
            <v>BAÑO PAC C/MUDADOR (ADULTOS)</v>
          </cell>
          <cell r="I660">
            <v>1</v>
          </cell>
          <cell r="J660" t="str">
            <v>C.5.7.27</v>
          </cell>
          <cell r="K660" t="str">
            <v>Med Física y Rehabilitación</v>
          </cell>
          <cell r="L660">
            <v>1</v>
          </cell>
          <cell r="M660">
            <v>46013</v>
          </cell>
          <cell r="N660">
            <v>46014</v>
          </cell>
          <cell r="O660">
            <v>1</v>
          </cell>
          <cell r="P660">
            <v>46015</v>
          </cell>
          <cell r="Q660">
            <v>1</v>
          </cell>
          <cell r="R660" t="str">
            <v>NA</v>
          </cell>
          <cell r="S660">
            <v>5</v>
          </cell>
        </row>
        <row r="661">
          <cell r="B661" t="str">
            <v>EMMC</v>
          </cell>
          <cell r="C661" t="str">
            <v>HSLB10193</v>
          </cell>
          <cell r="D661">
            <v>101049</v>
          </cell>
          <cell r="E661" t="str">
            <v>Negatoscopio</v>
          </cell>
          <cell r="F661" t="str">
            <v>NO</v>
          </cell>
          <cell r="G661" t="str">
            <v>NO</v>
          </cell>
          <cell r="H661" t="str">
            <v>ESTACIÓN DE ENFERMERÍA</v>
          </cell>
          <cell r="I661">
            <v>1</v>
          </cell>
          <cell r="J661" t="str">
            <v>C.4.3.8</v>
          </cell>
          <cell r="K661" t="str">
            <v>Urgencia</v>
          </cell>
          <cell r="L661">
            <v>1</v>
          </cell>
          <cell r="M661">
            <v>46003</v>
          </cell>
          <cell r="N661">
            <v>46006</v>
          </cell>
          <cell r="O661">
            <v>1</v>
          </cell>
          <cell r="P661">
            <v>46007</v>
          </cell>
          <cell r="Q661">
            <v>1</v>
          </cell>
          <cell r="R661" t="str">
            <v>NA</v>
          </cell>
          <cell r="S661">
            <v>5</v>
          </cell>
        </row>
        <row r="662">
          <cell r="B662" t="str">
            <v>EMMC</v>
          </cell>
          <cell r="C662" t="str">
            <v>HSLB10229</v>
          </cell>
          <cell r="D662">
            <v>101054</v>
          </cell>
          <cell r="E662" t="str">
            <v>Otooftalmoscopio Portátil</v>
          </cell>
          <cell r="F662" t="str">
            <v>NO</v>
          </cell>
          <cell r="G662" t="str">
            <v>NO</v>
          </cell>
          <cell r="H662" t="str">
            <v>ESTACIÓN DE ENFERMERÍA</v>
          </cell>
          <cell r="I662">
            <v>1</v>
          </cell>
          <cell r="J662" t="str">
            <v>C.3.6.2.4</v>
          </cell>
          <cell r="K662" t="str">
            <v>Urgencia</v>
          </cell>
          <cell r="L662">
            <v>1</v>
          </cell>
          <cell r="M662">
            <v>46003</v>
          </cell>
          <cell r="N662">
            <v>46006</v>
          </cell>
          <cell r="O662">
            <v>1</v>
          </cell>
          <cell r="P662">
            <v>46007</v>
          </cell>
          <cell r="Q662">
            <v>1</v>
          </cell>
          <cell r="R662" t="str">
            <v>NA</v>
          </cell>
          <cell r="S662">
            <v>5</v>
          </cell>
        </row>
        <row r="663">
          <cell r="B663" t="str">
            <v>EMMC</v>
          </cell>
          <cell r="C663" t="str">
            <v>HSLB10232</v>
          </cell>
          <cell r="D663">
            <v>101054</v>
          </cell>
          <cell r="E663" t="str">
            <v>Otooftalmoscopio Portátil</v>
          </cell>
          <cell r="F663" t="str">
            <v>NO</v>
          </cell>
          <cell r="G663" t="str">
            <v>NO</v>
          </cell>
          <cell r="H663" t="str">
            <v>ESTACIÓN DE ENFERMERÍA</v>
          </cell>
          <cell r="I663">
            <v>1</v>
          </cell>
          <cell r="J663" t="str">
            <v>C.4.3.8</v>
          </cell>
          <cell r="K663" t="str">
            <v>Urgencia</v>
          </cell>
          <cell r="L663">
            <v>1</v>
          </cell>
          <cell r="M663">
            <v>46003</v>
          </cell>
          <cell r="N663">
            <v>46006</v>
          </cell>
          <cell r="O663">
            <v>1</v>
          </cell>
          <cell r="P663">
            <v>46007</v>
          </cell>
          <cell r="Q663">
            <v>1</v>
          </cell>
          <cell r="R663" t="str">
            <v>NA</v>
          </cell>
          <cell r="S663">
            <v>5</v>
          </cell>
        </row>
        <row r="664">
          <cell r="B664" t="str">
            <v>EMMC</v>
          </cell>
          <cell r="C664" t="str">
            <v>HSLB10233</v>
          </cell>
          <cell r="D664">
            <v>101054</v>
          </cell>
          <cell r="E664" t="str">
            <v>Otooftalmoscopio Portátil</v>
          </cell>
          <cell r="F664" t="str">
            <v>NO</v>
          </cell>
          <cell r="G664" t="str">
            <v>NO</v>
          </cell>
          <cell r="H664" t="str">
            <v>ESTACIÓN DE ENFERMERÍA</v>
          </cell>
          <cell r="I664">
            <v>1</v>
          </cell>
          <cell r="J664" t="str">
            <v>C.4.4.8</v>
          </cell>
          <cell r="K664" t="str">
            <v>Urgencia</v>
          </cell>
          <cell r="L664">
            <v>1</v>
          </cell>
          <cell r="M664">
            <v>46003</v>
          </cell>
          <cell r="N664">
            <v>46006</v>
          </cell>
          <cell r="O664">
            <v>1</v>
          </cell>
          <cell r="P664">
            <v>46007</v>
          </cell>
          <cell r="Q664">
            <v>1</v>
          </cell>
          <cell r="R664" t="str">
            <v>NA</v>
          </cell>
          <cell r="S664">
            <v>5</v>
          </cell>
        </row>
        <row r="665">
          <cell r="B665" t="str">
            <v>EMMC</v>
          </cell>
          <cell r="C665" t="str">
            <v>HSLB11515</v>
          </cell>
          <cell r="D665">
            <v>111054</v>
          </cell>
          <cell r="E665" t="str">
            <v>Paralelas Adulto</v>
          </cell>
          <cell r="F665" t="str">
            <v>NO</v>
          </cell>
          <cell r="G665" t="str">
            <v>SI</v>
          </cell>
          <cell r="H665" t="str">
            <v>GIMNASIO ADULTO REHABILITACIÓN CARDIOVASCULAR</v>
          </cell>
          <cell r="I665">
            <v>1</v>
          </cell>
          <cell r="J665" t="str">
            <v>C.5.7.14</v>
          </cell>
          <cell r="K665" t="str">
            <v>Med Física y Rehabilitación</v>
          </cell>
          <cell r="L665">
            <v>1</v>
          </cell>
          <cell r="M665">
            <v>46003</v>
          </cell>
          <cell r="N665">
            <v>46006</v>
          </cell>
          <cell r="O665">
            <v>1</v>
          </cell>
          <cell r="P665">
            <v>46007</v>
          </cell>
          <cell r="Q665">
            <v>1</v>
          </cell>
          <cell r="R665" t="str">
            <v>NA</v>
          </cell>
          <cell r="S665">
            <v>5</v>
          </cell>
        </row>
        <row r="666">
          <cell r="B666" t="str">
            <v>EMMC</v>
          </cell>
          <cell r="C666" t="str">
            <v>HSLB11516</v>
          </cell>
          <cell r="D666">
            <v>111055</v>
          </cell>
          <cell r="E666" t="str">
            <v>Paralelas Pediátricas</v>
          </cell>
          <cell r="F666" t="str">
            <v>NO</v>
          </cell>
          <cell r="G666" t="str">
            <v>NO</v>
          </cell>
          <cell r="H666" t="str">
            <v>GIMNASIO PEDIATRICO</v>
          </cell>
          <cell r="I666">
            <v>1</v>
          </cell>
          <cell r="J666" t="str">
            <v>C.5.7.15</v>
          </cell>
          <cell r="K666" t="str">
            <v>Med Física y Rehabilitación</v>
          </cell>
          <cell r="L666">
            <v>1</v>
          </cell>
          <cell r="M666">
            <v>46013</v>
          </cell>
          <cell r="N666">
            <v>46014</v>
          </cell>
          <cell r="O666">
            <v>1</v>
          </cell>
          <cell r="P666">
            <v>46015</v>
          </cell>
          <cell r="Q666">
            <v>1</v>
          </cell>
          <cell r="R666" t="str">
            <v>NA</v>
          </cell>
          <cell r="S666">
            <v>5</v>
          </cell>
        </row>
        <row r="667">
          <cell r="B667" t="str">
            <v>EMMC</v>
          </cell>
          <cell r="C667" t="str">
            <v>HSLB11518</v>
          </cell>
          <cell r="D667">
            <v>111111</v>
          </cell>
          <cell r="E667" t="str">
            <v xml:space="preserve">Piscina Sensorial </v>
          </cell>
          <cell r="F667" t="str">
            <v>NO</v>
          </cell>
          <cell r="G667" t="str">
            <v>NO</v>
          </cell>
          <cell r="H667" t="str">
            <v>GIMNASIO PEDIATRICO</v>
          </cell>
          <cell r="I667">
            <v>1</v>
          </cell>
          <cell r="J667" t="str">
            <v>C.5.7.15</v>
          </cell>
          <cell r="K667" t="str">
            <v>Med Física y Rehabilitación</v>
          </cell>
          <cell r="L667">
            <v>1</v>
          </cell>
          <cell r="M667">
            <v>46013</v>
          </cell>
          <cell r="N667">
            <v>46014</v>
          </cell>
          <cell r="O667">
            <v>1</v>
          </cell>
          <cell r="P667">
            <v>46015</v>
          </cell>
          <cell r="Q667">
            <v>1</v>
          </cell>
          <cell r="R667" t="str">
            <v>NA</v>
          </cell>
          <cell r="S667">
            <v>5</v>
          </cell>
        </row>
        <row r="668">
          <cell r="B668" t="str">
            <v>EMMC</v>
          </cell>
          <cell r="C668" t="str">
            <v>HSLB12415</v>
          </cell>
          <cell r="D668">
            <v>112068</v>
          </cell>
          <cell r="E668" t="str">
            <v>Piso Taburete Clínico</v>
          </cell>
          <cell r="F668" t="str">
            <v>NO</v>
          </cell>
          <cell r="G668" t="str">
            <v>SI</v>
          </cell>
          <cell r="H668" t="str">
            <v>GIMNASIO ADULTO REHABILITACIÓN CARDIOVASCULAR</v>
          </cell>
          <cell r="I668">
            <v>2</v>
          </cell>
          <cell r="J668" t="str">
            <v>C.5.7.14</v>
          </cell>
          <cell r="K668" t="str">
            <v>Med Física y Rehabilitación</v>
          </cell>
          <cell r="L668">
            <v>1</v>
          </cell>
          <cell r="M668">
            <v>46003</v>
          </cell>
          <cell r="N668">
            <v>46006</v>
          </cell>
          <cell r="O668">
            <v>1</v>
          </cell>
          <cell r="P668">
            <v>46007</v>
          </cell>
          <cell r="Q668">
            <v>1</v>
          </cell>
          <cell r="R668" t="str">
            <v>NA</v>
          </cell>
          <cell r="S668">
            <v>5</v>
          </cell>
        </row>
        <row r="669">
          <cell r="B669" t="str">
            <v>EMMC</v>
          </cell>
          <cell r="C669" t="str">
            <v>HSLB12416</v>
          </cell>
          <cell r="D669">
            <v>112068</v>
          </cell>
          <cell r="E669" t="str">
            <v>Piso Taburete Clínico</v>
          </cell>
          <cell r="F669" t="str">
            <v>NO</v>
          </cell>
          <cell r="G669" t="str">
            <v>NO</v>
          </cell>
          <cell r="H669" t="str">
            <v>GIMNASIO PEDIATRICO</v>
          </cell>
          <cell r="I669">
            <v>2</v>
          </cell>
          <cell r="J669" t="str">
            <v>C.5.7.15</v>
          </cell>
          <cell r="K669" t="str">
            <v>Med Física y Rehabilitación</v>
          </cell>
          <cell r="L669">
            <v>1</v>
          </cell>
          <cell r="M669">
            <v>46013</v>
          </cell>
          <cell r="N669">
            <v>46014</v>
          </cell>
          <cell r="O669">
            <v>1</v>
          </cell>
          <cell r="P669">
            <v>46015</v>
          </cell>
          <cell r="Q669">
            <v>1</v>
          </cell>
          <cell r="R669" t="str">
            <v>NA</v>
          </cell>
          <cell r="S669">
            <v>5</v>
          </cell>
        </row>
        <row r="670">
          <cell r="B670" t="str">
            <v>EMMC</v>
          </cell>
          <cell r="C670" t="str">
            <v>HSLB12383</v>
          </cell>
          <cell r="D670">
            <v>112068</v>
          </cell>
          <cell r="E670" t="str">
            <v>Piso Taburete Clínico</v>
          </cell>
          <cell r="F670" t="str">
            <v>NO</v>
          </cell>
          <cell r="G670" t="str">
            <v>NO</v>
          </cell>
          <cell r="H670" t="str">
            <v>BOX MONITOREO FETAL C / BAÑO</v>
          </cell>
          <cell r="I670">
            <v>1</v>
          </cell>
          <cell r="J670" t="str">
            <v>C.3.6.2.11</v>
          </cell>
          <cell r="K670" t="str">
            <v>Urgencia</v>
          </cell>
          <cell r="L670">
            <v>1</v>
          </cell>
          <cell r="M670">
            <v>46003</v>
          </cell>
          <cell r="N670">
            <v>46006</v>
          </cell>
          <cell r="O670">
            <v>1</v>
          </cell>
          <cell r="P670">
            <v>46007</v>
          </cell>
          <cell r="Q670">
            <v>1</v>
          </cell>
          <cell r="R670" t="str">
            <v>NA</v>
          </cell>
          <cell r="S670">
            <v>5</v>
          </cell>
        </row>
        <row r="671">
          <cell r="B671" t="str">
            <v>EMMC</v>
          </cell>
          <cell r="C671" t="str">
            <v>HSLB12384</v>
          </cell>
          <cell r="D671">
            <v>112068</v>
          </cell>
          <cell r="E671" t="str">
            <v>Piso Taburete Clínico</v>
          </cell>
          <cell r="F671" t="str">
            <v>NO</v>
          </cell>
          <cell r="G671" t="str">
            <v>NO</v>
          </cell>
          <cell r="H671" t="str">
            <v>BOX ATENCIÓN MEDICO C/BAÑO Y ECO</v>
          </cell>
          <cell r="I671">
            <v>1</v>
          </cell>
          <cell r="J671" t="str">
            <v>C.3.6.2.8</v>
          </cell>
          <cell r="K671" t="str">
            <v>Urgencia</v>
          </cell>
          <cell r="L671">
            <v>1</v>
          </cell>
          <cell r="M671">
            <v>46003</v>
          </cell>
          <cell r="N671">
            <v>46006</v>
          </cell>
          <cell r="O671">
            <v>1</v>
          </cell>
          <cell r="P671">
            <v>46007</v>
          </cell>
          <cell r="Q671">
            <v>1</v>
          </cell>
          <cell r="R671" t="str">
            <v>NA</v>
          </cell>
          <cell r="S671">
            <v>5</v>
          </cell>
        </row>
        <row r="672">
          <cell r="B672" t="str">
            <v>EMMC</v>
          </cell>
          <cell r="C672" t="str">
            <v>HSLB12385</v>
          </cell>
          <cell r="D672">
            <v>112068</v>
          </cell>
          <cell r="E672" t="str">
            <v>Piso Taburete Clínico</v>
          </cell>
          <cell r="F672" t="str">
            <v>NO</v>
          </cell>
          <cell r="G672" t="str">
            <v>NO</v>
          </cell>
          <cell r="H672" t="str">
            <v>BOX MATRONA</v>
          </cell>
          <cell r="I672">
            <v>1</v>
          </cell>
          <cell r="J672" t="str">
            <v>C.3.6.2.8.1</v>
          </cell>
          <cell r="K672" t="str">
            <v>Urgencia</v>
          </cell>
          <cell r="L672">
            <v>1</v>
          </cell>
          <cell r="M672">
            <v>46003</v>
          </cell>
          <cell r="N672">
            <v>46006</v>
          </cell>
          <cell r="O672">
            <v>1</v>
          </cell>
          <cell r="P672">
            <v>46007</v>
          </cell>
          <cell r="Q672">
            <v>1</v>
          </cell>
          <cell r="R672" t="str">
            <v>NA</v>
          </cell>
          <cell r="S672">
            <v>5</v>
          </cell>
        </row>
        <row r="673">
          <cell r="B673" t="str">
            <v>EMMC</v>
          </cell>
          <cell r="C673" t="str">
            <v>HSLB12391</v>
          </cell>
          <cell r="D673">
            <v>112068</v>
          </cell>
          <cell r="E673" t="str">
            <v>Piso Taburete Clínico</v>
          </cell>
          <cell r="F673" t="str">
            <v>NO</v>
          </cell>
          <cell r="G673" t="str">
            <v>NO</v>
          </cell>
          <cell r="H673" t="str">
            <v xml:space="preserve">SALA DE PROCEDIMIENTO </v>
          </cell>
          <cell r="I673">
            <v>1</v>
          </cell>
          <cell r="J673" t="str">
            <v>C.4.3.5.1</v>
          </cell>
          <cell r="K673" t="str">
            <v>Urgencia</v>
          </cell>
          <cell r="L673">
            <v>1</v>
          </cell>
          <cell r="M673">
            <v>46003</v>
          </cell>
          <cell r="N673">
            <v>46006</v>
          </cell>
          <cell r="O673">
            <v>1</v>
          </cell>
          <cell r="P673">
            <v>46007</v>
          </cell>
          <cell r="Q673">
            <v>1</v>
          </cell>
          <cell r="R673" t="str">
            <v>NA</v>
          </cell>
          <cell r="S673">
            <v>5</v>
          </cell>
        </row>
        <row r="674">
          <cell r="B674" t="str">
            <v>EMMC</v>
          </cell>
          <cell r="C674" t="str">
            <v>HSLB12392</v>
          </cell>
          <cell r="D674">
            <v>112068</v>
          </cell>
          <cell r="E674" t="str">
            <v>Piso Taburete Clínico</v>
          </cell>
          <cell r="F674" t="str">
            <v>NO</v>
          </cell>
          <cell r="G674" t="str">
            <v>NO</v>
          </cell>
          <cell r="H674" t="str">
            <v>SALA DE PROCEDIMIENTO</v>
          </cell>
          <cell r="I674">
            <v>1</v>
          </cell>
          <cell r="J674" t="str">
            <v>C.4.3.5.2</v>
          </cell>
          <cell r="K674" t="str">
            <v>Urgencia</v>
          </cell>
          <cell r="L674">
            <v>1</v>
          </cell>
          <cell r="M674">
            <v>46003</v>
          </cell>
          <cell r="N674">
            <v>46006</v>
          </cell>
          <cell r="O674">
            <v>1</v>
          </cell>
          <cell r="P674">
            <v>46007</v>
          </cell>
          <cell r="Q674">
            <v>1</v>
          </cell>
          <cell r="R674" t="str">
            <v>NA</v>
          </cell>
          <cell r="S674">
            <v>5</v>
          </cell>
        </row>
        <row r="675">
          <cell r="B675" t="str">
            <v>EMMC</v>
          </cell>
          <cell r="C675" t="str">
            <v>HSLB12393</v>
          </cell>
          <cell r="D675">
            <v>112068</v>
          </cell>
          <cell r="E675" t="str">
            <v>Piso Taburete Clínico</v>
          </cell>
          <cell r="F675" t="str">
            <v>NO</v>
          </cell>
          <cell r="G675" t="str">
            <v>NO</v>
          </cell>
          <cell r="H675" t="str">
            <v>SALA DE PROCEDIMIENTO (infantil)</v>
          </cell>
          <cell r="I675">
            <v>1</v>
          </cell>
          <cell r="J675" t="str">
            <v>C.4.4.5</v>
          </cell>
          <cell r="K675" t="str">
            <v>Urgencia</v>
          </cell>
          <cell r="L675">
            <v>1</v>
          </cell>
          <cell r="M675">
            <v>46003</v>
          </cell>
          <cell r="N675">
            <v>46006</v>
          </cell>
          <cell r="O675">
            <v>1</v>
          </cell>
          <cell r="P675">
            <v>46007</v>
          </cell>
          <cell r="Q675">
            <v>1</v>
          </cell>
          <cell r="R675" t="str">
            <v>NA</v>
          </cell>
          <cell r="S675">
            <v>5</v>
          </cell>
        </row>
        <row r="676">
          <cell r="B676" t="str">
            <v>EMMC</v>
          </cell>
          <cell r="C676" t="str">
            <v>HSLB12394</v>
          </cell>
          <cell r="D676">
            <v>112068</v>
          </cell>
          <cell r="E676" t="str">
            <v>Piso Taburete Clínico</v>
          </cell>
          <cell r="F676" t="str">
            <v>NO</v>
          </cell>
          <cell r="G676" t="str">
            <v>NO</v>
          </cell>
          <cell r="H676" t="str">
            <v>BOX AT. ACOGIDA C/BAÑO Y DUCHA</v>
          </cell>
          <cell r="I676">
            <v>1</v>
          </cell>
          <cell r="J676" t="str">
            <v>C.4.5.16</v>
          </cell>
          <cell r="K676" t="str">
            <v>Urgencia</v>
          </cell>
          <cell r="L676">
            <v>1</v>
          </cell>
          <cell r="M676">
            <v>46003</v>
          </cell>
          <cell r="N676">
            <v>46006</v>
          </cell>
          <cell r="O676">
            <v>1</v>
          </cell>
          <cell r="P676">
            <v>46007</v>
          </cell>
          <cell r="Q676">
            <v>1</v>
          </cell>
          <cell r="R676" t="str">
            <v>NA</v>
          </cell>
          <cell r="S676">
            <v>5</v>
          </cell>
        </row>
        <row r="677">
          <cell r="B677" t="str">
            <v>EMMC</v>
          </cell>
          <cell r="C677" t="str">
            <v>HSLB12395</v>
          </cell>
          <cell r="D677">
            <v>112068</v>
          </cell>
          <cell r="E677" t="str">
            <v>Piso Taburete Clínico</v>
          </cell>
          <cell r="F677" t="str">
            <v>NO</v>
          </cell>
          <cell r="G677" t="str">
            <v>NO</v>
          </cell>
          <cell r="H677" t="str">
            <v>SALA YESO</v>
          </cell>
          <cell r="I677">
            <v>1</v>
          </cell>
          <cell r="J677" t="str">
            <v>C.4.5.4</v>
          </cell>
          <cell r="K677" t="str">
            <v>Urgencia</v>
          </cell>
          <cell r="L677">
            <v>1</v>
          </cell>
          <cell r="M677">
            <v>46003</v>
          </cell>
          <cell r="N677">
            <v>46006</v>
          </cell>
          <cell r="O677">
            <v>1</v>
          </cell>
          <cell r="P677">
            <v>46007</v>
          </cell>
          <cell r="Q677">
            <v>1</v>
          </cell>
          <cell r="R677" t="str">
            <v>NA</v>
          </cell>
          <cell r="S677">
            <v>5</v>
          </cell>
        </row>
        <row r="678">
          <cell r="B678" t="str">
            <v>EMMC</v>
          </cell>
          <cell r="C678" t="str">
            <v>HSLB12417</v>
          </cell>
          <cell r="D678">
            <v>112068</v>
          </cell>
          <cell r="E678" t="str">
            <v>Piso Taburete Clínico</v>
          </cell>
          <cell r="F678" t="str">
            <v>NO</v>
          </cell>
          <cell r="G678" t="str">
            <v>NO</v>
          </cell>
          <cell r="H678" t="str">
            <v>TALLER DE ÓRTESIS (MUEBLE)</v>
          </cell>
          <cell r="I678">
            <v>1</v>
          </cell>
          <cell r="J678" t="str">
            <v>C.5.7.29</v>
          </cell>
          <cell r="K678" t="str">
            <v>Med Física y Rehabilitación</v>
          </cell>
          <cell r="L678">
            <v>1</v>
          </cell>
          <cell r="M678">
            <v>46013</v>
          </cell>
          <cell r="N678">
            <v>46014</v>
          </cell>
          <cell r="O678">
            <v>1</v>
          </cell>
          <cell r="P678">
            <v>46015</v>
          </cell>
          <cell r="Q678">
            <v>1</v>
          </cell>
          <cell r="R678" t="str">
            <v>NA</v>
          </cell>
          <cell r="S678">
            <v>5</v>
          </cell>
        </row>
        <row r="679">
          <cell r="B679" t="str">
            <v>EMMC</v>
          </cell>
          <cell r="C679" t="str">
            <v>HSLB12435</v>
          </cell>
          <cell r="D679">
            <v>112069</v>
          </cell>
          <cell r="E679" t="str">
            <v>Piso Taburete Clínico con Respaldo</v>
          </cell>
          <cell r="F679" t="str">
            <v>NO</v>
          </cell>
          <cell r="G679" t="str">
            <v>NO</v>
          </cell>
          <cell r="H679" t="str">
            <v>SALA KINESOTERÁPIA CUBICULO ONDA CORTA</v>
          </cell>
          <cell r="I679">
            <v>1</v>
          </cell>
          <cell r="J679" t="str">
            <v>C.5.7.11</v>
          </cell>
          <cell r="K679" t="str">
            <v>Med Física y Rehabilitación</v>
          </cell>
          <cell r="L679">
            <v>1</v>
          </cell>
          <cell r="M679">
            <v>46013</v>
          </cell>
          <cell r="N679">
            <v>46014</v>
          </cell>
          <cell r="O679">
            <v>1</v>
          </cell>
          <cell r="P679">
            <v>46015</v>
          </cell>
          <cell r="Q679">
            <v>1</v>
          </cell>
          <cell r="R679" t="str">
            <v>NA</v>
          </cell>
          <cell r="S679">
            <v>5</v>
          </cell>
        </row>
        <row r="680">
          <cell r="B680" t="str">
            <v>EMMC</v>
          </cell>
          <cell r="C680" t="str">
            <v>HSLB12423</v>
          </cell>
          <cell r="D680">
            <v>112069</v>
          </cell>
          <cell r="E680" t="str">
            <v>Piso Taburete Clínico con Respaldo</v>
          </cell>
          <cell r="F680" t="str">
            <v>NO</v>
          </cell>
          <cell r="G680" t="str">
            <v>NO</v>
          </cell>
          <cell r="H680" t="str">
            <v>SALA DE PROCEDIMIENTOS</v>
          </cell>
          <cell r="I680">
            <v>1</v>
          </cell>
          <cell r="J680" t="str">
            <v>C.3.6.2.12</v>
          </cell>
          <cell r="K680" t="str">
            <v>Urgencia</v>
          </cell>
          <cell r="L680">
            <v>1</v>
          </cell>
          <cell r="M680">
            <v>46003</v>
          </cell>
          <cell r="N680">
            <v>46006</v>
          </cell>
          <cell r="O680">
            <v>1</v>
          </cell>
          <cell r="P680">
            <v>46007</v>
          </cell>
          <cell r="Q680">
            <v>1</v>
          </cell>
          <cell r="R680" t="str">
            <v>NA</v>
          </cell>
          <cell r="S680">
            <v>5</v>
          </cell>
        </row>
        <row r="681">
          <cell r="B681" t="str">
            <v>EMMC</v>
          </cell>
          <cell r="C681" t="str">
            <v>HSLB11519</v>
          </cell>
          <cell r="D681">
            <v>111057</v>
          </cell>
          <cell r="E681" t="str">
            <v>Pistola de Aire Caliente</v>
          </cell>
          <cell r="F681" t="str">
            <v>NO</v>
          </cell>
          <cell r="G681" t="str">
            <v>NO</v>
          </cell>
          <cell r="H681" t="str">
            <v>TALLER DE ÓRTESIS (MUEBLE)</v>
          </cell>
          <cell r="I681">
            <v>1</v>
          </cell>
          <cell r="J681" t="str">
            <v>C.5.7.29</v>
          </cell>
          <cell r="K681" t="str">
            <v>Med Física y Rehabilitación</v>
          </cell>
          <cell r="L681">
            <v>1</v>
          </cell>
          <cell r="M681">
            <v>46013</v>
          </cell>
          <cell r="N681">
            <v>46014</v>
          </cell>
          <cell r="O681">
            <v>1</v>
          </cell>
          <cell r="P681">
            <v>46015</v>
          </cell>
          <cell r="Q681">
            <v>1</v>
          </cell>
          <cell r="R681" t="str">
            <v>NA</v>
          </cell>
          <cell r="S681">
            <v>5</v>
          </cell>
        </row>
        <row r="682">
          <cell r="B682" t="str">
            <v>EMMC</v>
          </cell>
          <cell r="C682" t="str">
            <v>HSLB10915</v>
          </cell>
          <cell r="D682">
            <v>106013</v>
          </cell>
          <cell r="E682" t="str">
            <v>Proyector</v>
          </cell>
          <cell r="F682" t="str">
            <v>NO</v>
          </cell>
          <cell r="G682" t="str">
            <v>NO</v>
          </cell>
          <cell r="H682" t="str">
            <v>SALA DE TERAPIA GRUPAL (12 MAX)</v>
          </cell>
          <cell r="I682">
            <v>1</v>
          </cell>
          <cell r="J682" t="str">
            <v>C.5.7.18</v>
          </cell>
          <cell r="K682" t="str">
            <v>Med Física y Rehabilitación</v>
          </cell>
          <cell r="L682">
            <v>1</v>
          </cell>
          <cell r="M682">
            <v>46013</v>
          </cell>
          <cell r="N682">
            <v>46014</v>
          </cell>
          <cell r="O682">
            <v>1</v>
          </cell>
          <cell r="P682">
            <v>46015</v>
          </cell>
          <cell r="Q682">
            <v>1</v>
          </cell>
          <cell r="R682" t="str">
            <v>NA</v>
          </cell>
          <cell r="S682">
            <v>5</v>
          </cell>
        </row>
        <row r="683">
          <cell r="B683" t="str">
            <v>EMMC</v>
          </cell>
          <cell r="C683" t="str">
            <v>HSLB10916</v>
          </cell>
          <cell r="D683">
            <v>106013</v>
          </cell>
          <cell r="E683" t="str">
            <v>Proyector</v>
          </cell>
          <cell r="F683" t="str">
            <v>NO</v>
          </cell>
          <cell r="G683" t="str">
            <v>NO</v>
          </cell>
          <cell r="H683" t="str">
            <v>SALA TERÁPIA OCUP. ADULTO E INFANTIL</v>
          </cell>
          <cell r="I683">
            <v>1</v>
          </cell>
          <cell r="J683" t="str">
            <v>C.5.7.19</v>
          </cell>
          <cell r="K683" t="str">
            <v>Med Física y Rehabilitación</v>
          </cell>
          <cell r="L683">
            <v>1</v>
          </cell>
          <cell r="M683">
            <v>46013</v>
          </cell>
          <cell r="N683">
            <v>46014</v>
          </cell>
          <cell r="O683">
            <v>1</v>
          </cell>
          <cell r="P683">
            <v>46015</v>
          </cell>
          <cell r="Q683">
            <v>1</v>
          </cell>
          <cell r="R683" t="str">
            <v>NA</v>
          </cell>
          <cell r="S683">
            <v>5</v>
          </cell>
        </row>
        <row r="684">
          <cell r="B684" t="str">
            <v>EMMC</v>
          </cell>
          <cell r="C684" t="str">
            <v>HSLB10933</v>
          </cell>
          <cell r="D684">
            <v>106014</v>
          </cell>
          <cell r="E684" t="str">
            <v>Reproductor de DVD</v>
          </cell>
          <cell r="F684" t="str">
            <v>NO</v>
          </cell>
          <cell r="G684" t="str">
            <v>NO</v>
          </cell>
          <cell r="H684" t="str">
            <v>SALA MULTIUSO CON KITCHENETTE</v>
          </cell>
          <cell r="I684">
            <v>1</v>
          </cell>
          <cell r="J684" t="str">
            <v>H.1.2</v>
          </cell>
          <cell r="K684" t="str">
            <v>Urgencia</v>
          </cell>
          <cell r="L684">
            <v>1</v>
          </cell>
          <cell r="M684">
            <v>46003</v>
          </cell>
          <cell r="N684">
            <v>46006</v>
          </cell>
          <cell r="O684">
            <v>1</v>
          </cell>
          <cell r="P684">
            <v>46007</v>
          </cell>
          <cell r="Q684">
            <v>1</v>
          </cell>
          <cell r="R684" t="str">
            <v>NA</v>
          </cell>
          <cell r="S684">
            <v>5</v>
          </cell>
        </row>
        <row r="685">
          <cell r="B685" t="str">
            <v>EMMC</v>
          </cell>
          <cell r="C685" t="str">
            <v>HSLB11522</v>
          </cell>
          <cell r="D685">
            <v>111059</v>
          </cell>
          <cell r="E685" t="str">
            <v>Set Actividades Estimulación Táctil</v>
          </cell>
          <cell r="F685" t="str">
            <v>NO</v>
          </cell>
          <cell r="G685" t="str">
            <v>SI</v>
          </cell>
          <cell r="H685" t="str">
            <v>GIMNASIO ADULTO REHABILITACIÓN CARDIOVASCULAR</v>
          </cell>
          <cell r="I685">
            <v>1</v>
          </cell>
          <cell r="J685" t="str">
            <v>C.5.7.14</v>
          </cell>
          <cell r="K685" t="str">
            <v>Med Física y Rehabilitación</v>
          </cell>
          <cell r="L685">
            <v>1</v>
          </cell>
          <cell r="M685">
            <v>46003</v>
          </cell>
          <cell r="N685">
            <v>46006</v>
          </cell>
          <cell r="O685">
            <v>1</v>
          </cell>
          <cell r="P685">
            <v>46007</v>
          </cell>
          <cell r="Q685">
            <v>1</v>
          </cell>
          <cell r="R685" t="str">
            <v>NA</v>
          </cell>
          <cell r="S685">
            <v>5</v>
          </cell>
        </row>
        <row r="686">
          <cell r="B686" t="str">
            <v>EMMC</v>
          </cell>
          <cell r="C686" t="str">
            <v>HSLB11523</v>
          </cell>
          <cell r="D686">
            <v>111059</v>
          </cell>
          <cell r="E686" t="str">
            <v>Set Actividades Estimulación Táctil</v>
          </cell>
          <cell r="F686" t="str">
            <v>NO</v>
          </cell>
          <cell r="G686" t="str">
            <v>NO</v>
          </cell>
          <cell r="H686" t="str">
            <v>GIMNASIO TERAPIA OCUPACIONAL PEDIATRICO</v>
          </cell>
          <cell r="I686">
            <v>1</v>
          </cell>
          <cell r="J686" t="str">
            <v>C.5.7.15.1</v>
          </cell>
          <cell r="K686" t="str">
            <v>Med Física y Rehabilitación</v>
          </cell>
          <cell r="L686">
            <v>1</v>
          </cell>
          <cell r="M686">
            <v>46013</v>
          </cell>
          <cell r="N686">
            <v>46014</v>
          </cell>
          <cell r="O686">
            <v>1</v>
          </cell>
          <cell r="P686">
            <v>46015</v>
          </cell>
          <cell r="Q686">
            <v>1</v>
          </cell>
          <cell r="R686" t="str">
            <v>NA</v>
          </cell>
          <cell r="S686">
            <v>5</v>
          </cell>
        </row>
        <row r="687">
          <cell r="B687" t="str">
            <v>EMMC</v>
          </cell>
          <cell r="C687" t="str">
            <v>HSLB11524</v>
          </cell>
          <cell r="D687">
            <v>111060</v>
          </cell>
          <cell r="E687" t="str">
            <v>Set Balón Tipo Maní</v>
          </cell>
          <cell r="F687" t="str">
            <v>NO</v>
          </cell>
          <cell r="G687" t="str">
            <v>SI</v>
          </cell>
          <cell r="H687" t="str">
            <v>GIMNASIO ADULTO REHABILITACIÓN CARDIOVASCULAR</v>
          </cell>
          <cell r="I687">
            <v>1</v>
          </cell>
          <cell r="J687" t="str">
            <v>C.5.7.14</v>
          </cell>
          <cell r="K687" t="str">
            <v>Med Física y Rehabilitación</v>
          </cell>
          <cell r="L687">
            <v>1</v>
          </cell>
          <cell r="M687">
            <v>46003</v>
          </cell>
          <cell r="N687">
            <v>46006</v>
          </cell>
          <cell r="O687">
            <v>1</v>
          </cell>
          <cell r="P687">
            <v>46007</v>
          </cell>
          <cell r="Q687">
            <v>1</v>
          </cell>
          <cell r="R687" t="str">
            <v>NA</v>
          </cell>
          <cell r="S687">
            <v>5</v>
          </cell>
        </row>
        <row r="688">
          <cell r="B688" t="str">
            <v>EMMC</v>
          </cell>
          <cell r="C688" t="str">
            <v>HSLB11525</v>
          </cell>
          <cell r="D688">
            <v>111061</v>
          </cell>
          <cell r="E688" t="str">
            <v>Set Balones Esponja</v>
          </cell>
          <cell r="F688" t="str">
            <v>NO</v>
          </cell>
          <cell r="G688" t="str">
            <v>SI</v>
          </cell>
          <cell r="H688" t="str">
            <v>GIMNASIO ADULTO REHABILITACIÓN CARDIOVASCULAR</v>
          </cell>
          <cell r="I688">
            <v>1</v>
          </cell>
          <cell r="J688" t="str">
            <v>C.5.7.14</v>
          </cell>
          <cell r="K688" t="str">
            <v>Med Física y Rehabilitación</v>
          </cell>
          <cell r="L688">
            <v>1</v>
          </cell>
          <cell r="M688">
            <v>46003</v>
          </cell>
          <cell r="N688">
            <v>46006</v>
          </cell>
          <cell r="O688">
            <v>1</v>
          </cell>
          <cell r="P688">
            <v>46007</v>
          </cell>
          <cell r="Q688">
            <v>1</v>
          </cell>
          <cell r="R688" t="str">
            <v>NA</v>
          </cell>
          <cell r="S688">
            <v>5</v>
          </cell>
        </row>
        <row r="689">
          <cell r="B689" t="str">
            <v>EMMC</v>
          </cell>
          <cell r="C689" t="str">
            <v>HSLB11526</v>
          </cell>
          <cell r="D689">
            <v>111062</v>
          </cell>
          <cell r="E689" t="str">
            <v>Set Bandas Elásticas</v>
          </cell>
          <cell r="F689" t="str">
            <v>NO</v>
          </cell>
          <cell r="G689" t="str">
            <v>SI</v>
          </cell>
          <cell r="H689" t="str">
            <v>GIMNASIO ADULTO REHABILITACIÓN CARDIOVASCULAR</v>
          </cell>
          <cell r="I689">
            <v>1</v>
          </cell>
          <cell r="J689" t="str">
            <v>C.5.7.14</v>
          </cell>
          <cell r="K689" t="str">
            <v>Med Física y Rehabilitación</v>
          </cell>
          <cell r="L689">
            <v>1</v>
          </cell>
          <cell r="M689">
            <v>46003</v>
          </cell>
          <cell r="N689">
            <v>46006</v>
          </cell>
          <cell r="O689">
            <v>1</v>
          </cell>
          <cell r="P689">
            <v>46007</v>
          </cell>
          <cell r="Q689">
            <v>1</v>
          </cell>
          <cell r="R689" t="str">
            <v>NA</v>
          </cell>
          <cell r="S689">
            <v>5</v>
          </cell>
        </row>
        <row r="690">
          <cell r="B690" t="str">
            <v>EMMC</v>
          </cell>
          <cell r="C690" t="str">
            <v>HSLB11527</v>
          </cell>
          <cell r="D690">
            <v>111063</v>
          </cell>
          <cell r="E690" t="str">
            <v>Set Cuñas Estimulación</v>
          </cell>
          <cell r="F690" t="str">
            <v>NO</v>
          </cell>
          <cell r="G690" t="str">
            <v>SI</v>
          </cell>
          <cell r="H690" t="str">
            <v>GIMNASIO ADULTO REHABILITACIÓN CARDIOVASCULAR</v>
          </cell>
          <cell r="I690">
            <v>1</v>
          </cell>
          <cell r="J690" t="str">
            <v>C.5.7.14</v>
          </cell>
          <cell r="K690" t="str">
            <v>Med Física y Rehabilitación</v>
          </cell>
          <cell r="L690">
            <v>1</v>
          </cell>
          <cell r="M690">
            <v>46003</v>
          </cell>
          <cell r="N690">
            <v>46006</v>
          </cell>
          <cell r="O690">
            <v>1</v>
          </cell>
          <cell r="P690">
            <v>46007</v>
          </cell>
          <cell r="Q690">
            <v>1</v>
          </cell>
          <cell r="R690" t="str">
            <v>NA</v>
          </cell>
          <cell r="S690">
            <v>5</v>
          </cell>
        </row>
        <row r="691">
          <cell r="B691" t="str">
            <v>EMMC</v>
          </cell>
          <cell r="C691" t="str">
            <v>HSLB11528</v>
          </cell>
          <cell r="D691">
            <v>111063</v>
          </cell>
          <cell r="E691" t="str">
            <v>Set Cuñas Estimulación</v>
          </cell>
          <cell r="F691" t="str">
            <v>NO</v>
          </cell>
          <cell r="G691" t="str">
            <v>NO</v>
          </cell>
          <cell r="H691" t="str">
            <v>SALA TERÁPIA OCUP. ADULTO E INFANTIL</v>
          </cell>
          <cell r="I691">
            <v>1</v>
          </cell>
          <cell r="J691" t="str">
            <v>C.5.7.19</v>
          </cell>
          <cell r="K691" t="str">
            <v>Med Física y Rehabilitación</v>
          </cell>
          <cell r="L691">
            <v>1</v>
          </cell>
          <cell r="M691">
            <v>46013</v>
          </cell>
          <cell r="N691">
            <v>46014</v>
          </cell>
          <cell r="O691">
            <v>1</v>
          </cell>
          <cell r="P691">
            <v>46015</v>
          </cell>
          <cell r="Q691">
            <v>1</v>
          </cell>
          <cell r="R691" t="str">
            <v>NA</v>
          </cell>
          <cell r="S691">
            <v>5</v>
          </cell>
        </row>
        <row r="692">
          <cell r="B692" t="str">
            <v>EMMC</v>
          </cell>
          <cell r="C692" t="str">
            <v>HSLB11529</v>
          </cell>
          <cell r="D692">
            <v>111064</v>
          </cell>
          <cell r="E692" t="str">
            <v>Set Cuñas Posicionadoras</v>
          </cell>
          <cell r="F692" t="str">
            <v>NO</v>
          </cell>
          <cell r="G692" t="str">
            <v>NO</v>
          </cell>
          <cell r="H692" t="str">
            <v>GIMNASIO PEDIATRICO</v>
          </cell>
          <cell r="I692">
            <v>1</v>
          </cell>
          <cell r="J692" t="str">
            <v>C.5.7.15</v>
          </cell>
          <cell r="K692" t="str">
            <v>Med Física y Rehabilitación</v>
          </cell>
          <cell r="L692">
            <v>1</v>
          </cell>
          <cell r="M692">
            <v>46013</v>
          </cell>
          <cell r="N692">
            <v>46014</v>
          </cell>
          <cell r="O692">
            <v>1</v>
          </cell>
          <cell r="P692">
            <v>46015</v>
          </cell>
          <cell r="Q692">
            <v>1</v>
          </cell>
          <cell r="R692" t="str">
            <v>NA</v>
          </cell>
          <cell r="S692">
            <v>5</v>
          </cell>
        </row>
        <row r="693">
          <cell r="B693" t="str">
            <v>EMMC</v>
          </cell>
          <cell r="C693" t="str">
            <v>HSLB11530</v>
          </cell>
          <cell r="D693">
            <v>111065</v>
          </cell>
          <cell r="E693" t="str">
            <v>Set de Actividades en Vestuario e Higiene Cuerpo Inferior</v>
          </cell>
          <cell r="F693" t="str">
            <v>NO</v>
          </cell>
          <cell r="G693" t="str">
            <v>NO</v>
          </cell>
          <cell r="H693" t="str">
            <v>SALA DE ACTIVDAD DE LA VIDA DIARIA C/BAÑO DE INSTRUCCIÓN</v>
          </cell>
          <cell r="I693">
            <v>1</v>
          </cell>
          <cell r="J693" t="str">
            <v>C.5.7.20</v>
          </cell>
          <cell r="K693" t="str">
            <v>Med Física y Rehabilitación</v>
          </cell>
          <cell r="L693">
            <v>1</v>
          </cell>
          <cell r="M693">
            <v>46013</v>
          </cell>
          <cell r="N693">
            <v>46014</v>
          </cell>
          <cell r="O693">
            <v>1</v>
          </cell>
          <cell r="P693">
            <v>46015</v>
          </cell>
          <cell r="Q693">
            <v>1</v>
          </cell>
          <cell r="R693" t="str">
            <v>NA</v>
          </cell>
          <cell r="S693">
            <v>5</v>
          </cell>
        </row>
        <row r="694">
          <cell r="B694" t="str">
            <v>EMMC</v>
          </cell>
          <cell r="C694" t="str">
            <v>HSLB11535</v>
          </cell>
          <cell r="D694">
            <v>111067</v>
          </cell>
          <cell r="E694" t="str">
            <v>Set de Balones Propiocepción</v>
          </cell>
          <cell r="F694" t="str">
            <v>NO</v>
          </cell>
          <cell r="G694" t="str">
            <v>SI</v>
          </cell>
          <cell r="H694" t="str">
            <v>GIMNASIO ADULTO REHABILITACIÓN CARDIOVASCULAR</v>
          </cell>
          <cell r="I694">
            <v>1</v>
          </cell>
          <cell r="J694" t="str">
            <v>C.5.7.14</v>
          </cell>
          <cell r="K694" t="str">
            <v>Med Física y Rehabilitación</v>
          </cell>
          <cell r="L694">
            <v>1</v>
          </cell>
          <cell r="M694">
            <v>46003</v>
          </cell>
          <cell r="N694">
            <v>46006</v>
          </cell>
          <cell r="O694">
            <v>1</v>
          </cell>
          <cell r="P694">
            <v>46007</v>
          </cell>
          <cell r="Q694">
            <v>1</v>
          </cell>
          <cell r="R694" t="str">
            <v>NA</v>
          </cell>
          <cell r="S694">
            <v>5</v>
          </cell>
        </row>
        <row r="695">
          <cell r="B695" t="str">
            <v>EMMC</v>
          </cell>
          <cell r="C695" t="str">
            <v>HSLB11536</v>
          </cell>
          <cell r="D695">
            <v>111067</v>
          </cell>
          <cell r="E695" t="str">
            <v>Set de Balones Propiocepción</v>
          </cell>
          <cell r="F695" t="str">
            <v>NO</v>
          </cell>
          <cell r="G695" t="str">
            <v>NO</v>
          </cell>
          <cell r="H695" t="str">
            <v>GIMNASIO PEDIATRICO</v>
          </cell>
          <cell r="I695">
            <v>1</v>
          </cell>
          <cell r="J695" t="str">
            <v>C.5.7.15</v>
          </cell>
          <cell r="K695" t="str">
            <v>Med Física y Rehabilitación</v>
          </cell>
          <cell r="L695">
            <v>1</v>
          </cell>
          <cell r="M695">
            <v>46013</v>
          </cell>
          <cell r="N695">
            <v>46014</v>
          </cell>
          <cell r="O695">
            <v>1</v>
          </cell>
          <cell r="P695">
            <v>46015</v>
          </cell>
          <cell r="Q695">
            <v>1</v>
          </cell>
          <cell r="R695" t="str">
            <v>NA</v>
          </cell>
          <cell r="S695">
            <v>5</v>
          </cell>
        </row>
        <row r="696">
          <cell r="B696" t="str">
            <v>EMMC</v>
          </cell>
          <cell r="C696" t="str">
            <v>HSLB12440</v>
          </cell>
          <cell r="D696">
            <v>112072</v>
          </cell>
          <cell r="E696" t="str">
            <v>Set de Bancas Bobath</v>
          </cell>
          <cell r="F696" t="str">
            <v>NO</v>
          </cell>
          <cell r="G696" t="str">
            <v>SI</v>
          </cell>
          <cell r="H696" t="str">
            <v>GIMNASIO ADULTO REHABILITACIÓN CARDIOVASCULAR</v>
          </cell>
          <cell r="I696">
            <v>1</v>
          </cell>
          <cell r="J696" t="str">
            <v>C.5.7.14</v>
          </cell>
          <cell r="K696" t="str">
            <v>Med Física y Rehabilitación</v>
          </cell>
          <cell r="L696">
            <v>1</v>
          </cell>
          <cell r="M696">
            <v>46003</v>
          </cell>
          <cell r="N696">
            <v>46006</v>
          </cell>
          <cell r="O696">
            <v>1</v>
          </cell>
          <cell r="P696">
            <v>46007</v>
          </cell>
          <cell r="Q696">
            <v>1</v>
          </cell>
          <cell r="R696" t="str">
            <v>NA</v>
          </cell>
          <cell r="S696">
            <v>5</v>
          </cell>
        </row>
        <row r="697">
          <cell r="B697" t="str">
            <v>EMMC</v>
          </cell>
          <cell r="C697" t="str">
            <v>HSLB10936</v>
          </cell>
          <cell r="D697">
            <v>106015</v>
          </cell>
          <cell r="E697" t="str">
            <v>Set de Bastones</v>
          </cell>
          <cell r="F697" t="str">
            <v>NO</v>
          </cell>
          <cell r="G697" t="str">
            <v>SI</v>
          </cell>
          <cell r="H697" t="str">
            <v>GIMNASIO ADULTO REHABILITACIÓN CARDIOVASCULAR</v>
          </cell>
          <cell r="I697">
            <v>1</v>
          </cell>
          <cell r="J697" t="str">
            <v>C.5.7.14</v>
          </cell>
          <cell r="K697" t="str">
            <v>Med Física y Rehabilitación</v>
          </cell>
          <cell r="L697">
            <v>1</v>
          </cell>
          <cell r="M697">
            <v>46003</v>
          </cell>
          <cell r="N697">
            <v>46006</v>
          </cell>
          <cell r="O697">
            <v>1</v>
          </cell>
          <cell r="P697">
            <v>46007</v>
          </cell>
          <cell r="Q697">
            <v>1</v>
          </cell>
          <cell r="R697" t="str">
            <v>NA</v>
          </cell>
          <cell r="S697">
            <v>5</v>
          </cell>
        </row>
        <row r="698">
          <cell r="B698" t="str">
            <v>EMMC</v>
          </cell>
          <cell r="C698" t="str">
            <v>HSLB10937</v>
          </cell>
          <cell r="D698">
            <v>106016</v>
          </cell>
          <cell r="E698" t="str">
            <v>Set de Bastones Pediátrico</v>
          </cell>
          <cell r="F698" t="str">
            <v>NO</v>
          </cell>
          <cell r="G698" t="str">
            <v>NO</v>
          </cell>
          <cell r="H698" t="str">
            <v>GIMNASIO PEDIATRICO</v>
          </cell>
          <cell r="I698">
            <v>1</v>
          </cell>
          <cell r="J698" t="str">
            <v>C.5.7.15</v>
          </cell>
          <cell r="K698" t="str">
            <v>Med Física y Rehabilitación</v>
          </cell>
          <cell r="L698">
            <v>1</v>
          </cell>
          <cell r="M698">
            <v>46013</v>
          </cell>
          <cell r="N698">
            <v>46014</v>
          </cell>
          <cell r="O698">
            <v>1</v>
          </cell>
          <cell r="P698">
            <v>46015</v>
          </cell>
          <cell r="Q698">
            <v>1</v>
          </cell>
          <cell r="R698" t="str">
            <v>NA</v>
          </cell>
          <cell r="S698">
            <v>5</v>
          </cell>
        </row>
        <row r="699">
          <cell r="B699" t="str">
            <v>EMMC</v>
          </cell>
          <cell r="C699" t="str">
            <v>HSLB11543</v>
          </cell>
          <cell r="D699">
            <v>111069</v>
          </cell>
          <cell r="E699" t="str">
            <v>Set de Bloqueadores de Rodilla</v>
          </cell>
          <cell r="F699" t="str">
            <v>NO</v>
          </cell>
          <cell r="G699" t="str">
            <v>SI</v>
          </cell>
          <cell r="H699" t="str">
            <v>GIMNASIO ADULTO REHABILITACIÓN CARDIOVASCULAR</v>
          </cell>
          <cell r="I699">
            <v>1</v>
          </cell>
          <cell r="J699" t="str">
            <v>C.5.7.14</v>
          </cell>
          <cell r="K699" t="str">
            <v>Med Física y Rehabilitación</v>
          </cell>
          <cell r="L699">
            <v>1</v>
          </cell>
          <cell r="M699">
            <v>46003</v>
          </cell>
          <cell r="N699">
            <v>46006</v>
          </cell>
          <cell r="O699">
            <v>1</v>
          </cell>
          <cell r="P699">
            <v>46007</v>
          </cell>
          <cell r="Q699">
            <v>1</v>
          </cell>
          <cell r="R699" t="str">
            <v>NA</v>
          </cell>
          <cell r="S699">
            <v>5</v>
          </cell>
        </row>
        <row r="700">
          <cell r="B700" t="str">
            <v>EMMC</v>
          </cell>
          <cell r="C700" t="str">
            <v>HSLB11544</v>
          </cell>
          <cell r="D700">
            <v>111069</v>
          </cell>
          <cell r="E700" t="str">
            <v>Set de Bloqueadores de Rodilla</v>
          </cell>
          <cell r="F700" t="str">
            <v>NO</v>
          </cell>
          <cell r="G700" t="str">
            <v>NO</v>
          </cell>
          <cell r="H700" t="str">
            <v>GIMNASIO PEDIATRICO</v>
          </cell>
          <cell r="I700">
            <v>1</v>
          </cell>
          <cell r="J700" t="str">
            <v>C.5.7.15</v>
          </cell>
          <cell r="K700" t="str">
            <v>Med Física y Rehabilitación</v>
          </cell>
          <cell r="L700">
            <v>1</v>
          </cell>
          <cell r="M700">
            <v>46013</v>
          </cell>
          <cell r="N700">
            <v>46014</v>
          </cell>
          <cell r="O700">
            <v>1</v>
          </cell>
          <cell r="P700">
            <v>46015</v>
          </cell>
          <cell r="Q700">
            <v>1</v>
          </cell>
          <cell r="R700" t="str">
            <v>NA</v>
          </cell>
          <cell r="S700">
            <v>5</v>
          </cell>
        </row>
        <row r="701">
          <cell r="B701" t="str">
            <v>EMMC</v>
          </cell>
          <cell r="C701" t="str">
            <v>HSLB11545</v>
          </cell>
          <cell r="D701">
            <v>111070</v>
          </cell>
          <cell r="E701" t="str">
            <v>Set de Cajones de Madera</v>
          </cell>
          <cell r="F701" t="str">
            <v>NO</v>
          </cell>
          <cell r="G701" t="str">
            <v>NO</v>
          </cell>
          <cell r="H701" t="str">
            <v>GIMNASIO PEDIATRICO</v>
          </cell>
          <cell r="I701">
            <v>1</v>
          </cell>
          <cell r="J701" t="str">
            <v>C.5.7.15</v>
          </cell>
          <cell r="K701" t="str">
            <v>Med Física y Rehabilitación</v>
          </cell>
          <cell r="L701">
            <v>1</v>
          </cell>
          <cell r="M701">
            <v>46013</v>
          </cell>
          <cell r="N701">
            <v>46014</v>
          </cell>
          <cell r="O701">
            <v>1</v>
          </cell>
          <cell r="P701">
            <v>46015</v>
          </cell>
          <cell r="Q701">
            <v>1</v>
          </cell>
          <cell r="R701" t="str">
            <v>NA</v>
          </cell>
          <cell r="S701">
            <v>5</v>
          </cell>
        </row>
        <row r="702">
          <cell r="B702" t="str">
            <v>EMMC</v>
          </cell>
          <cell r="C702" t="str">
            <v>HSLB11552</v>
          </cell>
          <cell r="D702">
            <v>111072</v>
          </cell>
          <cell r="E702" t="str">
            <v>Set de Colchonetas Rehabilitación</v>
          </cell>
          <cell r="F702" t="str">
            <v>NO</v>
          </cell>
          <cell r="G702" t="str">
            <v>SI</v>
          </cell>
          <cell r="H702" t="str">
            <v>GIMNASIO ADULTO REHABILITACIÓN CARDIOVASCULAR</v>
          </cell>
          <cell r="I702">
            <v>1</v>
          </cell>
          <cell r="J702" t="str">
            <v>C.5.7.14</v>
          </cell>
          <cell r="K702" t="str">
            <v>Med Física y Rehabilitación</v>
          </cell>
          <cell r="L702">
            <v>1</v>
          </cell>
          <cell r="M702">
            <v>46003</v>
          </cell>
          <cell r="N702">
            <v>46006</v>
          </cell>
          <cell r="O702">
            <v>1</v>
          </cell>
          <cell r="P702">
            <v>46007</v>
          </cell>
          <cell r="Q702">
            <v>1</v>
          </cell>
          <cell r="R702" t="str">
            <v>NA</v>
          </cell>
          <cell r="S702">
            <v>5</v>
          </cell>
        </row>
        <row r="703">
          <cell r="B703" t="str">
            <v>EMMC</v>
          </cell>
          <cell r="C703" t="str">
            <v>HSLB11553</v>
          </cell>
          <cell r="D703">
            <v>111073</v>
          </cell>
          <cell r="E703" t="str">
            <v>Set de Compresas Frío/Calientes</v>
          </cell>
          <cell r="F703" t="str">
            <v>NO</v>
          </cell>
          <cell r="G703" t="str">
            <v>SI</v>
          </cell>
          <cell r="H703" t="str">
            <v>GIMNASIO ADULTO REHABILITACIÓN CARDIOVASCULAR</v>
          </cell>
          <cell r="I703">
            <v>1</v>
          </cell>
          <cell r="J703" t="str">
            <v>C.5.7.14</v>
          </cell>
          <cell r="K703" t="str">
            <v>Med Física y Rehabilitación</v>
          </cell>
          <cell r="L703">
            <v>1</v>
          </cell>
          <cell r="M703">
            <v>46003</v>
          </cell>
          <cell r="N703">
            <v>46006</v>
          </cell>
          <cell r="O703">
            <v>1</v>
          </cell>
          <cell r="P703">
            <v>46007</v>
          </cell>
          <cell r="Q703">
            <v>1</v>
          </cell>
          <cell r="R703" t="str">
            <v>NA</v>
          </cell>
          <cell r="S703">
            <v>5</v>
          </cell>
        </row>
        <row r="704">
          <cell r="B704" t="str">
            <v>EMMC</v>
          </cell>
          <cell r="C704" t="str">
            <v>HSLB10938</v>
          </cell>
          <cell r="D704">
            <v>106017</v>
          </cell>
          <cell r="E704" t="str">
            <v>Set de Electrodomésticos</v>
          </cell>
          <cell r="F704" t="str">
            <v>NO</v>
          </cell>
          <cell r="G704" t="str">
            <v>NO</v>
          </cell>
          <cell r="H704" t="str">
            <v>SALA DE ACTIVDAD DE LA VIDA DIARIA C/BAÑO DE INSTRUCCIÓN</v>
          </cell>
          <cell r="I704">
            <v>1</v>
          </cell>
          <cell r="J704" t="str">
            <v>C.5.7.20</v>
          </cell>
          <cell r="K704" t="str">
            <v>Med Física y Rehabilitación</v>
          </cell>
          <cell r="L704">
            <v>1</v>
          </cell>
          <cell r="M704">
            <v>46013</v>
          </cell>
          <cell r="N704">
            <v>46014</v>
          </cell>
          <cell r="O704">
            <v>1</v>
          </cell>
          <cell r="P704">
            <v>46015</v>
          </cell>
          <cell r="Q704">
            <v>1</v>
          </cell>
          <cell r="R704" t="str">
            <v>NA</v>
          </cell>
          <cell r="S704">
            <v>5</v>
          </cell>
        </row>
        <row r="705">
          <cell r="B705" t="str">
            <v>EMMC</v>
          </cell>
          <cell r="C705" t="str">
            <v>HSLB11554</v>
          </cell>
          <cell r="D705">
            <v>111074</v>
          </cell>
          <cell r="E705" t="str">
            <v>Set de Equilibrio</v>
          </cell>
          <cell r="F705" t="str">
            <v>NO</v>
          </cell>
          <cell r="G705" t="str">
            <v>NO</v>
          </cell>
          <cell r="H705" t="str">
            <v>GIMNASIO PEDIATRICO</v>
          </cell>
          <cell r="I705">
            <v>1</v>
          </cell>
          <cell r="J705" t="str">
            <v>C.5.7.15</v>
          </cell>
          <cell r="K705" t="str">
            <v>Med Física y Rehabilitación</v>
          </cell>
          <cell r="L705">
            <v>1</v>
          </cell>
          <cell r="M705">
            <v>46013</v>
          </cell>
          <cell r="N705">
            <v>46014</v>
          </cell>
          <cell r="O705">
            <v>1</v>
          </cell>
          <cell r="P705">
            <v>46015</v>
          </cell>
          <cell r="Q705">
            <v>1</v>
          </cell>
          <cell r="R705" t="str">
            <v>NA</v>
          </cell>
          <cell r="S705">
            <v>5</v>
          </cell>
        </row>
        <row r="706">
          <cell r="B706" t="str">
            <v>EMMC</v>
          </cell>
          <cell r="C706" t="str">
            <v>HSLB11555</v>
          </cell>
          <cell r="D706">
            <v>111075</v>
          </cell>
          <cell r="E706" t="str">
            <v>Set de Equipos de Cocina</v>
          </cell>
          <cell r="F706" t="str">
            <v>NO</v>
          </cell>
          <cell r="G706" t="str">
            <v>NO</v>
          </cell>
          <cell r="H706" t="str">
            <v>SALA DE ACTIVDAD DE LA VIDA DIARIA C/BAÑO DE INSTRUCCIÓN</v>
          </cell>
          <cell r="I706">
            <v>1</v>
          </cell>
          <cell r="J706" t="str">
            <v>C.5.7.20</v>
          </cell>
          <cell r="K706" t="str">
            <v>Med Física y Rehabilitación</v>
          </cell>
          <cell r="L706">
            <v>1</v>
          </cell>
          <cell r="M706">
            <v>46013</v>
          </cell>
          <cell r="N706">
            <v>46014</v>
          </cell>
          <cell r="O706">
            <v>1</v>
          </cell>
          <cell r="P706">
            <v>46015</v>
          </cell>
          <cell r="Q706">
            <v>1</v>
          </cell>
          <cell r="R706" t="str">
            <v>NA</v>
          </cell>
          <cell r="S706">
            <v>5</v>
          </cell>
        </row>
        <row r="707">
          <cell r="B707" t="str">
            <v>EMMC</v>
          </cell>
          <cell r="C707" t="str">
            <v>HSLB11556</v>
          </cell>
          <cell r="D707">
            <v>111076</v>
          </cell>
          <cell r="E707" t="str">
            <v>Set de Espejo Laríngeo</v>
          </cell>
          <cell r="F707" t="str">
            <v>NO</v>
          </cell>
          <cell r="G707" t="str">
            <v>NO</v>
          </cell>
          <cell r="H707" t="str">
            <v>BOX INDIFERENCIADO (FONOAUDIO Y TERAPIA OCU)(1)</v>
          </cell>
          <cell r="I707">
            <v>1</v>
          </cell>
          <cell r="J707" t="str">
            <v>C.5.7.5.1</v>
          </cell>
          <cell r="K707" t="str">
            <v>Med Física y Rehabilitación</v>
          </cell>
          <cell r="L707">
            <v>1</v>
          </cell>
          <cell r="M707">
            <v>46013</v>
          </cell>
          <cell r="N707">
            <v>46014</v>
          </cell>
          <cell r="O707">
            <v>1</v>
          </cell>
          <cell r="P707">
            <v>46015</v>
          </cell>
          <cell r="Q707">
            <v>1</v>
          </cell>
          <cell r="R707" t="str">
            <v>NA</v>
          </cell>
          <cell r="S707">
            <v>5</v>
          </cell>
        </row>
        <row r="708">
          <cell r="B708" t="str">
            <v>EMMC</v>
          </cell>
          <cell r="C708" t="str">
            <v>HSLB11557</v>
          </cell>
          <cell r="D708">
            <v>111076</v>
          </cell>
          <cell r="E708" t="str">
            <v>Set de Espejo Laríngeo</v>
          </cell>
          <cell r="F708" t="str">
            <v>NO</v>
          </cell>
          <cell r="G708" t="str">
            <v>NO</v>
          </cell>
          <cell r="H708" t="str">
            <v>BOX FONOAUDIO PEDIATRICO</v>
          </cell>
          <cell r="I708">
            <v>1</v>
          </cell>
          <cell r="J708" t="str">
            <v>C.5.7.5.2.1</v>
          </cell>
          <cell r="K708" t="str">
            <v>Med Física y Rehabilitación</v>
          </cell>
          <cell r="L708">
            <v>1</v>
          </cell>
          <cell r="M708">
            <v>46013</v>
          </cell>
          <cell r="N708">
            <v>46014</v>
          </cell>
          <cell r="O708">
            <v>1</v>
          </cell>
          <cell r="P708">
            <v>46015</v>
          </cell>
          <cell r="Q708">
            <v>1</v>
          </cell>
          <cell r="R708" t="str">
            <v>NA</v>
          </cell>
          <cell r="S708">
            <v>5</v>
          </cell>
        </row>
        <row r="709">
          <cell r="B709" t="str">
            <v>EMMC</v>
          </cell>
          <cell r="C709" t="str">
            <v>HSLB11558</v>
          </cell>
          <cell r="D709">
            <v>111077</v>
          </cell>
          <cell r="E709" t="str">
            <v>Set de Evaluación y Estimulación Sensoriomotora</v>
          </cell>
          <cell r="F709" t="str">
            <v>NO</v>
          </cell>
          <cell r="G709" t="str">
            <v>SI</v>
          </cell>
          <cell r="H709" t="str">
            <v>GIMNASIO ADULTO REHABILITACIÓN CARDIOVASCULAR</v>
          </cell>
          <cell r="I709">
            <v>1</v>
          </cell>
          <cell r="J709" t="str">
            <v>C.5.7.14</v>
          </cell>
          <cell r="K709" t="str">
            <v>Med Física y Rehabilitación</v>
          </cell>
          <cell r="L709">
            <v>1</v>
          </cell>
          <cell r="M709">
            <v>46003</v>
          </cell>
          <cell r="N709">
            <v>46006</v>
          </cell>
          <cell r="O709">
            <v>1</v>
          </cell>
          <cell r="P709">
            <v>46007</v>
          </cell>
          <cell r="Q709">
            <v>1</v>
          </cell>
          <cell r="R709" t="str">
            <v>NA</v>
          </cell>
          <cell r="S709">
            <v>5</v>
          </cell>
        </row>
        <row r="710">
          <cell r="B710" t="str">
            <v>EMMC</v>
          </cell>
          <cell r="C710" t="str">
            <v>HSLB11559</v>
          </cell>
          <cell r="D710">
            <v>111078</v>
          </cell>
          <cell r="E710" t="str">
            <v>Set de Herramientas Órtesis</v>
          </cell>
          <cell r="F710" t="str">
            <v>NO</v>
          </cell>
          <cell r="G710" t="str">
            <v>NO</v>
          </cell>
          <cell r="H710" t="str">
            <v>TALLER DE ÓRTESIS (MUEBLE)</v>
          </cell>
          <cell r="I710">
            <v>1</v>
          </cell>
          <cell r="J710" t="str">
            <v>C.5.7.29</v>
          </cell>
          <cell r="K710" t="str">
            <v>Med Física y Rehabilitación</v>
          </cell>
          <cell r="L710">
            <v>1</v>
          </cell>
          <cell r="M710">
            <v>46013</v>
          </cell>
          <cell r="N710">
            <v>46014</v>
          </cell>
          <cell r="O710">
            <v>1</v>
          </cell>
          <cell r="P710">
            <v>46015</v>
          </cell>
          <cell r="Q710">
            <v>1</v>
          </cell>
          <cell r="R710" t="str">
            <v>NA</v>
          </cell>
          <cell r="S710">
            <v>5</v>
          </cell>
        </row>
        <row r="711">
          <cell r="B711" t="str">
            <v>EMMC</v>
          </cell>
          <cell r="C711" t="str">
            <v>HSLB12442</v>
          </cell>
          <cell r="D711">
            <v>106025</v>
          </cell>
          <cell r="E711" t="str">
            <v>Set de Inmovilizadores</v>
          </cell>
          <cell r="F711" t="str">
            <v>NO</v>
          </cell>
          <cell r="G711" t="str">
            <v>NO</v>
          </cell>
          <cell r="H711" t="str">
            <v>BOX REANIMACIÓN ADULTO</v>
          </cell>
          <cell r="I711">
            <v>1</v>
          </cell>
          <cell r="J711" t="str">
            <v>C.4.3.12.1</v>
          </cell>
          <cell r="K711" t="str">
            <v>Urgencia</v>
          </cell>
          <cell r="L711">
            <v>1</v>
          </cell>
          <cell r="M711">
            <v>46003</v>
          </cell>
          <cell r="N711">
            <v>46006</v>
          </cell>
          <cell r="O711">
            <v>1</v>
          </cell>
          <cell r="P711">
            <v>46007</v>
          </cell>
          <cell r="Q711">
            <v>1</v>
          </cell>
          <cell r="R711" t="str">
            <v>NA</v>
          </cell>
          <cell r="S711">
            <v>5</v>
          </cell>
        </row>
        <row r="712">
          <cell r="B712" t="str">
            <v>EMMC</v>
          </cell>
          <cell r="C712" t="str">
            <v>HSLB12443</v>
          </cell>
          <cell r="D712">
            <v>106025</v>
          </cell>
          <cell r="E712" t="str">
            <v>Set de Inmovilizadores</v>
          </cell>
          <cell r="F712" t="str">
            <v>NO</v>
          </cell>
          <cell r="G712" t="str">
            <v>NO</v>
          </cell>
          <cell r="H712" t="str">
            <v>BOX REANIMACIÓN ADULTO</v>
          </cell>
          <cell r="I712">
            <v>1</v>
          </cell>
          <cell r="J712" t="str">
            <v>C.4.3.12.2</v>
          </cell>
          <cell r="K712" t="str">
            <v>Urgencia</v>
          </cell>
          <cell r="L712">
            <v>1</v>
          </cell>
          <cell r="M712">
            <v>46003</v>
          </cell>
          <cell r="N712">
            <v>46006</v>
          </cell>
          <cell r="O712">
            <v>1</v>
          </cell>
          <cell r="P712">
            <v>46007</v>
          </cell>
          <cell r="Q712">
            <v>1</v>
          </cell>
          <cell r="R712" t="str">
            <v>NA</v>
          </cell>
          <cell r="S712">
            <v>5</v>
          </cell>
        </row>
        <row r="713">
          <cell r="B713" t="str">
            <v>EMMC</v>
          </cell>
          <cell r="C713" t="str">
            <v>HSLB12444</v>
          </cell>
          <cell r="D713">
            <v>106025</v>
          </cell>
          <cell r="E713" t="str">
            <v>Set de Inmovilizadores</v>
          </cell>
          <cell r="F713" t="str">
            <v>NO</v>
          </cell>
          <cell r="G713" t="str">
            <v>NO</v>
          </cell>
          <cell r="H713" t="str">
            <v>BOX REANIMACIÓN INFANTIL</v>
          </cell>
          <cell r="I713">
            <v>1</v>
          </cell>
          <cell r="J713" t="str">
            <v>C.4.4.12</v>
          </cell>
          <cell r="K713" t="str">
            <v>Urgencia</v>
          </cell>
          <cell r="L713">
            <v>1</v>
          </cell>
          <cell r="M713">
            <v>46003</v>
          </cell>
          <cell r="N713">
            <v>46006</v>
          </cell>
          <cell r="O713">
            <v>1</v>
          </cell>
          <cell r="P713">
            <v>46007</v>
          </cell>
          <cell r="Q713">
            <v>1</v>
          </cell>
          <cell r="R713" t="str">
            <v>NA</v>
          </cell>
          <cell r="S713">
            <v>5</v>
          </cell>
        </row>
        <row r="714">
          <cell r="B714" t="str">
            <v>EMMC</v>
          </cell>
          <cell r="C714" t="str">
            <v>HSLB11564</v>
          </cell>
          <cell r="D714">
            <v>111080</v>
          </cell>
          <cell r="E714" t="str">
            <v>Set de Pesas Autoadhesivas</v>
          </cell>
          <cell r="F714" t="str">
            <v>NO</v>
          </cell>
          <cell r="G714" t="str">
            <v>SI</v>
          </cell>
          <cell r="H714" t="str">
            <v>GIMNASIO ADULTO REHABILITACIÓN CARDIOVASCULAR</v>
          </cell>
          <cell r="I714">
            <v>1</v>
          </cell>
          <cell r="J714" t="str">
            <v>C.5.7.14</v>
          </cell>
          <cell r="K714" t="str">
            <v>Med Física y Rehabilitación</v>
          </cell>
          <cell r="L714">
            <v>1</v>
          </cell>
          <cell r="M714">
            <v>46003</v>
          </cell>
          <cell r="N714">
            <v>46006</v>
          </cell>
          <cell r="O714">
            <v>1</v>
          </cell>
          <cell r="P714">
            <v>46007</v>
          </cell>
          <cell r="Q714">
            <v>1</v>
          </cell>
          <cell r="R714" t="str">
            <v>NA</v>
          </cell>
          <cell r="S714">
            <v>5</v>
          </cell>
        </row>
        <row r="715">
          <cell r="B715" t="str">
            <v>EMMC</v>
          </cell>
          <cell r="C715" t="str">
            <v>HSLB11565</v>
          </cell>
          <cell r="D715">
            <v>111081</v>
          </cell>
          <cell r="E715" t="str">
            <v>Set de Pinzas (Get a Grip)</v>
          </cell>
          <cell r="F715" t="str">
            <v>NO</v>
          </cell>
          <cell r="G715" t="str">
            <v>SI</v>
          </cell>
          <cell r="H715" t="str">
            <v>GIMNASIO ADULTO REHABILITACIÓN CARDIOVASCULAR</v>
          </cell>
          <cell r="I715">
            <v>1</v>
          </cell>
          <cell r="J715" t="str">
            <v>C.5.7.14</v>
          </cell>
          <cell r="K715" t="str">
            <v>Med Física y Rehabilitación</v>
          </cell>
          <cell r="L715">
            <v>1</v>
          </cell>
          <cell r="M715">
            <v>46003</v>
          </cell>
          <cell r="N715">
            <v>46006</v>
          </cell>
          <cell r="O715">
            <v>1</v>
          </cell>
          <cell r="P715">
            <v>46007</v>
          </cell>
          <cell r="Q715">
            <v>1</v>
          </cell>
          <cell r="R715" t="str">
            <v>NA</v>
          </cell>
          <cell r="S715">
            <v>5</v>
          </cell>
        </row>
        <row r="716">
          <cell r="B716" t="str">
            <v>EMMC</v>
          </cell>
          <cell r="C716" t="str">
            <v>HSLB11570</v>
          </cell>
          <cell r="D716">
            <v>111083</v>
          </cell>
          <cell r="E716" t="str">
            <v>Set de Rodilleras</v>
          </cell>
          <cell r="F716" t="str">
            <v>NO</v>
          </cell>
          <cell r="G716" t="str">
            <v>SI</v>
          </cell>
          <cell r="H716" t="str">
            <v>GIMNASIO ADULTO REHABILITACIÓN CARDIOVASCULAR</v>
          </cell>
          <cell r="I716">
            <v>1</v>
          </cell>
          <cell r="J716" t="str">
            <v>C.5.7.14</v>
          </cell>
          <cell r="K716" t="str">
            <v>Med Física y Rehabilitación</v>
          </cell>
          <cell r="L716">
            <v>1</v>
          </cell>
          <cell r="M716">
            <v>46003</v>
          </cell>
          <cell r="N716">
            <v>46006</v>
          </cell>
          <cell r="O716">
            <v>1</v>
          </cell>
          <cell r="P716">
            <v>46007</v>
          </cell>
          <cell r="Q716">
            <v>1</v>
          </cell>
          <cell r="R716" t="str">
            <v>NA</v>
          </cell>
          <cell r="S716">
            <v>5</v>
          </cell>
        </row>
        <row r="717">
          <cell r="B717" t="str">
            <v>EMMC</v>
          </cell>
          <cell r="C717" t="str">
            <v>HSLB11571</v>
          </cell>
          <cell r="D717">
            <v>111084</v>
          </cell>
          <cell r="E717" t="str">
            <v>Set de Rollos Terapéuticos</v>
          </cell>
          <cell r="F717" t="str">
            <v>NO</v>
          </cell>
          <cell r="G717" t="str">
            <v>NO</v>
          </cell>
          <cell r="H717" t="str">
            <v>GIMNASIO PEDIATRICO</v>
          </cell>
          <cell r="I717">
            <v>1</v>
          </cell>
          <cell r="J717" t="str">
            <v>C.5.7.15</v>
          </cell>
          <cell r="K717" t="str">
            <v>Med Física y Rehabilitación</v>
          </cell>
          <cell r="L717">
            <v>1</v>
          </cell>
          <cell r="M717">
            <v>46013</v>
          </cell>
          <cell r="N717">
            <v>46014</v>
          </cell>
          <cell r="O717">
            <v>1</v>
          </cell>
          <cell r="P717">
            <v>46015</v>
          </cell>
          <cell r="Q717">
            <v>1</v>
          </cell>
          <cell r="R717" t="str">
            <v>NA</v>
          </cell>
          <cell r="S717">
            <v>5</v>
          </cell>
        </row>
        <row r="718">
          <cell r="B718" t="str">
            <v>EMMC</v>
          </cell>
          <cell r="C718" t="str">
            <v>HSLB12445</v>
          </cell>
          <cell r="D718">
            <v>112075</v>
          </cell>
          <cell r="E718" t="str">
            <v>Set de Sillas de Ruedas</v>
          </cell>
          <cell r="F718" t="str">
            <v>NO</v>
          </cell>
          <cell r="G718" t="str">
            <v>SI</v>
          </cell>
          <cell r="H718" t="str">
            <v>GIMNASIO ADULTO REHABILITACIÓN CARDIOVASCULAR</v>
          </cell>
          <cell r="I718">
            <v>1</v>
          </cell>
          <cell r="J718" t="str">
            <v>C.5.7.14</v>
          </cell>
          <cell r="K718" t="str">
            <v>Med Física y Rehabilitación</v>
          </cell>
          <cell r="L718">
            <v>1</v>
          </cell>
          <cell r="M718">
            <v>46003</v>
          </cell>
          <cell r="N718">
            <v>46006</v>
          </cell>
          <cell r="O718">
            <v>1</v>
          </cell>
          <cell r="P718">
            <v>46007</v>
          </cell>
          <cell r="Q718">
            <v>1</v>
          </cell>
          <cell r="R718" t="str">
            <v>NA</v>
          </cell>
          <cell r="S718">
            <v>5</v>
          </cell>
        </row>
        <row r="719">
          <cell r="B719" t="str">
            <v>EMMC</v>
          </cell>
          <cell r="C719" t="str">
            <v>HSLB11573</v>
          </cell>
          <cell r="D719">
            <v>111086</v>
          </cell>
          <cell r="E719" t="str">
            <v>Set de utensilios de cocina</v>
          </cell>
          <cell r="F719" t="str">
            <v>NO</v>
          </cell>
          <cell r="G719" t="str">
            <v>NO</v>
          </cell>
          <cell r="H719" t="str">
            <v>SALA DE ACTIVDAD DE LA VIDA DIARIA C/BAÑO DE INSTRUCCIÓN</v>
          </cell>
          <cell r="I719">
            <v>1</v>
          </cell>
          <cell r="J719" t="str">
            <v>C.5.7.20</v>
          </cell>
          <cell r="K719" t="str">
            <v>Med Física y Rehabilitación</v>
          </cell>
          <cell r="L719">
            <v>1</v>
          </cell>
          <cell r="M719">
            <v>46013</v>
          </cell>
          <cell r="N719">
            <v>46014</v>
          </cell>
          <cell r="O719">
            <v>1</v>
          </cell>
          <cell r="P719">
            <v>46015</v>
          </cell>
          <cell r="Q719">
            <v>1</v>
          </cell>
          <cell r="R719" t="str">
            <v>NA</v>
          </cell>
          <cell r="S719">
            <v>5</v>
          </cell>
        </row>
        <row r="720">
          <cell r="B720" t="str">
            <v>EMMC</v>
          </cell>
          <cell r="C720" t="str">
            <v>HSLB11574</v>
          </cell>
          <cell r="D720">
            <v>111087</v>
          </cell>
          <cell r="E720" t="str">
            <v>Set Ejercitador de Mano</v>
          </cell>
          <cell r="F720" t="str">
            <v>NO</v>
          </cell>
          <cell r="G720" t="str">
            <v>SI</v>
          </cell>
          <cell r="H720" t="str">
            <v>GIMNASIO ADULTO REHABILITACIÓN CARDIOVASCULAR</v>
          </cell>
          <cell r="I720">
            <v>1</v>
          </cell>
          <cell r="J720" t="str">
            <v>C.5.7.14</v>
          </cell>
          <cell r="K720" t="str">
            <v>Med Física y Rehabilitación</v>
          </cell>
          <cell r="L720">
            <v>1</v>
          </cell>
          <cell r="M720">
            <v>46003</v>
          </cell>
          <cell r="N720">
            <v>46006</v>
          </cell>
          <cell r="O720">
            <v>1</v>
          </cell>
          <cell r="P720">
            <v>46007</v>
          </cell>
          <cell r="Q720">
            <v>1</v>
          </cell>
          <cell r="R720" t="str">
            <v>NA</v>
          </cell>
          <cell r="S720">
            <v>5</v>
          </cell>
        </row>
        <row r="721">
          <cell r="B721" t="str">
            <v>EMMC</v>
          </cell>
          <cell r="C721" t="str">
            <v>HSLB11575</v>
          </cell>
          <cell r="D721">
            <v>111088</v>
          </cell>
          <cell r="E721" t="str">
            <v>Set Evaluación Alimentación</v>
          </cell>
          <cell r="F721" t="str">
            <v>NO</v>
          </cell>
          <cell r="G721" t="str">
            <v>NO</v>
          </cell>
          <cell r="H721" t="str">
            <v>SALA DE ACTIVDAD DE LA VIDA DIARIA C/BAÑO DE INSTRUCCIÓN</v>
          </cell>
          <cell r="I721">
            <v>1</v>
          </cell>
          <cell r="J721" t="str">
            <v>C.5.7.20</v>
          </cell>
          <cell r="K721" t="str">
            <v>Med Física y Rehabilitación</v>
          </cell>
          <cell r="L721">
            <v>1</v>
          </cell>
          <cell r="M721">
            <v>46013</v>
          </cell>
          <cell r="N721">
            <v>46014</v>
          </cell>
          <cell r="O721">
            <v>1</v>
          </cell>
          <cell r="P721">
            <v>46015</v>
          </cell>
          <cell r="Q721">
            <v>1</v>
          </cell>
          <cell r="R721" t="str">
            <v>NA</v>
          </cell>
          <cell r="S721">
            <v>5</v>
          </cell>
        </row>
        <row r="722">
          <cell r="B722" t="str">
            <v>EMMC</v>
          </cell>
          <cell r="C722" t="str">
            <v>HSLB11576</v>
          </cell>
          <cell r="D722">
            <v>111089</v>
          </cell>
          <cell r="E722" t="str">
            <v>Set Evaluación Cognitiva</v>
          </cell>
          <cell r="F722" t="str">
            <v>NO</v>
          </cell>
          <cell r="G722" t="str">
            <v>NO</v>
          </cell>
          <cell r="H722" t="str">
            <v>SALA DE TERAPIA GRUPAL (12 MAX)</v>
          </cell>
          <cell r="I722">
            <v>1</v>
          </cell>
          <cell r="J722" t="str">
            <v>C.5.7.18</v>
          </cell>
          <cell r="K722" t="str">
            <v>Med Física y Rehabilitación</v>
          </cell>
          <cell r="L722">
            <v>1</v>
          </cell>
          <cell r="M722">
            <v>46013</v>
          </cell>
          <cell r="N722">
            <v>46014</v>
          </cell>
          <cell r="O722">
            <v>1</v>
          </cell>
          <cell r="P722">
            <v>46015</v>
          </cell>
          <cell r="Q722">
            <v>1</v>
          </cell>
          <cell r="R722" t="str">
            <v>NA</v>
          </cell>
          <cell r="S722">
            <v>5</v>
          </cell>
        </row>
        <row r="723">
          <cell r="B723" t="str">
            <v>EMMC</v>
          </cell>
          <cell r="C723" t="str">
            <v>HSLB11577</v>
          </cell>
          <cell r="D723">
            <v>111090</v>
          </cell>
          <cell r="E723" t="str">
            <v>Set Evaluación Marianne Frostig</v>
          </cell>
          <cell r="F723" t="str">
            <v>NO</v>
          </cell>
          <cell r="G723" t="str">
            <v>NO</v>
          </cell>
          <cell r="H723" t="str">
            <v>GIMNASIO TERAPIA OCUPACIONAL PEDIATRICO</v>
          </cell>
          <cell r="I723">
            <v>1</v>
          </cell>
          <cell r="J723" t="str">
            <v>C.5.7.15.1</v>
          </cell>
          <cell r="K723" t="str">
            <v>Med Física y Rehabilitación</v>
          </cell>
          <cell r="L723">
            <v>1</v>
          </cell>
          <cell r="M723">
            <v>46013</v>
          </cell>
          <cell r="N723">
            <v>46014</v>
          </cell>
          <cell r="O723">
            <v>1</v>
          </cell>
          <cell r="P723">
            <v>46015</v>
          </cell>
          <cell r="Q723">
            <v>1</v>
          </cell>
          <cell r="R723" t="str">
            <v>NA</v>
          </cell>
          <cell r="S723">
            <v>5</v>
          </cell>
        </row>
        <row r="724">
          <cell r="B724" t="str">
            <v>EMMC</v>
          </cell>
          <cell r="C724" t="str">
            <v>HSLB11578</v>
          </cell>
          <cell r="D724">
            <v>111091</v>
          </cell>
          <cell r="E724" t="str">
            <v>Set Goniómetro</v>
          </cell>
          <cell r="F724" t="str">
            <v>NO</v>
          </cell>
          <cell r="G724" t="str">
            <v>SI</v>
          </cell>
          <cell r="H724" t="str">
            <v>GIMNASIO ADULTO REHABILITACIÓN CARDIOVASCULAR</v>
          </cell>
          <cell r="I724">
            <v>1</v>
          </cell>
          <cell r="J724" t="str">
            <v>C.5.7.14</v>
          </cell>
          <cell r="K724" t="str">
            <v>Med Física y Rehabilitación</v>
          </cell>
          <cell r="L724">
            <v>1</v>
          </cell>
          <cell r="M724">
            <v>46003</v>
          </cell>
          <cell r="N724">
            <v>46006</v>
          </cell>
          <cell r="O724">
            <v>1</v>
          </cell>
          <cell r="P724">
            <v>46007</v>
          </cell>
          <cell r="Q724">
            <v>1</v>
          </cell>
          <cell r="R724" t="str">
            <v>NA</v>
          </cell>
          <cell r="S724">
            <v>5</v>
          </cell>
        </row>
        <row r="725">
          <cell r="B725" t="str">
            <v>EMMC</v>
          </cell>
          <cell r="C725" t="str">
            <v>HSLB11581</v>
          </cell>
          <cell r="D725">
            <v>111093</v>
          </cell>
          <cell r="E725" t="str">
            <v>Set Mancuernas</v>
          </cell>
          <cell r="F725" t="str">
            <v>NO</v>
          </cell>
          <cell r="G725" t="str">
            <v>SI</v>
          </cell>
          <cell r="H725" t="str">
            <v>GIMNASIO ADULTO REHABILITACIÓN CARDIOVASCULAR</v>
          </cell>
          <cell r="I725">
            <v>1</v>
          </cell>
          <cell r="J725" t="str">
            <v>C.5.7.14</v>
          </cell>
          <cell r="K725" t="str">
            <v>Med Física y Rehabilitación</v>
          </cell>
          <cell r="L725">
            <v>1</v>
          </cell>
          <cell r="M725">
            <v>46003</v>
          </cell>
          <cell r="N725">
            <v>46006</v>
          </cell>
          <cell r="O725">
            <v>1</v>
          </cell>
          <cell r="P725">
            <v>46007</v>
          </cell>
          <cell r="Q725">
            <v>1</v>
          </cell>
          <cell r="R725" t="str">
            <v>NA</v>
          </cell>
          <cell r="S725">
            <v>5</v>
          </cell>
        </row>
        <row r="726">
          <cell r="B726" t="str">
            <v>EMMC</v>
          </cell>
          <cell r="C726" t="str">
            <v>HSLB11583</v>
          </cell>
          <cell r="D726">
            <v>111094</v>
          </cell>
          <cell r="E726" t="str">
            <v>Set Masas Terapéuticas</v>
          </cell>
          <cell r="F726" t="str">
            <v>NO</v>
          </cell>
          <cell r="G726" t="str">
            <v>NO</v>
          </cell>
          <cell r="H726" t="str">
            <v>SALA TERÁPIA OCUP. ADULTO E INFANTIL</v>
          </cell>
          <cell r="I726">
            <v>1</v>
          </cell>
          <cell r="J726" t="str">
            <v>C.5.7.19</v>
          </cell>
          <cell r="K726" t="str">
            <v>Med Física y Rehabilitación</v>
          </cell>
          <cell r="L726">
            <v>1</v>
          </cell>
          <cell r="M726">
            <v>46013</v>
          </cell>
          <cell r="N726">
            <v>46014</v>
          </cell>
          <cell r="O726">
            <v>1</v>
          </cell>
          <cell r="P726">
            <v>46015</v>
          </cell>
          <cell r="Q726">
            <v>1</v>
          </cell>
          <cell r="R726" t="str">
            <v>NA</v>
          </cell>
          <cell r="S726">
            <v>5</v>
          </cell>
        </row>
        <row r="727">
          <cell r="B727" t="str">
            <v>EMMC</v>
          </cell>
          <cell r="C727" t="str">
            <v>HSLB11584</v>
          </cell>
          <cell r="D727">
            <v>111095</v>
          </cell>
          <cell r="E727" t="str">
            <v>Set Tablero de Habilidades</v>
          </cell>
          <cell r="F727" t="str">
            <v>NO</v>
          </cell>
          <cell r="G727" t="str">
            <v>SI</v>
          </cell>
          <cell r="H727" t="str">
            <v>GIMNASIO ADULTO REHABILITACIÓN CARDIOVASCULAR</v>
          </cell>
          <cell r="I727">
            <v>1</v>
          </cell>
          <cell r="J727" t="str">
            <v>C.5.7.14</v>
          </cell>
          <cell r="K727" t="str">
            <v>Med Física y Rehabilitación</v>
          </cell>
          <cell r="L727">
            <v>1</v>
          </cell>
          <cell r="M727">
            <v>46003</v>
          </cell>
          <cell r="N727">
            <v>46006</v>
          </cell>
          <cell r="O727">
            <v>1</v>
          </cell>
          <cell r="P727">
            <v>46007</v>
          </cell>
          <cell r="Q727">
            <v>1</v>
          </cell>
          <cell r="R727" t="str">
            <v>NA</v>
          </cell>
          <cell r="S727">
            <v>5</v>
          </cell>
        </row>
        <row r="728">
          <cell r="B728" t="str">
            <v>EMMC</v>
          </cell>
          <cell r="C728" t="str">
            <v>HSLB11585</v>
          </cell>
          <cell r="D728">
            <v>111095</v>
          </cell>
          <cell r="E728" t="str">
            <v>Set Tablero de Habilidades</v>
          </cell>
          <cell r="F728" t="str">
            <v>NO</v>
          </cell>
          <cell r="G728" t="str">
            <v>NO</v>
          </cell>
          <cell r="H728" t="str">
            <v>GIMNASIO TERAPIA OCUPACIONAL PEDIATRICO</v>
          </cell>
          <cell r="I728">
            <v>1</v>
          </cell>
          <cell r="J728" t="str">
            <v>C.5.7.15.1</v>
          </cell>
          <cell r="K728" t="str">
            <v>Med Física y Rehabilitación</v>
          </cell>
          <cell r="L728">
            <v>1</v>
          </cell>
          <cell r="M728">
            <v>46013</v>
          </cell>
          <cell r="N728">
            <v>46014</v>
          </cell>
          <cell r="O728">
            <v>1</v>
          </cell>
          <cell r="P728">
            <v>46015</v>
          </cell>
          <cell r="Q728">
            <v>1</v>
          </cell>
          <cell r="R728" t="str">
            <v>NA</v>
          </cell>
          <cell r="S728">
            <v>5</v>
          </cell>
        </row>
        <row r="729">
          <cell r="B729" t="str">
            <v>EMMC</v>
          </cell>
          <cell r="C729" t="str">
            <v>HSLB11587</v>
          </cell>
          <cell r="D729">
            <v>111097</v>
          </cell>
          <cell r="E729" t="str">
            <v>Set Tarjeta Actividad Vida Diaria</v>
          </cell>
          <cell r="F729" t="str">
            <v>NO</v>
          </cell>
          <cell r="G729" t="str">
            <v>NO</v>
          </cell>
          <cell r="H729" t="str">
            <v>BOX INDIFERENCIADO (FONOAUDIO Y TERAPIA OCU)(1)</v>
          </cell>
          <cell r="I729">
            <v>1</v>
          </cell>
          <cell r="J729" t="str">
            <v>C.5.7.5.1</v>
          </cell>
          <cell r="K729" t="str">
            <v>Med Física y Rehabilitación</v>
          </cell>
          <cell r="L729">
            <v>1</v>
          </cell>
          <cell r="M729">
            <v>46013</v>
          </cell>
          <cell r="N729">
            <v>46014</v>
          </cell>
          <cell r="O729">
            <v>1</v>
          </cell>
          <cell r="P729">
            <v>46015</v>
          </cell>
          <cell r="Q729">
            <v>1</v>
          </cell>
          <cell r="R729" t="str">
            <v>NA</v>
          </cell>
          <cell r="S729">
            <v>5</v>
          </cell>
        </row>
        <row r="730">
          <cell r="B730" t="str">
            <v>EMMC</v>
          </cell>
          <cell r="C730" t="str">
            <v>HSLB11588</v>
          </cell>
          <cell r="D730">
            <v>111097</v>
          </cell>
          <cell r="E730" t="str">
            <v>Set Tarjeta Actividad Vida Diaria</v>
          </cell>
          <cell r="F730" t="str">
            <v>NO</v>
          </cell>
          <cell r="G730" t="str">
            <v>NO</v>
          </cell>
          <cell r="H730" t="str">
            <v>BOX FONOAUDIO PEDIATRICO</v>
          </cell>
          <cell r="I730">
            <v>1</v>
          </cell>
          <cell r="J730" t="str">
            <v>C.5.7.5.2.1</v>
          </cell>
          <cell r="K730" t="str">
            <v>Med Física y Rehabilitación</v>
          </cell>
          <cell r="L730">
            <v>1</v>
          </cell>
          <cell r="M730">
            <v>46013</v>
          </cell>
          <cell r="N730">
            <v>46014</v>
          </cell>
          <cell r="O730">
            <v>1</v>
          </cell>
          <cell r="P730">
            <v>46015</v>
          </cell>
          <cell r="Q730">
            <v>1</v>
          </cell>
          <cell r="R730" t="str">
            <v>NA</v>
          </cell>
          <cell r="S730">
            <v>5</v>
          </cell>
        </row>
        <row r="731">
          <cell r="B731" t="str">
            <v>EMMC</v>
          </cell>
          <cell r="C731" t="str">
            <v>HSLB11589</v>
          </cell>
          <cell r="D731">
            <v>111098</v>
          </cell>
          <cell r="E731" t="str">
            <v>Set Test Diagnóstico</v>
          </cell>
          <cell r="F731" t="str">
            <v>NO</v>
          </cell>
          <cell r="G731" t="str">
            <v>NO</v>
          </cell>
          <cell r="H731" t="str">
            <v>BOX INDIFERENCIADO (FONOAUDIO Y TERAPIA OCU)(1)</v>
          </cell>
          <cell r="I731">
            <v>1</v>
          </cell>
          <cell r="J731" t="str">
            <v>C.5.7.5.1</v>
          </cell>
          <cell r="K731" t="str">
            <v>Med Física y Rehabilitación</v>
          </cell>
          <cell r="L731">
            <v>1</v>
          </cell>
          <cell r="M731">
            <v>46013</v>
          </cell>
          <cell r="N731">
            <v>46014</v>
          </cell>
          <cell r="O731">
            <v>1</v>
          </cell>
          <cell r="P731">
            <v>46015</v>
          </cell>
          <cell r="Q731">
            <v>1</v>
          </cell>
          <cell r="R731" t="str">
            <v>NA</v>
          </cell>
          <cell r="S731">
            <v>5</v>
          </cell>
        </row>
        <row r="732">
          <cell r="B732" t="str">
            <v>EMMC</v>
          </cell>
          <cell r="C732" t="str">
            <v>HSLB11590</v>
          </cell>
          <cell r="D732">
            <v>111098</v>
          </cell>
          <cell r="E732" t="str">
            <v>Set Test Diagnóstico</v>
          </cell>
          <cell r="F732" t="str">
            <v>NO</v>
          </cell>
          <cell r="G732" t="str">
            <v>NO</v>
          </cell>
          <cell r="H732" t="str">
            <v>BOX FONOAUDIO PEDIATRICO</v>
          </cell>
          <cell r="I732">
            <v>1</v>
          </cell>
          <cell r="J732" t="str">
            <v>C.5.7.5.2.1</v>
          </cell>
          <cell r="K732" t="str">
            <v>Med Física y Rehabilitación</v>
          </cell>
          <cell r="L732">
            <v>1</v>
          </cell>
          <cell r="M732">
            <v>46013</v>
          </cell>
          <cell r="N732">
            <v>46014</v>
          </cell>
          <cell r="O732">
            <v>1</v>
          </cell>
          <cell r="P732">
            <v>46015</v>
          </cell>
          <cell r="Q732">
            <v>1</v>
          </cell>
          <cell r="R732" t="str">
            <v>NA</v>
          </cell>
          <cell r="S732">
            <v>5</v>
          </cell>
        </row>
        <row r="733">
          <cell r="B733" t="str">
            <v>EMMC</v>
          </cell>
          <cell r="C733" t="str">
            <v>HSLB11591</v>
          </cell>
          <cell r="D733">
            <v>111099</v>
          </cell>
          <cell r="E733" t="str">
            <v>Set Tijeras</v>
          </cell>
          <cell r="F733" t="str">
            <v>NO</v>
          </cell>
          <cell r="G733" t="str">
            <v>NO</v>
          </cell>
          <cell r="H733" t="str">
            <v>TALLER DE ÓRTESIS (MUEBLE)</v>
          </cell>
          <cell r="I733">
            <v>1</v>
          </cell>
          <cell r="J733" t="str">
            <v>C.5.7.29</v>
          </cell>
          <cell r="K733" t="str">
            <v>Med Física y Rehabilitación</v>
          </cell>
          <cell r="L733">
            <v>1</v>
          </cell>
          <cell r="M733">
            <v>46013</v>
          </cell>
          <cell r="N733">
            <v>46014</v>
          </cell>
          <cell r="O733">
            <v>1</v>
          </cell>
          <cell r="P733">
            <v>46015</v>
          </cell>
          <cell r="Q733">
            <v>1</v>
          </cell>
          <cell r="R733" t="str">
            <v>NA</v>
          </cell>
          <cell r="S733">
            <v>5</v>
          </cell>
        </row>
        <row r="734">
          <cell r="B734" t="str">
            <v>EMMC</v>
          </cell>
          <cell r="C734" t="str">
            <v>HSLB11592</v>
          </cell>
          <cell r="D734">
            <v>111100</v>
          </cell>
          <cell r="E734" t="str">
            <v>Set Tobilleras</v>
          </cell>
          <cell r="F734" t="str">
            <v>NO</v>
          </cell>
          <cell r="G734" t="str">
            <v>SI</v>
          </cell>
          <cell r="H734" t="str">
            <v>GIMNASIO ADULTO REHABILITACIÓN CARDIOVASCULAR</v>
          </cell>
          <cell r="I734">
            <v>1</v>
          </cell>
          <cell r="J734" t="str">
            <v>C.5.7.14</v>
          </cell>
          <cell r="K734" t="str">
            <v>Med Física y Rehabilitación</v>
          </cell>
          <cell r="L734">
            <v>1</v>
          </cell>
          <cell r="M734">
            <v>46003</v>
          </cell>
          <cell r="N734">
            <v>46006</v>
          </cell>
          <cell r="O734">
            <v>1</v>
          </cell>
          <cell r="P734">
            <v>46007</v>
          </cell>
          <cell r="Q734">
            <v>1</v>
          </cell>
          <cell r="R734" t="str">
            <v>NA</v>
          </cell>
          <cell r="S734">
            <v>5</v>
          </cell>
        </row>
        <row r="735">
          <cell r="B735" t="str">
            <v>EMMC</v>
          </cell>
          <cell r="C735" t="str">
            <v>HSLB12468</v>
          </cell>
          <cell r="D735">
            <v>112077</v>
          </cell>
          <cell r="E735" t="str">
            <v>Silla de ruedas</v>
          </cell>
          <cell r="F735" t="str">
            <v>NO</v>
          </cell>
          <cell r="G735" t="str">
            <v>NO</v>
          </cell>
          <cell r="H735" t="str">
            <v>GIMNASIO PEDIATRICO</v>
          </cell>
          <cell r="I735">
            <v>1</v>
          </cell>
          <cell r="J735" t="str">
            <v>C.5.7.15</v>
          </cell>
          <cell r="K735" t="str">
            <v>Med Física y Rehabilitación</v>
          </cell>
          <cell r="L735">
            <v>1</v>
          </cell>
          <cell r="M735">
            <v>46013</v>
          </cell>
          <cell r="N735">
            <v>46014</v>
          </cell>
          <cell r="O735">
            <v>1</v>
          </cell>
          <cell r="P735">
            <v>46015</v>
          </cell>
          <cell r="Q735">
            <v>1</v>
          </cell>
          <cell r="R735" t="str">
            <v>NA</v>
          </cell>
          <cell r="S735">
            <v>5</v>
          </cell>
        </row>
        <row r="736">
          <cell r="B736" t="str">
            <v>EMMC</v>
          </cell>
          <cell r="C736" t="str">
            <v>HSLB12463</v>
          </cell>
          <cell r="D736">
            <v>112077</v>
          </cell>
          <cell r="E736" t="str">
            <v>Silla de Ruedas</v>
          </cell>
          <cell r="F736" t="str">
            <v>NO</v>
          </cell>
          <cell r="G736" t="str">
            <v>SI</v>
          </cell>
          <cell r="H736" t="str">
            <v>BODEGA CATÁSTROFES ( Mesa Plegable Rectangular)</v>
          </cell>
          <cell r="I736">
            <v>3</v>
          </cell>
          <cell r="J736" t="str">
            <v>C.4.2.10</v>
          </cell>
          <cell r="K736" t="str">
            <v>Urgencia</v>
          </cell>
          <cell r="L736">
            <v>1</v>
          </cell>
          <cell r="M736">
            <v>46003</v>
          </cell>
          <cell r="N736">
            <v>46006</v>
          </cell>
          <cell r="O736">
            <v>1</v>
          </cell>
          <cell r="P736">
            <v>46007</v>
          </cell>
          <cell r="Q736">
            <v>1</v>
          </cell>
          <cell r="R736" t="str">
            <v>NA</v>
          </cell>
          <cell r="S736">
            <v>5</v>
          </cell>
        </row>
        <row r="737">
          <cell r="B737" t="str">
            <v>EMMC</v>
          </cell>
          <cell r="C737" t="str">
            <v>HSLB12464</v>
          </cell>
          <cell r="D737">
            <v>112077</v>
          </cell>
          <cell r="E737" t="str">
            <v>Silla de Ruedas</v>
          </cell>
          <cell r="F737" t="str">
            <v>NO</v>
          </cell>
          <cell r="G737" t="str">
            <v>NO</v>
          </cell>
          <cell r="H737" t="str">
            <v>ESTACIONAMIENTO CAMILLAS Y SILLAS DE RUEDAS</v>
          </cell>
          <cell r="I737">
            <v>2</v>
          </cell>
          <cell r="J737" t="str">
            <v>C.4.2.12</v>
          </cell>
          <cell r="K737" t="str">
            <v>Urgencia</v>
          </cell>
          <cell r="L737">
            <v>1</v>
          </cell>
          <cell r="M737">
            <v>46003</v>
          </cell>
          <cell r="N737">
            <v>46006</v>
          </cell>
          <cell r="O737">
            <v>1</v>
          </cell>
          <cell r="P737">
            <v>46007</v>
          </cell>
          <cell r="Q737">
            <v>1</v>
          </cell>
          <cell r="R737" t="str">
            <v>NA</v>
          </cell>
          <cell r="S737">
            <v>5</v>
          </cell>
        </row>
        <row r="738">
          <cell r="B738" t="str">
            <v>EMMC</v>
          </cell>
          <cell r="C738" t="str">
            <v>HSLB12465</v>
          </cell>
          <cell r="D738">
            <v>112077</v>
          </cell>
          <cell r="E738" t="str">
            <v>Silla de Ruedas</v>
          </cell>
          <cell r="F738" t="str">
            <v>NO</v>
          </cell>
          <cell r="G738" t="str">
            <v>NO</v>
          </cell>
          <cell r="H738" t="str">
            <v>ESTAC. CAMILLAS Y SILLA DE RUIEDAS</v>
          </cell>
          <cell r="I738">
            <v>3</v>
          </cell>
          <cell r="J738" t="str">
            <v>C.4.5.13</v>
          </cell>
          <cell r="K738" t="str">
            <v>Urgencia</v>
          </cell>
          <cell r="L738">
            <v>1</v>
          </cell>
          <cell r="M738">
            <v>46003</v>
          </cell>
          <cell r="N738">
            <v>46006</v>
          </cell>
          <cell r="O738">
            <v>1</v>
          </cell>
          <cell r="P738">
            <v>46007</v>
          </cell>
          <cell r="Q738">
            <v>1</v>
          </cell>
          <cell r="R738" t="str">
            <v>NA</v>
          </cell>
          <cell r="S738">
            <v>5</v>
          </cell>
        </row>
        <row r="739">
          <cell r="B739" t="str">
            <v>EMMC</v>
          </cell>
          <cell r="C739" t="str">
            <v>HSLB12469</v>
          </cell>
          <cell r="D739">
            <v>112077</v>
          </cell>
          <cell r="E739" t="str">
            <v>Silla de Ruedas</v>
          </cell>
          <cell r="F739" t="str">
            <v>NO</v>
          </cell>
          <cell r="G739" t="str">
            <v>NO</v>
          </cell>
          <cell r="H739" t="str">
            <v>ESTAC. CAMILLAS Y SILLA DE RUIEDAS</v>
          </cell>
          <cell r="I739">
            <v>3</v>
          </cell>
          <cell r="J739" t="str">
            <v>C.5.7.35</v>
          </cell>
          <cell r="K739" t="str">
            <v>Med Física y Rehabilitación</v>
          </cell>
          <cell r="L739">
            <v>1</v>
          </cell>
          <cell r="M739">
            <v>46013</v>
          </cell>
          <cell r="N739">
            <v>46014</v>
          </cell>
          <cell r="O739">
            <v>1</v>
          </cell>
          <cell r="P739">
            <v>46015</v>
          </cell>
          <cell r="Q739">
            <v>1</v>
          </cell>
          <cell r="R739" t="str">
            <v>NA</v>
          </cell>
          <cell r="S739">
            <v>5</v>
          </cell>
        </row>
        <row r="740">
          <cell r="B740" t="str">
            <v>EMMC</v>
          </cell>
          <cell r="C740" t="str">
            <v>HSLB11594</v>
          </cell>
          <cell r="D740">
            <v>111102</v>
          </cell>
          <cell r="E740" t="str">
            <v>Silla Turbión</v>
          </cell>
          <cell r="F740" t="str">
            <v>NO</v>
          </cell>
          <cell r="G740" t="str">
            <v>NO</v>
          </cell>
          <cell r="H740" t="str">
            <v>SALA KINESOTERAPIA CUBICULO TURBION ADULTO</v>
          </cell>
          <cell r="I740">
            <v>1</v>
          </cell>
          <cell r="J740" t="str">
            <v>C.5.7.7</v>
          </cell>
          <cell r="K740" t="str">
            <v>Med Física y Rehabilitación</v>
          </cell>
          <cell r="L740">
            <v>1</v>
          </cell>
          <cell r="M740">
            <v>46013</v>
          </cell>
          <cell r="N740">
            <v>46014</v>
          </cell>
          <cell r="O740">
            <v>1</v>
          </cell>
          <cell r="P740">
            <v>46015</v>
          </cell>
          <cell r="Q740">
            <v>1</v>
          </cell>
          <cell r="R740" t="str">
            <v>NA</v>
          </cell>
          <cell r="S740">
            <v>5</v>
          </cell>
        </row>
        <row r="741">
          <cell r="B741" t="str">
            <v>EMMC</v>
          </cell>
          <cell r="C741" t="str">
            <v>HSLB11595</v>
          </cell>
          <cell r="D741">
            <v>111102</v>
          </cell>
          <cell r="E741" t="str">
            <v>Silla Turbión</v>
          </cell>
          <cell r="F741" t="str">
            <v>NO</v>
          </cell>
          <cell r="G741" t="str">
            <v>NO</v>
          </cell>
          <cell r="H741" t="str">
            <v>SALA KINESOTERAPIA CUBICULO TURBION INFANTIL</v>
          </cell>
          <cell r="I741">
            <v>1</v>
          </cell>
          <cell r="J741" t="str">
            <v>C.5.7.8</v>
          </cell>
          <cell r="K741" t="str">
            <v>Med Física y Rehabilitación</v>
          </cell>
          <cell r="L741">
            <v>1</v>
          </cell>
          <cell r="M741">
            <v>46013</v>
          </cell>
          <cell r="N741">
            <v>46014</v>
          </cell>
          <cell r="O741">
            <v>1</v>
          </cell>
          <cell r="P741">
            <v>46015</v>
          </cell>
          <cell r="Q741">
            <v>1</v>
          </cell>
          <cell r="R741" t="str">
            <v>NA</v>
          </cell>
          <cell r="S741">
            <v>5</v>
          </cell>
        </row>
        <row r="742">
          <cell r="B742" t="str">
            <v>EMMC</v>
          </cell>
          <cell r="C742" t="str">
            <v>HSLB12585</v>
          </cell>
          <cell r="D742">
            <v>112089</v>
          </cell>
          <cell r="E742" t="str">
            <v>Soporte Universal</v>
          </cell>
          <cell r="F742" t="str">
            <v>NO</v>
          </cell>
          <cell r="G742" t="str">
            <v>NO</v>
          </cell>
          <cell r="H742" t="str">
            <v>SALA DE PROCEDIMIENTOS</v>
          </cell>
          <cell r="I742">
            <v>1</v>
          </cell>
          <cell r="J742" t="str">
            <v>C.3.6.2.12</v>
          </cell>
          <cell r="K742" t="str">
            <v>Urgencia</v>
          </cell>
          <cell r="L742">
            <v>1</v>
          </cell>
          <cell r="M742">
            <v>46003</v>
          </cell>
          <cell r="N742">
            <v>46006</v>
          </cell>
          <cell r="O742">
            <v>1</v>
          </cell>
          <cell r="P742">
            <v>46007</v>
          </cell>
          <cell r="Q742">
            <v>1</v>
          </cell>
          <cell r="R742" t="str">
            <v>NA</v>
          </cell>
          <cell r="S742">
            <v>5</v>
          </cell>
        </row>
        <row r="743">
          <cell r="B743" t="str">
            <v>EMMC</v>
          </cell>
          <cell r="C743" t="str">
            <v>HSLB12590</v>
          </cell>
          <cell r="D743">
            <v>112089</v>
          </cell>
          <cell r="E743" t="str">
            <v>Soporte Universal</v>
          </cell>
          <cell r="F743" t="str">
            <v>NO</v>
          </cell>
          <cell r="G743" t="str">
            <v>NO</v>
          </cell>
          <cell r="H743" t="str">
            <v>BODEGA DE EQUIPOS MEDICOS</v>
          </cell>
          <cell r="I743">
            <v>6</v>
          </cell>
          <cell r="J743" t="str">
            <v>C.4.5.6.2</v>
          </cell>
          <cell r="K743" t="str">
            <v>Urgencia</v>
          </cell>
          <cell r="L743">
            <v>1</v>
          </cell>
          <cell r="M743">
            <v>46003</v>
          </cell>
          <cell r="N743">
            <v>46006</v>
          </cell>
          <cell r="O743">
            <v>1</v>
          </cell>
          <cell r="P743">
            <v>46007</v>
          </cell>
          <cell r="Q743">
            <v>1</v>
          </cell>
          <cell r="R743" t="str">
            <v>NA</v>
          </cell>
          <cell r="S743">
            <v>5</v>
          </cell>
        </row>
        <row r="744">
          <cell r="B744" t="str">
            <v>EMMC</v>
          </cell>
          <cell r="C744" t="str">
            <v>HSLB12613</v>
          </cell>
          <cell r="D744">
            <v>106026</v>
          </cell>
          <cell r="E744" t="str">
            <v>Tabla de Transferencias de Pacientes</v>
          </cell>
          <cell r="F744" t="str">
            <v>NO</v>
          </cell>
          <cell r="G744" t="str">
            <v>NO</v>
          </cell>
          <cell r="H744" t="str">
            <v>SALA DE ACTIVDAD DE LA VIDA DIARIA C/BAÑO DE INSTRUCCIÓN</v>
          </cell>
          <cell r="I744">
            <v>1</v>
          </cell>
          <cell r="J744" t="str">
            <v>C.5.7.20</v>
          </cell>
          <cell r="K744" t="str">
            <v>Med Física y Rehabilitación</v>
          </cell>
          <cell r="L744">
            <v>1</v>
          </cell>
          <cell r="M744">
            <v>46013</v>
          </cell>
          <cell r="N744">
            <v>46014</v>
          </cell>
          <cell r="O744">
            <v>1</v>
          </cell>
          <cell r="P744">
            <v>46015</v>
          </cell>
          <cell r="Q744">
            <v>1</v>
          </cell>
          <cell r="R744" t="str">
            <v>NA</v>
          </cell>
          <cell r="S744">
            <v>5</v>
          </cell>
        </row>
        <row r="745">
          <cell r="B745" t="str">
            <v>EMMC</v>
          </cell>
          <cell r="C745" t="str">
            <v>HSLB12612</v>
          </cell>
          <cell r="D745">
            <v>106026</v>
          </cell>
          <cell r="E745" t="str">
            <v>Tabla de Transferencias de Pacientes</v>
          </cell>
          <cell r="F745" t="str">
            <v>NO</v>
          </cell>
          <cell r="G745" t="str">
            <v>NO</v>
          </cell>
          <cell r="H745" t="str">
            <v>ESTACIÓN DE ENFERMERÍA</v>
          </cell>
          <cell r="I745">
            <v>1</v>
          </cell>
          <cell r="J745" t="str">
            <v>C.4.3.8</v>
          </cell>
          <cell r="K745" t="str">
            <v>Urgencia</v>
          </cell>
          <cell r="L745">
            <v>1</v>
          </cell>
          <cell r="M745">
            <v>46003</v>
          </cell>
          <cell r="N745">
            <v>46006</v>
          </cell>
          <cell r="O745">
            <v>1</v>
          </cell>
          <cell r="P745">
            <v>46007</v>
          </cell>
          <cell r="Q745">
            <v>1</v>
          </cell>
          <cell r="R745" t="str">
            <v>NA</v>
          </cell>
          <cell r="S745">
            <v>5</v>
          </cell>
        </row>
        <row r="746">
          <cell r="B746" t="str">
            <v>EMMC</v>
          </cell>
          <cell r="C746" t="str">
            <v>HSLB11074</v>
          </cell>
          <cell r="D746">
            <v>106020</v>
          </cell>
          <cell r="E746" t="str">
            <v>Televisor 42'</v>
          </cell>
          <cell r="F746" t="str">
            <v>NO</v>
          </cell>
          <cell r="G746" t="str">
            <v>SI</v>
          </cell>
          <cell r="H746" t="str">
            <v>GIMNASIO ADULTO REHABILITACIÓN CARDIOVASCULAR</v>
          </cell>
          <cell r="I746">
            <v>1</v>
          </cell>
          <cell r="J746" t="str">
            <v>C.5.7.14</v>
          </cell>
          <cell r="K746" t="str">
            <v>Med Física y Rehabilitación</v>
          </cell>
          <cell r="L746">
            <v>1</v>
          </cell>
          <cell r="M746">
            <v>46003</v>
          </cell>
          <cell r="N746">
            <v>46006</v>
          </cell>
          <cell r="O746">
            <v>1</v>
          </cell>
          <cell r="P746">
            <v>46007</v>
          </cell>
          <cell r="Q746">
            <v>1</v>
          </cell>
          <cell r="R746" t="str">
            <v>NA</v>
          </cell>
          <cell r="S746">
            <v>5</v>
          </cell>
        </row>
        <row r="747">
          <cell r="B747" t="str">
            <v>EMMC</v>
          </cell>
          <cell r="C747" t="str">
            <v>HSLB11075</v>
          </cell>
          <cell r="D747">
            <v>106020</v>
          </cell>
          <cell r="E747" t="str">
            <v>Televisor 42'</v>
          </cell>
          <cell r="F747" t="str">
            <v>NO</v>
          </cell>
          <cell r="G747" t="str">
            <v>NO</v>
          </cell>
          <cell r="H747" t="str">
            <v>GIMNASIO PEDIATRICO</v>
          </cell>
          <cell r="I747">
            <v>1</v>
          </cell>
          <cell r="J747" t="str">
            <v>C.5.7.15</v>
          </cell>
          <cell r="K747" t="str">
            <v>Med Física y Rehabilitación</v>
          </cell>
          <cell r="L747">
            <v>1</v>
          </cell>
          <cell r="M747">
            <v>46013</v>
          </cell>
          <cell r="N747">
            <v>46014</v>
          </cell>
          <cell r="O747">
            <v>1</v>
          </cell>
          <cell r="P747">
            <v>46015</v>
          </cell>
          <cell r="Q747">
            <v>1</v>
          </cell>
          <cell r="R747" t="str">
            <v>NA</v>
          </cell>
          <cell r="S747">
            <v>5</v>
          </cell>
        </row>
        <row r="748">
          <cell r="B748" t="str">
            <v>EMMC</v>
          </cell>
          <cell r="C748" t="str">
            <v>HSLB11076</v>
          </cell>
          <cell r="D748">
            <v>106020</v>
          </cell>
          <cell r="E748" t="str">
            <v>Televisor 42'</v>
          </cell>
          <cell r="F748" t="str">
            <v>NO</v>
          </cell>
          <cell r="G748" t="str">
            <v>NO</v>
          </cell>
          <cell r="H748" t="str">
            <v>SALA DE ESPERA</v>
          </cell>
          <cell r="I748">
            <v>2</v>
          </cell>
          <cell r="J748" t="str">
            <v>C.5.7.2</v>
          </cell>
          <cell r="K748" t="str">
            <v>Med Física y Rehabilitación</v>
          </cell>
          <cell r="L748">
            <v>1</v>
          </cell>
          <cell r="M748">
            <v>46013</v>
          </cell>
          <cell r="N748">
            <v>46014</v>
          </cell>
          <cell r="O748">
            <v>1</v>
          </cell>
          <cell r="P748">
            <v>46015</v>
          </cell>
          <cell r="Q748">
            <v>1</v>
          </cell>
          <cell r="R748" t="str">
            <v>NA</v>
          </cell>
          <cell r="S748">
            <v>5</v>
          </cell>
        </row>
        <row r="749">
          <cell r="B749" t="str">
            <v>EMMC</v>
          </cell>
          <cell r="C749" t="str">
            <v>HSLB11102</v>
          </cell>
          <cell r="D749">
            <v>106021</v>
          </cell>
          <cell r="E749" t="str">
            <v>Telón</v>
          </cell>
          <cell r="F749" t="str">
            <v>NO</v>
          </cell>
          <cell r="G749" t="str">
            <v>NO</v>
          </cell>
          <cell r="H749" t="str">
            <v>SALA DE TERAPIA GRUPAL (12 MAX)</v>
          </cell>
          <cell r="I749">
            <v>1</v>
          </cell>
          <cell r="J749" t="str">
            <v>C.5.7.18</v>
          </cell>
          <cell r="K749" t="str">
            <v>Med Física y Rehabilitación</v>
          </cell>
          <cell r="L749">
            <v>1</v>
          </cell>
          <cell r="M749">
            <v>46013</v>
          </cell>
          <cell r="N749">
            <v>46014</v>
          </cell>
          <cell r="O749">
            <v>1</v>
          </cell>
          <cell r="P749">
            <v>46015</v>
          </cell>
          <cell r="Q749">
            <v>1</v>
          </cell>
          <cell r="R749" t="str">
            <v>NA</v>
          </cell>
          <cell r="S749">
            <v>5</v>
          </cell>
        </row>
        <row r="750">
          <cell r="B750" t="str">
            <v>EMMC</v>
          </cell>
          <cell r="C750" t="str">
            <v>HSLB11103</v>
          </cell>
          <cell r="D750">
            <v>106021</v>
          </cell>
          <cell r="E750" t="str">
            <v>Telón</v>
          </cell>
          <cell r="F750" t="str">
            <v>NO</v>
          </cell>
          <cell r="G750" t="str">
            <v>NO</v>
          </cell>
          <cell r="H750" t="str">
            <v>SALA TERÁPIA OCUP. ADULTO E INFANTIL</v>
          </cell>
          <cell r="I750">
            <v>1</v>
          </cell>
          <cell r="J750" t="str">
            <v>C.5.7.19</v>
          </cell>
          <cell r="K750" t="str">
            <v>Med Física y Rehabilitación</v>
          </cell>
          <cell r="L750">
            <v>1</v>
          </cell>
          <cell r="M750">
            <v>46013</v>
          </cell>
          <cell r="N750">
            <v>46014</v>
          </cell>
          <cell r="O750">
            <v>1</v>
          </cell>
          <cell r="P750">
            <v>46015</v>
          </cell>
          <cell r="Q750">
            <v>1</v>
          </cell>
          <cell r="R750" t="str">
            <v>NA</v>
          </cell>
          <cell r="S750">
            <v>5</v>
          </cell>
        </row>
        <row r="751">
          <cell r="B751" t="str">
            <v>EMMC</v>
          </cell>
          <cell r="C751" t="str">
            <v>HSLB11117</v>
          </cell>
          <cell r="D751">
            <v>106022</v>
          </cell>
          <cell r="E751" t="str">
            <v>Termolaminadora</v>
          </cell>
          <cell r="F751" t="str">
            <v>NO</v>
          </cell>
          <cell r="G751" t="str">
            <v>NO</v>
          </cell>
          <cell r="H751" t="str">
            <v>BOX INDIFERENCIADO (FONOAUDIO Y TERAPIA OCU)(1)</v>
          </cell>
          <cell r="I751">
            <v>1</v>
          </cell>
          <cell r="J751" t="str">
            <v>C.5.7.5.1</v>
          </cell>
          <cell r="K751" t="str">
            <v>Med Física y Rehabilitación</v>
          </cell>
          <cell r="L751">
            <v>1</v>
          </cell>
          <cell r="M751">
            <v>46013</v>
          </cell>
          <cell r="N751">
            <v>46014</v>
          </cell>
          <cell r="O751">
            <v>1</v>
          </cell>
          <cell r="P751">
            <v>46015</v>
          </cell>
          <cell r="Q751">
            <v>1</v>
          </cell>
          <cell r="R751" t="str">
            <v>NA</v>
          </cell>
          <cell r="S751">
            <v>5</v>
          </cell>
        </row>
        <row r="752">
          <cell r="B752" t="str">
            <v>EMMC</v>
          </cell>
          <cell r="C752" t="str">
            <v>HSLB11118</v>
          </cell>
          <cell r="D752">
            <v>106022</v>
          </cell>
          <cell r="E752" t="str">
            <v>Termolaminadora</v>
          </cell>
          <cell r="F752" t="str">
            <v>NO</v>
          </cell>
          <cell r="G752" t="str">
            <v>NO</v>
          </cell>
          <cell r="H752" t="str">
            <v>BOX FONOAUDIO PEDIATRICO</v>
          </cell>
          <cell r="I752">
            <v>1</v>
          </cell>
          <cell r="J752" t="str">
            <v>C.5.7.5.2.1</v>
          </cell>
          <cell r="K752" t="str">
            <v>Med Física y Rehabilitación</v>
          </cell>
          <cell r="L752">
            <v>1</v>
          </cell>
          <cell r="M752">
            <v>46013</v>
          </cell>
          <cell r="N752">
            <v>46014</v>
          </cell>
          <cell r="O752">
            <v>1</v>
          </cell>
          <cell r="P752">
            <v>46015</v>
          </cell>
          <cell r="Q752">
            <v>1</v>
          </cell>
          <cell r="R752" t="str">
            <v>NA</v>
          </cell>
          <cell r="S752">
            <v>5</v>
          </cell>
        </row>
        <row r="753">
          <cell r="B753" t="str">
            <v>EMMC</v>
          </cell>
          <cell r="C753" t="str">
            <v>HSLB11128</v>
          </cell>
          <cell r="D753">
            <v>106023</v>
          </cell>
          <cell r="E753" t="str">
            <v>Urinarios</v>
          </cell>
          <cell r="F753" t="str">
            <v>NO</v>
          </cell>
          <cell r="G753" t="str">
            <v>NO</v>
          </cell>
          <cell r="H753" t="str">
            <v>LAVACHATA AUTOMATICO</v>
          </cell>
          <cell r="I753">
            <v>10</v>
          </cell>
          <cell r="J753" t="str">
            <v>C.4.5.12.1</v>
          </cell>
          <cell r="K753" t="str">
            <v>Urgencia</v>
          </cell>
          <cell r="L753">
            <v>1</v>
          </cell>
          <cell r="M753">
            <v>46003</v>
          </cell>
          <cell r="N753">
            <v>46006</v>
          </cell>
          <cell r="O753">
            <v>1</v>
          </cell>
          <cell r="P753">
            <v>46007</v>
          </cell>
          <cell r="Q753">
            <v>1</v>
          </cell>
          <cell r="R753" t="str">
            <v>NA</v>
          </cell>
          <cell r="S753">
            <v>5</v>
          </cell>
        </row>
        <row r="754">
          <cell r="B754" t="str">
            <v>EMMC</v>
          </cell>
          <cell r="C754" t="str">
            <v>HSLB11129</v>
          </cell>
          <cell r="D754">
            <v>106023</v>
          </cell>
          <cell r="E754" t="str">
            <v>Urinarios</v>
          </cell>
          <cell r="F754" t="str">
            <v>NO</v>
          </cell>
          <cell r="G754" t="str">
            <v>NO</v>
          </cell>
          <cell r="H754" t="str">
            <v>LAVACHATA AUTOMATICO</v>
          </cell>
          <cell r="I754">
            <v>5</v>
          </cell>
          <cell r="J754" t="str">
            <v>C.4.5.12.2</v>
          </cell>
          <cell r="K754" t="str">
            <v>Urgencia</v>
          </cell>
          <cell r="L754">
            <v>1</v>
          </cell>
          <cell r="M754">
            <v>46003</v>
          </cell>
          <cell r="N754">
            <v>46006</v>
          </cell>
          <cell r="O754">
            <v>1</v>
          </cell>
          <cell r="P754">
            <v>46007</v>
          </cell>
          <cell r="Q754">
            <v>1</v>
          </cell>
          <cell r="R754" t="str">
            <v>NA</v>
          </cell>
          <cell r="S754">
            <v>5</v>
          </cell>
        </row>
        <row r="755">
          <cell r="B755" t="str">
            <v>EMMC</v>
          </cell>
          <cell r="C755" t="str">
            <v>HSLB11183</v>
          </cell>
          <cell r="D755">
            <v>109003</v>
          </cell>
          <cell r="E755" t="str">
            <v>Espéculo Vaginal Grande</v>
          </cell>
          <cell r="F755" t="str">
            <v>NO</v>
          </cell>
          <cell r="G755" t="str">
            <v>NO</v>
          </cell>
          <cell r="H755" t="str">
            <v>SALA DE PROCEDIMIENTOS</v>
          </cell>
          <cell r="I755">
            <v>20</v>
          </cell>
          <cell r="J755" t="str">
            <v>C.3.6.2.12</v>
          </cell>
          <cell r="K755" t="str">
            <v>Urgencia</v>
          </cell>
          <cell r="L755">
            <v>1</v>
          </cell>
          <cell r="M755">
            <v>46003</v>
          </cell>
          <cell r="N755">
            <v>46006</v>
          </cell>
          <cell r="O755">
            <v>1</v>
          </cell>
          <cell r="P755">
            <v>46007</v>
          </cell>
          <cell r="Q755">
            <v>1</v>
          </cell>
          <cell r="R755" t="str">
            <v>NA</v>
          </cell>
          <cell r="S755">
            <v>5</v>
          </cell>
        </row>
        <row r="756">
          <cell r="B756" t="str">
            <v>EMMC</v>
          </cell>
          <cell r="C756" t="str">
            <v>HSLB11184</v>
          </cell>
          <cell r="D756">
            <v>109003</v>
          </cell>
          <cell r="E756" t="str">
            <v>Espéculo Vaginal Grande</v>
          </cell>
          <cell r="F756" t="str">
            <v>NO</v>
          </cell>
          <cell r="G756" t="str">
            <v>NO</v>
          </cell>
          <cell r="H756" t="str">
            <v>BOX AT. ACOGIDA C/BAÑO Y DUCHA</v>
          </cell>
          <cell r="I756">
            <v>2</v>
          </cell>
          <cell r="J756" t="str">
            <v>C.4.5.16</v>
          </cell>
          <cell r="K756" t="str">
            <v>Urgencia</v>
          </cell>
          <cell r="L756">
            <v>1</v>
          </cell>
          <cell r="M756">
            <v>46003</v>
          </cell>
          <cell r="N756">
            <v>46006</v>
          </cell>
          <cell r="O756">
            <v>1</v>
          </cell>
          <cell r="P756">
            <v>46007</v>
          </cell>
          <cell r="Q756">
            <v>1</v>
          </cell>
          <cell r="R756" t="str">
            <v>NA</v>
          </cell>
        </row>
        <row r="757">
          <cell r="B757" t="str">
            <v>EMMC</v>
          </cell>
          <cell r="C757" t="str">
            <v>HSLB11191</v>
          </cell>
          <cell r="D757">
            <v>109004</v>
          </cell>
          <cell r="E757" t="str">
            <v>Espéculo Vaginal Mediano</v>
          </cell>
          <cell r="F757" t="str">
            <v>NO</v>
          </cell>
          <cell r="G757" t="str">
            <v>NO</v>
          </cell>
          <cell r="H757" t="str">
            <v>SALA DE PROCEDIMIENTOS</v>
          </cell>
          <cell r="I757">
            <v>30</v>
          </cell>
          <cell r="J757" t="str">
            <v>C.3.6.2.12</v>
          </cell>
          <cell r="K757" t="str">
            <v>Urgencia</v>
          </cell>
          <cell r="L757">
            <v>1</v>
          </cell>
          <cell r="M757">
            <v>46006</v>
          </cell>
          <cell r="N757">
            <v>46007</v>
          </cell>
          <cell r="O757">
            <v>1</v>
          </cell>
          <cell r="P757">
            <v>46008</v>
          </cell>
          <cell r="Q757">
            <v>1</v>
          </cell>
          <cell r="R757" t="str">
            <v>NA</v>
          </cell>
        </row>
        <row r="758">
          <cell r="B758" t="str">
            <v>EMMC</v>
          </cell>
          <cell r="C758" t="str">
            <v>HSLB11192</v>
          </cell>
          <cell r="D758">
            <v>109004</v>
          </cell>
          <cell r="E758" t="str">
            <v>Espéculo Vaginal Mediano</v>
          </cell>
          <cell r="F758" t="str">
            <v>NO</v>
          </cell>
          <cell r="G758" t="str">
            <v>NO</v>
          </cell>
          <cell r="H758" t="str">
            <v>BOX AT. ACOGIDA C/BAÑO Y DUCHA</v>
          </cell>
          <cell r="I758">
            <v>2</v>
          </cell>
          <cell r="J758" t="str">
            <v>C.4.5.16</v>
          </cell>
          <cell r="K758" t="str">
            <v>Urgencia</v>
          </cell>
          <cell r="L758">
            <v>1</v>
          </cell>
          <cell r="M758">
            <v>46006</v>
          </cell>
          <cell r="N758">
            <v>46007</v>
          </cell>
          <cell r="O758">
            <v>1</v>
          </cell>
          <cell r="P758">
            <v>46008</v>
          </cell>
          <cell r="Q758">
            <v>1</v>
          </cell>
          <cell r="R758" t="str">
            <v>NA</v>
          </cell>
        </row>
        <row r="759">
          <cell r="B759" t="str">
            <v>EMMC</v>
          </cell>
          <cell r="C759" t="str">
            <v>HSLB11199</v>
          </cell>
          <cell r="D759">
            <v>109005</v>
          </cell>
          <cell r="E759" t="str">
            <v>Espéculo Vaginal Pequeño</v>
          </cell>
          <cell r="F759" t="str">
            <v>NO</v>
          </cell>
          <cell r="G759" t="str">
            <v>NO</v>
          </cell>
          <cell r="H759" t="str">
            <v>SALA DE PROCEDIMIENTOS</v>
          </cell>
          <cell r="I759">
            <v>14</v>
          </cell>
          <cell r="J759" t="str">
            <v>C.3.6.2.12</v>
          </cell>
          <cell r="K759" t="str">
            <v>Urgencia</v>
          </cell>
          <cell r="L759">
            <v>1</v>
          </cell>
          <cell r="M759">
            <v>46006</v>
          </cell>
          <cell r="N759">
            <v>46007</v>
          </cell>
          <cell r="O759">
            <v>1</v>
          </cell>
          <cell r="P759">
            <v>46008</v>
          </cell>
          <cell r="Q759">
            <v>1</v>
          </cell>
          <cell r="R759" t="str">
            <v>NA</v>
          </cell>
        </row>
        <row r="760">
          <cell r="B760" t="str">
            <v>EMMC</v>
          </cell>
          <cell r="C760" t="str">
            <v>HSLB11200</v>
          </cell>
          <cell r="D760">
            <v>109005</v>
          </cell>
          <cell r="E760" t="str">
            <v>Espéculo Vaginal Pequeño</v>
          </cell>
          <cell r="F760" t="str">
            <v>NO</v>
          </cell>
          <cell r="G760" t="str">
            <v>NO</v>
          </cell>
          <cell r="H760" t="str">
            <v>BOX AT. ACOGIDA C/BAÑO Y DUCHA</v>
          </cell>
          <cell r="I760">
            <v>3</v>
          </cell>
          <cell r="J760" t="str">
            <v>C.4.5.16</v>
          </cell>
          <cell r="K760" t="str">
            <v>Urgencia</v>
          </cell>
          <cell r="L760">
            <v>1</v>
          </cell>
          <cell r="M760">
            <v>46006</v>
          </cell>
          <cell r="N760">
            <v>46007</v>
          </cell>
          <cell r="O760">
            <v>1</v>
          </cell>
          <cell r="P760">
            <v>46008</v>
          </cell>
          <cell r="Q760">
            <v>1</v>
          </cell>
          <cell r="R760" t="str">
            <v>NA</v>
          </cell>
        </row>
        <row r="761">
          <cell r="B761" t="str">
            <v>EMMC</v>
          </cell>
          <cell r="C761" t="str">
            <v>HSLB11207</v>
          </cell>
          <cell r="D761">
            <v>109006</v>
          </cell>
          <cell r="E761" t="str">
            <v>Espéculo Vaginal Virginal</v>
          </cell>
          <cell r="F761" t="str">
            <v>NO</v>
          </cell>
          <cell r="G761" t="str">
            <v>NO</v>
          </cell>
          <cell r="H761" t="str">
            <v>SALA DE PROCEDIMIENTOS</v>
          </cell>
          <cell r="I761">
            <v>5</v>
          </cell>
          <cell r="J761" t="str">
            <v>C.3.6.2.12</v>
          </cell>
          <cell r="K761" t="str">
            <v>Urgencia</v>
          </cell>
          <cell r="L761">
            <v>1</v>
          </cell>
          <cell r="M761">
            <v>46006</v>
          </cell>
          <cell r="N761">
            <v>46007</v>
          </cell>
          <cell r="O761">
            <v>1</v>
          </cell>
          <cell r="P761">
            <v>46008</v>
          </cell>
          <cell r="Q761">
            <v>1</v>
          </cell>
          <cell r="R761" t="str">
            <v>NA</v>
          </cell>
        </row>
        <row r="762">
          <cell r="B762" t="str">
            <v>EMMC</v>
          </cell>
          <cell r="C762" t="str">
            <v>HSLB11208</v>
          </cell>
          <cell r="D762">
            <v>109006</v>
          </cell>
          <cell r="E762" t="str">
            <v>Espéculo Vaginal Virginal</v>
          </cell>
          <cell r="F762" t="str">
            <v>NO</v>
          </cell>
          <cell r="G762" t="str">
            <v>NO</v>
          </cell>
          <cell r="H762" t="str">
            <v>BOX AT. ACOGIDA C/BAÑO Y DUCHA</v>
          </cell>
          <cell r="I762">
            <v>0</v>
          </cell>
          <cell r="J762" t="str">
            <v>C.4.5.16</v>
          </cell>
          <cell r="K762" t="str">
            <v>Urgencia</v>
          </cell>
          <cell r="L762">
            <v>1</v>
          </cell>
          <cell r="M762">
            <v>46006</v>
          </cell>
          <cell r="N762">
            <v>46007</v>
          </cell>
          <cell r="O762">
            <v>1</v>
          </cell>
          <cell r="P762">
            <v>46008</v>
          </cell>
          <cell r="Q762">
            <v>1</v>
          </cell>
          <cell r="R762" t="str">
            <v>NA</v>
          </cell>
        </row>
        <row r="763">
          <cell r="B763" t="str">
            <v>EMMC</v>
          </cell>
          <cell r="C763" t="str">
            <v>HSLB10118</v>
          </cell>
          <cell r="D763">
            <v>101031</v>
          </cell>
          <cell r="E763" t="str">
            <v>Espirómetro</v>
          </cell>
          <cell r="F763" t="str">
            <v>NO</v>
          </cell>
          <cell r="G763" t="str">
            <v>SI</v>
          </cell>
          <cell r="H763" t="str">
            <v>GIMNASIO ADULTO REHABILITACIÓN CARDIOVASCULAR</v>
          </cell>
          <cell r="I763">
            <v>1</v>
          </cell>
          <cell r="J763" t="str">
            <v>C.5.7.14</v>
          </cell>
          <cell r="K763" t="str">
            <v>Med Física y Rehabilitación</v>
          </cell>
          <cell r="L763">
            <v>1</v>
          </cell>
          <cell r="M763">
            <v>46003</v>
          </cell>
          <cell r="N763">
            <v>46006</v>
          </cell>
          <cell r="O763">
            <v>1</v>
          </cell>
          <cell r="P763">
            <v>46007</v>
          </cell>
          <cell r="Q763">
            <v>1</v>
          </cell>
          <cell r="R763" t="str">
            <v>NA</v>
          </cell>
          <cell r="S763">
            <v>5</v>
          </cell>
        </row>
        <row r="764">
          <cell r="B764" t="str">
            <v>EMMC</v>
          </cell>
          <cell r="C764" t="str">
            <v>HSLB11495</v>
          </cell>
          <cell r="D764">
            <v>111040</v>
          </cell>
          <cell r="E764" t="str">
            <v>Estación Multimodal en Bípedo y Sedente</v>
          </cell>
          <cell r="F764" t="str">
            <v>NO</v>
          </cell>
          <cell r="G764" t="str">
            <v>NO</v>
          </cell>
          <cell r="H764" t="str">
            <v>GIMNASIO PEDIATRICO</v>
          </cell>
          <cell r="I764">
            <v>1</v>
          </cell>
          <cell r="J764" t="str">
            <v>C.5.7.15</v>
          </cell>
          <cell r="K764" t="str">
            <v>Med Física y Rehabilitación</v>
          </cell>
          <cell r="L764">
            <v>1</v>
          </cell>
          <cell r="M764">
            <v>46013</v>
          </cell>
          <cell r="N764">
            <v>46014</v>
          </cell>
          <cell r="O764">
            <v>1</v>
          </cell>
          <cell r="P764">
            <v>46015</v>
          </cell>
          <cell r="Q764">
            <v>1</v>
          </cell>
          <cell r="R764" t="str">
            <v>NA</v>
          </cell>
          <cell r="S764">
            <v>5</v>
          </cell>
        </row>
        <row r="765">
          <cell r="B765" t="str">
            <v>EMMC</v>
          </cell>
          <cell r="C765" t="str">
            <v>HSLB10119</v>
          </cell>
          <cell r="D765">
            <v>102016</v>
          </cell>
          <cell r="E765" t="str">
            <v>Estroboscopio</v>
          </cell>
          <cell r="F765" t="str">
            <v>NO</v>
          </cell>
          <cell r="G765" t="str">
            <v>NO</v>
          </cell>
          <cell r="H765" t="str">
            <v>BOX INDIFERENCIADO (FONOAUDIO Y TERAPIA OCU)(1)</v>
          </cell>
          <cell r="I765">
            <v>1</v>
          </cell>
          <cell r="J765" t="str">
            <v>C.5.7.5.1</v>
          </cell>
          <cell r="K765" t="str">
            <v>Med Física y Rehabilitación</v>
          </cell>
          <cell r="L765">
            <v>1</v>
          </cell>
          <cell r="M765">
            <v>46013</v>
          </cell>
          <cell r="N765">
            <v>46014</v>
          </cell>
          <cell r="O765">
            <v>1</v>
          </cell>
          <cell r="P765">
            <v>46015</v>
          </cell>
          <cell r="Q765">
            <v>1</v>
          </cell>
          <cell r="R765" t="str">
            <v>NA</v>
          </cell>
          <cell r="S765">
            <v>5</v>
          </cell>
        </row>
        <row r="766">
          <cell r="B766" t="str">
            <v>EMMC</v>
          </cell>
          <cell r="C766" t="str">
            <v>HSLB10120</v>
          </cell>
          <cell r="D766">
            <v>102016</v>
          </cell>
          <cell r="E766" t="str">
            <v>Estroboscopio</v>
          </cell>
          <cell r="F766" t="str">
            <v>NO</v>
          </cell>
          <cell r="G766" t="str">
            <v>NO</v>
          </cell>
          <cell r="H766" t="str">
            <v>BOX FONOAUDIO PEDIATRICO</v>
          </cell>
          <cell r="I766">
            <v>1</v>
          </cell>
          <cell r="J766" t="str">
            <v>C.5.7.5.2.1</v>
          </cell>
          <cell r="K766" t="str">
            <v>Med Física y Rehabilitación</v>
          </cell>
          <cell r="L766">
            <v>1</v>
          </cell>
          <cell r="M766">
            <v>46013</v>
          </cell>
          <cell r="N766">
            <v>46014</v>
          </cell>
          <cell r="O766">
            <v>1</v>
          </cell>
          <cell r="P766">
            <v>46015</v>
          </cell>
          <cell r="Q766">
            <v>1</v>
          </cell>
          <cell r="R766" t="str">
            <v>NA</v>
          </cell>
          <cell r="S766">
            <v>5</v>
          </cell>
        </row>
        <row r="767">
          <cell r="B767" t="str">
            <v>EMMC</v>
          </cell>
          <cell r="C767" t="str">
            <v>HSLB11496</v>
          </cell>
          <cell r="D767">
            <v>111041</v>
          </cell>
          <cell r="E767" t="str">
            <v>Grúa de Transferencia</v>
          </cell>
          <cell r="F767" t="str">
            <v>NO</v>
          </cell>
          <cell r="G767" t="str">
            <v>SI</v>
          </cell>
          <cell r="H767" t="str">
            <v>GIMNASIO ADULTO REHABILITACIÓN CARDIOVASCULAR</v>
          </cell>
          <cell r="I767">
            <v>1</v>
          </cell>
          <cell r="J767" t="str">
            <v>C.5.7.14</v>
          </cell>
          <cell r="K767" t="str">
            <v>Med Física y Rehabilitación</v>
          </cell>
          <cell r="L767">
            <v>1</v>
          </cell>
          <cell r="M767">
            <v>46003</v>
          </cell>
          <cell r="N767">
            <v>46006</v>
          </cell>
          <cell r="O767">
            <v>1</v>
          </cell>
          <cell r="P767">
            <v>46007</v>
          </cell>
          <cell r="Q767">
            <v>1</v>
          </cell>
          <cell r="R767" t="str">
            <v>NA</v>
          </cell>
          <cell r="S767">
            <v>5</v>
          </cell>
        </row>
        <row r="768">
          <cell r="B768" t="str">
            <v>EMMC</v>
          </cell>
          <cell r="C768" t="str">
            <v>HSLB10359</v>
          </cell>
          <cell r="D768">
            <v>103031</v>
          </cell>
          <cell r="E768" t="str">
            <v>Horno Eléctrico Empotrado</v>
          </cell>
          <cell r="F768" t="str">
            <v>SI</v>
          </cell>
          <cell r="G768" t="str">
            <v>NO</v>
          </cell>
          <cell r="H768" t="str">
            <v>SALA DE ACTIVDAD DE LA VIDA DIARIA C/BAÑO DE INSTRUCCIÓN</v>
          </cell>
          <cell r="I768">
            <v>1</v>
          </cell>
          <cell r="J768" t="str">
            <v>C.5.7.20</v>
          </cell>
          <cell r="K768" t="str">
            <v>Med Física y Rehabilitación</v>
          </cell>
          <cell r="L768">
            <v>1</v>
          </cell>
          <cell r="M768">
            <v>46052</v>
          </cell>
          <cell r="N768">
            <v>46055</v>
          </cell>
          <cell r="O768">
            <v>2</v>
          </cell>
          <cell r="P768">
            <v>46057</v>
          </cell>
          <cell r="Q768">
            <v>5</v>
          </cell>
          <cell r="R768" t="str">
            <v>NA</v>
          </cell>
          <cell r="S768">
            <v>5</v>
          </cell>
        </row>
        <row r="769">
          <cell r="B769" t="str">
            <v>EMMC</v>
          </cell>
          <cell r="C769" t="str">
            <v>HSLB11209</v>
          </cell>
          <cell r="D769">
            <v>109007</v>
          </cell>
          <cell r="E769" t="str">
            <v>Pinza Maggil</v>
          </cell>
          <cell r="F769" t="str">
            <v>NO</v>
          </cell>
          <cell r="G769" t="str">
            <v>NO</v>
          </cell>
          <cell r="H769" t="str">
            <v>BOX REANIMACIÓN ADULTO</v>
          </cell>
          <cell r="I769">
            <v>1</v>
          </cell>
          <cell r="J769" t="str">
            <v>C.4.3.12.1</v>
          </cell>
          <cell r="K769" t="str">
            <v>Urgencia</v>
          </cell>
          <cell r="L769">
            <v>1</v>
          </cell>
          <cell r="M769">
            <v>46006</v>
          </cell>
          <cell r="N769">
            <v>46007</v>
          </cell>
          <cell r="O769">
            <v>1</v>
          </cell>
          <cell r="P769">
            <v>46008</v>
          </cell>
          <cell r="Q769">
            <v>1</v>
          </cell>
          <cell r="R769" t="str">
            <v>NA</v>
          </cell>
        </row>
        <row r="770">
          <cell r="B770" t="str">
            <v>EMMC</v>
          </cell>
          <cell r="C770" t="str">
            <v>HSLB11210</v>
          </cell>
          <cell r="D770">
            <v>109007</v>
          </cell>
          <cell r="E770" t="str">
            <v>Pinza Maggil</v>
          </cell>
          <cell r="F770" t="str">
            <v>NO</v>
          </cell>
          <cell r="G770" t="str">
            <v>NO</v>
          </cell>
          <cell r="H770" t="str">
            <v>BOX REANIMACIÓN ADULTO</v>
          </cell>
          <cell r="I770">
            <v>1</v>
          </cell>
          <cell r="J770" t="str">
            <v>C.4.3.12.2</v>
          </cell>
          <cell r="K770" t="str">
            <v>Urgencia</v>
          </cell>
          <cell r="L770">
            <v>1</v>
          </cell>
          <cell r="M770">
            <v>46006</v>
          </cell>
          <cell r="N770">
            <v>46007</v>
          </cell>
          <cell r="O770">
            <v>1</v>
          </cell>
          <cell r="P770">
            <v>46008</v>
          </cell>
          <cell r="Q770">
            <v>1</v>
          </cell>
          <cell r="R770" t="str">
            <v>NA</v>
          </cell>
        </row>
        <row r="771">
          <cell r="B771" t="str">
            <v>EMMC</v>
          </cell>
          <cell r="C771" t="str">
            <v>HSLB11211</v>
          </cell>
          <cell r="D771">
            <v>109007</v>
          </cell>
          <cell r="E771" t="str">
            <v>Pinza Maggil</v>
          </cell>
          <cell r="F771" t="str">
            <v>NO</v>
          </cell>
          <cell r="G771" t="str">
            <v>NO</v>
          </cell>
          <cell r="H771" t="str">
            <v>BOX REANIMACIÓN INFANTIL</v>
          </cell>
          <cell r="I771">
            <v>1</v>
          </cell>
          <cell r="J771" t="str">
            <v>C.4.4.12</v>
          </cell>
          <cell r="K771" t="str">
            <v>Urgencia</v>
          </cell>
          <cell r="L771">
            <v>1</v>
          </cell>
          <cell r="M771">
            <v>46006</v>
          </cell>
          <cell r="N771">
            <v>46007</v>
          </cell>
          <cell r="O771">
            <v>1</v>
          </cell>
          <cell r="P771">
            <v>46008</v>
          </cell>
          <cell r="Q771">
            <v>1</v>
          </cell>
          <cell r="R771" t="str">
            <v>NA</v>
          </cell>
        </row>
        <row r="772">
          <cell r="B772" t="str">
            <v>EMMC</v>
          </cell>
          <cell r="C772" t="str">
            <v>HSLB11402</v>
          </cell>
          <cell r="D772">
            <v>110047</v>
          </cell>
          <cell r="E772" t="str">
            <v>Refrigerador Clínico 150 L</v>
          </cell>
          <cell r="F772" t="str">
            <v>NO</v>
          </cell>
          <cell r="G772" t="str">
            <v>NO</v>
          </cell>
          <cell r="H772" t="str">
            <v>BOX AT. ACOGIDA C/BAÑO Y DUCHA</v>
          </cell>
          <cell r="I772">
            <v>1</v>
          </cell>
          <cell r="J772" t="str">
            <v>C.4.5.16</v>
          </cell>
          <cell r="K772" t="str">
            <v>Urgencia</v>
          </cell>
          <cell r="L772">
            <v>1</v>
          </cell>
          <cell r="M772">
            <v>46006</v>
          </cell>
          <cell r="N772">
            <v>46007</v>
          </cell>
          <cell r="O772">
            <v>1</v>
          </cell>
          <cell r="P772">
            <v>46008</v>
          </cell>
          <cell r="Q772">
            <v>1</v>
          </cell>
          <cell r="R772" t="str">
            <v>NA</v>
          </cell>
        </row>
        <row r="773">
          <cell r="B773" t="str">
            <v>EMMC</v>
          </cell>
          <cell r="C773" t="str">
            <v>HSLB11430</v>
          </cell>
          <cell r="D773">
            <v>110051</v>
          </cell>
          <cell r="E773" t="str">
            <v>Refrigerador Clínico 60 l</v>
          </cell>
          <cell r="F773" t="str">
            <v>NO</v>
          </cell>
          <cell r="G773" t="str">
            <v>NO</v>
          </cell>
          <cell r="H773" t="str">
            <v>SALA PROCEDIMIENTOS C/BAÑO</v>
          </cell>
          <cell r="I773">
            <v>1</v>
          </cell>
          <cell r="J773" t="str">
            <v>C.5.7.6.1</v>
          </cell>
          <cell r="K773" t="str">
            <v>Med Física y Rehabilitación</v>
          </cell>
          <cell r="L773">
            <v>1</v>
          </cell>
          <cell r="M773">
            <v>46013</v>
          </cell>
          <cell r="N773">
            <v>46014</v>
          </cell>
          <cell r="O773">
            <v>1</v>
          </cell>
          <cell r="P773">
            <v>46015</v>
          </cell>
          <cell r="Q773">
            <v>1</v>
          </cell>
          <cell r="R773" t="str">
            <v>NA</v>
          </cell>
          <cell r="S773">
            <v>5</v>
          </cell>
        </row>
        <row r="774">
          <cell r="B774" t="str">
            <v>EMMC</v>
          </cell>
          <cell r="C774" t="str">
            <v>HSLB11423</v>
          </cell>
          <cell r="D774">
            <v>110051</v>
          </cell>
          <cell r="E774" t="str">
            <v>Refrigerador Clínico 60 l</v>
          </cell>
          <cell r="F774" t="str">
            <v>NO</v>
          </cell>
          <cell r="G774" t="str">
            <v>NO</v>
          </cell>
          <cell r="H774" t="str">
            <v>CLINICA DE ENFERMERIA (A.LIMPIA)</v>
          </cell>
          <cell r="I774">
            <v>1</v>
          </cell>
          <cell r="J774" t="str">
            <v>C.3.6.2.5.1</v>
          </cell>
          <cell r="K774" t="str">
            <v>Urgencia</v>
          </cell>
          <cell r="L774">
            <v>1</v>
          </cell>
          <cell r="M774">
            <v>46006</v>
          </cell>
          <cell r="N774">
            <v>46007</v>
          </cell>
          <cell r="O774">
            <v>1</v>
          </cell>
          <cell r="P774">
            <v>46008</v>
          </cell>
          <cell r="Q774">
            <v>1</v>
          </cell>
          <cell r="R774" t="str">
            <v>NA</v>
          </cell>
        </row>
        <row r="775">
          <cell r="B775" t="str">
            <v>EMMC</v>
          </cell>
          <cell r="C775" t="str">
            <v>HSLB11426</v>
          </cell>
          <cell r="D775">
            <v>110051</v>
          </cell>
          <cell r="E775" t="str">
            <v>Refrigerador Clínico 60 l</v>
          </cell>
          <cell r="F775" t="str">
            <v>NO</v>
          </cell>
          <cell r="G775" t="str">
            <v>NO</v>
          </cell>
          <cell r="H775" t="str">
            <v>CLINICA DE ENFERMERIA (A.LIMPIA)</v>
          </cell>
          <cell r="I775">
            <v>1</v>
          </cell>
          <cell r="J775" t="str">
            <v>C.4.4.9.2</v>
          </cell>
          <cell r="K775" t="str">
            <v>Urgencia</v>
          </cell>
          <cell r="L775">
            <v>1</v>
          </cell>
          <cell r="M775">
            <v>46006</v>
          </cell>
          <cell r="N775">
            <v>46007</v>
          </cell>
          <cell r="O775">
            <v>1</v>
          </cell>
          <cell r="P775">
            <v>46008</v>
          </cell>
          <cell r="Q775">
            <v>1</v>
          </cell>
          <cell r="R775" t="str">
            <v>NA</v>
          </cell>
        </row>
        <row r="776">
          <cell r="B776" t="str">
            <v>EMMC</v>
          </cell>
          <cell r="C776" t="str">
            <v>HSLB11434</v>
          </cell>
          <cell r="D776">
            <v>110053</v>
          </cell>
          <cell r="E776" t="str">
            <v>Refrigerador Clínico con Congelador 150 l</v>
          </cell>
          <cell r="F776" t="str">
            <v>NO</v>
          </cell>
          <cell r="G776" t="str">
            <v>NO</v>
          </cell>
          <cell r="H776" t="str">
            <v>CLINICA DE ENFERMERIA (A.LIMPIA)</v>
          </cell>
          <cell r="I776">
            <v>1</v>
          </cell>
          <cell r="J776" t="str">
            <v>C.4.3.9.2</v>
          </cell>
          <cell r="K776" t="str">
            <v>Urgencia</v>
          </cell>
          <cell r="L776">
            <v>1</v>
          </cell>
          <cell r="M776">
            <v>46006</v>
          </cell>
          <cell r="N776">
            <v>46007</v>
          </cell>
          <cell r="O776">
            <v>1</v>
          </cell>
          <cell r="P776">
            <v>46008</v>
          </cell>
          <cell r="Q776">
            <v>1</v>
          </cell>
          <cell r="R776" t="str">
            <v>NA</v>
          </cell>
        </row>
        <row r="777">
          <cell r="B777" t="str">
            <v>EMMC</v>
          </cell>
          <cell r="C777" t="str">
            <v>HSLB10444</v>
          </cell>
          <cell r="D777">
            <v>103048</v>
          </cell>
          <cell r="E777" t="str">
            <v>Refrigerador Doméstico</v>
          </cell>
          <cell r="F777" t="str">
            <v>NO</v>
          </cell>
          <cell r="G777" t="str">
            <v>NO</v>
          </cell>
          <cell r="H777" t="str">
            <v>SALA DE ACTIVDAD DE LA VIDA DIARIA C/BAÑO DE INSTRUCCIÓN</v>
          </cell>
          <cell r="I777">
            <v>1</v>
          </cell>
          <cell r="J777" t="str">
            <v>C.5.7.20</v>
          </cell>
          <cell r="K777" t="str">
            <v>Med Física y Rehabilitación</v>
          </cell>
          <cell r="L777">
            <v>1</v>
          </cell>
          <cell r="M777">
            <v>46013</v>
          </cell>
          <cell r="N777">
            <v>46014</v>
          </cell>
          <cell r="O777">
            <v>1</v>
          </cell>
          <cell r="P777">
            <v>46015</v>
          </cell>
          <cell r="Q777">
            <v>1</v>
          </cell>
          <cell r="R777" t="str">
            <v>NA</v>
          </cell>
          <cell r="S777">
            <v>5</v>
          </cell>
        </row>
        <row r="778">
          <cell r="B778" t="str">
            <v>EMMC</v>
          </cell>
          <cell r="C778" t="str">
            <v>HSLB10413</v>
          </cell>
          <cell r="D778">
            <v>103048</v>
          </cell>
          <cell r="E778" t="str">
            <v>Refrigerador Doméstico</v>
          </cell>
          <cell r="F778" t="str">
            <v>NO</v>
          </cell>
          <cell r="G778" t="str">
            <v>NO</v>
          </cell>
          <cell r="H778" t="str">
            <v>ESTAR PERSONAL C/ KITCHENETTE</v>
          </cell>
          <cell r="I778">
            <v>1</v>
          </cell>
          <cell r="J778" t="str">
            <v>C.4.6.2.1</v>
          </cell>
          <cell r="K778" t="str">
            <v>Urgencia</v>
          </cell>
          <cell r="L778">
            <v>1</v>
          </cell>
          <cell r="M778">
            <v>46006</v>
          </cell>
          <cell r="N778">
            <v>46007</v>
          </cell>
          <cell r="O778">
            <v>1</v>
          </cell>
          <cell r="P778">
            <v>46008</v>
          </cell>
          <cell r="Q778">
            <v>1</v>
          </cell>
          <cell r="R778" t="str">
            <v>NA</v>
          </cell>
        </row>
        <row r="779">
          <cell r="B779" t="str">
            <v>EMMC</v>
          </cell>
          <cell r="C779" t="str">
            <v>HSLB10414</v>
          </cell>
          <cell r="D779">
            <v>103048</v>
          </cell>
          <cell r="E779" t="str">
            <v>Refrigerador Doméstico</v>
          </cell>
          <cell r="F779" t="str">
            <v>NO</v>
          </cell>
          <cell r="G779" t="str">
            <v>NO</v>
          </cell>
          <cell r="H779" t="str">
            <v>ESTAR PERSONAL C/ KITCHENETTE</v>
          </cell>
          <cell r="I779">
            <v>1</v>
          </cell>
          <cell r="J779" t="str">
            <v>C.4.6.2.2</v>
          </cell>
          <cell r="K779" t="str">
            <v>Urgencia</v>
          </cell>
          <cell r="L779">
            <v>1</v>
          </cell>
          <cell r="M779">
            <v>46006</v>
          </cell>
          <cell r="N779">
            <v>46007</v>
          </cell>
          <cell r="O779">
            <v>1</v>
          </cell>
          <cell r="P779">
            <v>46008</v>
          </cell>
          <cell r="Q779">
            <v>1</v>
          </cell>
          <cell r="R779" t="str">
            <v>NA</v>
          </cell>
        </row>
        <row r="780">
          <cell r="B780" t="str">
            <v>EMMC</v>
          </cell>
          <cell r="C780" t="str">
            <v>HSLB10415</v>
          </cell>
          <cell r="D780">
            <v>103048</v>
          </cell>
          <cell r="E780" t="str">
            <v>Refrigerador Doméstico</v>
          </cell>
          <cell r="F780" t="str">
            <v>NO</v>
          </cell>
          <cell r="G780" t="str">
            <v>NO</v>
          </cell>
          <cell r="H780" t="str">
            <v>ESTAR PERSONAL C/ KITCHENETTE</v>
          </cell>
          <cell r="I780">
            <v>1</v>
          </cell>
          <cell r="J780" t="str">
            <v>C.4.6.2.3</v>
          </cell>
          <cell r="K780" t="str">
            <v>Urgencia</v>
          </cell>
          <cell r="L780">
            <v>1</v>
          </cell>
          <cell r="M780">
            <v>46006</v>
          </cell>
          <cell r="N780">
            <v>46007</v>
          </cell>
          <cell r="O780">
            <v>1</v>
          </cell>
          <cell r="P780">
            <v>46008</v>
          </cell>
          <cell r="Q780">
            <v>1</v>
          </cell>
          <cell r="R780" t="str">
            <v>NA</v>
          </cell>
        </row>
        <row r="781">
          <cell r="B781" t="str">
            <v>EMMC</v>
          </cell>
          <cell r="C781" t="str">
            <v>HSLB10416</v>
          </cell>
          <cell r="D781">
            <v>103048</v>
          </cell>
          <cell r="E781" t="str">
            <v>Refrigerador Doméstico</v>
          </cell>
          <cell r="F781" t="str">
            <v>NO</v>
          </cell>
          <cell r="G781" t="str">
            <v>NO</v>
          </cell>
          <cell r="H781" t="str">
            <v>ESTAR PERSONAL C/ KITCHENETTE</v>
          </cell>
          <cell r="I781">
            <v>1</v>
          </cell>
          <cell r="J781" t="str">
            <v>C.4.6.2.4</v>
          </cell>
          <cell r="K781" t="str">
            <v>Urgencia</v>
          </cell>
          <cell r="L781">
            <v>1</v>
          </cell>
          <cell r="M781">
            <v>46006</v>
          </cell>
          <cell r="N781">
            <v>46007</v>
          </cell>
          <cell r="O781">
            <v>1</v>
          </cell>
          <cell r="P781">
            <v>46008</v>
          </cell>
          <cell r="Q781">
            <v>1</v>
          </cell>
          <cell r="R781" t="str">
            <v>NA</v>
          </cell>
        </row>
        <row r="782">
          <cell r="B782" t="str">
            <v>EMMC</v>
          </cell>
          <cell r="C782" t="str">
            <v>HSLB10417</v>
          </cell>
          <cell r="D782">
            <v>103048</v>
          </cell>
          <cell r="E782" t="str">
            <v>Refrigerador Doméstico</v>
          </cell>
          <cell r="F782" t="str">
            <v>NO</v>
          </cell>
          <cell r="G782" t="str">
            <v>NO</v>
          </cell>
          <cell r="H782" t="str">
            <v>ESTAR PERSONAL C/ KITCHENETTE</v>
          </cell>
          <cell r="I782">
            <v>1</v>
          </cell>
          <cell r="J782" t="str">
            <v>C.4.6.2.5</v>
          </cell>
          <cell r="K782" t="str">
            <v>Urgencia</v>
          </cell>
          <cell r="L782">
            <v>1</v>
          </cell>
          <cell r="M782">
            <v>46006</v>
          </cell>
          <cell r="N782">
            <v>46007</v>
          </cell>
          <cell r="O782">
            <v>1</v>
          </cell>
          <cell r="P782">
            <v>46008</v>
          </cell>
          <cell r="Q782">
            <v>1</v>
          </cell>
          <cell r="R782" t="str">
            <v>NA</v>
          </cell>
        </row>
        <row r="783">
          <cell r="B783" t="str">
            <v>EMMC</v>
          </cell>
          <cell r="C783" t="str">
            <v>HSLB10423</v>
          </cell>
          <cell r="D783">
            <v>103048</v>
          </cell>
          <cell r="E783" t="str">
            <v>Refrigerador Doméstico</v>
          </cell>
          <cell r="F783" t="str">
            <v>NO</v>
          </cell>
          <cell r="G783" t="str">
            <v>NO</v>
          </cell>
          <cell r="H783" t="str">
            <v>KITCHENETTE</v>
          </cell>
          <cell r="I783">
            <v>1</v>
          </cell>
          <cell r="J783" t="str">
            <v>C.5.7.24</v>
          </cell>
          <cell r="K783" t="str">
            <v>Med Física y Rehabilitación</v>
          </cell>
          <cell r="L783">
            <v>1</v>
          </cell>
          <cell r="M783">
            <v>46013</v>
          </cell>
          <cell r="N783">
            <v>46014</v>
          </cell>
          <cell r="O783">
            <v>1</v>
          </cell>
          <cell r="P783">
            <v>46015</v>
          </cell>
          <cell r="Q783">
            <v>1</v>
          </cell>
          <cell r="R783" t="str">
            <v>NA</v>
          </cell>
          <cell r="S783">
            <v>5</v>
          </cell>
        </row>
        <row r="784">
          <cell r="B784" t="str">
            <v>EMMC</v>
          </cell>
          <cell r="C784" t="str">
            <v>HSLB10428</v>
          </cell>
          <cell r="D784">
            <v>103048</v>
          </cell>
          <cell r="E784" t="str">
            <v>Refrigerador Doméstico</v>
          </cell>
          <cell r="F784" t="str">
            <v>NO</v>
          </cell>
          <cell r="G784" t="str">
            <v>NO</v>
          </cell>
          <cell r="H784" t="str">
            <v>ESTAR PERSONAL C/ KITCHENETTE</v>
          </cell>
          <cell r="I784">
            <v>1</v>
          </cell>
          <cell r="J784" t="str">
            <v>D.2.2.3.2</v>
          </cell>
          <cell r="K784" t="str">
            <v>Urgencia</v>
          </cell>
          <cell r="L784">
            <v>1</v>
          </cell>
          <cell r="M784">
            <v>46006</v>
          </cell>
          <cell r="N784">
            <v>46007</v>
          </cell>
          <cell r="O784">
            <v>1</v>
          </cell>
          <cell r="P784">
            <v>46008</v>
          </cell>
          <cell r="Q784">
            <v>1</v>
          </cell>
          <cell r="R784" t="str">
            <v>NA</v>
          </cell>
        </row>
        <row r="785">
          <cell r="B785" t="str">
            <v>EMMC</v>
          </cell>
          <cell r="C785" t="str">
            <v>HSLB10439</v>
          </cell>
          <cell r="D785">
            <v>103048</v>
          </cell>
          <cell r="E785" t="str">
            <v>Refrigerador Doméstico</v>
          </cell>
          <cell r="F785" t="str">
            <v>NO</v>
          </cell>
          <cell r="G785" t="str">
            <v>NO</v>
          </cell>
          <cell r="H785" t="str">
            <v>ESTAR PERSONAL</v>
          </cell>
          <cell r="I785">
            <v>1</v>
          </cell>
          <cell r="J785" t="str">
            <v>H.1.3</v>
          </cell>
          <cell r="K785" t="str">
            <v>Urgencia</v>
          </cell>
          <cell r="L785">
            <v>1</v>
          </cell>
          <cell r="M785">
            <v>46006</v>
          </cell>
          <cell r="N785">
            <v>46007</v>
          </cell>
          <cell r="O785">
            <v>1</v>
          </cell>
          <cell r="P785">
            <v>46008</v>
          </cell>
          <cell r="Q785">
            <v>1</v>
          </cell>
          <cell r="R785" t="str">
            <v>NA</v>
          </cell>
        </row>
        <row r="786">
          <cell r="B786" t="str">
            <v>EMMC</v>
          </cell>
          <cell r="C786" t="str">
            <v>HSLB11212</v>
          </cell>
          <cell r="D786">
            <v>109008</v>
          </cell>
          <cell r="E786" t="str">
            <v>Riñones</v>
          </cell>
          <cell r="F786" t="str">
            <v>NO</v>
          </cell>
          <cell r="G786" t="str">
            <v>NO</v>
          </cell>
          <cell r="H786" t="str">
            <v xml:space="preserve">SALA DE PROCEDIMIENTO </v>
          </cell>
          <cell r="I786">
            <v>2</v>
          </cell>
          <cell r="J786" t="str">
            <v>C.4.3.5.1</v>
          </cell>
          <cell r="K786" t="str">
            <v>Urgencia</v>
          </cell>
          <cell r="L786">
            <v>1</v>
          </cell>
          <cell r="M786">
            <v>46006</v>
          </cell>
          <cell r="N786">
            <v>46007</v>
          </cell>
          <cell r="O786">
            <v>1</v>
          </cell>
          <cell r="P786">
            <v>46008</v>
          </cell>
          <cell r="Q786">
            <v>1</v>
          </cell>
          <cell r="R786" t="str">
            <v>NA</v>
          </cell>
        </row>
        <row r="787">
          <cell r="B787" t="str">
            <v>EMMC</v>
          </cell>
          <cell r="C787" t="str">
            <v>HSLB11213</v>
          </cell>
          <cell r="D787">
            <v>109008</v>
          </cell>
          <cell r="E787" t="str">
            <v>Riñones</v>
          </cell>
          <cell r="F787" t="str">
            <v>NO</v>
          </cell>
          <cell r="G787" t="str">
            <v>NO</v>
          </cell>
          <cell r="H787" t="str">
            <v>SALA DE PROCEDIMIENTO</v>
          </cell>
          <cell r="I787">
            <v>2</v>
          </cell>
          <cell r="J787" t="str">
            <v>C.4.3.5.2</v>
          </cell>
          <cell r="K787" t="str">
            <v>Urgencia</v>
          </cell>
          <cell r="L787">
            <v>1</v>
          </cell>
          <cell r="M787">
            <v>46006</v>
          </cell>
          <cell r="N787">
            <v>46007</v>
          </cell>
          <cell r="O787">
            <v>1</v>
          </cell>
          <cell r="P787">
            <v>46008</v>
          </cell>
          <cell r="Q787">
            <v>1</v>
          </cell>
          <cell r="R787" t="str">
            <v>NA</v>
          </cell>
        </row>
        <row r="788">
          <cell r="B788" t="str">
            <v>EMMC</v>
          </cell>
          <cell r="C788" t="str">
            <v>HSLB11214</v>
          </cell>
          <cell r="D788">
            <v>109008</v>
          </cell>
          <cell r="E788" t="str">
            <v>Riñones</v>
          </cell>
          <cell r="F788" t="str">
            <v>NO</v>
          </cell>
          <cell r="G788" t="str">
            <v>NO</v>
          </cell>
          <cell r="H788" t="str">
            <v>SALA DE PROCEDIMIENTO (infantil)</v>
          </cell>
          <cell r="I788">
            <v>3</v>
          </cell>
          <cell r="J788" t="str">
            <v>C.4.4.5</v>
          </cell>
          <cell r="K788" t="str">
            <v>Urgencia</v>
          </cell>
          <cell r="L788">
            <v>1</v>
          </cell>
          <cell r="M788">
            <v>46006</v>
          </cell>
          <cell r="N788">
            <v>46007</v>
          </cell>
          <cell r="O788">
            <v>1</v>
          </cell>
          <cell r="P788">
            <v>46008</v>
          </cell>
          <cell r="Q788">
            <v>1</v>
          </cell>
          <cell r="R788" t="str">
            <v>NA</v>
          </cell>
        </row>
        <row r="789">
          <cell r="B789" t="str">
            <v>EMMC</v>
          </cell>
          <cell r="C789" t="str">
            <v>HSLB10574</v>
          </cell>
          <cell r="D789">
            <v>104029</v>
          </cell>
          <cell r="E789" t="str">
            <v>Set Corta Yeso con Aspiración</v>
          </cell>
          <cell r="F789" t="str">
            <v>NO</v>
          </cell>
          <cell r="G789" t="str">
            <v>NO</v>
          </cell>
          <cell r="H789" t="str">
            <v>SALA YESO</v>
          </cell>
          <cell r="I789">
            <v>1</v>
          </cell>
          <cell r="J789" t="str">
            <v>C.4.5.4</v>
          </cell>
          <cell r="K789" t="str">
            <v>Urgencia</v>
          </cell>
          <cell r="L789">
            <v>1</v>
          </cell>
          <cell r="M789">
            <v>46006</v>
          </cell>
          <cell r="N789">
            <v>46007</v>
          </cell>
          <cell r="O789">
            <v>1</v>
          </cell>
          <cell r="P789">
            <v>46008</v>
          </cell>
          <cell r="Q789">
            <v>1</v>
          </cell>
          <cell r="R789" t="str">
            <v>NA</v>
          </cell>
        </row>
        <row r="790">
          <cell r="B790" t="str">
            <v>EMMC</v>
          </cell>
          <cell r="C790" t="str">
            <v>HSLB10264</v>
          </cell>
          <cell r="D790">
            <v>102004</v>
          </cell>
          <cell r="E790" t="str">
            <v>Set de Vía Aérea Difícil</v>
          </cell>
          <cell r="F790" t="str">
            <v>NO</v>
          </cell>
          <cell r="G790" t="str">
            <v>NO</v>
          </cell>
          <cell r="H790" t="str">
            <v>BOX REANIMACIÓN ADULTO</v>
          </cell>
          <cell r="I790">
            <v>1</v>
          </cell>
          <cell r="J790" t="str">
            <v>C.4.3.12.1</v>
          </cell>
          <cell r="K790" t="str">
            <v>Urgencia</v>
          </cell>
          <cell r="L790">
            <v>1</v>
          </cell>
          <cell r="M790">
            <v>46006</v>
          </cell>
          <cell r="N790">
            <v>46007</v>
          </cell>
          <cell r="O790">
            <v>1</v>
          </cell>
          <cell r="P790">
            <v>46008</v>
          </cell>
          <cell r="Q790">
            <v>1</v>
          </cell>
          <cell r="R790" t="str">
            <v>NA</v>
          </cell>
        </row>
        <row r="791">
          <cell r="B791" t="str">
            <v>EMMC</v>
          </cell>
          <cell r="C791" t="str">
            <v>HSLB10265</v>
          </cell>
          <cell r="D791">
            <v>102004</v>
          </cell>
          <cell r="E791" t="str">
            <v>Set de Vía Aérea Difícil</v>
          </cell>
          <cell r="F791" t="str">
            <v>NO</v>
          </cell>
          <cell r="G791" t="str">
            <v>NO</v>
          </cell>
          <cell r="H791" t="str">
            <v>BOX REANIMACIÓN ADULTO</v>
          </cell>
          <cell r="I791">
            <v>1</v>
          </cell>
          <cell r="J791" t="str">
            <v>C.4.3.12.2</v>
          </cell>
          <cell r="K791" t="str">
            <v>Urgencia</v>
          </cell>
          <cell r="L791">
            <v>1</v>
          </cell>
          <cell r="M791">
            <v>46006</v>
          </cell>
          <cell r="N791">
            <v>46007</v>
          </cell>
          <cell r="O791">
            <v>1</v>
          </cell>
          <cell r="P791">
            <v>46008</v>
          </cell>
          <cell r="Q791">
            <v>1</v>
          </cell>
          <cell r="R791" t="str">
            <v>NA</v>
          </cell>
        </row>
        <row r="792">
          <cell r="B792" t="str">
            <v>EMMC</v>
          </cell>
          <cell r="C792" t="str">
            <v>HSLB10266</v>
          </cell>
          <cell r="D792">
            <v>102004</v>
          </cell>
          <cell r="E792" t="str">
            <v>Set de Vía Aérea Difícil</v>
          </cell>
          <cell r="F792" t="str">
            <v>NO</v>
          </cell>
          <cell r="G792" t="str">
            <v>NO</v>
          </cell>
          <cell r="H792" t="str">
            <v>BOX REANIMACIÓN INFANTIL</v>
          </cell>
          <cell r="I792">
            <v>1</v>
          </cell>
          <cell r="J792" t="str">
            <v>C.4.4.12</v>
          </cell>
          <cell r="K792" t="str">
            <v>Urgencia</v>
          </cell>
          <cell r="L792">
            <v>1</v>
          </cell>
          <cell r="M792">
            <v>46006</v>
          </cell>
          <cell r="N792">
            <v>46007</v>
          </cell>
          <cell r="O792">
            <v>1</v>
          </cell>
          <cell r="P792">
            <v>46008</v>
          </cell>
          <cell r="Q792">
            <v>1</v>
          </cell>
          <cell r="R792" t="str">
            <v>NA</v>
          </cell>
        </row>
        <row r="793">
          <cell r="B793" t="str">
            <v>EMMC</v>
          </cell>
          <cell r="C793" t="str">
            <v>HSLB11216</v>
          </cell>
          <cell r="D793">
            <v>109009</v>
          </cell>
          <cell r="E793" t="str">
            <v>Set Instrumental Cirugía Menor</v>
          </cell>
          <cell r="F793" t="str">
            <v>NO</v>
          </cell>
          <cell r="G793" t="str">
            <v>NO</v>
          </cell>
          <cell r="H793" t="str">
            <v>BOX REANIMACIÓN ADULTO</v>
          </cell>
          <cell r="I793">
            <v>1</v>
          </cell>
          <cell r="J793" t="str">
            <v>C.4.3.12.1</v>
          </cell>
          <cell r="K793" t="str">
            <v>Urgencia</v>
          </cell>
          <cell r="L793">
            <v>1</v>
          </cell>
          <cell r="M793">
            <v>46006</v>
          </cell>
          <cell r="N793">
            <v>46007</v>
          </cell>
          <cell r="O793">
            <v>1</v>
          </cell>
          <cell r="P793">
            <v>46008</v>
          </cell>
          <cell r="Q793">
            <v>1</v>
          </cell>
          <cell r="R793" t="str">
            <v>NA</v>
          </cell>
        </row>
        <row r="794">
          <cell r="B794" t="str">
            <v>EMMC</v>
          </cell>
          <cell r="C794" t="str">
            <v>HSLB11217</v>
          </cell>
          <cell r="D794">
            <v>109009</v>
          </cell>
          <cell r="E794" t="str">
            <v>Set Instrumental Cirugía Menor</v>
          </cell>
          <cell r="F794" t="str">
            <v>NO</v>
          </cell>
          <cell r="G794" t="str">
            <v>NO</v>
          </cell>
          <cell r="H794" t="str">
            <v>BOX REANIMACIÓN ADULTO</v>
          </cell>
          <cell r="I794">
            <v>1</v>
          </cell>
          <cell r="J794" t="str">
            <v>C.4.3.12.2</v>
          </cell>
          <cell r="K794" t="str">
            <v>Urgencia</v>
          </cell>
          <cell r="L794">
            <v>1</v>
          </cell>
          <cell r="M794">
            <v>46006</v>
          </cell>
          <cell r="N794">
            <v>46007</v>
          </cell>
          <cell r="O794">
            <v>1</v>
          </cell>
          <cell r="P794">
            <v>46008</v>
          </cell>
          <cell r="Q794">
            <v>1</v>
          </cell>
          <cell r="R794" t="str">
            <v>NA</v>
          </cell>
        </row>
        <row r="795">
          <cell r="B795" t="str">
            <v>EMMC</v>
          </cell>
          <cell r="C795" t="str">
            <v>HSLB11218</v>
          </cell>
          <cell r="D795">
            <v>109009</v>
          </cell>
          <cell r="E795" t="str">
            <v>Set Instrumental Cirugía Menor</v>
          </cell>
          <cell r="F795" t="str">
            <v>NO</v>
          </cell>
          <cell r="G795" t="str">
            <v>NO</v>
          </cell>
          <cell r="H795" t="str">
            <v xml:space="preserve">SALA DE PROCEDIMIENTO </v>
          </cell>
          <cell r="I795">
            <v>1</v>
          </cell>
          <cell r="J795" t="str">
            <v>C.4.3.5.1</v>
          </cell>
          <cell r="K795" t="str">
            <v>Urgencia</v>
          </cell>
          <cell r="L795">
            <v>1</v>
          </cell>
          <cell r="M795">
            <v>46006</v>
          </cell>
          <cell r="N795">
            <v>46007</v>
          </cell>
          <cell r="O795">
            <v>1</v>
          </cell>
          <cell r="P795">
            <v>46008</v>
          </cell>
          <cell r="Q795">
            <v>1</v>
          </cell>
          <cell r="R795" t="str">
            <v>NA</v>
          </cell>
        </row>
        <row r="796">
          <cell r="B796" t="str">
            <v>EMMC</v>
          </cell>
          <cell r="C796" t="str">
            <v>HSLB11219</v>
          </cell>
          <cell r="D796">
            <v>109009</v>
          </cell>
          <cell r="E796" t="str">
            <v>Set Instrumental Cirugía Menor</v>
          </cell>
          <cell r="F796" t="str">
            <v>NO</v>
          </cell>
          <cell r="G796" t="str">
            <v>NO</v>
          </cell>
          <cell r="H796" t="str">
            <v>SALA DE PROCEDIMIENTO</v>
          </cell>
          <cell r="I796">
            <v>1</v>
          </cell>
          <cell r="J796" t="str">
            <v>C.4.3.5.2</v>
          </cell>
          <cell r="K796" t="str">
            <v>Urgencia</v>
          </cell>
          <cell r="L796">
            <v>1</v>
          </cell>
          <cell r="M796">
            <v>46006</v>
          </cell>
          <cell r="N796">
            <v>46007</v>
          </cell>
          <cell r="O796">
            <v>1</v>
          </cell>
          <cell r="P796">
            <v>46008</v>
          </cell>
          <cell r="Q796">
            <v>1</v>
          </cell>
          <cell r="R796" t="str">
            <v>NA</v>
          </cell>
        </row>
        <row r="797">
          <cell r="B797" t="str">
            <v>EMMC</v>
          </cell>
          <cell r="C797" t="str">
            <v>HSLB11220</v>
          </cell>
          <cell r="D797">
            <v>109009</v>
          </cell>
          <cell r="E797" t="str">
            <v>Set Instrumental Cirugía Menor</v>
          </cell>
          <cell r="F797" t="str">
            <v>NO</v>
          </cell>
          <cell r="G797" t="str">
            <v>NO</v>
          </cell>
          <cell r="H797" t="str">
            <v>BOX REANIMACIÓN INFANTIL</v>
          </cell>
          <cell r="I797">
            <v>5</v>
          </cell>
          <cell r="J797" t="str">
            <v>C.4.4.12</v>
          </cell>
          <cell r="K797" t="str">
            <v>Urgencia</v>
          </cell>
          <cell r="L797">
            <v>1</v>
          </cell>
          <cell r="M797">
            <v>46006</v>
          </cell>
          <cell r="N797">
            <v>46007</v>
          </cell>
          <cell r="O797">
            <v>1</v>
          </cell>
          <cell r="P797">
            <v>46008</v>
          </cell>
          <cell r="Q797">
            <v>1</v>
          </cell>
          <cell r="R797" t="str">
            <v>NA</v>
          </cell>
        </row>
        <row r="798">
          <cell r="B798" t="str">
            <v>EMMC</v>
          </cell>
          <cell r="C798" t="str">
            <v>HSLB11221</v>
          </cell>
          <cell r="D798">
            <v>109009</v>
          </cell>
          <cell r="E798" t="str">
            <v>Set Instrumental Cirugía Menor</v>
          </cell>
          <cell r="F798" t="str">
            <v>NO</v>
          </cell>
          <cell r="G798" t="str">
            <v>NO</v>
          </cell>
          <cell r="H798" t="str">
            <v>SALA DE PROCEDIMIENTO (infantil)</v>
          </cell>
          <cell r="I798">
            <v>1</v>
          </cell>
          <cell r="J798" t="str">
            <v>C.4.4.5</v>
          </cell>
          <cell r="K798" t="str">
            <v>Urgencia</v>
          </cell>
          <cell r="L798">
            <v>1</v>
          </cell>
          <cell r="M798">
            <v>46006</v>
          </cell>
          <cell r="N798">
            <v>46007</v>
          </cell>
          <cell r="O798">
            <v>1</v>
          </cell>
          <cell r="P798">
            <v>46008</v>
          </cell>
          <cell r="Q798">
            <v>1</v>
          </cell>
          <cell r="R798" t="str">
            <v>NA</v>
          </cell>
        </row>
        <row r="799">
          <cell r="B799" t="str">
            <v>EMMC</v>
          </cell>
          <cell r="C799" t="str">
            <v>HSLB11230</v>
          </cell>
          <cell r="D799">
            <v>109010</v>
          </cell>
          <cell r="E799" t="str">
            <v>Set Instrumental Curación</v>
          </cell>
          <cell r="F799" t="str">
            <v>NO</v>
          </cell>
          <cell r="G799" t="str">
            <v>NO</v>
          </cell>
          <cell r="H799" t="str">
            <v>SALA DE PROCEDIMIENTOS</v>
          </cell>
          <cell r="I799">
            <v>4</v>
          </cell>
          <cell r="J799" t="str">
            <v>C.2.4.8</v>
          </cell>
          <cell r="K799" t="str">
            <v>Imagenología</v>
          </cell>
          <cell r="L799">
            <v>1</v>
          </cell>
          <cell r="M799">
            <v>46008</v>
          </cell>
          <cell r="N799">
            <v>46009</v>
          </cell>
          <cell r="O799">
            <v>1</v>
          </cell>
          <cell r="P799">
            <v>46010</v>
          </cell>
          <cell r="Q799">
            <v>1</v>
          </cell>
          <cell r="R799" t="str">
            <v>NA</v>
          </cell>
          <cell r="S799">
            <v>5</v>
          </cell>
        </row>
        <row r="800">
          <cell r="B800" t="str">
            <v>EMMC</v>
          </cell>
          <cell r="C800" t="str">
            <v>HSLB11241</v>
          </cell>
          <cell r="D800">
            <v>109010</v>
          </cell>
          <cell r="E800" t="str">
            <v>Set Instrumental Curación</v>
          </cell>
          <cell r="F800" t="str">
            <v>NO</v>
          </cell>
          <cell r="G800" t="str">
            <v>NO</v>
          </cell>
          <cell r="H800" t="str">
            <v>SALA DE PROCEDIMIENTOS</v>
          </cell>
          <cell r="I800">
            <v>5</v>
          </cell>
          <cell r="J800" t="str">
            <v>C.3.6.2.12</v>
          </cell>
          <cell r="K800" t="str">
            <v>Urgencia</v>
          </cell>
          <cell r="L800">
            <v>1</v>
          </cell>
          <cell r="M800">
            <v>46006</v>
          </cell>
          <cell r="N800">
            <v>46007</v>
          </cell>
          <cell r="O800">
            <v>1</v>
          </cell>
          <cell r="P800">
            <v>46008</v>
          </cell>
          <cell r="Q800">
            <v>1</v>
          </cell>
          <cell r="R800" t="str">
            <v>NA</v>
          </cell>
        </row>
        <row r="801">
          <cell r="B801" t="str">
            <v>EMMC</v>
          </cell>
          <cell r="C801" t="str">
            <v>HSLB11243</v>
          </cell>
          <cell r="D801">
            <v>109010</v>
          </cell>
          <cell r="E801" t="str">
            <v>Set Instrumental Curación</v>
          </cell>
          <cell r="F801" t="str">
            <v>NO</v>
          </cell>
          <cell r="G801" t="str">
            <v>NO</v>
          </cell>
          <cell r="H801" t="str">
            <v>BOX REANIMACIÓN ADULTO</v>
          </cell>
          <cell r="I801">
            <v>2</v>
          </cell>
          <cell r="J801" t="str">
            <v>C.4.3.12.1</v>
          </cell>
          <cell r="K801" t="str">
            <v>Urgencia</v>
          </cell>
          <cell r="L801">
            <v>1</v>
          </cell>
          <cell r="M801">
            <v>46006</v>
          </cell>
          <cell r="N801">
            <v>46007</v>
          </cell>
          <cell r="O801">
            <v>1</v>
          </cell>
          <cell r="P801">
            <v>46008</v>
          </cell>
          <cell r="Q801">
            <v>1</v>
          </cell>
          <cell r="R801" t="str">
            <v>NA</v>
          </cell>
        </row>
        <row r="802">
          <cell r="B802" t="str">
            <v>EMMC</v>
          </cell>
          <cell r="C802" t="str">
            <v>HSLB11244</v>
          </cell>
          <cell r="D802">
            <v>109010</v>
          </cell>
          <cell r="E802" t="str">
            <v>Set Instrumental Curación</v>
          </cell>
          <cell r="F802" t="str">
            <v>NO</v>
          </cell>
          <cell r="G802" t="str">
            <v>NO</v>
          </cell>
          <cell r="H802" t="str">
            <v>BOX REANIMACIÓN ADULTO</v>
          </cell>
          <cell r="I802">
            <v>2</v>
          </cell>
          <cell r="J802" t="str">
            <v>C.4.3.12.2</v>
          </cell>
          <cell r="K802" t="str">
            <v>Urgencia</v>
          </cell>
          <cell r="L802">
            <v>1</v>
          </cell>
          <cell r="M802">
            <v>46006</v>
          </cell>
          <cell r="N802">
            <v>46007</v>
          </cell>
          <cell r="O802">
            <v>1</v>
          </cell>
          <cell r="P802">
            <v>46008</v>
          </cell>
          <cell r="Q802">
            <v>1</v>
          </cell>
          <cell r="R802" t="str">
            <v>NA</v>
          </cell>
        </row>
        <row r="803">
          <cell r="B803" t="str">
            <v>EMMC</v>
          </cell>
          <cell r="C803" t="str">
            <v>HSLB11245</v>
          </cell>
          <cell r="D803">
            <v>109010</v>
          </cell>
          <cell r="E803" t="str">
            <v>Set Instrumental Curación</v>
          </cell>
          <cell r="F803" t="str">
            <v>NO</v>
          </cell>
          <cell r="G803" t="str">
            <v>NO</v>
          </cell>
          <cell r="H803" t="str">
            <v xml:space="preserve">SALA DE PROCEDIMIENTO </v>
          </cell>
          <cell r="I803">
            <v>10</v>
          </cell>
          <cell r="J803" t="str">
            <v>C.4.3.5.1</v>
          </cell>
          <cell r="K803" t="str">
            <v>Urgencia</v>
          </cell>
          <cell r="L803">
            <v>1</v>
          </cell>
          <cell r="M803">
            <v>46006</v>
          </cell>
          <cell r="N803">
            <v>46007</v>
          </cell>
          <cell r="O803">
            <v>1</v>
          </cell>
          <cell r="P803">
            <v>46008</v>
          </cell>
          <cell r="Q803">
            <v>1</v>
          </cell>
          <cell r="R803" t="str">
            <v>NA</v>
          </cell>
        </row>
        <row r="804">
          <cell r="B804" t="str">
            <v>EMMC</v>
          </cell>
          <cell r="C804" t="str">
            <v>HSLB11246</v>
          </cell>
          <cell r="D804">
            <v>109010</v>
          </cell>
          <cell r="E804" t="str">
            <v>Set Instrumental Curación</v>
          </cell>
          <cell r="F804" t="str">
            <v>NO</v>
          </cell>
          <cell r="G804" t="str">
            <v>NO</v>
          </cell>
          <cell r="H804" t="str">
            <v>SALA DE PROCEDIMIENTO</v>
          </cell>
          <cell r="I804">
            <v>10</v>
          </cell>
          <cell r="J804" t="str">
            <v>C.4.3.5.2</v>
          </cell>
          <cell r="K804" t="str">
            <v>Urgencia</v>
          </cell>
          <cell r="L804">
            <v>1</v>
          </cell>
          <cell r="M804">
            <v>46006</v>
          </cell>
          <cell r="N804">
            <v>46007</v>
          </cell>
          <cell r="O804">
            <v>1</v>
          </cell>
          <cell r="P804">
            <v>46008</v>
          </cell>
          <cell r="Q804">
            <v>1</v>
          </cell>
          <cell r="R804" t="str">
            <v>NA</v>
          </cell>
        </row>
        <row r="805">
          <cell r="B805" t="str">
            <v>EMMC</v>
          </cell>
          <cell r="C805" t="str">
            <v>HSLB11247</v>
          </cell>
          <cell r="D805">
            <v>109010</v>
          </cell>
          <cell r="E805" t="str">
            <v>Set Instrumental Curación</v>
          </cell>
          <cell r="F805" t="str">
            <v>NO</v>
          </cell>
          <cell r="G805" t="str">
            <v>NO</v>
          </cell>
          <cell r="H805" t="str">
            <v>BOX REANIMACIÓN INFANTIL</v>
          </cell>
          <cell r="I805">
            <v>2</v>
          </cell>
          <cell r="J805" t="str">
            <v>C.4.4.12</v>
          </cell>
          <cell r="K805" t="str">
            <v>Urgencia</v>
          </cell>
          <cell r="L805">
            <v>1</v>
          </cell>
          <cell r="M805">
            <v>46006</v>
          </cell>
          <cell r="N805">
            <v>46007</v>
          </cell>
          <cell r="O805">
            <v>1</v>
          </cell>
          <cell r="P805">
            <v>46008</v>
          </cell>
          <cell r="Q805">
            <v>1</v>
          </cell>
          <cell r="R805" t="str">
            <v>NA</v>
          </cell>
        </row>
        <row r="806">
          <cell r="B806" t="str">
            <v>EMMC</v>
          </cell>
          <cell r="C806" t="str">
            <v>HSLB11248</v>
          </cell>
          <cell r="D806">
            <v>109010</v>
          </cell>
          <cell r="E806" t="str">
            <v>Set Instrumental Curación</v>
          </cell>
          <cell r="F806" t="str">
            <v>NO</v>
          </cell>
          <cell r="G806" t="str">
            <v>NO</v>
          </cell>
          <cell r="H806" t="str">
            <v>SALA DE PROCEDIMIENTO (infantil)</v>
          </cell>
          <cell r="I806">
            <v>20</v>
          </cell>
          <cell r="J806" t="str">
            <v>C.4.4.5</v>
          </cell>
          <cell r="K806" t="str">
            <v>Urgencia</v>
          </cell>
          <cell r="L806">
            <v>1</v>
          </cell>
          <cell r="M806">
            <v>46006</v>
          </cell>
          <cell r="N806">
            <v>46007</v>
          </cell>
          <cell r="O806">
            <v>1</v>
          </cell>
          <cell r="P806">
            <v>46008</v>
          </cell>
          <cell r="Q806">
            <v>1</v>
          </cell>
          <cell r="R806" t="str">
            <v>NA</v>
          </cell>
        </row>
        <row r="807">
          <cell r="B807" t="str">
            <v>EMMC</v>
          </cell>
          <cell r="C807" t="str">
            <v>HSLB11249</v>
          </cell>
          <cell r="D807">
            <v>109010</v>
          </cell>
          <cell r="E807" t="str">
            <v>Set Instrumental Curación</v>
          </cell>
          <cell r="F807" t="str">
            <v>NO</v>
          </cell>
          <cell r="G807" t="str">
            <v>NO</v>
          </cell>
          <cell r="H807" t="str">
            <v>BOX AT. ACOGIDA C/BAÑO Y DUCHA</v>
          </cell>
          <cell r="I807">
            <v>3</v>
          </cell>
          <cell r="J807" t="str">
            <v>C.4.5.16</v>
          </cell>
          <cell r="K807" t="str">
            <v>Urgencia</v>
          </cell>
          <cell r="L807">
            <v>1</v>
          </cell>
          <cell r="M807">
            <v>46006</v>
          </cell>
          <cell r="N807">
            <v>46007</v>
          </cell>
          <cell r="O807">
            <v>1</v>
          </cell>
          <cell r="P807">
            <v>46008</v>
          </cell>
          <cell r="Q807">
            <v>1</v>
          </cell>
          <cell r="R807" t="str">
            <v>NA</v>
          </cell>
        </row>
        <row r="808">
          <cell r="B808" t="str">
            <v>EMMC</v>
          </cell>
          <cell r="C808" t="str">
            <v>HSLB11254</v>
          </cell>
          <cell r="D808">
            <v>109011</v>
          </cell>
          <cell r="E808" t="str">
            <v>Set Instrumental de Punción</v>
          </cell>
          <cell r="F808" t="str">
            <v>NO</v>
          </cell>
          <cell r="G808" t="str">
            <v>NO</v>
          </cell>
          <cell r="H808" t="str">
            <v>BOX REANIMACIÓN ADULTO</v>
          </cell>
          <cell r="I808">
            <v>2</v>
          </cell>
          <cell r="J808" t="str">
            <v>C.4.3.12.1</v>
          </cell>
          <cell r="K808" t="str">
            <v>Urgencia</v>
          </cell>
          <cell r="L808">
            <v>1</v>
          </cell>
          <cell r="M808">
            <v>46006</v>
          </cell>
          <cell r="N808">
            <v>46007</v>
          </cell>
          <cell r="O808">
            <v>1</v>
          </cell>
          <cell r="P808">
            <v>46008</v>
          </cell>
          <cell r="Q808">
            <v>1</v>
          </cell>
          <cell r="R808" t="str">
            <v>NA</v>
          </cell>
        </row>
        <row r="809">
          <cell r="B809" t="str">
            <v>EMMC</v>
          </cell>
          <cell r="C809" t="str">
            <v>HSLB11255</v>
          </cell>
          <cell r="D809">
            <v>109011</v>
          </cell>
          <cell r="E809" t="str">
            <v>Set Instrumental de Punción</v>
          </cell>
          <cell r="F809" t="str">
            <v>NO</v>
          </cell>
          <cell r="G809" t="str">
            <v>NO</v>
          </cell>
          <cell r="H809" t="str">
            <v>BOX REANIMACIÓN ADULTO</v>
          </cell>
          <cell r="I809">
            <v>2</v>
          </cell>
          <cell r="J809" t="str">
            <v>C.4.3.12.2</v>
          </cell>
          <cell r="K809" t="str">
            <v>Urgencia</v>
          </cell>
          <cell r="L809">
            <v>1</v>
          </cell>
          <cell r="M809">
            <v>46006</v>
          </cell>
          <cell r="N809">
            <v>46007</v>
          </cell>
          <cell r="O809">
            <v>1</v>
          </cell>
          <cell r="P809">
            <v>46008</v>
          </cell>
          <cell r="Q809">
            <v>1</v>
          </cell>
          <cell r="R809" t="str">
            <v>NA</v>
          </cell>
        </row>
        <row r="810">
          <cell r="B810" t="str">
            <v>EMMC</v>
          </cell>
          <cell r="C810" t="str">
            <v>HSLB11256</v>
          </cell>
          <cell r="D810">
            <v>109011</v>
          </cell>
          <cell r="E810" t="str">
            <v>Set Instrumental de Punción</v>
          </cell>
          <cell r="F810" t="str">
            <v>NO</v>
          </cell>
          <cell r="G810" t="str">
            <v>NO</v>
          </cell>
          <cell r="H810" t="str">
            <v xml:space="preserve">SALA DE PROCEDIMIENTO </v>
          </cell>
          <cell r="I810">
            <v>2</v>
          </cell>
          <cell r="J810" t="str">
            <v>C.4.3.5.1</v>
          </cell>
          <cell r="K810" t="str">
            <v>Urgencia</v>
          </cell>
          <cell r="L810">
            <v>1</v>
          </cell>
          <cell r="M810">
            <v>46006</v>
          </cell>
          <cell r="N810">
            <v>46007</v>
          </cell>
          <cell r="O810">
            <v>1</v>
          </cell>
          <cell r="P810">
            <v>46008</v>
          </cell>
          <cell r="Q810">
            <v>1</v>
          </cell>
          <cell r="R810" t="str">
            <v>NA</v>
          </cell>
        </row>
        <row r="811">
          <cell r="B811" t="str">
            <v>EMMC</v>
          </cell>
          <cell r="C811" t="str">
            <v>HSLB11257</v>
          </cell>
          <cell r="D811">
            <v>109011</v>
          </cell>
          <cell r="E811" t="str">
            <v>Set Instrumental de Punción</v>
          </cell>
          <cell r="F811" t="str">
            <v>NO</v>
          </cell>
          <cell r="G811" t="str">
            <v>NO</v>
          </cell>
          <cell r="H811" t="str">
            <v xml:space="preserve">SALA DE PROCEDIMIENTO </v>
          </cell>
          <cell r="I811">
            <v>1</v>
          </cell>
          <cell r="J811" t="str">
            <v>C.4.3.5.1</v>
          </cell>
          <cell r="K811" t="str">
            <v>Urgencia</v>
          </cell>
          <cell r="L811">
            <v>1</v>
          </cell>
          <cell r="M811">
            <v>46006</v>
          </cell>
          <cell r="N811">
            <v>46007</v>
          </cell>
          <cell r="O811">
            <v>1</v>
          </cell>
          <cell r="P811">
            <v>46008</v>
          </cell>
          <cell r="Q811">
            <v>1</v>
          </cell>
          <cell r="R811" t="str">
            <v>NA</v>
          </cell>
        </row>
        <row r="812">
          <cell r="B812" t="str">
            <v>EMMC</v>
          </cell>
          <cell r="C812" t="str">
            <v>HSLB11258</v>
          </cell>
          <cell r="D812">
            <v>109011</v>
          </cell>
          <cell r="E812" t="str">
            <v>Set Instrumental de Punción</v>
          </cell>
          <cell r="F812" t="str">
            <v>NO</v>
          </cell>
          <cell r="G812" t="str">
            <v>NO</v>
          </cell>
          <cell r="H812" t="str">
            <v xml:space="preserve">SALA DE PROCEDIMIENTO </v>
          </cell>
          <cell r="I812">
            <v>5</v>
          </cell>
          <cell r="J812" t="str">
            <v>C.4.3.5.1</v>
          </cell>
          <cell r="K812" t="str">
            <v>Urgencia</v>
          </cell>
          <cell r="L812">
            <v>1</v>
          </cell>
          <cell r="M812">
            <v>46006</v>
          </cell>
          <cell r="N812">
            <v>46007</v>
          </cell>
          <cell r="O812">
            <v>1</v>
          </cell>
          <cell r="P812">
            <v>46008</v>
          </cell>
          <cell r="Q812">
            <v>1</v>
          </cell>
          <cell r="R812" t="str">
            <v>NA</v>
          </cell>
        </row>
        <row r="813">
          <cell r="B813" t="str">
            <v>EMMC</v>
          </cell>
          <cell r="C813" t="str">
            <v>HSLB11259</v>
          </cell>
          <cell r="D813">
            <v>109011</v>
          </cell>
          <cell r="E813" t="str">
            <v>Set Instrumental de Punción</v>
          </cell>
          <cell r="F813" t="str">
            <v>NO</v>
          </cell>
          <cell r="G813" t="str">
            <v>NO</v>
          </cell>
          <cell r="H813" t="str">
            <v xml:space="preserve">SALA DE PROCEDIMIENTO </v>
          </cell>
          <cell r="I813">
            <v>1</v>
          </cell>
          <cell r="J813" t="str">
            <v>C.4.3.5.1</v>
          </cell>
          <cell r="K813" t="str">
            <v>Urgencia</v>
          </cell>
          <cell r="L813">
            <v>1</v>
          </cell>
          <cell r="M813">
            <v>46006</v>
          </cell>
          <cell r="N813">
            <v>46007</v>
          </cell>
          <cell r="O813">
            <v>1</v>
          </cell>
          <cell r="P813">
            <v>46008</v>
          </cell>
          <cell r="Q813">
            <v>1</v>
          </cell>
          <cell r="R813" t="str">
            <v>NA</v>
          </cell>
        </row>
        <row r="814">
          <cell r="B814" t="str">
            <v>EMMC</v>
          </cell>
          <cell r="C814" t="str">
            <v>HSLB11260</v>
          </cell>
          <cell r="D814">
            <v>109011</v>
          </cell>
          <cell r="E814" t="str">
            <v>Set Instrumental de Punción</v>
          </cell>
          <cell r="F814" t="str">
            <v>NO</v>
          </cell>
          <cell r="G814" t="str">
            <v>NO</v>
          </cell>
          <cell r="H814" t="str">
            <v xml:space="preserve">SALA DE PROCEDIMIENTO </v>
          </cell>
          <cell r="I814">
            <v>3</v>
          </cell>
          <cell r="J814" t="str">
            <v>C.4.3.5.1</v>
          </cell>
          <cell r="K814" t="str">
            <v>Urgencia</v>
          </cell>
          <cell r="L814">
            <v>1</v>
          </cell>
          <cell r="M814">
            <v>46006</v>
          </cell>
          <cell r="N814">
            <v>46007</v>
          </cell>
          <cell r="O814">
            <v>1</v>
          </cell>
          <cell r="P814">
            <v>46008</v>
          </cell>
          <cell r="Q814">
            <v>1</v>
          </cell>
          <cell r="R814" t="str">
            <v>NA</v>
          </cell>
        </row>
        <row r="815">
          <cell r="B815" t="str">
            <v>EMMC</v>
          </cell>
          <cell r="C815" t="str">
            <v>HSLB11261</v>
          </cell>
          <cell r="D815">
            <v>109011</v>
          </cell>
          <cell r="E815" t="str">
            <v>Set Instrumental de Punción</v>
          </cell>
          <cell r="F815" t="str">
            <v>NO</v>
          </cell>
          <cell r="G815" t="str">
            <v>NO</v>
          </cell>
          <cell r="H815" t="str">
            <v xml:space="preserve">SALA DE PROCEDIMIENTO </v>
          </cell>
          <cell r="I815">
            <v>2</v>
          </cell>
          <cell r="J815" t="str">
            <v>C.4.3.5.1</v>
          </cell>
          <cell r="K815" t="str">
            <v>Urgencia</v>
          </cell>
          <cell r="L815">
            <v>1</v>
          </cell>
          <cell r="M815">
            <v>46006</v>
          </cell>
          <cell r="N815">
            <v>46007</v>
          </cell>
          <cell r="O815">
            <v>1</v>
          </cell>
          <cell r="P815">
            <v>46008</v>
          </cell>
          <cell r="Q815">
            <v>1</v>
          </cell>
          <cell r="R815" t="str">
            <v>NA</v>
          </cell>
        </row>
        <row r="816">
          <cell r="B816" t="str">
            <v>EMMC</v>
          </cell>
          <cell r="C816" t="str">
            <v>HSLB11262</v>
          </cell>
          <cell r="D816">
            <v>109011</v>
          </cell>
          <cell r="E816" t="str">
            <v>Set Instrumental de Punción</v>
          </cell>
          <cell r="F816" t="str">
            <v>NO</v>
          </cell>
          <cell r="G816" t="str">
            <v>NO</v>
          </cell>
          <cell r="H816" t="str">
            <v>SALA DE PROCEDIMIENTO</v>
          </cell>
          <cell r="I816">
            <v>2</v>
          </cell>
          <cell r="J816" t="str">
            <v>C.4.3.5.2</v>
          </cell>
          <cell r="K816" t="str">
            <v>Urgencia</v>
          </cell>
          <cell r="L816">
            <v>1</v>
          </cell>
          <cell r="M816">
            <v>46006</v>
          </cell>
          <cell r="N816">
            <v>46007</v>
          </cell>
          <cell r="O816">
            <v>1</v>
          </cell>
          <cell r="P816">
            <v>46008</v>
          </cell>
          <cell r="Q816">
            <v>1</v>
          </cell>
          <cell r="R816" t="str">
            <v>NA</v>
          </cell>
        </row>
        <row r="817">
          <cell r="B817" t="str">
            <v>EMMC</v>
          </cell>
          <cell r="C817" t="str">
            <v>HSLB11263</v>
          </cell>
          <cell r="D817">
            <v>109011</v>
          </cell>
          <cell r="E817" t="str">
            <v>Set Instrumental de Punción</v>
          </cell>
          <cell r="F817" t="str">
            <v>NO</v>
          </cell>
          <cell r="G817" t="str">
            <v>NO</v>
          </cell>
          <cell r="H817" t="str">
            <v>SALA DE PROCEDIMIENTO</v>
          </cell>
          <cell r="I817">
            <v>1</v>
          </cell>
          <cell r="J817" t="str">
            <v>C.4.3.5.2</v>
          </cell>
          <cell r="K817" t="str">
            <v>Urgencia</v>
          </cell>
          <cell r="L817">
            <v>1</v>
          </cell>
          <cell r="M817">
            <v>46006</v>
          </cell>
          <cell r="N817">
            <v>46007</v>
          </cell>
          <cell r="O817">
            <v>1</v>
          </cell>
          <cell r="P817">
            <v>46008</v>
          </cell>
          <cell r="Q817">
            <v>1</v>
          </cell>
          <cell r="R817" t="str">
            <v>NA</v>
          </cell>
        </row>
        <row r="818">
          <cell r="B818" t="str">
            <v>EMMC</v>
          </cell>
          <cell r="C818" t="str">
            <v>HSLB11264</v>
          </cell>
          <cell r="D818">
            <v>109011</v>
          </cell>
          <cell r="E818" t="str">
            <v>Set Instrumental de Punción</v>
          </cell>
          <cell r="F818" t="str">
            <v>NO</v>
          </cell>
          <cell r="G818" t="str">
            <v>NO</v>
          </cell>
          <cell r="H818" t="str">
            <v>SALA DE PROCEDIMIENTO</v>
          </cell>
          <cell r="I818">
            <v>5</v>
          </cell>
          <cell r="J818" t="str">
            <v>C.4.3.5.2</v>
          </cell>
          <cell r="K818" t="str">
            <v>Urgencia</v>
          </cell>
          <cell r="L818">
            <v>1</v>
          </cell>
          <cell r="M818">
            <v>46006</v>
          </cell>
          <cell r="N818">
            <v>46007</v>
          </cell>
          <cell r="O818">
            <v>1</v>
          </cell>
          <cell r="P818">
            <v>46008</v>
          </cell>
          <cell r="Q818">
            <v>1</v>
          </cell>
          <cell r="R818" t="str">
            <v>NA</v>
          </cell>
        </row>
        <row r="819">
          <cell r="B819" t="str">
            <v>EMMC</v>
          </cell>
          <cell r="C819" t="str">
            <v>HSLB11265</v>
          </cell>
          <cell r="D819">
            <v>109011</v>
          </cell>
          <cell r="E819" t="str">
            <v>Set Instrumental de Punción</v>
          </cell>
          <cell r="F819" t="str">
            <v>NO</v>
          </cell>
          <cell r="G819" t="str">
            <v>NO</v>
          </cell>
          <cell r="H819" t="str">
            <v>SALA DE PROCEDIMIENTO</v>
          </cell>
          <cell r="I819">
            <v>1</v>
          </cell>
          <cell r="J819" t="str">
            <v>C.4.3.5.2</v>
          </cell>
          <cell r="K819" t="str">
            <v>Urgencia</v>
          </cell>
          <cell r="L819">
            <v>1</v>
          </cell>
          <cell r="M819">
            <v>46006</v>
          </cell>
          <cell r="N819">
            <v>46007</v>
          </cell>
          <cell r="O819">
            <v>1</v>
          </cell>
          <cell r="P819">
            <v>46008</v>
          </cell>
          <cell r="Q819">
            <v>1</v>
          </cell>
          <cell r="R819" t="str">
            <v>NA</v>
          </cell>
        </row>
        <row r="820">
          <cell r="B820" t="str">
            <v>EMMC</v>
          </cell>
          <cell r="C820" t="str">
            <v>HSLB11266</v>
          </cell>
          <cell r="D820">
            <v>109011</v>
          </cell>
          <cell r="E820" t="str">
            <v>Set Instrumental de Punción</v>
          </cell>
          <cell r="F820" t="str">
            <v>NO</v>
          </cell>
          <cell r="G820" t="str">
            <v>NO</v>
          </cell>
          <cell r="H820" t="str">
            <v>SALA DE PROCEDIMIENTO</v>
          </cell>
          <cell r="I820">
            <v>3</v>
          </cell>
          <cell r="J820" t="str">
            <v>C.4.3.5.2</v>
          </cell>
          <cell r="K820" t="str">
            <v>Urgencia</v>
          </cell>
          <cell r="L820">
            <v>1</v>
          </cell>
          <cell r="M820">
            <v>46006</v>
          </cell>
          <cell r="N820">
            <v>46007</v>
          </cell>
          <cell r="O820">
            <v>1</v>
          </cell>
          <cell r="P820">
            <v>46008</v>
          </cell>
          <cell r="Q820">
            <v>1</v>
          </cell>
          <cell r="R820" t="str">
            <v>NA</v>
          </cell>
        </row>
        <row r="821">
          <cell r="B821" t="str">
            <v>EMMC</v>
          </cell>
          <cell r="C821" t="str">
            <v>HSLB11267</v>
          </cell>
          <cell r="D821">
            <v>109011</v>
          </cell>
          <cell r="E821" t="str">
            <v>Set Instrumental de Punción</v>
          </cell>
          <cell r="F821" t="str">
            <v>NO</v>
          </cell>
          <cell r="G821" t="str">
            <v>NO</v>
          </cell>
          <cell r="H821" t="str">
            <v>SALA DE PROCEDIMIENTO</v>
          </cell>
          <cell r="I821">
            <v>2</v>
          </cell>
          <cell r="J821" t="str">
            <v>C.4.3.5.2</v>
          </cell>
          <cell r="K821" t="str">
            <v>Urgencia</v>
          </cell>
          <cell r="L821">
            <v>1</v>
          </cell>
          <cell r="M821">
            <v>46006</v>
          </cell>
          <cell r="N821">
            <v>46007</v>
          </cell>
          <cell r="O821">
            <v>1</v>
          </cell>
          <cell r="P821">
            <v>46008</v>
          </cell>
          <cell r="Q821">
            <v>1</v>
          </cell>
          <cell r="R821" t="str">
            <v>NA</v>
          </cell>
        </row>
        <row r="822">
          <cell r="B822" t="str">
            <v>EMMC</v>
          </cell>
          <cell r="C822" t="str">
            <v>HSLB11268</v>
          </cell>
          <cell r="D822">
            <v>109011</v>
          </cell>
          <cell r="E822" t="str">
            <v>Set Instrumental de Punción</v>
          </cell>
          <cell r="F822" t="str">
            <v>NO</v>
          </cell>
          <cell r="G822" t="str">
            <v>NO</v>
          </cell>
          <cell r="H822" t="str">
            <v>BOX REANIMACIÓN INFANTIL</v>
          </cell>
          <cell r="I822">
            <v>2</v>
          </cell>
          <cell r="J822" t="str">
            <v>C.4.4.12</v>
          </cell>
          <cell r="K822" t="str">
            <v>Urgencia</v>
          </cell>
          <cell r="L822">
            <v>1</v>
          </cell>
          <cell r="M822">
            <v>46006</v>
          </cell>
          <cell r="N822">
            <v>46007</v>
          </cell>
          <cell r="O822">
            <v>1</v>
          </cell>
          <cell r="P822">
            <v>46008</v>
          </cell>
          <cell r="Q822">
            <v>1</v>
          </cell>
          <cell r="R822" t="str">
            <v>NA</v>
          </cell>
        </row>
        <row r="823">
          <cell r="B823" t="str">
            <v>EMMC</v>
          </cell>
          <cell r="C823" t="str">
            <v>HSLB11269</v>
          </cell>
          <cell r="D823">
            <v>109011</v>
          </cell>
          <cell r="E823" t="str">
            <v>Set Instrumental de Punción</v>
          </cell>
          <cell r="F823" t="str">
            <v>NO</v>
          </cell>
          <cell r="G823" t="str">
            <v>NO</v>
          </cell>
          <cell r="H823" t="str">
            <v>SALA DE PROCEDIMIENTO (infantil)</v>
          </cell>
          <cell r="I823">
            <v>4</v>
          </cell>
          <cell r="J823" t="str">
            <v>C.4.4.5</v>
          </cell>
          <cell r="K823" t="str">
            <v>Urgencia</v>
          </cell>
          <cell r="L823">
            <v>1</v>
          </cell>
          <cell r="M823">
            <v>46006</v>
          </cell>
          <cell r="N823">
            <v>46007</v>
          </cell>
          <cell r="O823">
            <v>1</v>
          </cell>
          <cell r="P823">
            <v>46008</v>
          </cell>
          <cell r="Q823">
            <v>1</v>
          </cell>
          <cell r="R823" t="str">
            <v>NA</v>
          </cell>
        </row>
        <row r="824">
          <cell r="B824" t="str">
            <v>EMMC</v>
          </cell>
          <cell r="C824" t="str">
            <v>HSLB11270</v>
          </cell>
          <cell r="D824">
            <v>109011</v>
          </cell>
          <cell r="E824" t="str">
            <v>Set Instrumental de Punción</v>
          </cell>
          <cell r="F824" t="str">
            <v>NO</v>
          </cell>
          <cell r="G824" t="str">
            <v>NO</v>
          </cell>
          <cell r="H824" t="str">
            <v>SALA DE PROCEDIMIENTO (infantil)</v>
          </cell>
          <cell r="I824">
            <v>1</v>
          </cell>
          <cell r="J824" t="str">
            <v>C.4.4.5</v>
          </cell>
          <cell r="K824" t="str">
            <v>Urgencia</v>
          </cell>
          <cell r="L824">
            <v>1</v>
          </cell>
          <cell r="M824">
            <v>46006</v>
          </cell>
          <cell r="N824">
            <v>46007</v>
          </cell>
          <cell r="O824">
            <v>1</v>
          </cell>
          <cell r="P824">
            <v>46008</v>
          </cell>
          <cell r="Q824">
            <v>1</v>
          </cell>
          <cell r="R824" t="str">
            <v>NA</v>
          </cell>
        </row>
        <row r="825">
          <cell r="B825" t="str">
            <v>EMMC</v>
          </cell>
          <cell r="C825" t="str">
            <v>HSLB11271</v>
          </cell>
          <cell r="D825">
            <v>109011</v>
          </cell>
          <cell r="E825" t="str">
            <v>Set Instrumental de Punción</v>
          </cell>
          <cell r="F825" t="str">
            <v>NO</v>
          </cell>
          <cell r="G825" t="str">
            <v>NO</v>
          </cell>
          <cell r="H825" t="str">
            <v>SALA DE PROCEDIMIENTO (infantil)</v>
          </cell>
          <cell r="I825">
            <v>10</v>
          </cell>
          <cell r="J825" t="str">
            <v>C.4.4.5</v>
          </cell>
          <cell r="K825" t="str">
            <v>Urgencia</v>
          </cell>
          <cell r="L825">
            <v>1</v>
          </cell>
          <cell r="M825">
            <v>46006</v>
          </cell>
          <cell r="N825">
            <v>46007</v>
          </cell>
          <cell r="O825">
            <v>1</v>
          </cell>
          <cell r="P825">
            <v>46008</v>
          </cell>
          <cell r="Q825">
            <v>1</v>
          </cell>
          <cell r="R825" t="str">
            <v>NA</v>
          </cell>
        </row>
        <row r="826">
          <cell r="B826" t="str">
            <v>EMMC</v>
          </cell>
          <cell r="C826" t="str">
            <v>HSLB11272</v>
          </cell>
          <cell r="D826">
            <v>109011</v>
          </cell>
          <cell r="E826" t="str">
            <v>Set Instrumental de Punción</v>
          </cell>
          <cell r="F826" t="str">
            <v>NO</v>
          </cell>
          <cell r="G826" t="str">
            <v>NO</v>
          </cell>
          <cell r="H826" t="str">
            <v>SALA DE PROCEDIMIENTO (infantil)</v>
          </cell>
          <cell r="I826">
            <v>2</v>
          </cell>
          <cell r="J826" t="str">
            <v>C.4.4.5</v>
          </cell>
          <cell r="K826" t="str">
            <v>Urgencia</v>
          </cell>
          <cell r="L826">
            <v>1</v>
          </cell>
          <cell r="M826">
            <v>46006</v>
          </cell>
          <cell r="N826">
            <v>46007</v>
          </cell>
          <cell r="O826">
            <v>1</v>
          </cell>
          <cell r="P826">
            <v>46008</v>
          </cell>
          <cell r="Q826">
            <v>1</v>
          </cell>
          <cell r="R826" t="str">
            <v>NA</v>
          </cell>
        </row>
        <row r="827">
          <cell r="B827" t="str">
            <v>EMMC</v>
          </cell>
          <cell r="C827" t="str">
            <v>HSLB11273</v>
          </cell>
          <cell r="D827">
            <v>109011</v>
          </cell>
          <cell r="E827" t="str">
            <v>Set Instrumental de Punción</v>
          </cell>
          <cell r="F827" t="str">
            <v>NO</v>
          </cell>
          <cell r="G827" t="str">
            <v>NO</v>
          </cell>
          <cell r="H827" t="str">
            <v>SALA DE PROCEDIMIENTO (infantil)</v>
          </cell>
          <cell r="I827">
            <v>5</v>
          </cell>
          <cell r="J827" t="str">
            <v>C.4.4.5</v>
          </cell>
          <cell r="K827" t="str">
            <v>Urgencia</v>
          </cell>
          <cell r="L827">
            <v>1</v>
          </cell>
          <cell r="M827">
            <v>46006</v>
          </cell>
          <cell r="N827">
            <v>46007</v>
          </cell>
          <cell r="O827">
            <v>1</v>
          </cell>
          <cell r="P827">
            <v>46008</v>
          </cell>
          <cell r="Q827">
            <v>1</v>
          </cell>
          <cell r="R827" t="str">
            <v>NA</v>
          </cell>
        </row>
        <row r="828">
          <cell r="B828" t="str">
            <v>EMMC</v>
          </cell>
          <cell r="C828" t="str">
            <v>HSLB11274</v>
          </cell>
          <cell r="D828">
            <v>109011</v>
          </cell>
          <cell r="E828" t="str">
            <v>Set Instrumental de Punción</v>
          </cell>
          <cell r="F828" t="str">
            <v>NO</v>
          </cell>
          <cell r="G828" t="str">
            <v>NO</v>
          </cell>
          <cell r="H828" t="str">
            <v>SALA DE PROCEDIMIENTO (infantil)</v>
          </cell>
          <cell r="I828">
            <v>2</v>
          </cell>
          <cell r="J828" t="str">
            <v>C.4.4.5</v>
          </cell>
          <cell r="K828" t="str">
            <v>Urgencia</v>
          </cell>
          <cell r="L828">
            <v>1</v>
          </cell>
          <cell r="M828">
            <v>46006</v>
          </cell>
          <cell r="N828">
            <v>46007</v>
          </cell>
          <cell r="O828">
            <v>1</v>
          </cell>
          <cell r="P828">
            <v>46008</v>
          </cell>
          <cell r="Q828">
            <v>1</v>
          </cell>
          <cell r="R828" t="str">
            <v>NA</v>
          </cell>
        </row>
        <row r="829">
          <cell r="B829" t="str">
            <v>EMMC</v>
          </cell>
          <cell r="C829" t="str">
            <v>HSLB11285</v>
          </cell>
          <cell r="D829">
            <v>109015</v>
          </cell>
          <cell r="E829" t="str">
            <v>Set Instrumental Ginecológico</v>
          </cell>
          <cell r="F829" t="str">
            <v>NO</v>
          </cell>
          <cell r="G829" t="str">
            <v>NO</v>
          </cell>
          <cell r="H829" t="str">
            <v>SALA DE PROCEDIMIENTOS</v>
          </cell>
          <cell r="I829">
            <v>10</v>
          </cell>
          <cell r="J829" t="str">
            <v>C.3.6.2.12</v>
          </cell>
          <cell r="K829" t="str">
            <v>Urgencia</v>
          </cell>
          <cell r="L829">
            <v>1</v>
          </cell>
          <cell r="M829">
            <v>46006</v>
          </cell>
          <cell r="N829">
            <v>46007</v>
          </cell>
          <cell r="O829">
            <v>1</v>
          </cell>
          <cell r="P829">
            <v>46008</v>
          </cell>
          <cell r="Q829">
            <v>1</v>
          </cell>
          <cell r="R829" t="str">
            <v>NA</v>
          </cell>
        </row>
        <row r="830">
          <cell r="B830" t="str">
            <v>EMMC</v>
          </cell>
          <cell r="C830" t="str">
            <v>HSLB11286</v>
          </cell>
          <cell r="D830">
            <v>109015</v>
          </cell>
          <cell r="E830" t="str">
            <v>Set Instrumental Ginecológico</v>
          </cell>
          <cell r="F830" t="str">
            <v>NO</v>
          </cell>
          <cell r="G830" t="str">
            <v>NO</v>
          </cell>
          <cell r="H830" t="str">
            <v>BOX AT. ACOGIDA C/BAÑO Y DUCHA</v>
          </cell>
          <cell r="I830">
            <v>2</v>
          </cell>
          <cell r="J830" t="str">
            <v>C.4.5.16</v>
          </cell>
          <cell r="K830" t="str">
            <v>Urgencia</v>
          </cell>
          <cell r="L830">
            <v>1</v>
          </cell>
          <cell r="M830">
            <v>46006</v>
          </cell>
          <cell r="N830">
            <v>46007</v>
          </cell>
          <cell r="O830">
            <v>1</v>
          </cell>
          <cell r="P830">
            <v>46008</v>
          </cell>
          <cell r="Q830">
            <v>1</v>
          </cell>
          <cell r="R830" t="str">
            <v>NA</v>
          </cell>
        </row>
        <row r="831">
          <cell r="B831" t="str">
            <v>EMMC</v>
          </cell>
          <cell r="C831" t="str">
            <v>HSLB11287</v>
          </cell>
          <cell r="D831">
            <v>109016</v>
          </cell>
          <cell r="E831" t="str">
            <v>Set Instrumental Laringoscopio</v>
          </cell>
          <cell r="F831" t="str">
            <v>NO</v>
          </cell>
          <cell r="G831" t="str">
            <v>NO</v>
          </cell>
          <cell r="H831" t="str">
            <v>ESTACIÓN DE ENFERMERÍA</v>
          </cell>
          <cell r="I831">
            <v>1</v>
          </cell>
          <cell r="J831" t="str">
            <v>C.4.3.8</v>
          </cell>
          <cell r="K831" t="str">
            <v>Urgencia</v>
          </cell>
          <cell r="L831">
            <v>1</v>
          </cell>
          <cell r="M831">
            <v>46006</v>
          </cell>
          <cell r="N831">
            <v>46007</v>
          </cell>
          <cell r="O831">
            <v>1</v>
          </cell>
          <cell r="P831">
            <v>46008</v>
          </cell>
          <cell r="Q831">
            <v>1</v>
          </cell>
          <cell r="R831" t="str">
            <v>NA</v>
          </cell>
        </row>
        <row r="832">
          <cell r="B832" t="str">
            <v>EMMC</v>
          </cell>
          <cell r="C832" t="str">
            <v>HSLB11288</v>
          </cell>
          <cell r="D832">
            <v>109016</v>
          </cell>
          <cell r="E832" t="str">
            <v>Set Instrumental Laringoscopio</v>
          </cell>
          <cell r="F832" t="str">
            <v>NO</v>
          </cell>
          <cell r="G832" t="str">
            <v>NO</v>
          </cell>
          <cell r="H832" t="str">
            <v>ESTACIÓN DE ENFERMERÍA</v>
          </cell>
          <cell r="I832">
            <v>1</v>
          </cell>
          <cell r="J832" t="str">
            <v>C.4.4.8</v>
          </cell>
          <cell r="K832" t="str">
            <v>Urgencia</v>
          </cell>
          <cell r="L832">
            <v>1</v>
          </cell>
          <cell r="M832">
            <v>46006</v>
          </cell>
          <cell r="N832">
            <v>46007</v>
          </cell>
          <cell r="O832">
            <v>1</v>
          </cell>
          <cell r="P832">
            <v>46008</v>
          </cell>
          <cell r="Q832">
            <v>1</v>
          </cell>
          <cell r="R832" t="str">
            <v>NA</v>
          </cell>
        </row>
        <row r="833">
          <cell r="B833" t="str">
            <v>EMMC</v>
          </cell>
          <cell r="C833" t="str">
            <v>HSLB11294</v>
          </cell>
          <cell r="D833">
            <v>109021</v>
          </cell>
          <cell r="E833" t="str">
            <v>Set Instrumental Sutura</v>
          </cell>
          <cell r="F833" t="str">
            <v>NO</v>
          </cell>
          <cell r="G833" t="str">
            <v>NO</v>
          </cell>
          <cell r="H833" t="str">
            <v>SALA DE PROCEDIMIENTOS</v>
          </cell>
          <cell r="I833">
            <v>1</v>
          </cell>
          <cell r="J833" t="str">
            <v>C.2.4.8</v>
          </cell>
          <cell r="K833" t="str">
            <v>Imagenología</v>
          </cell>
          <cell r="L833">
            <v>1</v>
          </cell>
          <cell r="M833">
            <v>46008</v>
          </cell>
          <cell r="N833">
            <v>46009</v>
          </cell>
          <cell r="O833">
            <v>1</v>
          </cell>
          <cell r="P833">
            <v>46010</v>
          </cell>
          <cell r="Q833">
            <v>1</v>
          </cell>
          <cell r="R833" t="str">
            <v>NA</v>
          </cell>
          <cell r="S833">
            <v>5</v>
          </cell>
        </row>
        <row r="834">
          <cell r="B834" t="str">
            <v>EMMC</v>
          </cell>
          <cell r="C834" t="str">
            <v>HSLB11302</v>
          </cell>
          <cell r="D834">
            <v>109021</v>
          </cell>
          <cell r="E834" t="str">
            <v>Set Instrumental Sutura</v>
          </cell>
          <cell r="F834" t="str">
            <v>NO</v>
          </cell>
          <cell r="G834" t="str">
            <v>NO</v>
          </cell>
          <cell r="H834" t="str">
            <v>BOX REANIMACIÓN ADULTO</v>
          </cell>
          <cell r="I834">
            <v>1</v>
          </cell>
          <cell r="J834" t="str">
            <v>C.4.3.12.1</v>
          </cell>
          <cell r="K834" t="str">
            <v>Urgencia</v>
          </cell>
          <cell r="L834">
            <v>1</v>
          </cell>
          <cell r="M834">
            <v>46006</v>
          </cell>
          <cell r="N834">
            <v>46007</v>
          </cell>
          <cell r="O834">
            <v>1</v>
          </cell>
          <cell r="P834">
            <v>46008</v>
          </cell>
          <cell r="Q834">
            <v>1</v>
          </cell>
          <cell r="R834" t="str">
            <v>NA</v>
          </cell>
        </row>
        <row r="835">
          <cell r="B835" t="str">
            <v>EMMC</v>
          </cell>
          <cell r="C835" t="str">
            <v>HSLB11303</v>
          </cell>
          <cell r="D835">
            <v>109021</v>
          </cell>
          <cell r="E835" t="str">
            <v>Set Instrumental Sutura</v>
          </cell>
          <cell r="F835" t="str">
            <v>NO</v>
          </cell>
          <cell r="G835" t="str">
            <v>NO</v>
          </cell>
          <cell r="H835" t="str">
            <v>BOX REANIMACIÓN ADULTO</v>
          </cell>
          <cell r="I835">
            <v>1</v>
          </cell>
          <cell r="J835" t="str">
            <v>C.4.3.12.2</v>
          </cell>
          <cell r="K835" t="str">
            <v>Urgencia</v>
          </cell>
          <cell r="L835">
            <v>1</v>
          </cell>
          <cell r="M835">
            <v>46006</v>
          </cell>
          <cell r="N835">
            <v>46007</v>
          </cell>
          <cell r="O835">
            <v>1</v>
          </cell>
          <cell r="P835">
            <v>46008</v>
          </cell>
          <cell r="Q835">
            <v>1</v>
          </cell>
          <cell r="R835" t="str">
            <v>NA</v>
          </cell>
        </row>
        <row r="836">
          <cell r="B836" t="str">
            <v>EMMC</v>
          </cell>
          <cell r="C836" t="str">
            <v>HSLB11304</v>
          </cell>
          <cell r="D836">
            <v>109021</v>
          </cell>
          <cell r="E836" t="str">
            <v>Set Instrumental Sutura</v>
          </cell>
          <cell r="F836" t="str">
            <v>NO</v>
          </cell>
          <cell r="G836" t="str">
            <v>NO</v>
          </cell>
          <cell r="H836" t="str">
            <v xml:space="preserve">SALA DE PROCEDIMIENTO </v>
          </cell>
          <cell r="I836">
            <v>15</v>
          </cell>
          <cell r="J836" t="str">
            <v>C.4.3.5.1</v>
          </cell>
          <cell r="K836" t="str">
            <v>Urgencia</v>
          </cell>
          <cell r="L836">
            <v>1</v>
          </cell>
          <cell r="M836">
            <v>46006</v>
          </cell>
          <cell r="N836">
            <v>46007</v>
          </cell>
          <cell r="O836">
            <v>1</v>
          </cell>
          <cell r="P836">
            <v>46008</v>
          </cell>
          <cell r="Q836">
            <v>1</v>
          </cell>
          <cell r="R836" t="str">
            <v>NA</v>
          </cell>
        </row>
        <row r="837">
          <cell r="B837" t="str">
            <v>EMMC</v>
          </cell>
          <cell r="C837" t="str">
            <v>HSLB11305</v>
          </cell>
          <cell r="D837">
            <v>109021</v>
          </cell>
          <cell r="E837" t="str">
            <v>Set Instrumental Sutura</v>
          </cell>
          <cell r="F837" t="str">
            <v>NO</v>
          </cell>
          <cell r="G837" t="str">
            <v>NO</v>
          </cell>
          <cell r="H837" t="str">
            <v>SALA DE PROCEDIMIENTO</v>
          </cell>
          <cell r="I837">
            <v>15</v>
          </cell>
          <cell r="J837" t="str">
            <v>C.4.3.5.2</v>
          </cell>
          <cell r="K837" t="str">
            <v>Urgencia</v>
          </cell>
          <cell r="L837">
            <v>1</v>
          </cell>
          <cell r="M837">
            <v>46006</v>
          </cell>
          <cell r="N837">
            <v>46007</v>
          </cell>
          <cell r="O837">
            <v>1</v>
          </cell>
          <cell r="P837">
            <v>46008</v>
          </cell>
          <cell r="Q837">
            <v>1</v>
          </cell>
          <cell r="R837" t="str">
            <v>NA</v>
          </cell>
        </row>
        <row r="838">
          <cell r="B838" t="str">
            <v>EMMC</v>
          </cell>
          <cell r="C838" t="str">
            <v>HSLB11306</v>
          </cell>
          <cell r="D838">
            <v>109021</v>
          </cell>
          <cell r="E838" t="str">
            <v>Set Instrumental Sutura</v>
          </cell>
          <cell r="F838" t="str">
            <v>NO</v>
          </cell>
          <cell r="G838" t="str">
            <v>NO</v>
          </cell>
          <cell r="H838" t="str">
            <v>BOX REANIMACIÓN INFANTIL</v>
          </cell>
          <cell r="I838">
            <v>5</v>
          </cell>
          <cell r="J838" t="str">
            <v>C.4.4.12</v>
          </cell>
          <cell r="K838" t="str">
            <v>Urgencia</v>
          </cell>
          <cell r="L838">
            <v>1</v>
          </cell>
          <cell r="M838">
            <v>46006</v>
          </cell>
          <cell r="N838">
            <v>46007</v>
          </cell>
          <cell r="O838">
            <v>1</v>
          </cell>
          <cell r="P838">
            <v>46008</v>
          </cell>
          <cell r="Q838">
            <v>1</v>
          </cell>
          <cell r="R838" t="str">
            <v>NA</v>
          </cell>
        </row>
        <row r="839">
          <cell r="B839" t="str">
            <v>EMMC</v>
          </cell>
          <cell r="C839" t="str">
            <v>HSLB11307</v>
          </cell>
          <cell r="D839">
            <v>109021</v>
          </cell>
          <cell r="E839" t="str">
            <v>Set Instrumental Sutura</v>
          </cell>
          <cell r="F839" t="str">
            <v>NO</v>
          </cell>
          <cell r="G839" t="str">
            <v>NO</v>
          </cell>
          <cell r="H839" t="str">
            <v>SALA DE PROCEDIMIENTO (infantil)</v>
          </cell>
          <cell r="I839">
            <v>30</v>
          </cell>
          <cell r="J839" t="str">
            <v>C.4.4.5</v>
          </cell>
          <cell r="K839" t="str">
            <v>Urgencia</v>
          </cell>
          <cell r="L839">
            <v>1</v>
          </cell>
          <cell r="M839">
            <v>46006</v>
          </cell>
          <cell r="N839">
            <v>46007</v>
          </cell>
          <cell r="O839">
            <v>1</v>
          </cell>
          <cell r="P839">
            <v>46008</v>
          </cell>
          <cell r="Q839">
            <v>1</v>
          </cell>
          <cell r="R839" t="str">
            <v>NA</v>
          </cell>
        </row>
        <row r="840">
          <cell r="B840" t="str">
            <v>EMMC</v>
          </cell>
          <cell r="C840" t="str">
            <v>HSLB11311</v>
          </cell>
          <cell r="D840">
            <v>109022</v>
          </cell>
          <cell r="E840" t="str">
            <v>Set Instrumental Taponamiento Nasal</v>
          </cell>
          <cell r="F840" t="str">
            <v>NO</v>
          </cell>
          <cell r="G840" t="str">
            <v>NO</v>
          </cell>
          <cell r="H840" t="str">
            <v>BOX REANIMACIÓN ADULTO</v>
          </cell>
          <cell r="I840">
            <v>3</v>
          </cell>
          <cell r="J840" t="str">
            <v>C.4.3.12.1</v>
          </cell>
          <cell r="K840" t="str">
            <v>Urgencia</v>
          </cell>
          <cell r="L840">
            <v>1</v>
          </cell>
          <cell r="M840">
            <v>46006</v>
          </cell>
          <cell r="N840">
            <v>46007</v>
          </cell>
          <cell r="O840">
            <v>1</v>
          </cell>
          <cell r="P840">
            <v>46008</v>
          </cell>
          <cell r="Q840">
            <v>1</v>
          </cell>
          <cell r="R840" t="str">
            <v>NA</v>
          </cell>
        </row>
        <row r="841">
          <cell r="B841" t="str">
            <v>EMMC</v>
          </cell>
          <cell r="C841" t="str">
            <v>HSLB11312</v>
          </cell>
          <cell r="D841">
            <v>109022</v>
          </cell>
          <cell r="E841" t="str">
            <v>Set Instrumental Taponamiento Nasal</v>
          </cell>
          <cell r="F841" t="str">
            <v>NO</v>
          </cell>
          <cell r="G841" t="str">
            <v>NO</v>
          </cell>
          <cell r="H841" t="str">
            <v>BOX REANIMACIÓN ADULTO</v>
          </cell>
          <cell r="I841">
            <v>3</v>
          </cell>
          <cell r="J841" t="str">
            <v>C.4.3.12.2</v>
          </cell>
          <cell r="K841" t="str">
            <v>Urgencia</v>
          </cell>
          <cell r="L841">
            <v>1</v>
          </cell>
          <cell r="M841">
            <v>46006</v>
          </cell>
          <cell r="N841">
            <v>46007</v>
          </cell>
          <cell r="O841">
            <v>1</v>
          </cell>
          <cell r="P841">
            <v>46008</v>
          </cell>
          <cell r="Q841">
            <v>1</v>
          </cell>
          <cell r="R841" t="str">
            <v>NA</v>
          </cell>
        </row>
        <row r="842">
          <cell r="B842" t="str">
            <v>EMMC</v>
          </cell>
          <cell r="C842" t="str">
            <v>HSLB11313</v>
          </cell>
          <cell r="D842">
            <v>109022</v>
          </cell>
          <cell r="E842" t="str">
            <v>Set Instrumental Taponamiento Nasal</v>
          </cell>
          <cell r="F842" t="str">
            <v>NO</v>
          </cell>
          <cell r="G842" t="str">
            <v>NO</v>
          </cell>
          <cell r="H842" t="str">
            <v xml:space="preserve">SALA DE PROCEDIMIENTO </v>
          </cell>
          <cell r="I842">
            <v>3</v>
          </cell>
          <cell r="J842" t="str">
            <v>C.4.3.5.1</v>
          </cell>
          <cell r="K842" t="str">
            <v>Urgencia</v>
          </cell>
          <cell r="L842">
            <v>1</v>
          </cell>
          <cell r="M842">
            <v>46006</v>
          </cell>
          <cell r="N842">
            <v>46007</v>
          </cell>
          <cell r="O842">
            <v>1</v>
          </cell>
          <cell r="P842">
            <v>46008</v>
          </cell>
          <cell r="Q842">
            <v>1</v>
          </cell>
          <cell r="R842" t="str">
            <v>NA</v>
          </cell>
        </row>
        <row r="843">
          <cell r="B843" t="str">
            <v>EMMC</v>
          </cell>
          <cell r="C843" t="str">
            <v>HSLB11314</v>
          </cell>
          <cell r="D843">
            <v>109022</v>
          </cell>
          <cell r="E843" t="str">
            <v>Set Instrumental Taponamiento Nasal</v>
          </cell>
          <cell r="F843" t="str">
            <v>NO</v>
          </cell>
          <cell r="G843" t="str">
            <v>NO</v>
          </cell>
          <cell r="H843" t="str">
            <v>SALA DE PROCEDIMIENTO</v>
          </cell>
          <cell r="I843">
            <v>3</v>
          </cell>
          <cell r="J843" t="str">
            <v>C.4.3.5.2</v>
          </cell>
          <cell r="K843" t="str">
            <v>Urgencia</v>
          </cell>
          <cell r="L843">
            <v>1</v>
          </cell>
          <cell r="M843">
            <v>46006</v>
          </cell>
          <cell r="N843">
            <v>46007</v>
          </cell>
          <cell r="O843">
            <v>1</v>
          </cell>
          <cell r="P843">
            <v>46008</v>
          </cell>
          <cell r="Q843">
            <v>1</v>
          </cell>
          <cell r="R843" t="str">
            <v>NA</v>
          </cell>
        </row>
        <row r="844">
          <cell r="B844" t="str">
            <v>EMMC</v>
          </cell>
          <cell r="C844" t="str">
            <v>HSLB11315</v>
          </cell>
          <cell r="D844">
            <v>109022</v>
          </cell>
          <cell r="E844" t="str">
            <v>Set Instrumental Taponamiento Nasal</v>
          </cell>
          <cell r="F844" t="str">
            <v>NO</v>
          </cell>
          <cell r="G844" t="str">
            <v>NO</v>
          </cell>
          <cell r="H844" t="str">
            <v>BOX REANIMACIÓN INFANTIL</v>
          </cell>
          <cell r="I844">
            <v>6</v>
          </cell>
          <cell r="J844" t="str">
            <v>C.4.4.12</v>
          </cell>
          <cell r="K844" t="str">
            <v>Urgencia</v>
          </cell>
          <cell r="L844">
            <v>1</v>
          </cell>
          <cell r="M844">
            <v>46006</v>
          </cell>
          <cell r="N844">
            <v>46007</v>
          </cell>
          <cell r="O844">
            <v>1</v>
          </cell>
          <cell r="P844">
            <v>46008</v>
          </cell>
          <cell r="Q844">
            <v>1</v>
          </cell>
          <cell r="R844" t="str">
            <v>NA</v>
          </cell>
        </row>
        <row r="845">
          <cell r="B845" t="str">
            <v>EMMC</v>
          </cell>
          <cell r="C845" t="str">
            <v>HSLB11316</v>
          </cell>
          <cell r="D845">
            <v>109022</v>
          </cell>
          <cell r="E845" t="str">
            <v>Set Instrumental Taponamiento Nasal</v>
          </cell>
          <cell r="F845" t="str">
            <v>NO</v>
          </cell>
          <cell r="G845" t="str">
            <v>NO</v>
          </cell>
          <cell r="H845" t="str">
            <v>SALA DE PROCEDIMIENTO (infantil)</v>
          </cell>
          <cell r="I845">
            <v>5</v>
          </cell>
          <cell r="J845" t="str">
            <v>C.4.4.5</v>
          </cell>
          <cell r="K845" t="str">
            <v>Urgencia</v>
          </cell>
          <cell r="L845">
            <v>1</v>
          </cell>
          <cell r="M845">
            <v>46006</v>
          </cell>
          <cell r="N845">
            <v>46007</v>
          </cell>
          <cell r="O845">
            <v>1</v>
          </cell>
          <cell r="P845">
            <v>46008</v>
          </cell>
          <cell r="Q845">
            <v>1</v>
          </cell>
          <cell r="R845" t="str">
            <v>NA</v>
          </cell>
        </row>
        <row r="846">
          <cell r="B846" t="str">
            <v>EMMC</v>
          </cell>
          <cell r="C846" t="str">
            <v>HSLB11319</v>
          </cell>
          <cell r="D846">
            <v>109023</v>
          </cell>
          <cell r="E846" t="str">
            <v>Set Instrumental Yeso</v>
          </cell>
          <cell r="F846" t="str">
            <v>NO</v>
          </cell>
          <cell r="G846" t="str">
            <v>NO</v>
          </cell>
          <cell r="H846" t="str">
            <v>SALA YESO</v>
          </cell>
          <cell r="I846">
            <v>3</v>
          </cell>
          <cell r="J846" t="str">
            <v>C.4.5.4</v>
          </cell>
          <cell r="K846" t="str">
            <v>Urgencia</v>
          </cell>
          <cell r="L846">
            <v>1</v>
          </cell>
          <cell r="M846">
            <v>46006</v>
          </cell>
          <cell r="N846">
            <v>46007</v>
          </cell>
          <cell r="O846">
            <v>1</v>
          </cell>
          <cell r="P846">
            <v>46008</v>
          </cell>
          <cell r="Q846">
            <v>1</v>
          </cell>
          <cell r="R846" t="str">
            <v>NA</v>
          </cell>
        </row>
        <row r="847">
          <cell r="B847" t="str">
            <v>EMMC</v>
          </cell>
          <cell r="C847" t="str">
            <v>HSLB12472</v>
          </cell>
          <cell r="D847">
            <v>112078</v>
          </cell>
          <cell r="E847" t="str">
            <v>Silla de Ruedas Bariátrica</v>
          </cell>
          <cell r="F847" t="str">
            <v>NO</v>
          </cell>
          <cell r="G847" t="str">
            <v>NO</v>
          </cell>
          <cell r="H847" t="str">
            <v>ESTACIONAMIENTO CAMILLAS Y SILLAS DE RUEDAS</v>
          </cell>
          <cell r="I847">
            <v>1</v>
          </cell>
          <cell r="J847" t="str">
            <v>C.4.2.12</v>
          </cell>
          <cell r="K847" t="str">
            <v>Urgencia</v>
          </cell>
          <cell r="L847">
            <v>1</v>
          </cell>
          <cell r="M847">
            <v>46006</v>
          </cell>
          <cell r="N847">
            <v>46007</v>
          </cell>
          <cell r="O847">
            <v>1</v>
          </cell>
          <cell r="P847">
            <v>46008</v>
          </cell>
          <cell r="Q847">
            <v>1</v>
          </cell>
          <cell r="R847" t="str">
            <v>NA</v>
          </cell>
        </row>
        <row r="848">
          <cell r="B848" t="str">
            <v>EMMC</v>
          </cell>
          <cell r="C848" t="str">
            <v>HSLB12473</v>
          </cell>
          <cell r="D848">
            <v>112079</v>
          </cell>
          <cell r="E848" t="str">
            <v>Silla de Ruedas Neurológica</v>
          </cell>
          <cell r="F848" t="str">
            <v>NO</v>
          </cell>
          <cell r="G848" t="str">
            <v>NO</v>
          </cell>
          <cell r="H848" t="str">
            <v>ESTAC. CAMILLAS Y SILLA DE RUIEDAS</v>
          </cell>
          <cell r="I848">
            <v>1</v>
          </cell>
          <cell r="J848" t="str">
            <v>C.5.7.35</v>
          </cell>
          <cell r="K848" t="str">
            <v>Med Física y Rehabilitación</v>
          </cell>
          <cell r="L848">
            <v>1</v>
          </cell>
          <cell r="M848">
            <v>46013</v>
          </cell>
          <cell r="N848">
            <v>46014</v>
          </cell>
          <cell r="O848">
            <v>1</v>
          </cell>
          <cell r="P848">
            <v>46015</v>
          </cell>
          <cell r="Q848">
            <v>1</v>
          </cell>
          <cell r="R848" t="str">
            <v>NA</v>
          </cell>
          <cell r="S848">
            <v>5</v>
          </cell>
        </row>
        <row r="849">
          <cell r="B849" t="str">
            <v>EMMC</v>
          </cell>
          <cell r="C849" t="str">
            <v>HSLB12475</v>
          </cell>
          <cell r="D849">
            <v>112081</v>
          </cell>
          <cell r="E849" t="str">
            <v>Silla Tipo Coche Neurológica</v>
          </cell>
          <cell r="F849" t="str">
            <v>NO</v>
          </cell>
          <cell r="G849" t="str">
            <v>SI</v>
          </cell>
          <cell r="H849" t="str">
            <v>GIMNASIO ADULTO REHABILITACIÓN CARDIOVASCULAR</v>
          </cell>
          <cell r="I849">
            <v>1</v>
          </cell>
          <cell r="J849" t="str">
            <v>C.5.7.14</v>
          </cell>
          <cell r="K849" t="str">
            <v>Med Física y Rehabilitación</v>
          </cell>
          <cell r="L849">
            <v>1</v>
          </cell>
          <cell r="M849">
            <v>46003</v>
          </cell>
          <cell r="N849">
            <v>46006</v>
          </cell>
          <cell r="O849">
            <v>1</v>
          </cell>
          <cell r="P849">
            <v>46007</v>
          </cell>
          <cell r="Q849">
            <v>1</v>
          </cell>
          <cell r="R849" t="str">
            <v>NA</v>
          </cell>
          <cell r="S849">
            <v>5</v>
          </cell>
        </row>
        <row r="850">
          <cell r="B850" t="str">
            <v>EMMC</v>
          </cell>
          <cell r="C850" t="str">
            <v>HSLB12476</v>
          </cell>
          <cell r="D850">
            <v>112081</v>
          </cell>
          <cell r="E850" t="str">
            <v>Silla Tipo Coche Neurológica</v>
          </cell>
          <cell r="F850" t="str">
            <v>NO</v>
          </cell>
          <cell r="G850" t="str">
            <v>NO</v>
          </cell>
          <cell r="H850" t="str">
            <v>GIMNASIO PEDIATRICO</v>
          </cell>
          <cell r="I850">
            <v>1</v>
          </cell>
          <cell r="J850" t="str">
            <v>C.5.7.15</v>
          </cell>
          <cell r="K850" t="str">
            <v>Med Física y Rehabilitación</v>
          </cell>
          <cell r="L850">
            <v>1</v>
          </cell>
          <cell r="M850">
            <v>46013</v>
          </cell>
          <cell r="N850">
            <v>46014</v>
          </cell>
          <cell r="O850">
            <v>1</v>
          </cell>
          <cell r="P850">
            <v>46015</v>
          </cell>
          <cell r="Q850">
            <v>1</v>
          </cell>
          <cell r="R850" t="str">
            <v>NA</v>
          </cell>
          <cell r="S850">
            <v>5</v>
          </cell>
        </row>
        <row r="851">
          <cell r="B851" t="str">
            <v>EMMC</v>
          </cell>
          <cell r="C851" t="str">
            <v>HSLB12479</v>
          </cell>
          <cell r="D851">
            <v>112082</v>
          </cell>
          <cell r="E851" t="str">
            <v>Sillón Clínico tipo 1</v>
          </cell>
          <cell r="F851" t="str">
            <v>NO</v>
          </cell>
          <cell r="G851" t="str">
            <v>NO</v>
          </cell>
          <cell r="H851" t="str">
            <v>SELECTOR DE DEMANDA GINECOLOGÍA</v>
          </cell>
          <cell r="I851">
            <v>1</v>
          </cell>
          <cell r="J851" t="str">
            <v>C.3.6.2.2</v>
          </cell>
          <cell r="K851" t="str">
            <v>Urgencia</v>
          </cell>
          <cell r="L851">
            <v>1</v>
          </cell>
          <cell r="M851">
            <v>46006</v>
          </cell>
          <cell r="N851">
            <v>46007</v>
          </cell>
          <cell r="O851">
            <v>1</v>
          </cell>
          <cell r="P851">
            <v>46008</v>
          </cell>
          <cell r="Q851">
            <v>1</v>
          </cell>
          <cell r="R851" t="str">
            <v>NA</v>
          </cell>
        </row>
        <row r="852">
          <cell r="B852" t="str">
            <v>EMMC</v>
          </cell>
          <cell r="C852" t="str">
            <v>HSLB12482</v>
          </cell>
          <cell r="D852">
            <v>112083</v>
          </cell>
          <cell r="E852" t="str">
            <v>Sillón Clínico tipo 2</v>
          </cell>
          <cell r="F852" t="str">
            <v>NO</v>
          </cell>
          <cell r="G852" t="str">
            <v>NO</v>
          </cell>
          <cell r="H852" t="str">
            <v>SALA DE OBSERVACIONES</v>
          </cell>
          <cell r="I852">
            <v>2</v>
          </cell>
          <cell r="J852" t="str">
            <v>C.3.6.2.10</v>
          </cell>
          <cell r="K852" t="str">
            <v>Urgencia</v>
          </cell>
          <cell r="L852">
            <v>1</v>
          </cell>
          <cell r="M852">
            <v>46006</v>
          </cell>
          <cell r="N852">
            <v>46007</v>
          </cell>
          <cell r="O852">
            <v>1</v>
          </cell>
          <cell r="P852">
            <v>46008</v>
          </cell>
          <cell r="Q852">
            <v>1</v>
          </cell>
          <cell r="R852" t="str">
            <v>NA</v>
          </cell>
        </row>
        <row r="853">
          <cell r="B853" t="str">
            <v>EMMC</v>
          </cell>
          <cell r="C853" t="str">
            <v>HSLB12483</v>
          </cell>
          <cell r="D853">
            <v>112083</v>
          </cell>
          <cell r="E853" t="str">
            <v>Sillón Clínico tipo 2</v>
          </cell>
          <cell r="F853" t="str">
            <v>NO</v>
          </cell>
          <cell r="G853" t="str">
            <v>NO</v>
          </cell>
          <cell r="H853" t="str">
            <v>SALA TRATAMIENTOS TRANSITORIO</v>
          </cell>
          <cell r="I853">
            <v>10</v>
          </cell>
          <cell r="J853" t="str">
            <v>C.4.3.6</v>
          </cell>
          <cell r="K853" t="str">
            <v>Urgencia</v>
          </cell>
          <cell r="L853">
            <v>1</v>
          </cell>
          <cell r="M853">
            <v>46006</v>
          </cell>
          <cell r="N853">
            <v>46007</v>
          </cell>
          <cell r="O853">
            <v>1</v>
          </cell>
          <cell r="P853">
            <v>46008</v>
          </cell>
          <cell r="Q853">
            <v>1</v>
          </cell>
          <cell r="R853" t="str">
            <v>NA</v>
          </cell>
        </row>
        <row r="854">
          <cell r="B854" t="str">
            <v>EMMC</v>
          </cell>
          <cell r="C854" t="str">
            <v>HSLB12484</v>
          </cell>
          <cell r="D854">
            <v>112083</v>
          </cell>
          <cell r="E854" t="str">
            <v>Sillón Clínico tipo 2</v>
          </cell>
          <cell r="F854" t="str">
            <v>NO</v>
          </cell>
          <cell r="G854" t="str">
            <v>SI</v>
          </cell>
          <cell r="H854" t="str">
            <v>SALA DE TRATAMIENTOS TRANSITORIOS</v>
          </cell>
          <cell r="I854">
            <v>4</v>
          </cell>
          <cell r="J854" t="str">
            <v>C.4.4.6</v>
          </cell>
          <cell r="K854" t="str">
            <v>Urgencia</v>
          </cell>
          <cell r="L854">
            <v>1</v>
          </cell>
          <cell r="M854">
            <v>46003</v>
          </cell>
          <cell r="N854">
            <v>46006</v>
          </cell>
          <cell r="O854">
            <v>1</v>
          </cell>
          <cell r="P854">
            <v>46007</v>
          </cell>
          <cell r="Q854">
            <v>1</v>
          </cell>
          <cell r="R854" t="str">
            <v>NA</v>
          </cell>
          <cell r="S854">
            <v>5</v>
          </cell>
        </row>
        <row r="855">
          <cell r="B855" t="str">
            <v>EMMC</v>
          </cell>
          <cell r="C855" t="str">
            <v>HSLB11320</v>
          </cell>
          <cell r="D855">
            <v>109024</v>
          </cell>
          <cell r="E855" t="str">
            <v>Tijera Mayo</v>
          </cell>
          <cell r="F855" t="str">
            <v>NO</v>
          </cell>
          <cell r="G855" t="str">
            <v>NO</v>
          </cell>
          <cell r="H855" t="str">
            <v xml:space="preserve">SALA DE PROCEDIMIENTO </v>
          </cell>
          <cell r="I855">
            <v>2</v>
          </cell>
          <cell r="J855" t="str">
            <v>C.4.3.5.1</v>
          </cell>
          <cell r="K855" t="str">
            <v>Urgencia</v>
          </cell>
          <cell r="L855">
            <v>1</v>
          </cell>
          <cell r="M855">
            <v>46006</v>
          </cell>
          <cell r="N855">
            <v>46007</v>
          </cell>
          <cell r="O855">
            <v>1</v>
          </cell>
          <cell r="P855">
            <v>46008</v>
          </cell>
          <cell r="Q855">
            <v>1</v>
          </cell>
          <cell r="R855" t="str">
            <v>NA</v>
          </cell>
        </row>
        <row r="856">
          <cell r="B856" t="str">
            <v>EMMC</v>
          </cell>
          <cell r="C856" t="str">
            <v>HSLB11321</v>
          </cell>
          <cell r="D856">
            <v>109024</v>
          </cell>
          <cell r="E856" t="str">
            <v>Tijera Mayo</v>
          </cell>
          <cell r="F856" t="str">
            <v>NO</v>
          </cell>
          <cell r="G856" t="str">
            <v>NO</v>
          </cell>
          <cell r="H856" t="str">
            <v>SALA DE PROCEDIMIENTO</v>
          </cell>
          <cell r="I856">
            <v>2</v>
          </cell>
          <cell r="J856" t="str">
            <v>C.4.3.5.2</v>
          </cell>
          <cell r="K856" t="str">
            <v>Urgencia</v>
          </cell>
          <cell r="L856">
            <v>1</v>
          </cell>
          <cell r="M856">
            <v>46006</v>
          </cell>
          <cell r="N856">
            <v>46007</v>
          </cell>
          <cell r="O856">
            <v>1</v>
          </cell>
          <cell r="P856">
            <v>46008</v>
          </cell>
          <cell r="Q856">
            <v>1</v>
          </cell>
          <cell r="R856" t="str">
            <v>NA</v>
          </cell>
        </row>
        <row r="857">
          <cell r="B857" t="str">
            <v>EMMC</v>
          </cell>
          <cell r="C857" t="str">
            <v>HSLB11322</v>
          </cell>
          <cell r="D857">
            <v>109024</v>
          </cell>
          <cell r="E857" t="str">
            <v>Tijera Mayo</v>
          </cell>
          <cell r="F857" t="str">
            <v>NO</v>
          </cell>
          <cell r="G857" t="str">
            <v>NO</v>
          </cell>
          <cell r="H857" t="str">
            <v>SALA DE PROCEDIMIENTO (infantil)</v>
          </cell>
          <cell r="I857">
            <v>3</v>
          </cell>
          <cell r="J857" t="str">
            <v>C.4.4.5</v>
          </cell>
          <cell r="K857" t="str">
            <v>Urgencia</v>
          </cell>
          <cell r="L857">
            <v>1</v>
          </cell>
          <cell r="M857">
            <v>46006</v>
          </cell>
          <cell r="N857">
            <v>46007</v>
          </cell>
          <cell r="O857">
            <v>1</v>
          </cell>
          <cell r="P857">
            <v>46008</v>
          </cell>
          <cell r="Q857">
            <v>1</v>
          </cell>
          <cell r="R857" t="str">
            <v>NA</v>
          </cell>
        </row>
        <row r="858">
          <cell r="B858" t="str">
            <v>EMMC</v>
          </cell>
          <cell r="C858" t="str">
            <v>HSLB10581</v>
          </cell>
          <cell r="D858">
            <v>104031</v>
          </cell>
          <cell r="E858" t="str">
            <v>Torniquete Arterial Neumático</v>
          </cell>
          <cell r="F858" t="str">
            <v>NO</v>
          </cell>
          <cell r="G858" t="str">
            <v>NO</v>
          </cell>
          <cell r="H858" t="str">
            <v>BOX REANIMACIÓN ADULTO</v>
          </cell>
          <cell r="I858">
            <v>1</v>
          </cell>
          <cell r="J858" t="str">
            <v>C.4.3.12.1</v>
          </cell>
          <cell r="K858" t="str">
            <v>Urgencia</v>
          </cell>
          <cell r="L858">
            <v>1</v>
          </cell>
          <cell r="M858">
            <v>46006</v>
          </cell>
          <cell r="N858">
            <v>46007</v>
          </cell>
          <cell r="O858">
            <v>1</v>
          </cell>
          <cell r="P858">
            <v>46008</v>
          </cell>
          <cell r="Q858">
            <v>1</v>
          </cell>
          <cell r="R858" t="str">
            <v>NA</v>
          </cell>
        </row>
        <row r="859">
          <cell r="B859" t="str">
            <v>EMMC</v>
          </cell>
          <cell r="C859" t="str">
            <v>HSLB10582</v>
          </cell>
          <cell r="D859">
            <v>104031</v>
          </cell>
          <cell r="E859" t="str">
            <v>Torniquete Arterial Neumático</v>
          </cell>
          <cell r="F859" t="str">
            <v>NO</v>
          </cell>
          <cell r="G859" t="str">
            <v>NO</v>
          </cell>
          <cell r="H859" t="str">
            <v>BOX REANIMACIÓN ADULTO</v>
          </cell>
          <cell r="I859">
            <v>1</v>
          </cell>
          <cell r="J859" t="str">
            <v>C.4.3.12.2</v>
          </cell>
          <cell r="K859" t="str">
            <v>Urgencia</v>
          </cell>
          <cell r="L859">
            <v>1</v>
          </cell>
          <cell r="M859">
            <v>46006</v>
          </cell>
          <cell r="N859">
            <v>46007</v>
          </cell>
          <cell r="O859">
            <v>1</v>
          </cell>
          <cell r="P859">
            <v>46008</v>
          </cell>
          <cell r="Q859">
            <v>1</v>
          </cell>
          <cell r="R859" t="str">
            <v>NA</v>
          </cell>
        </row>
        <row r="860">
          <cell r="B860" t="str">
            <v>EMMC</v>
          </cell>
          <cell r="C860" t="str">
            <v>HSLB10583</v>
          </cell>
          <cell r="D860">
            <v>104031</v>
          </cell>
          <cell r="E860" t="str">
            <v>Torniquete Arterial Neumático</v>
          </cell>
          <cell r="F860" t="str">
            <v>NO</v>
          </cell>
          <cell r="G860" t="str">
            <v>NO</v>
          </cell>
          <cell r="H860" t="str">
            <v>BOX REANIMACIÓN INFANTIL</v>
          </cell>
          <cell r="I860">
            <v>1</v>
          </cell>
          <cell r="J860" t="str">
            <v>C.4.4.12</v>
          </cell>
          <cell r="K860" t="str">
            <v>Urgencia</v>
          </cell>
          <cell r="L860">
            <v>1</v>
          </cell>
          <cell r="M860">
            <v>46006</v>
          </cell>
          <cell r="N860">
            <v>46007</v>
          </cell>
          <cell r="O860">
            <v>1</v>
          </cell>
          <cell r="P860">
            <v>46008</v>
          </cell>
          <cell r="Q860">
            <v>1</v>
          </cell>
          <cell r="R860" t="str">
            <v>NA</v>
          </cell>
        </row>
        <row r="861">
          <cell r="B861" t="str">
            <v>EMMC</v>
          </cell>
          <cell r="C861" t="str">
            <v>HSLB11598</v>
          </cell>
          <cell r="D861">
            <v>111105</v>
          </cell>
          <cell r="E861" t="str">
            <v>Treadmill con Barandas</v>
          </cell>
          <cell r="F861" t="str">
            <v>NO</v>
          </cell>
          <cell r="G861" t="str">
            <v>SI</v>
          </cell>
          <cell r="H861" t="str">
            <v>GIMNASIO ADULTO REHABILITACIÓN CARDIOVASCULAR</v>
          </cell>
          <cell r="I861">
            <v>2</v>
          </cell>
          <cell r="J861" t="str">
            <v>C.5.7.14</v>
          </cell>
          <cell r="K861" t="str">
            <v>Med Física y Rehabilitación</v>
          </cell>
          <cell r="L861">
            <v>1</v>
          </cell>
          <cell r="M861">
            <v>46003</v>
          </cell>
          <cell r="N861">
            <v>46006</v>
          </cell>
          <cell r="O861">
            <v>1</v>
          </cell>
          <cell r="P861">
            <v>46007</v>
          </cell>
          <cell r="Q861">
            <v>1</v>
          </cell>
          <cell r="R861" t="str">
            <v>NA</v>
          </cell>
          <cell r="S861">
            <v>5</v>
          </cell>
        </row>
        <row r="862">
          <cell r="B862" t="str">
            <v>EMMC</v>
          </cell>
          <cell r="C862" t="str">
            <v>HSLB11599</v>
          </cell>
          <cell r="D862">
            <v>111105</v>
          </cell>
          <cell r="E862" t="str">
            <v>Treadmill con Barandas</v>
          </cell>
          <cell r="F862" t="str">
            <v>NO</v>
          </cell>
          <cell r="G862" t="str">
            <v>NO</v>
          </cell>
          <cell r="H862" t="str">
            <v>GIMNASIO PEDIATRICO</v>
          </cell>
          <cell r="I862">
            <v>1</v>
          </cell>
          <cell r="J862" t="str">
            <v>C.5.7.15</v>
          </cell>
          <cell r="K862" t="str">
            <v>Med Física y Rehabilitación</v>
          </cell>
          <cell r="L862">
            <v>1</v>
          </cell>
          <cell r="M862">
            <v>46013</v>
          </cell>
          <cell r="N862">
            <v>46014</v>
          </cell>
          <cell r="O862">
            <v>1</v>
          </cell>
          <cell r="P862">
            <v>46015</v>
          </cell>
          <cell r="Q862">
            <v>1</v>
          </cell>
          <cell r="R862" t="str">
            <v>NA</v>
          </cell>
          <cell r="S862">
            <v>5</v>
          </cell>
        </row>
        <row r="863">
          <cell r="B863" t="str">
            <v>EMMC</v>
          </cell>
          <cell r="C863" t="str">
            <v>HSLB11604</v>
          </cell>
          <cell r="D863">
            <v>111110</v>
          </cell>
          <cell r="E863" t="str">
            <v>Ultrasonido Terapéutico</v>
          </cell>
          <cell r="F863" t="str">
            <v>NO</v>
          </cell>
          <cell r="G863" t="str">
            <v>NO</v>
          </cell>
          <cell r="H863" t="str">
            <v>SALA KINESOTERÁPIA CUBICULO ULTRASONIDO</v>
          </cell>
          <cell r="I863">
            <v>1</v>
          </cell>
          <cell r="J863" t="str">
            <v>C.5.7.12</v>
          </cell>
          <cell r="K863" t="str">
            <v>Med Física y Rehabilitación</v>
          </cell>
          <cell r="L863">
            <v>1</v>
          </cell>
          <cell r="M863">
            <v>46013</v>
          </cell>
          <cell r="N863">
            <v>46014</v>
          </cell>
          <cell r="O863">
            <v>1</v>
          </cell>
          <cell r="P863">
            <v>46015</v>
          </cell>
          <cell r="Q863">
            <v>1</v>
          </cell>
          <cell r="R863" t="str">
            <v>NA</v>
          </cell>
          <cell r="S863">
            <v>5</v>
          </cell>
        </row>
        <row r="864">
          <cell r="B864" t="str">
            <v>EMMC</v>
          </cell>
          <cell r="C864" t="str">
            <v>HSLB10606</v>
          </cell>
          <cell r="D864">
            <v>105001</v>
          </cell>
          <cell r="E864" t="str">
            <v>Acelerador Infusión</v>
          </cell>
          <cell r="F864" t="str">
            <v>NO</v>
          </cell>
          <cell r="G864" t="str">
            <v>NO</v>
          </cell>
          <cell r="H864" t="str">
            <v>BOX REANIMACIÓN ADULTO</v>
          </cell>
          <cell r="I864">
            <v>2</v>
          </cell>
          <cell r="J864" t="str">
            <v>C.4.3.12.2</v>
          </cell>
          <cell r="K864" t="str">
            <v>Urgencia</v>
          </cell>
          <cell r="L864">
            <v>1</v>
          </cell>
          <cell r="M864">
            <v>46003</v>
          </cell>
          <cell r="N864">
            <v>46006</v>
          </cell>
          <cell r="O864">
            <v>1</v>
          </cell>
          <cell r="P864">
            <v>46007</v>
          </cell>
          <cell r="Q864">
            <v>1</v>
          </cell>
          <cell r="R864" t="str">
            <v>NA</v>
          </cell>
        </row>
        <row r="865">
          <cell r="B865" t="str">
            <v>EMMC</v>
          </cell>
          <cell r="C865" t="str">
            <v>HSLB11164</v>
          </cell>
          <cell r="D865">
            <v>108011</v>
          </cell>
          <cell r="E865" t="str">
            <v>Rx Portátil</v>
          </cell>
          <cell r="F865" t="str">
            <v>NO</v>
          </cell>
          <cell r="G865" t="str">
            <v>SI</v>
          </cell>
          <cell r="H865" t="str">
            <v>BODEGA DE EQUIPOS MEDICOS</v>
          </cell>
          <cell r="I865">
            <v>2</v>
          </cell>
          <cell r="J865" t="str">
            <v>C.5.3.23</v>
          </cell>
          <cell r="K865" t="str">
            <v>Imagenología</v>
          </cell>
          <cell r="L865">
            <v>1</v>
          </cell>
          <cell r="M865">
            <v>46003</v>
          </cell>
          <cell r="N865">
            <v>46006</v>
          </cell>
          <cell r="O865">
            <v>1</v>
          </cell>
          <cell r="P865">
            <v>46007</v>
          </cell>
          <cell r="Q865">
            <v>1</v>
          </cell>
          <cell r="R865" t="str">
            <v>NA</v>
          </cell>
          <cell r="S865">
            <v>5</v>
          </cell>
        </row>
        <row r="866">
          <cell r="B866" t="str">
            <v>EMMC</v>
          </cell>
          <cell r="C866" t="str">
            <v>HSLB11992</v>
          </cell>
          <cell r="D866">
            <v>112048</v>
          </cell>
          <cell r="E866" t="str">
            <v>Catre Clínico empotrado</v>
          </cell>
          <cell r="F866" t="str">
            <v>NO</v>
          </cell>
          <cell r="G866" t="str">
            <v>NO</v>
          </cell>
          <cell r="H866" t="str">
            <v>SALA 1 CAMAS</v>
          </cell>
          <cell r="I866">
            <v>1</v>
          </cell>
          <cell r="J866" t="str">
            <v>C.2.5.3.28.1</v>
          </cell>
          <cell r="K866" t="str">
            <v>UHCIP</v>
          </cell>
          <cell r="L866">
            <v>1</v>
          </cell>
          <cell r="M866">
            <v>46024</v>
          </cell>
          <cell r="N866">
            <v>46027</v>
          </cell>
          <cell r="O866">
            <v>1</v>
          </cell>
          <cell r="P866">
            <v>46028</v>
          </cell>
          <cell r="Q866">
            <v>1</v>
          </cell>
          <cell r="R866" t="str">
            <v>NA</v>
          </cell>
          <cell r="S866">
            <v>5</v>
          </cell>
        </row>
        <row r="867">
          <cell r="B867" t="str">
            <v>EMMC</v>
          </cell>
          <cell r="C867" t="str">
            <v>HSLB11993</v>
          </cell>
          <cell r="D867">
            <v>112048</v>
          </cell>
          <cell r="E867" t="str">
            <v>Catre Clínico empotrado</v>
          </cell>
          <cell r="F867" t="str">
            <v>NO</v>
          </cell>
          <cell r="G867" t="str">
            <v>NO</v>
          </cell>
          <cell r="H867" t="str">
            <v>SALA 1 CAMAS</v>
          </cell>
          <cell r="I867">
            <v>1</v>
          </cell>
          <cell r="J867" t="str">
            <v>C.2.5.3.28.2</v>
          </cell>
          <cell r="K867" t="str">
            <v>UHCIP</v>
          </cell>
          <cell r="L867">
            <v>1</v>
          </cell>
          <cell r="M867">
            <v>46024</v>
          </cell>
          <cell r="N867">
            <v>46027</v>
          </cell>
          <cell r="O867">
            <v>1</v>
          </cell>
          <cell r="P867">
            <v>46028</v>
          </cell>
          <cell r="Q867">
            <v>1</v>
          </cell>
          <cell r="R867" t="str">
            <v>NA</v>
          </cell>
          <cell r="S867">
            <v>5</v>
          </cell>
        </row>
        <row r="868">
          <cell r="B868" t="str">
            <v>EMMC</v>
          </cell>
          <cell r="C868" t="str">
            <v>HSLB11994</v>
          </cell>
          <cell r="D868">
            <v>112048</v>
          </cell>
          <cell r="E868" t="str">
            <v>Catre Clínico empotrado</v>
          </cell>
          <cell r="F868" t="str">
            <v>NO</v>
          </cell>
          <cell r="G868" t="str">
            <v>NO</v>
          </cell>
          <cell r="H868" t="str">
            <v>SALA 1 CAMAS</v>
          </cell>
          <cell r="I868">
            <v>1</v>
          </cell>
          <cell r="J868" t="str">
            <v>C.2.5.3.28.3</v>
          </cell>
          <cell r="K868" t="str">
            <v>UHCIP</v>
          </cell>
          <cell r="L868">
            <v>1</v>
          </cell>
          <cell r="M868">
            <v>46024</v>
          </cell>
          <cell r="N868">
            <v>46027</v>
          </cell>
          <cell r="O868">
            <v>1</v>
          </cell>
          <cell r="P868">
            <v>46028</v>
          </cell>
          <cell r="Q868">
            <v>1</v>
          </cell>
          <cell r="R868" t="str">
            <v>NA</v>
          </cell>
          <cell r="S868">
            <v>5</v>
          </cell>
        </row>
        <row r="869">
          <cell r="B869" t="str">
            <v>EMMC</v>
          </cell>
          <cell r="C869" t="str">
            <v>HSLB11995</v>
          </cell>
          <cell r="D869">
            <v>112048</v>
          </cell>
          <cell r="E869" t="str">
            <v>Catre Clínico empotrado</v>
          </cell>
          <cell r="F869" t="str">
            <v>NO</v>
          </cell>
          <cell r="G869" t="str">
            <v>NO</v>
          </cell>
          <cell r="H869" t="str">
            <v>SALA 1 CAMAS</v>
          </cell>
          <cell r="I869">
            <v>1</v>
          </cell>
          <cell r="J869" t="str">
            <v>C.2.5.3.28.4</v>
          </cell>
          <cell r="K869" t="str">
            <v>UHCIP</v>
          </cell>
          <cell r="L869">
            <v>1</v>
          </cell>
          <cell r="M869">
            <v>46024</v>
          </cell>
          <cell r="N869">
            <v>46027</v>
          </cell>
          <cell r="O869">
            <v>1</v>
          </cell>
          <cell r="P869">
            <v>46028</v>
          </cell>
          <cell r="Q869">
            <v>1</v>
          </cell>
          <cell r="R869" t="str">
            <v>NA</v>
          </cell>
          <cell r="S869">
            <v>5</v>
          </cell>
        </row>
        <row r="870">
          <cell r="B870" t="str">
            <v>EMMC</v>
          </cell>
          <cell r="C870" t="str">
            <v>HSLB11996</v>
          </cell>
          <cell r="D870">
            <v>112048</v>
          </cell>
          <cell r="E870" t="str">
            <v>Catre Clínico empotrado</v>
          </cell>
          <cell r="F870" t="str">
            <v>NO</v>
          </cell>
          <cell r="G870" t="str">
            <v>NO</v>
          </cell>
          <cell r="H870" t="str">
            <v>SALA 1 CAMAS</v>
          </cell>
          <cell r="I870">
            <v>1</v>
          </cell>
          <cell r="J870" t="str">
            <v>C.2.5.3.28.5</v>
          </cell>
          <cell r="K870" t="str">
            <v>UHCIP</v>
          </cell>
          <cell r="L870">
            <v>1</v>
          </cell>
          <cell r="M870">
            <v>46024</v>
          </cell>
          <cell r="N870">
            <v>46027</v>
          </cell>
          <cell r="O870">
            <v>1</v>
          </cell>
          <cell r="P870">
            <v>46028</v>
          </cell>
          <cell r="Q870">
            <v>1</v>
          </cell>
          <cell r="R870" t="str">
            <v>NA</v>
          </cell>
          <cell r="S870">
            <v>5</v>
          </cell>
        </row>
        <row r="871">
          <cell r="B871" t="str">
            <v>EMMC</v>
          </cell>
          <cell r="C871" t="str">
            <v>HSLB11997</v>
          </cell>
          <cell r="D871">
            <v>112048</v>
          </cell>
          <cell r="E871" t="str">
            <v>Catre Clínico empotrado</v>
          </cell>
          <cell r="F871" t="str">
            <v>NO</v>
          </cell>
          <cell r="G871" t="str">
            <v>NO</v>
          </cell>
          <cell r="H871" t="str">
            <v>SALA 1 CAMAS</v>
          </cell>
          <cell r="I871">
            <v>1</v>
          </cell>
          <cell r="J871" t="str">
            <v>C.2.5.3.28.6</v>
          </cell>
          <cell r="K871" t="str">
            <v>UHCIP</v>
          </cell>
          <cell r="L871">
            <v>1</v>
          </cell>
          <cell r="M871">
            <v>46024</v>
          </cell>
          <cell r="N871">
            <v>46027</v>
          </cell>
          <cell r="O871">
            <v>1</v>
          </cell>
          <cell r="P871">
            <v>46028</v>
          </cell>
          <cell r="Q871">
            <v>1</v>
          </cell>
          <cell r="R871" t="str">
            <v>NA</v>
          </cell>
          <cell r="S871">
            <v>5</v>
          </cell>
        </row>
        <row r="872">
          <cell r="B872" t="str">
            <v>EMMC</v>
          </cell>
          <cell r="C872" t="str">
            <v>HSLB11998</v>
          </cell>
          <cell r="D872">
            <v>112048</v>
          </cell>
          <cell r="E872" t="str">
            <v>Catre Clínico empotrado</v>
          </cell>
          <cell r="F872" t="str">
            <v>NO</v>
          </cell>
          <cell r="G872" t="str">
            <v>NO</v>
          </cell>
          <cell r="H872" t="str">
            <v>SALA 1 CAMAS</v>
          </cell>
          <cell r="I872">
            <v>1</v>
          </cell>
          <cell r="J872" t="str">
            <v>C.2.5.3.28.7</v>
          </cell>
          <cell r="K872" t="str">
            <v>UHCIP</v>
          </cell>
          <cell r="L872">
            <v>1</v>
          </cell>
          <cell r="M872">
            <v>46024</v>
          </cell>
          <cell r="N872">
            <v>46027</v>
          </cell>
          <cell r="O872">
            <v>1</v>
          </cell>
          <cell r="P872">
            <v>46028</v>
          </cell>
          <cell r="Q872">
            <v>1</v>
          </cell>
          <cell r="R872" t="str">
            <v>NA</v>
          </cell>
          <cell r="S872">
            <v>5</v>
          </cell>
        </row>
        <row r="873">
          <cell r="B873" t="str">
            <v>EMMC</v>
          </cell>
          <cell r="C873" t="str">
            <v>HSLB11999</v>
          </cell>
          <cell r="D873">
            <v>112048</v>
          </cell>
          <cell r="E873" t="str">
            <v>Catre Clínico empotrado</v>
          </cell>
          <cell r="F873" t="str">
            <v>NO</v>
          </cell>
          <cell r="G873" t="str">
            <v>NO</v>
          </cell>
          <cell r="H873" t="str">
            <v>SALA 2 CAMAS</v>
          </cell>
          <cell r="I873">
            <v>2</v>
          </cell>
          <cell r="J873" t="str">
            <v>C.2.5.3.29.1</v>
          </cell>
          <cell r="K873" t="str">
            <v>UHCIP</v>
          </cell>
          <cell r="L873">
            <v>1</v>
          </cell>
          <cell r="M873">
            <v>46024</v>
          </cell>
          <cell r="N873">
            <v>46027</v>
          </cell>
          <cell r="O873">
            <v>1</v>
          </cell>
          <cell r="P873">
            <v>46028</v>
          </cell>
          <cell r="Q873">
            <v>1</v>
          </cell>
          <cell r="R873" t="str">
            <v>NA</v>
          </cell>
          <cell r="S873">
            <v>5</v>
          </cell>
        </row>
        <row r="874">
          <cell r="B874" t="str">
            <v>EMMC</v>
          </cell>
          <cell r="C874" t="str">
            <v>HSLB12000</v>
          </cell>
          <cell r="D874">
            <v>112048</v>
          </cell>
          <cell r="E874" t="str">
            <v>Catre Clínico empotrado</v>
          </cell>
          <cell r="F874" t="str">
            <v>NO</v>
          </cell>
          <cell r="G874" t="str">
            <v>NO</v>
          </cell>
          <cell r="H874" t="str">
            <v>SALA 2 CAMAS</v>
          </cell>
          <cell r="I874">
            <v>2</v>
          </cell>
          <cell r="J874" t="str">
            <v>C.2.5.3.29.2</v>
          </cell>
          <cell r="K874" t="str">
            <v>UHCIP</v>
          </cell>
          <cell r="L874">
            <v>1</v>
          </cell>
          <cell r="M874">
            <v>46024</v>
          </cell>
          <cell r="N874">
            <v>46027</v>
          </cell>
          <cell r="O874">
            <v>1</v>
          </cell>
          <cell r="P874">
            <v>46028</v>
          </cell>
          <cell r="Q874">
            <v>1</v>
          </cell>
          <cell r="R874" t="str">
            <v>NA</v>
          </cell>
          <cell r="S874">
            <v>5</v>
          </cell>
        </row>
        <row r="875">
          <cell r="B875" t="str">
            <v>EMMC</v>
          </cell>
          <cell r="C875" t="str">
            <v>HSLB12001</v>
          </cell>
          <cell r="D875">
            <v>112048</v>
          </cell>
          <cell r="E875" t="str">
            <v>Catre Clínico empotrado</v>
          </cell>
          <cell r="F875" t="str">
            <v>NO</v>
          </cell>
          <cell r="G875" t="str">
            <v>NO</v>
          </cell>
          <cell r="H875" t="str">
            <v>SALA 2 CAMAS</v>
          </cell>
          <cell r="I875">
            <v>2</v>
          </cell>
          <cell r="J875" t="str">
            <v>C.2.5.3.29.3</v>
          </cell>
          <cell r="K875" t="str">
            <v>UHCIP</v>
          </cell>
          <cell r="L875">
            <v>1</v>
          </cell>
          <cell r="M875">
            <v>46024</v>
          </cell>
          <cell r="N875">
            <v>46027</v>
          </cell>
          <cell r="O875">
            <v>1</v>
          </cell>
          <cell r="P875">
            <v>46028</v>
          </cell>
          <cell r="Q875">
            <v>1</v>
          </cell>
          <cell r="R875" t="str">
            <v>NA</v>
          </cell>
          <cell r="S875">
            <v>5</v>
          </cell>
        </row>
        <row r="876">
          <cell r="B876" t="str">
            <v>EMMC</v>
          </cell>
          <cell r="C876" t="str">
            <v>HSLB12002</v>
          </cell>
          <cell r="D876">
            <v>112048</v>
          </cell>
          <cell r="E876" t="str">
            <v>Catre Clínico empotrado</v>
          </cell>
          <cell r="F876" t="str">
            <v>NO</v>
          </cell>
          <cell r="G876" t="str">
            <v>NO</v>
          </cell>
          <cell r="H876" t="str">
            <v>SALA 2 CAMAS</v>
          </cell>
          <cell r="I876">
            <v>2</v>
          </cell>
          <cell r="J876" t="str">
            <v>C.2.5.3.29.4</v>
          </cell>
          <cell r="K876" t="str">
            <v>UHCIP</v>
          </cell>
          <cell r="L876">
            <v>1</v>
          </cell>
          <cell r="M876">
            <v>46024</v>
          </cell>
          <cell r="N876">
            <v>46027</v>
          </cell>
          <cell r="O876">
            <v>1</v>
          </cell>
          <cell r="P876">
            <v>46028</v>
          </cell>
          <cell r="Q876">
            <v>1</v>
          </cell>
          <cell r="R876" t="str">
            <v>NA</v>
          </cell>
          <cell r="S876">
            <v>5</v>
          </cell>
        </row>
        <row r="877">
          <cell r="B877" t="str">
            <v>EMMC</v>
          </cell>
          <cell r="C877" t="str">
            <v>HSLB12003</v>
          </cell>
          <cell r="D877">
            <v>112048</v>
          </cell>
          <cell r="E877" t="str">
            <v>Catre Clínico empotrado</v>
          </cell>
          <cell r="F877" t="str">
            <v>NO</v>
          </cell>
          <cell r="G877" t="str">
            <v>NO</v>
          </cell>
          <cell r="H877" t="str">
            <v>SALA CUIDADOS ESPECIALES</v>
          </cell>
          <cell r="I877">
            <v>1</v>
          </cell>
          <cell r="J877" t="str">
            <v>C.2.5.3.34.1</v>
          </cell>
          <cell r="K877" t="str">
            <v>UHCIP</v>
          </cell>
          <cell r="L877">
            <v>1</v>
          </cell>
          <cell r="M877">
            <v>46024</v>
          </cell>
          <cell r="N877">
            <v>46027</v>
          </cell>
          <cell r="O877">
            <v>1</v>
          </cell>
          <cell r="P877">
            <v>46028</v>
          </cell>
          <cell r="Q877">
            <v>1</v>
          </cell>
          <cell r="R877" t="str">
            <v>NA</v>
          </cell>
          <cell r="S877">
            <v>5</v>
          </cell>
        </row>
        <row r="878">
          <cell r="B878" t="str">
            <v>EMMC</v>
          </cell>
          <cell r="C878" t="str">
            <v>HSLB12004</v>
          </cell>
          <cell r="D878">
            <v>112048</v>
          </cell>
          <cell r="E878" t="str">
            <v>Catre Clínico empotrado</v>
          </cell>
          <cell r="F878" t="str">
            <v>NO</v>
          </cell>
          <cell r="G878" t="str">
            <v>NO</v>
          </cell>
          <cell r="H878" t="str">
            <v>SALA CUIDADOS ESPECIALES</v>
          </cell>
          <cell r="I878">
            <v>1</v>
          </cell>
          <cell r="J878" t="str">
            <v>C.2.5.3.34.2</v>
          </cell>
          <cell r="K878" t="str">
            <v>UHCIP</v>
          </cell>
          <cell r="L878">
            <v>1</v>
          </cell>
          <cell r="M878">
            <v>46024</v>
          </cell>
          <cell r="N878">
            <v>46027</v>
          </cell>
          <cell r="O878">
            <v>1</v>
          </cell>
          <cell r="P878">
            <v>46028</v>
          </cell>
          <cell r="Q878">
            <v>1</v>
          </cell>
          <cell r="R878" t="str">
            <v>NA</v>
          </cell>
          <cell r="S878">
            <v>5</v>
          </cell>
        </row>
        <row r="879">
          <cell r="B879" t="str">
            <v>EMMC</v>
          </cell>
          <cell r="C879" t="str">
            <v>HSLB11332</v>
          </cell>
          <cell r="D879">
            <v>110007</v>
          </cell>
          <cell r="E879" t="str">
            <v>Balanza de Precisión</v>
          </cell>
          <cell r="F879" t="str">
            <v>NO</v>
          </cell>
          <cell r="G879" t="str">
            <v>SI</v>
          </cell>
          <cell r="H879" t="str">
            <v>MODULO DE TRABAJO PROFESIONALES GES</v>
          </cell>
          <cell r="I879">
            <v>0</v>
          </cell>
          <cell r="J879" t="str">
            <v>C.1.2.1.1</v>
          </cell>
          <cell r="K879" t="str">
            <v>Consultas Medicas Generales</v>
          </cell>
          <cell r="L879">
            <v>1</v>
          </cell>
          <cell r="M879">
            <v>46003</v>
          </cell>
          <cell r="N879">
            <v>46006</v>
          </cell>
          <cell r="O879">
            <v>1</v>
          </cell>
          <cell r="P879">
            <v>46007</v>
          </cell>
          <cell r="Q879">
            <v>1</v>
          </cell>
          <cell r="R879" t="str">
            <v>NA</v>
          </cell>
          <cell r="S879">
            <v>5</v>
          </cell>
        </row>
        <row r="880">
          <cell r="B880" t="str">
            <v>EMMC</v>
          </cell>
          <cell r="C880" t="str">
            <v>HSLB11332</v>
          </cell>
          <cell r="D880">
            <v>110007</v>
          </cell>
          <cell r="E880" t="str">
            <v>Balanza de Precisión</v>
          </cell>
          <cell r="F880" t="str">
            <v>NO</v>
          </cell>
          <cell r="G880" t="str">
            <v>SI</v>
          </cell>
          <cell r="H880" t="str">
            <v>BODEGA ARCHIVO</v>
          </cell>
          <cell r="I880">
            <v>0</v>
          </cell>
          <cell r="J880" t="str">
            <v>C.1.3.1</v>
          </cell>
          <cell r="K880" t="str">
            <v>Consultas Medicas Generales</v>
          </cell>
          <cell r="L880">
            <v>1</v>
          </cell>
          <cell r="M880">
            <v>46003</v>
          </cell>
          <cell r="N880">
            <v>46006</v>
          </cell>
          <cell r="O880">
            <v>1</v>
          </cell>
          <cell r="P880">
            <v>46007</v>
          </cell>
          <cell r="Q880">
            <v>1</v>
          </cell>
          <cell r="R880" t="str">
            <v>NA</v>
          </cell>
          <cell r="S880">
            <v>5</v>
          </cell>
        </row>
        <row r="881">
          <cell r="B881" t="str">
            <v>EMMC</v>
          </cell>
          <cell r="C881" t="str">
            <v>HSLB11332</v>
          </cell>
          <cell r="D881">
            <v>110007</v>
          </cell>
          <cell r="E881" t="str">
            <v>Balanza de Precisión</v>
          </cell>
          <cell r="F881" t="str">
            <v>NO</v>
          </cell>
          <cell r="G881" t="str">
            <v>SI</v>
          </cell>
          <cell r="H881" t="str">
            <v>BODEGA MATERIAL ESTÉRIL</v>
          </cell>
          <cell r="I881">
            <v>0</v>
          </cell>
          <cell r="J881" t="str">
            <v>C.2.3.23</v>
          </cell>
          <cell r="K881" t="str">
            <v>Dialisis</v>
          </cell>
          <cell r="L881">
            <v>1</v>
          </cell>
          <cell r="M881">
            <v>46003</v>
          </cell>
          <cell r="N881">
            <v>46006</v>
          </cell>
          <cell r="O881">
            <v>1</v>
          </cell>
          <cell r="P881">
            <v>46007</v>
          </cell>
          <cell r="Q881">
            <v>1</v>
          </cell>
          <cell r="R881" t="str">
            <v>NA</v>
          </cell>
          <cell r="S881">
            <v>5</v>
          </cell>
        </row>
        <row r="882">
          <cell r="B882" t="str">
            <v>EMMC</v>
          </cell>
          <cell r="C882" t="str">
            <v>HSLB11332</v>
          </cell>
          <cell r="D882">
            <v>110007</v>
          </cell>
          <cell r="E882" t="str">
            <v>Balanza de Precisión</v>
          </cell>
          <cell r="F882" t="str">
            <v>NO</v>
          </cell>
          <cell r="G882" t="str">
            <v>SI</v>
          </cell>
          <cell r="H882" t="str">
            <v xml:space="preserve">BODEGA DE INSUMOS </v>
          </cell>
          <cell r="I882">
            <v>0</v>
          </cell>
          <cell r="J882" t="str">
            <v>C.2.3.25</v>
          </cell>
          <cell r="K882" t="str">
            <v>Dialisis</v>
          </cell>
          <cell r="L882">
            <v>1</v>
          </cell>
          <cell r="M882">
            <v>46003</v>
          </cell>
          <cell r="N882">
            <v>46006</v>
          </cell>
          <cell r="O882">
            <v>1</v>
          </cell>
          <cell r="P882">
            <v>46007</v>
          </cell>
          <cell r="Q882">
            <v>1</v>
          </cell>
          <cell r="R882" t="str">
            <v>NA</v>
          </cell>
          <cell r="S882">
            <v>5</v>
          </cell>
        </row>
        <row r="883">
          <cell r="B883" t="str">
            <v>EMMC</v>
          </cell>
          <cell r="C883" t="str">
            <v>HSLB11332</v>
          </cell>
          <cell r="D883">
            <v>110007</v>
          </cell>
          <cell r="E883" t="str">
            <v>Balanza de Precisión</v>
          </cell>
          <cell r="F883" t="str">
            <v>NO</v>
          </cell>
          <cell r="G883" t="str">
            <v>SI</v>
          </cell>
          <cell r="H883" t="str">
            <v>BODEGA DE INSUMOS Y SOLUCIONES</v>
          </cell>
          <cell r="I883">
            <v>0</v>
          </cell>
          <cell r="J883" t="str">
            <v>C.2.3.37</v>
          </cell>
          <cell r="K883" t="str">
            <v>Dialisis</v>
          </cell>
          <cell r="L883">
            <v>1</v>
          </cell>
          <cell r="M883">
            <v>46003</v>
          </cell>
          <cell r="N883">
            <v>46006</v>
          </cell>
          <cell r="O883">
            <v>1</v>
          </cell>
          <cell r="P883">
            <v>46007</v>
          </cell>
          <cell r="Q883">
            <v>1</v>
          </cell>
          <cell r="R883" t="str">
            <v>NA</v>
          </cell>
          <cell r="S883">
            <v>5</v>
          </cell>
        </row>
        <row r="884">
          <cell r="B884" t="str">
            <v>EMMC</v>
          </cell>
          <cell r="C884" t="str">
            <v>HSLB11332</v>
          </cell>
          <cell r="D884">
            <v>110007</v>
          </cell>
          <cell r="E884" t="str">
            <v>Balanza de Precisión</v>
          </cell>
          <cell r="F884" t="str">
            <v>NO</v>
          </cell>
          <cell r="G884" t="str">
            <v>SI</v>
          </cell>
          <cell r="H884" t="str">
            <v>BODEGA DE INSUMOS</v>
          </cell>
          <cell r="I884">
            <v>0</v>
          </cell>
          <cell r="J884" t="str">
            <v>C.2.5.3.35</v>
          </cell>
          <cell r="K884" t="str">
            <v>UHCIP</v>
          </cell>
          <cell r="L884">
            <v>1</v>
          </cell>
          <cell r="M884">
            <v>46003</v>
          </cell>
          <cell r="N884">
            <v>46006</v>
          </cell>
          <cell r="O884">
            <v>1</v>
          </cell>
          <cell r="P884">
            <v>46007</v>
          </cell>
          <cell r="Q884">
            <v>1</v>
          </cell>
          <cell r="R884" t="str">
            <v>NA</v>
          </cell>
          <cell r="S884">
            <v>5</v>
          </cell>
        </row>
        <row r="885">
          <cell r="B885" t="str">
            <v>EMMC</v>
          </cell>
          <cell r="C885" t="str">
            <v>HSLB11332</v>
          </cell>
          <cell r="D885">
            <v>110007</v>
          </cell>
          <cell r="E885" t="str">
            <v>Balanza de Precisión</v>
          </cell>
          <cell r="F885" t="str">
            <v>NO</v>
          </cell>
          <cell r="G885" t="str">
            <v>SI</v>
          </cell>
          <cell r="H885" t="str">
            <v>BODEGA DE MATERIALES Y IMPLEMENTOS</v>
          </cell>
          <cell r="I885">
            <v>0</v>
          </cell>
          <cell r="J885" t="str">
            <v>C.2.5.3.36</v>
          </cell>
          <cell r="K885" t="str">
            <v>UHCIP</v>
          </cell>
          <cell r="L885">
            <v>1</v>
          </cell>
          <cell r="M885">
            <v>46003</v>
          </cell>
          <cell r="N885">
            <v>46006</v>
          </cell>
          <cell r="O885">
            <v>1</v>
          </cell>
          <cell r="P885">
            <v>46007</v>
          </cell>
          <cell r="Q885">
            <v>1</v>
          </cell>
          <cell r="R885" t="str">
            <v>NA</v>
          </cell>
          <cell r="S885">
            <v>5</v>
          </cell>
        </row>
        <row r="886">
          <cell r="B886" t="str">
            <v>EMMC</v>
          </cell>
          <cell r="C886" t="str">
            <v>HSLB11332</v>
          </cell>
          <cell r="D886">
            <v>110007</v>
          </cell>
          <cell r="E886" t="str">
            <v>Balanza de Precisión</v>
          </cell>
          <cell r="F886" t="str">
            <v>NO</v>
          </cell>
          <cell r="G886" t="str">
            <v>SI</v>
          </cell>
          <cell r="H886" t="str">
            <v>SALA DE ESPERA</v>
          </cell>
          <cell r="I886">
            <v>0</v>
          </cell>
          <cell r="J886" t="str">
            <v>C.4.1.1</v>
          </cell>
          <cell r="K886" t="str">
            <v>Urgencia</v>
          </cell>
          <cell r="L886">
            <v>1</v>
          </cell>
          <cell r="M886">
            <v>46003</v>
          </cell>
          <cell r="N886">
            <v>46006</v>
          </cell>
          <cell r="O886">
            <v>1</v>
          </cell>
          <cell r="P886">
            <v>46007</v>
          </cell>
          <cell r="Q886">
            <v>1</v>
          </cell>
          <cell r="R886" t="str">
            <v>NA</v>
          </cell>
          <cell r="S886">
            <v>5</v>
          </cell>
        </row>
        <row r="887">
          <cell r="B887" t="str">
            <v>EMMC</v>
          </cell>
          <cell r="C887" t="str">
            <v>HSLB11332</v>
          </cell>
          <cell r="D887">
            <v>110007</v>
          </cell>
          <cell r="E887" t="str">
            <v>Balanza de Precisión</v>
          </cell>
          <cell r="F887" t="str">
            <v>NO</v>
          </cell>
          <cell r="G887" t="str">
            <v>SI</v>
          </cell>
          <cell r="H887" t="str">
            <v>MODULO DE TRABAJO (INFORMES)</v>
          </cell>
          <cell r="I887">
            <v>0</v>
          </cell>
          <cell r="J887" t="str">
            <v>C.5.3.15</v>
          </cell>
          <cell r="K887" t="str">
            <v>Imagenología</v>
          </cell>
          <cell r="L887">
            <v>1</v>
          </cell>
          <cell r="M887">
            <v>46003</v>
          </cell>
          <cell r="N887">
            <v>46006</v>
          </cell>
          <cell r="O887">
            <v>1</v>
          </cell>
          <cell r="P887">
            <v>46007</v>
          </cell>
          <cell r="Q887">
            <v>1</v>
          </cell>
          <cell r="R887" t="str">
            <v>NA</v>
          </cell>
          <cell r="S887">
            <v>5</v>
          </cell>
        </row>
        <row r="888">
          <cell r="B888" t="str">
            <v>EMMC</v>
          </cell>
          <cell r="C888" t="str">
            <v>HSLB11332</v>
          </cell>
          <cell r="D888">
            <v>110007</v>
          </cell>
          <cell r="E888" t="str">
            <v>Balanza de Precisión</v>
          </cell>
          <cell r="F888" t="str">
            <v>NO</v>
          </cell>
          <cell r="G888" t="str">
            <v>SI</v>
          </cell>
          <cell r="H888" t="str">
            <v>ROPA LIMPIA</v>
          </cell>
          <cell r="I888">
            <v>0</v>
          </cell>
          <cell r="J888" t="str">
            <v>C.5.3.21</v>
          </cell>
          <cell r="K888" t="str">
            <v>Imagenología</v>
          </cell>
          <cell r="L888">
            <v>1</v>
          </cell>
          <cell r="M888">
            <v>46003</v>
          </cell>
          <cell r="N888">
            <v>46006</v>
          </cell>
          <cell r="O888">
            <v>1</v>
          </cell>
          <cell r="P888">
            <v>46007</v>
          </cell>
          <cell r="Q888">
            <v>1</v>
          </cell>
          <cell r="R888" t="str">
            <v>NA</v>
          </cell>
          <cell r="S888">
            <v>5</v>
          </cell>
        </row>
        <row r="889">
          <cell r="B889" t="str">
            <v>EMMC</v>
          </cell>
          <cell r="C889" t="str">
            <v>HSLB11332</v>
          </cell>
          <cell r="D889">
            <v>110007</v>
          </cell>
          <cell r="E889" t="str">
            <v>Balanza de Precisión</v>
          </cell>
          <cell r="F889" t="str">
            <v>NO</v>
          </cell>
          <cell r="G889" t="str">
            <v>SI</v>
          </cell>
          <cell r="H889" t="str">
            <v xml:space="preserve">BODEGA DE MATERIALES </v>
          </cell>
          <cell r="I889">
            <v>0</v>
          </cell>
          <cell r="J889" t="str">
            <v>C.5.7.30</v>
          </cell>
          <cell r="K889" t="str">
            <v>Med Física y Rehabilitación</v>
          </cell>
          <cell r="L889">
            <v>1</v>
          </cell>
          <cell r="M889">
            <v>46003</v>
          </cell>
          <cell r="N889">
            <v>46006</v>
          </cell>
          <cell r="O889">
            <v>1</v>
          </cell>
          <cell r="P889">
            <v>46007</v>
          </cell>
          <cell r="Q889">
            <v>1</v>
          </cell>
          <cell r="R889" t="str">
            <v>NA</v>
          </cell>
          <cell r="S889">
            <v>5</v>
          </cell>
        </row>
        <row r="890">
          <cell r="B890" t="str">
            <v>EMMC</v>
          </cell>
          <cell r="C890" t="str">
            <v>HSLB11332</v>
          </cell>
          <cell r="D890">
            <v>110007</v>
          </cell>
          <cell r="E890" t="str">
            <v>Balanza de Precisión</v>
          </cell>
          <cell r="F890" t="str">
            <v>NO</v>
          </cell>
          <cell r="G890" t="str">
            <v>SI</v>
          </cell>
          <cell r="H890" t="str">
            <v>PREPARACIÓN DE CARROS</v>
          </cell>
          <cell r="I890">
            <v>0</v>
          </cell>
          <cell r="J890" t="str">
            <v>D.2.2.5.20</v>
          </cell>
          <cell r="K890" t="str">
            <v>Lavandería</v>
          </cell>
          <cell r="L890">
            <v>1</v>
          </cell>
          <cell r="M890">
            <v>46003</v>
          </cell>
          <cell r="N890">
            <v>46006</v>
          </cell>
          <cell r="O890">
            <v>1</v>
          </cell>
          <cell r="P890">
            <v>46007</v>
          </cell>
          <cell r="Q890">
            <v>1</v>
          </cell>
          <cell r="R890" t="str">
            <v>NA</v>
          </cell>
          <cell r="S890">
            <v>5</v>
          </cell>
        </row>
        <row r="891">
          <cell r="B891" t="str">
            <v>EMMC</v>
          </cell>
          <cell r="C891" t="str">
            <v>HSLB11332</v>
          </cell>
          <cell r="D891">
            <v>110007</v>
          </cell>
          <cell r="E891" t="str">
            <v>Balanza de Precisión</v>
          </cell>
          <cell r="F891" t="str">
            <v>NO</v>
          </cell>
          <cell r="G891" t="str">
            <v>SI</v>
          </cell>
          <cell r="H891" t="str">
            <v>BODEGA EQUIPOS Y SERVIDORES</v>
          </cell>
          <cell r="I891">
            <v>0</v>
          </cell>
          <cell r="J891" t="str">
            <v>D.2.4.3.3</v>
          </cell>
          <cell r="K891" t="str">
            <v>Morgue</v>
          </cell>
          <cell r="L891">
            <v>1</v>
          </cell>
          <cell r="M891">
            <v>46003</v>
          </cell>
          <cell r="N891">
            <v>46006</v>
          </cell>
          <cell r="O891">
            <v>1</v>
          </cell>
          <cell r="P891">
            <v>46007</v>
          </cell>
          <cell r="Q891">
            <v>1</v>
          </cell>
          <cell r="R891" t="str">
            <v>NA</v>
          </cell>
          <cell r="S891">
            <v>5</v>
          </cell>
        </row>
        <row r="892">
          <cell r="B892" t="str">
            <v>EMMC</v>
          </cell>
          <cell r="C892" t="str">
            <v>HSLB11332</v>
          </cell>
          <cell r="D892">
            <v>110007</v>
          </cell>
          <cell r="E892" t="str">
            <v>Balanza de Precisión</v>
          </cell>
          <cell r="F892" t="str">
            <v>NO</v>
          </cell>
          <cell r="G892" t="str">
            <v>SI</v>
          </cell>
          <cell r="H892" t="str">
            <v>BODEGA DE MOBILIARIO EN TRANSITO</v>
          </cell>
          <cell r="I892">
            <v>0</v>
          </cell>
          <cell r="J892" t="str">
            <v>D.2.4.4.2</v>
          </cell>
          <cell r="K892" t="str">
            <v>Mantenimiento</v>
          </cell>
          <cell r="L892">
            <v>1</v>
          </cell>
          <cell r="M892">
            <v>46003</v>
          </cell>
          <cell r="N892">
            <v>46006</v>
          </cell>
          <cell r="O892">
            <v>1</v>
          </cell>
          <cell r="P892">
            <v>46007</v>
          </cell>
          <cell r="Q892">
            <v>1</v>
          </cell>
          <cell r="R892" t="str">
            <v>NA</v>
          </cell>
          <cell r="S892">
            <v>5</v>
          </cell>
        </row>
        <row r="893">
          <cell r="B893" t="str">
            <v>EMMC</v>
          </cell>
          <cell r="C893" t="str">
            <v>HSLB11332</v>
          </cell>
          <cell r="D893">
            <v>110007</v>
          </cell>
          <cell r="E893" t="str">
            <v>Balanza de Precisión</v>
          </cell>
          <cell r="F893" t="str">
            <v>NO</v>
          </cell>
          <cell r="G893" t="str">
            <v>SI</v>
          </cell>
          <cell r="H893" t="str">
            <v>BODEGA DE MATERIALES Y ARTEFACTOS</v>
          </cell>
          <cell r="I893">
            <v>0</v>
          </cell>
          <cell r="J893" t="str">
            <v>D.2.4.4.3</v>
          </cell>
          <cell r="K893" t="str">
            <v>Mantenimiento</v>
          </cell>
          <cell r="L893">
            <v>1</v>
          </cell>
          <cell r="M893">
            <v>46003</v>
          </cell>
          <cell r="N893">
            <v>46006</v>
          </cell>
          <cell r="O893">
            <v>1</v>
          </cell>
          <cell r="P893">
            <v>46007</v>
          </cell>
          <cell r="Q893">
            <v>1</v>
          </cell>
          <cell r="R893" t="str">
            <v>NA</v>
          </cell>
          <cell r="S893">
            <v>5</v>
          </cell>
        </row>
        <row r="894">
          <cell r="B894" t="str">
            <v>EMMC</v>
          </cell>
          <cell r="C894" t="str">
            <v>HSLB11332</v>
          </cell>
          <cell r="D894">
            <v>110007</v>
          </cell>
          <cell r="E894" t="str">
            <v>Balanza de Precisión</v>
          </cell>
          <cell r="F894" t="str">
            <v>NO</v>
          </cell>
          <cell r="G894" t="str">
            <v>SI</v>
          </cell>
          <cell r="H894" t="str">
            <v>BODEGA MEDICAMENTOS</v>
          </cell>
          <cell r="I894">
            <v>0</v>
          </cell>
          <cell r="J894" t="str">
            <v>D.3.3.3.23</v>
          </cell>
          <cell r="K894" t="str">
            <v>Abastecimiento</v>
          </cell>
          <cell r="L894">
            <v>1</v>
          </cell>
          <cell r="M894">
            <v>46003</v>
          </cell>
          <cell r="N894">
            <v>46006</v>
          </cell>
          <cell r="O894">
            <v>1</v>
          </cell>
          <cell r="P894">
            <v>46007</v>
          </cell>
          <cell r="Q894">
            <v>1</v>
          </cell>
          <cell r="R894" t="str">
            <v>NA</v>
          </cell>
          <cell r="S894">
            <v>5</v>
          </cell>
        </row>
        <row r="895">
          <cell r="B895" t="str">
            <v>EMMC</v>
          </cell>
          <cell r="C895" t="str">
            <v>HSLB11332</v>
          </cell>
          <cell r="D895">
            <v>110007</v>
          </cell>
          <cell r="E895" t="str">
            <v>Balanza de Precisión</v>
          </cell>
          <cell r="F895" t="str">
            <v>NO</v>
          </cell>
          <cell r="G895" t="str">
            <v>SI</v>
          </cell>
          <cell r="H895" t="str">
            <v>BODEGA DE INSUMOS</v>
          </cell>
          <cell r="I895">
            <v>0</v>
          </cell>
          <cell r="J895" t="str">
            <v>H.1.7</v>
          </cell>
          <cell r="K895" t="str">
            <v>Urgencia</v>
          </cell>
          <cell r="L895">
            <v>1</v>
          </cell>
          <cell r="M895">
            <v>46003</v>
          </cell>
          <cell r="N895">
            <v>46006</v>
          </cell>
          <cell r="O895">
            <v>1</v>
          </cell>
          <cell r="P895">
            <v>46007</v>
          </cell>
          <cell r="Q895">
            <v>1</v>
          </cell>
          <cell r="R895" t="str">
            <v>NA</v>
          </cell>
          <cell r="S895">
            <v>5</v>
          </cell>
        </row>
        <row r="896">
          <cell r="B896" t="str">
            <v>EMMC</v>
          </cell>
          <cell r="C896" t="str">
            <v>HSLB11332</v>
          </cell>
          <cell r="D896">
            <v>110007</v>
          </cell>
          <cell r="E896" t="str">
            <v>Balanza de Precisión</v>
          </cell>
          <cell r="F896" t="str">
            <v>NO</v>
          </cell>
          <cell r="G896" t="str">
            <v>SI</v>
          </cell>
          <cell r="H896" t="str">
            <v xml:space="preserve">SALA DE EXPANSION SALA CUNA </v>
          </cell>
          <cell r="I896">
            <v>0</v>
          </cell>
          <cell r="J896" t="str">
            <v>H.2.9</v>
          </cell>
          <cell r="K896" t="str">
            <v>Sala Cuna</v>
          </cell>
          <cell r="L896">
            <v>1</v>
          </cell>
          <cell r="M896">
            <v>46003</v>
          </cell>
          <cell r="N896">
            <v>46006</v>
          </cell>
          <cell r="O896">
            <v>1</v>
          </cell>
          <cell r="P896">
            <v>46007</v>
          </cell>
          <cell r="Q896">
            <v>1</v>
          </cell>
          <cell r="R896" t="str">
            <v>NA</v>
          </cell>
          <cell r="S896">
            <v>5</v>
          </cell>
        </row>
        <row r="897">
          <cell r="B897" t="str">
            <v>MNC</v>
          </cell>
          <cell r="C897" t="str">
            <v>HSLB13513</v>
          </cell>
          <cell r="D897">
            <v>203016</v>
          </cell>
          <cell r="E897" t="str">
            <v>Mueble Tipo Biblioteca</v>
          </cell>
          <cell r="F897" t="str">
            <v>NO</v>
          </cell>
          <cell r="G897" t="str">
            <v>NO</v>
          </cell>
          <cell r="H897" t="str">
            <v>OFICINA INTERCULTURAL</v>
          </cell>
          <cell r="I897">
            <v>1</v>
          </cell>
          <cell r="J897" t="str">
            <v>A.1.3</v>
          </cell>
          <cell r="K897" t="str">
            <v>Consultas medicas generales</v>
          </cell>
          <cell r="L897">
            <v>1</v>
          </cell>
          <cell r="M897">
            <v>46028</v>
          </cell>
          <cell r="N897">
            <v>46029</v>
          </cell>
          <cell r="O897">
            <v>2</v>
          </cell>
          <cell r="P897">
            <v>46031</v>
          </cell>
          <cell r="Q897">
            <v>1</v>
          </cell>
          <cell r="R897" t="str">
            <v>NA</v>
          </cell>
          <cell r="S897">
            <v>5</v>
          </cell>
        </row>
        <row r="898">
          <cell r="B898" t="str">
            <v>MNC</v>
          </cell>
          <cell r="C898" t="str">
            <v>HSLB13520</v>
          </cell>
          <cell r="D898">
            <v>203016</v>
          </cell>
          <cell r="E898" t="str">
            <v>Mueble Tipo Biblioteca</v>
          </cell>
          <cell r="F898" t="str">
            <v>NO</v>
          </cell>
          <cell r="G898" t="str">
            <v>NO</v>
          </cell>
          <cell r="H898" t="str">
            <v>OFICINA JEFE OIRS</v>
          </cell>
          <cell r="I898">
            <v>1</v>
          </cell>
          <cell r="J898" t="str">
            <v>B.3.1.1</v>
          </cell>
          <cell r="K898" t="str">
            <v>Consultas medicas generales</v>
          </cell>
          <cell r="L898">
            <v>1</v>
          </cell>
          <cell r="M898">
            <v>46028</v>
          </cell>
          <cell r="N898">
            <v>46029</v>
          </cell>
          <cell r="O898">
            <v>2</v>
          </cell>
          <cell r="P898">
            <v>46031</v>
          </cell>
          <cell r="Q898">
            <v>1</v>
          </cell>
          <cell r="R898" t="str">
            <v>NA</v>
          </cell>
          <cell r="S898">
            <v>5</v>
          </cell>
        </row>
        <row r="899">
          <cell r="B899" t="str">
            <v>MNC</v>
          </cell>
          <cell r="C899" t="str">
            <v>HSLB13534</v>
          </cell>
          <cell r="D899">
            <v>203016</v>
          </cell>
          <cell r="E899" t="str">
            <v>Mueble Tipo Biblioteca</v>
          </cell>
          <cell r="F899" t="str">
            <v>NO</v>
          </cell>
          <cell r="G899" t="str">
            <v>NO</v>
          </cell>
          <cell r="H899" t="str">
            <v>MÓD. DE TRABAJO PROFESIONALES (gestión de la demanda)</v>
          </cell>
          <cell r="I899">
            <v>1</v>
          </cell>
          <cell r="J899" t="str">
            <v>C.1.2.1</v>
          </cell>
          <cell r="K899" t="str">
            <v>Consultas medicas generales</v>
          </cell>
          <cell r="L899">
            <v>1</v>
          </cell>
          <cell r="M899">
            <v>46028</v>
          </cell>
          <cell r="N899">
            <v>46029</v>
          </cell>
          <cell r="O899">
            <v>2</v>
          </cell>
          <cell r="P899">
            <v>46031</v>
          </cell>
          <cell r="Q899">
            <v>1</v>
          </cell>
          <cell r="R899" t="str">
            <v>NA</v>
          </cell>
          <cell r="S899">
            <v>5</v>
          </cell>
        </row>
        <row r="900">
          <cell r="B900" t="str">
            <v>MNC</v>
          </cell>
          <cell r="C900" t="str">
            <v>HSLB13447</v>
          </cell>
          <cell r="D900">
            <v>202002</v>
          </cell>
          <cell r="E900" t="str">
            <v>Caja Fuerte Tipo I</v>
          </cell>
          <cell r="F900" t="str">
            <v>NO</v>
          </cell>
          <cell r="G900" t="str">
            <v>NO</v>
          </cell>
          <cell r="H900" t="str">
            <v>MÓDULO SOME RECAUDACIÓN</v>
          </cell>
          <cell r="I900">
            <v>1</v>
          </cell>
          <cell r="J900" t="str">
            <v>C.2.2.1.3</v>
          </cell>
          <cell r="K900" t="str">
            <v>Consultas medicas generales</v>
          </cell>
          <cell r="L900">
            <v>1</v>
          </cell>
          <cell r="M900">
            <v>46028</v>
          </cell>
          <cell r="N900">
            <v>46029</v>
          </cell>
          <cell r="O900">
            <v>2</v>
          </cell>
          <cell r="P900">
            <v>46031</v>
          </cell>
          <cell r="Q900">
            <v>1</v>
          </cell>
          <cell r="R900" t="str">
            <v>NA</v>
          </cell>
          <cell r="S900">
            <v>5</v>
          </cell>
        </row>
        <row r="901">
          <cell r="B901" t="str">
            <v>MNC</v>
          </cell>
          <cell r="C901" t="str">
            <v>HSLB13448</v>
          </cell>
          <cell r="D901">
            <v>202002</v>
          </cell>
          <cell r="E901" t="str">
            <v>Caja Fuerte Tipo I</v>
          </cell>
          <cell r="F901" t="str">
            <v>NO</v>
          </cell>
          <cell r="G901" t="str">
            <v>NO</v>
          </cell>
          <cell r="H901" t="str">
            <v>RECAUDACIÓN ODONTOLOGÍA</v>
          </cell>
          <cell r="I901">
            <v>1</v>
          </cell>
          <cell r="J901" t="str">
            <v>C.2.2.4.2</v>
          </cell>
          <cell r="K901" t="str">
            <v>Consultas medicas generales</v>
          </cell>
          <cell r="L901">
            <v>1</v>
          </cell>
          <cell r="M901">
            <v>46028</v>
          </cell>
          <cell r="N901">
            <v>46029</v>
          </cell>
          <cell r="O901">
            <v>2</v>
          </cell>
          <cell r="P901">
            <v>46031</v>
          </cell>
          <cell r="Q901">
            <v>1</v>
          </cell>
          <cell r="R901" t="str">
            <v>NA</v>
          </cell>
          <cell r="S901">
            <v>5</v>
          </cell>
        </row>
        <row r="902">
          <cell r="B902" t="str">
            <v>MNC</v>
          </cell>
          <cell r="C902" t="str">
            <v>HSLB13465</v>
          </cell>
          <cell r="D902">
            <v>202010</v>
          </cell>
          <cell r="E902" t="str">
            <v>Escalera Tijera</v>
          </cell>
          <cell r="F902" t="str">
            <v>NO</v>
          </cell>
          <cell r="G902" t="str">
            <v>SI</v>
          </cell>
          <cell r="H902" t="str">
            <v>BODEGA DE INSUMOS (SUEROS Y OTROS)</v>
          </cell>
          <cell r="I902">
            <v>1</v>
          </cell>
          <cell r="J902" t="str">
            <v>C.2.3.25</v>
          </cell>
          <cell r="K902" t="str">
            <v>Dialisis</v>
          </cell>
          <cell r="L902">
            <v>1</v>
          </cell>
          <cell r="M902">
            <v>46003</v>
          </cell>
          <cell r="N902">
            <v>46006</v>
          </cell>
          <cell r="O902">
            <v>1</v>
          </cell>
          <cell r="P902">
            <v>46007</v>
          </cell>
          <cell r="Q902">
            <v>1</v>
          </cell>
          <cell r="R902" t="str">
            <v>NA</v>
          </cell>
          <cell r="S902">
            <v>5</v>
          </cell>
        </row>
        <row r="903">
          <cell r="B903" t="str">
            <v>MNC</v>
          </cell>
          <cell r="C903" t="str">
            <v>HSLB13466</v>
          </cell>
          <cell r="D903">
            <v>202010</v>
          </cell>
          <cell r="E903" t="str">
            <v>Escalera Tijera</v>
          </cell>
          <cell r="F903" t="str">
            <v>NO</v>
          </cell>
          <cell r="G903" t="str">
            <v>SI</v>
          </cell>
          <cell r="H903" t="str">
            <v>BODEGA DE INSUMOS Y SOLUCIONES</v>
          </cell>
          <cell r="I903">
            <v>1</v>
          </cell>
          <cell r="J903" t="str">
            <v>C.2.3.37</v>
          </cell>
          <cell r="K903" t="str">
            <v>Dialisis</v>
          </cell>
          <cell r="L903">
            <v>1</v>
          </cell>
          <cell r="M903">
            <v>46003</v>
          </cell>
          <cell r="N903">
            <v>46006</v>
          </cell>
          <cell r="O903">
            <v>1</v>
          </cell>
          <cell r="P903">
            <v>46007</v>
          </cell>
          <cell r="Q903">
            <v>1</v>
          </cell>
          <cell r="R903" t="str">
            <v>NA</v>
          </cell>
          <cell r="S903">
            <v>5</v>
          </cell>
        </row>
        <row r="904">
          <cell r="B904" t="str">
            <v>MNC</v>
          </cell>
          <cell r="C904" t="str">
            <v>HSLB13467</v>
          </cell>
          <cell r="D904">
            <v>202010</v>
          </cell>
          <cell r="E904" t="str">
            <v>Escalera Tijera</v>
          </cell>
          <cell r="F904" t="str">
            <v>NO</v>
          </cell>
          <cell r="G904" t="str">
            <v>NO</v>
          </cell>
          <cell r="H904" t="str">
            <v>BODEGA DE SOLUCIONES TOXICAS</v>
          </cell>
          <cell r="I904">
            <v>1</v>
          </cell>
          <cell r="J904" t="str">
            <v>C.2.3.38</v>
          </cell>
          <cell r="K904" t="str">
            <v>Dialisis</v>
          </cell>
          <cell r="L904">
            <v>1</v>
          </cell>
          <cell r="M904">
            <v>46031</v>
          </cell>
          <cell r="N904">
            <v>46034</v>
          </cell>
          <cell r="O904">
            <v>2</v>
          </cell>
          <cell r="P904">
            <v>46036</v>
          </cell>
          <cell r="Q904">
            <v>1</v>
          </cell>
          <cell r="R904" t="str">
            <v>NA</v>
          </cell>
          <cell r="S904">
            <v>5</v>
          </cell>
        </row>
        <row r="905">
          <cell r="B905" t="str">
            <v>MNC</v>
          </cell>
          <cell r="C905" t="str">
            <v>HSLB13457</v>
          </cell>
          <cell r="D905">
            <v>202005</v>
          </cell>
          <cell r="E905" t="str">
            <v>Cama 1 Plaza</v>
          </cell>
          <cell r="F905" t="str">
            <v>NO</v>
          </cell>
          <cell r="G905" t="str">
            <v>NO</v>
          </cell>
          <cell r="H905" t="str">
            <v>ACTIVIDADES DE LA VIDA DIARIA C/KITCHENETTE</v>
          </cell>
          <cell r="I905">
            <v>1</v>
          </cell>
          <cell r="J905" t="str">
            <v>C.2.5.3.19</v>
          </cell>
          <cell r="K905" t="str">
            <v>UHCIP</v>
          </cell>
          <cell r="L905">
            <v>1</v>
          </cell>
          <cell r="M905">
            <v>46024</v>
          </cell>
          <cell r="N905">
            <v>46027</v>
          </cell>
          <cell r="O905">
            <v>1</v>
          </cell>
          <cell r="P905">
            <v>46028</v>
          </cell>
          <cell r="Q905">
            <v>1</v>
          </cell>
          <cell r="R905" t="str">
            <v>NA</v>
          </cell>
          <cell r="S905">
            <v>5</v>
          </cell>
        </row>
        <row r="906">
          <cell r="B906" t="str">
            <v>MNC</v>
          </cell>
          <cell r="C906" t="str">
            <v>HSLB13450</v>
          </cell>
          <cell r="D906">
            <v>202002</v>
          </cell>
          <cell r="E906" t="str">
            <v>Caja Fuerte Tipo I</v>
          </cell>
          <cell r="F906" t="str">
            <v>NO</v>
          </cell>
          <cell r="G906" t="str">
            <v>NO</v>
          </cell>
          <cell r="H906" t="str">
            <v>MÓDULO DE TRABAJO SOME RECAUDACIÓN</v>
          </cell>
          <cell r="I906">
            <v>1</v>
          </cell>
          <cell r="J906" t="str">
            <v>C.3.1.2</v>
          </cell>
          <cell r="K906" t="str">
            <v>Consultas medicas generales</v>
          </cell>
          <cell r="L906">
            <v>1</v>
          </cell>
          <cell r="M906">
            <v>46028</v>
          </cell>
          <cell r="N906">
            <v>46029</v>
          </cell>
          <cell r="O906">
            <v>2</v>
          </cell>
          <cell r="P906">
            <v>46031</v>
          </cell>
          <cell r="Q906">
            <v>1</v>
          </cell>
          <cell r="R906" t="str">
            <v>NA</v>
          </cell>
          <cell r="S906">
            <v>5</v>
          </cell>
        </row>
        <row r="907">
          <cell r="B907" t="str">
            <v>MNC</v>
          </cell>
          <cell r="C907" t="str">
            <v>HSLB13451</v>
          </cell>
          <cell r="D907">
            <v>202002</v>
          </cell>
          <cell r="E907" t="str">
            <v>Caja Fuerte Tipo I</v>
          </cell>
          <cell r="F907" t="str">
            <v>NO</v>
          </cell>
          <cell r="G907" t="str">
            <v>NO</v>
          </cell>
          <cell r="H907" t="str">
            <v>SALA DE PROCEDIMIENTOS</v>
          </cell>
          <cell r="I907">
            <v>1</v>
          </cell>
          <cell r="J907" t="str">
            <v>C.3.6.2.12</v>
          </cell>
          <cell r="K907" t="str">
            <v>Urgencia</v>
          </cell>
          <cell r="L907">
            <v>1</v>
          </cell>
          <cell r="M907">
            <v>46006</v>
          </cell>
          <cell r="N907">
            <v>46007</v>
          </cell>
          <cell r="O907">
            <v>1</v>
          </cell>
          <cell r="P907">
            <v>46008</v>
          </cell>
          <cell r="Q907">
            <v>1</v>
          </cell>
          <cell r="R907" t="str">
            <v>NA</v>
          </cell>
          <cell r="S907">
            <v>5</v>
          </cell>
        </row>
        <row r="908">
          <cell r="B908" t="str">
            <v>MNC</v>
          </cell>
          <cell r="C908" t="str">
            <v>HSLB13452</v>
          </cell>
          <cell r="D908">
            <v>202002</v>
          </cell>
          <cell r="E908" t="str">
            <v>Caja Fuerte Tipo I</v>
          </cell>
          <cell r="F908" t="str">
            <v>NO</v>
          </cell>
          <cell r="G908" t="str">
            <v>NO</v>
          </cell>
          <cell r="H908" t="str">
            <v>SOME RECAUDACIÓN</v>
          </cell>
          <cell r="I908">
            <v>1</v>
          </cell>
          <cell r="J908" t="str">
            <v>C.4.2.4</v>
          </cell>
          <cell r="K908" t="str">
            <v>Urgencia</v>
          </cell>
          <cell r="L908">
            <v>1</v>
          </cell>
          <cell r="M908">
            <v>46006</v>
          </cell>
          <cell r="N908">
            <v>46007</v>
          </cell>
          <cell r="O908">
            <v>1</v>
          </cell>
          <cell r="P908">
            <v>46008</v>
          </cell>
          <cell r="Q908">
            <v>1</v>
          </cell>
          <cell r="R908" t="str">
            <v>NA</v>
          </cell>
          <cell r="S908">
            <v>5</v>
          </cell>
        </row>
        <row r="909">
          <cell r="B909" t="str">
            <v>MNC</v>
          </cell>
          <cell r="C909" t="str">
            <v>HSLB13468</v>
          </cell>
          <cell r="D909">
            <v>202010</v>
          </cell>
          <cell r="E909" t="str">
            <v>Escalera Tijera</v>
          </cell>
          <cell r="F909" t="str">
            <v>NO</v>
          </cell>
          <cell r="G909" t="str">
            <v>NO</v>
          </cell>
          <cell r="H909" t="str">
            <v>BODEGA DE INSUMOS CLÍNICOS</v>
          </cell>
          <cell r="I909">
            <v>1</v>
          </cell>
          <cell r="J909" t="str">
            <v>C.4.5.5.2</v>
          </cell>
          <cell r="K909" t="str">
            <v>Urgencia</v>
          </cell>
          <cell r="L909">
            <v>1</v>
          </cell>
          <cell r="M909">
            <v>46006</v>
          </cell>
          <cell r="N909">
            <v>46007</v>
          </cell>
          <cell r="O909">
            <v>1</v>
          </cell>
          <cell r="P909">
            <v>46008</v>
          </cell>
          <cell r="Q909">
            <v>1</v>
          </cell>
          <cell r="R909" t="str">
            <v>NA</v>
          </cell>
          <cell r="S909">
            <v>5</v>
          </cell>
        </row>
        <row r="910">
          <cell r="B910" t="str">
            <v>MNC</v>
          </cell>
          <cell r="C910" t="str">
            <v>HSLB13453</v>
          </cell>
          <cell r="D910">
            <v>202002</v>
          </cell>
          <cell r="E910" t="str">
            <v>Caja Fuerte Tipo I</v>
          </cell>
          <cell r="F910" t="str">
            <v>NO</v>
          </cell>
          <cell r="G910" t="str">
            <v>NO</v>
          </cell>
          <cell r="H910" t="str">
            <v>MÓDULO DE TRABAJO SOME RECAUDACIÓN</v>
          </cell>
          <cell r="I910">
            <v>1</v>
          </cell>
          <cell r="J910" t="str">
            <v>C.5.1.4</v>
          </cell>
          <cell r="K910" t="str">
            <v>Consultas medicas generales</v>
          </cell>
          <cell r="L910">
            <v>1</v>
          </cell>
          <cell r="M910">
            <v>46028</v>
          </cell>
          <cell r="N910">
            <v>46029</v>
          </cell>
          <cell r="O910">
            <v>2</v>
          </cell>
          <cell r="P910">
            <v>46031</v>
          </cell>
          <cell r="Q910">
            <v>1</v>
          </cell>
          <cell r="R910" t="str">
            <v>NA</v>
          </cell>
          <cell r="S910">
            <v>5</v>
          </cell>
        </row>
        <row r="911">
          <cell r="B911" t="str">
            <v>MNC</v>
          </cell>
          <cell r="C911" t="str">
            <v>HSLB13456</v>
          </cell>
          <cell r="D911">
            <v>202004</v>
          </cell>
          <cell r="E911" t="str">
            <v>Cama 1 1/2 Plaza</v>
          </cell>
          <cell r="F911" t="str">
            <v>NO</v>
          </cell>
          <cell r="G911" t="str">
            <v>NO</v>
          </cell>
          <cell r="H911" t="str">
            <v>SALA DE ACTIVDAD DE LA VIDA DIARIA C/BAÑO DE INSTRUCCIÓN</v>
          </cell>
          <cell r="I911">
            <v>1</v>
          </cell>
          <cell r="J911" t="str">
            <v>C.5.7.20</v>
          </cell>
          <cell r="K911" t="str">
            <v>Med física y rehabilitación</v>
          </cell>
          <cell r="L911">
            <v>1</v>
          </cell>
          <cell r="M911">
            <v>46017</v>
          </cell>
          <cell r="N911">
            <v>46020</v>
          </cell>
          <cell r="O911">
            <v>2</v>
          </cell>
          <cell r="P911">
            <v>46022</v>
          </cell>
          <cell r="Q911">
            <v>1</v>
          </cell>
          <cell r="R911" t="str">
            <v>NA</v>
          </cell>
          <cell r="S911">
            <v>5</v>
          </cell>
        </row>
        <row r="912">
          <cell r="B912" t="str">
            <v>MNC</v>
          </cell>
          <cell r="C912" t="str">
            <v>HSLB13478</v>
          </cell>
          <cell r="D912">
            <v>202013</v>
          </cell>
          <cell r="E912" t="str">
            <v>Pallet</v>
          </cell>
          <cell r="F912" t="str">
            <v>NO</v>
          </cell>
          <cell r="G912" t="str">
            <v>NO</v>
          </cell>
          <cell r="H912" t="str">
            <v>ÁREA DE RECEPCIÓN DE CARROS</v>
          </cell>
          <cell r="I912">
            <v>3</v>
          </cell>
          <cell r="J912" t="str">
            <v>D.3.3.3.5</v>
          </cell>
          <cell r="K912" t="str">
            <v>Abastecimiento</v>
          </cell>
          <cell r="L912">
            <v>1</v>
          </cell>
          <cell r="M912">
            <v>46035</v>
          </cell>
          <cell r="N912">
            <v>46036</v>
          </cell>
          <cell r="O912">
            <v>1</v>
          </cell>
          <cell r="P912">
            <v>46037</v>
          </cell>
          <cell r="Q912">
            <v>1</v>
          </cell>
          <cell r="R912" t="str">
            <v>NA</v>
          </cell>
          <cell r="S912">
            <v>5</v>
          </cell>
        </row>
        <row r="913">
          <cell r="B913" t="str">
            <v>MNC</v>
          </cell>
          <cell r="C913" t="str">
            <v>HSLB15460</v>
          </cell>
          <cell r="D913">
            <v>202004</v>
          </cell>
          <cell r="E913" t="str">
            <v>Cama 1 1/2 Plaza</v>
          </cell>
          <cell r="F913" t="str">
            <v>NO</v>
          </cell>
          <cell r="G913" t="str">
            <v>NO</v>
          </cell>
          <cell r="H913" t="str">
            <v>RESIDENCIA DOBLE</v>
          </cell>
          <cell r="I913">
            <v>2</v>
          </cell>
          <cell r="J913" t="str">
            <v>H.1.4.1</v>
          </cell>
          <cell r="K913" t="str">
            <v>Urgencia</v>
          </cell>
          <cell r="L913">
            <v>1</v>
          </cell>
          <cell r="M913">
            <v>46006</v>
          </cell>
          <cell r="N913">
            <v>46007</v>
          </cell>
          <cell r="O913">
            <v>2</v>
          </cell>
          <cell r="P913">
            <v>46009</v>
          </cell>
          <cell r="Q913">
            <v>1</v>
          </cell>
          <cell r="R913" t="str">
            <v>NA</v>
          </cell>
          <cell r="S913">
            <v>5</v>
          </cell>
        </row>
        <row r="914">
          <cell r="B914" t="str">
            <v>MNC</v>
          </cell>
          <cell r="C914" t="str">
            <v>HSLB15461</v>
          </cell>
          <cell r="D914">
            <v>202004</v>
          </cell>
          <cell r="E914" t="str">
            <v>Cama 1 1/2 Plaza</v>
          </cell>
          <cell r="F914" t="str">
            <v>NO</v>
          </cell>
          <cell r="G914" t="str">
            <v>NO</v>
          </cell>
          <cell r="H914" t="str">
            <v>RESIDENCIA DOBLE</v>
          </cell>
          <cell r="I914">
            <v>2</v>
          </cell>
          <cell r="J914" t="str">
            <v>H.1.4.2</v>
          </cell>
          <cell r="K914" t="str">
            <v>Urgencia</v>
          </cell>
          <cell r="L914">
            <v>1</v>
          </cell>
          <cell r="M914">
            <v>46006</v>
          </cell>
          <cell r="N914">
            <v>46007</v>
          </cell>
          <cell r="O914">
            <v>2</v>
          </cell>
          <cell r="P914">
            <v>46009</v>
          </cell>
          <cell r="Q914">
            <v>1</v>
          </cell>
          <cell r="R914" t="str">
            <v>NA</v>
          </cell>
          <cell r="S914">
            <v>5</v>
          </cell>
        </row>
        <row r="915">
          <cell r="B915" t="str">
            <v>MNC</v>
          </cell>
          <cell r="C915" t="str">
            <v>HSLB15462</v>
          </cell>
          <cell r="D915">
            <v>202004</v>
          </cell>
          <cell r="E915" t="str">
            <v>Cama 1 1/2 Plaza</v>
          </cell>
          <cell r="F915" t="str">
            <v>NO</v>
          </cell>
          <cell r="G915" t="str">
            <v>NO</v>
          </cell>
          <cell r="H915" t="str">
            <v>RESIDENCIA DOBLE</v>
          </cell>
          <cell r="I915">
            <v>2</v>
          </cell>
          <cell r="J915" t="str">
            <v>H.1.4.3</v>
          </cell>
          <cell r="K915" t="str">
            <v>Urgencia</v>
          </cell>
          <cell r="L915">
            <v>1</v>
          </cell>
          <cell r="M915">
            <v>46006</v>
          </cell>
          <cell r="N915">
            <v>46007</v>
          </cell>
          <cell r="O915">
            <v>2</v>
          </cell>
          <cell r="P915">
            <v>46009</v>
          </cell>
          <cell r="Q915">
            <v>1</v>
          </cell>
          <cell r="R915" t="str">
            <v>NA</v>
          </cell>
          <cell r="S915">
            <v>5</v>
          </cell>
        </row>
        <row r="916">
          <cell r="B916" t="str">
            <v>MNC</v>
          </cell>
          <cell r="C916" t="str">
            <v>HSLB15463</v>
          </cell>
          <cell r="D916">
            <v>202004</v>
          </cell>
          <cell r="E916" t="str">
            <v>Cama 1 1/2 Plaza</v>
          </cell>
          <cell r="F916" t="str">
            <v>NO</v>
          </cell>
          <cell r="G916" t="str">
            <v>NO</v>
          </cell>
          <cell r="H916" t="str">
            <v>RESIDENCIA DOBLE</v>
          </cell>
          <cell r="I916">
            <v>2</v>
          </cell>
          <cell r="J916" t="str">
            <v>H.1.4.4</v>
          </cell>
          <cell r="K916" t="str">
            <v>Urgencia</v>
          </cell>
          <cell r="L916">
            <v>1</v>
          </cell>
          <cell r="M916">
            <v>46006</v>
          </cell>
          <cell r="N916">
            <v>46007</v>
          </cell>
          <cell r="O916">
            <v>2</v>
          </cell>
          <cell r="P916">
            <v>46009</v>
          </cell>
          <cell r="Q916">
            <v>1</v>
          </cell>
          <cell r="R916" t="str">
            <v>NA</v>
          </cell>
          <cell r="S916">
            <v>5</v>
          </cell>
        </row>
        <row r="917">
          <cell r="B917" t="str">
            <v>MNC</v>
          </cell>
          <cell r="C917" t="str">
            <v>HSLB15464</v>
          </cell>
          <cell r="D917">
            <v>202004</v>
          </cell>
          <cell r="E917" t="str">
            <v>Cama 1 1/2 Plaza</v>
          </cell>
          <cell r="F917" t="str">
            <v>NO</v>
          </cell>
          <cell r="G917" t="str">
            <v>NO</v>
          </cell>
          <cell r="H917" t="str">
            <v>RESIDENCIA DOBLE</v>
          </cell>
          <cell r="I917">
            <v>1</v>
          </cell>
          <cell r="J917" t="str">
            <v>H.1.4.5</v>
          </cell>
          <cell r="K917" t="str">
            <v>Urgencia</v>
          </cell>
          <cell r="L917">
            <v>1</v>
          </cell>
          <cell r="M917">
            <v>46006</v>
          </cell>
          <cell r="N917">
            <v>46007</v>
          </cell>
          <cell r="O917">
            <v>2</v>
          </cell>
          <cell r="P917">
            <v>46009</v>
          </cell>
          <cell r="Q917">
            <v>1</v>
          </cell>
          <cell r="R917" t="str">
            <v>NA</v>
          </cell>
          <cell r="S917">
            <v>5</v>
          </cell>
        </row>
        <row r="918">
          <cell r="B918" t="str">
            <v>MNC</v>
          </cell>
          <cell r="C918" t="str">
            <v>HSLB15465</v>
          </cell>
          <cell r="D918">
            <v>202004</v>
          </cell>
          <cell r="E918" t="str">
            <v>Cama 1 1/2 Plaza</v>
          </cell>
          <cell r="F918" t="str">
            <v>NO</v>
          </cell>
          <cell r="G918" t="str">
            <v>NO</v>
          </cell>
          <cell r="H918" t="str">
            <v>RESIDENCIA DOBLE</v>
          </cell>
          <cell r="I918">
            <v>1</v>
          </cell>
          <cell r="J918" t="str">
            <v>H.1.4.6</v>
          </cell>
          <cell r="K918" t="str">
            <v>Urgencia</v>
          </cell>
          <cell r="L918">
            <v>1</v>
          </cell>
          <cell r="M918">
            <v>46006</v>
          </cell>
          <cell r="N918">
            <v>46007</v>
          </cell>
          <cell r="O918">
            <v>2</v>
          </cell>
          <cell r="P918">
            <v>46009</v>
          </cell>
          <cell r="Q918">
            <v>1</v>
          </cell>
          <cell r="R918" t="str">
            <v>NA</v>
          </cell>
          <cell r="S918">
            <v>5</v>
          </cell>
        </row>
        <row r="919">
          <cell r="B919" t="str">
            <v>MNC</v>
          </cell>
          <cell r="C919" t="str">
            <v>HSLB13445</v>
          </cell>
          <cell r="D919">
            <v>202001</v>
          </cell>
          <cell r="E919" t="str">
            <v>Atril graduable</v>
          </cell>
          <cell r="F919" t="str">
            <v>NO</v>
          </cell>
          <cell r="G919" t="str">
            <v>NO</v>
          </cell>
          <cell r="H919" t="str">
            <v>NIVEL MEDIO MENOR</v>
          </cell>
          <cell r="I919">
            <v>4</v>
          </cell>
          <cell r="J919" t="str">
            <v>H.2.11.1</v>
          </cell>
          <cell r="K919" t="str">
            <v>Sala Cuna</v>
          </cell>
          <cell r="L919">
            <v>1</v>
          </cell>
          <cell r="M919">
            <v>46041</v>
          </cell>
          <cell r="N919">
            <v>46042</v>
          </cell>
          <cell r="O919">
            <v>2</v>
          </cell>
          <cell r="P919">
            <v>46044</v>
          </cell>
          <cell r="Q919">
            <v>1</v>
          </cell>
          <cell r="R919" t="str">
            <v>NA</v>
          </cell>
          <cell r="S919">
            <v>5</v>
          </cell>
        </row>
        <row r="920">
          <cell r="B920" t="str">
            <v>MNC</v>
          </cell>
          <cell r="C920" t="str">
            <v>HSLB13458</v>
          </cell>
          <cell r="D920">
            <v>202006</v>
          </cell>
          <cell r="E920" t="str">
            <v>Cama Apilable</v>
          </cell>
          <cell r="F920" t="str">
            <v>NO</v>
          </cell>
          <cell r="G920" t="str">
            <v>NO</v>
          </cell>
          <cell r="H920" t="str">
            <v>NIVEL MEDIO MENOR</v>
          </cell>
          <cell r="I920">
            <v>14</v>
          </cell>
          <cell r="J920" t="str">
            <v>H.2.11.1</v>
          </cell>
          <cell r="K920" t="str">
            <v>Sala Cuna</v>
          </cell>
          <cell r="L920">
            <v>1</v>
          </cell>
          <cell r="M920">
            <v>46041</v>
          </cell>
          <cell r="N920">
            <v>46042</v>
          </cell>
          <cell r="O920">
            <v>2</v>
          </cell>
          <cell r="P920">
            <v>46044</v>
          </cell>
          <cell r="Q920">
            <v>1</v>
          </cell>
          <cell r="R920" t="str">
            <v>NA</v>
          </cell>
          <cell r="S920">
            <v>5</v>
          </cell>
        </row>
        <row r="921">
          <cell r="B921" t="str">
            <v>MNC</v>
          </cell>
          <cell r="C921" t="str">
            <v>HSLB13474</v>
          </cell>
          <cell r="D921">
            <v>202012</v>
          </cell>
          <cell r="E921" t="str">
            <v>Mueble Locker</v>
          </cell>
          <cell r="F921" t="str">
            <v>NO</v>
          </cell>
          <cell r="G921" t="str">
            <v>NO</v>
          </cell>
          <cell r="H921" t="str">
            <v>NIVEL MEDIO MENOR</v>
          </cell>
          <cell r="I921">
            <v>2</v>
          </cell>
          <cell r="J921" t="str">
            <v>H.2.11.1</v>
          </cell>
          <cell r="K921" t="str">
            <v>Sala Cuna</v>
          </cell>
          <cell r="L921">
            <v>1</v>
          </cell>
          <cell r="M921">
            <v>46041</v>
          </cell>
          <cell r="N921">
            <v>46042</v>
          </cell>
          <cell r="O921">
            <v>2</v>
          </cell>
          <cell r="P921">
            <v>46044</v>
          </cell>
          <cell r="Q921">
            <v>1</v>
          </cell>
          <cell r="R921" t="str">
            <v>NA</v>
          </cell>
          <cell r="S921">
            <v>5</v>
          </cell>
        </row>
        <row r="922">
          <cell r="B922" t="str">
            <v>MNC</v>
          </cell>
          <cell r="C922" t="str">
            <v>HSLB13459</v>
          </cell>
          <cell r="D922">
            <v>202006</v>
          </cell>
          <cell r="E922" t="str">
            <v>Cama Apilable</v>
          </cell>
          <cell r="F922" t="str">
            <v>NO</v>
          </cell>
          <cell r="G922" t="str">
            <v>SI</v>
          </cell>
          <cell r="H922" t="str">
            <v>NIVEL MEDIO MAYOR</v>
          </cell>
          <cell r="I922">
            <v>14</v>
          </cell>
          <cell r="J922" t="str">
            <v>H.2.11.2</v>
          </cell>
          <cell r="K922" t="str">
            <v>Sala Cuna</v>
          </cell>
          <cell r="L922">
            <v>1</v>
          </cell>
          <cell r="M922">
            <v>46003</v>
          </cell>
          <cell r="N922">
            <v>46006</v>
          </cell>
          <cell r="O922">
            <v>2</v>
          </cell>
          <cell r="P922">
            <v>46008</v>
          </cell>
          <cell r="Q922">
            <v>1</v>
          </cell>
          <cell r="R922" t="str">
            <v>NA</v>
          </cell>
          <cell r="S922">
            <v>5</v>
          </cell>
        </row>
        <row r="923">
          <cell r="B923" t="str">
            <v>MNC</v>
          </cell>
          <cell r="C923" t="str">
            <v>HSLB13475</v>
          </cell>
          <cell r="D923">
            <v>202012</v>
          </cell>
          <cell r="E923" t="str">
            <v>Mueble Locker</v>
          </cell>
          <cell r="F923" t="str">
            <v>NO</v>
          </cell>
          <cell r="G923" t="str">
            <v>SI</v>
          </cell>
          <cell r="H923" t="str">
            <v>NIVEL MEDIO MAYOR</v>
          </cell>
          <cell r="I923">
            <v>2</v>
          </cell>
          <cell r="J923" t="str">
            <v>H.2.11.2</v>
          </cell>
          <cell r="K923" t="str">
            <v>Sala Cuna</v>
          </cell>
          <cell r="L923">
            <v>1</v>
          </cell>
          <cell r="M923">
            <v>46003</v>
          </cell>
          <cell r="N923">
            <v>46006</v>
          </cell>
          <cell r="O923">
            <v>2</v>
          </cell>
          <cell r="P923">
            <v>46008</v>
          </cell>
          <cell r="Q923">
            <v>1</v>
          </cell>
          <cell r="R923" t="str">
            <v>NA</v>
          </cell>
          <cell r="S923">
            <v>5</v>
          </cell>
        </row>
        <row r="924">
          <cell r="B924" t="str">
            <v>MNC</v>
          </cell>
          <cell r="C924" t="str">
            <v>HSLB13446</v>
          </cell>
          <cell r="D924">
            <v>202001</v>
          </cell>
          <cell r="E924" t="str">
            <v>Atril graduable</v>
          </cell>
          <cell r="F924" t="str">
            <v>NO</v>
          </cell>
          <cell r="G924" t="str">
            <v>SI</v>
          </cell>
          <cell r="H924" t="str">
            <v>NIVEL MEDIO MAYOR</v>
          </cell>
          <cell r="I924">
            <v>4</v>
          </cell>
          <cell r="J924" t="str">
            <v>H.2.11.2</v>
          </cell>
          <cell r="K924" t="str">
            <v>Sala Cuna</v>
          </cell>
          <cell r="L924">
            <v>1</v>
          </cell>
          <cell r="M924">
            <v>46003</v>
          </cell>
          <cell r="N924">
            <v>46006</v>
          </cell>
          <cell r="O924">
            <v>2</v>
          </cell>
          <cell r="P924">
            <v>46008</v>
          </cell>
          <cell r="Q924">
            <v>1</v>
          </cell>
          <cell r="R924" t="str">
            <v>NA</v>
          </cell>
          <cell r="S924">
            <v>5</v>
          </cell>
        </row>
        <row r="925">
          <cell r="B925" t="str">
            <v>MNC</v>
          </cell>
          <cell r="C925" t="str">
            <v>HSLB13461</v>
          </cell>
          <cell r="D925">
            <v>202008</v>
          </cell>
          <cell r="E925" t="str">
            <v>Cuna Alta</v>
          </cell>
          <cell r="F925" t="str">
            <v>NO</v>
          </cell>
          <cell r="G925" t="str">
            <v>SI</v>
          </cell>
          <cell r="H925" t="str">
            <v>NIVEL SALA CUNA 1</v>
          </cell>
          <cell r="I925">
            <v>7</v>
          </cell>
          <cell r="J925" t="str">
            <v>H.2.8.1</v>
          </cell>
          <cell r="K925" t="str">
            <v>Sala Cuna</v>
          </cell>
          <cell r="L925">
            <v>1</v>
          </cell>
          <cell r="M925">
            <v>46003</v>
          </cell>
          <cell r="N925">
            <v>46006</v>
          </cell>
          <cell r="O925">
            <v>2</v>
          </cell>
          <cell r="P925">
            <v>46008</v>
          </cell>
          <cell r="Q925">
            <v>1</v>
          </cell>
          <cell r="R925" t="str">
            <v>NA</v>
          </cell>
          <cell r="S925">
            <v>5</v>
          </cell>
        </row>
        <row r="926">
          <cell r="B926" t="str">
            <v>MNC</v>
          </cell>
          <cell r="C926" t="str">
            <v>HSLB13463</v>
          </cell>
          <cell r="D926">
            <v>202009</v>
          </cell>
          <cell r="E926" t="str">
            <v>Cuna Baja</v>
          </cell>
          <cell r="F926" t="str">
            <v>NO</v>
          </cell>
          <cell r="G926" t="str">
            <v>SI</v>
          </cell>
          <cell r="H926" t="str">
            <v>NIVEL SALA CUNA 1</v>
          </cell>
          <cell r="I926">
            <v>7</v>
          </cell>
          <cell r="J926" t="str">
            <v>H.2.8.1</v>
          </cell>
          <cell r="K926" t="str">
            <v>Sala Cuna</v>
          </cell>
          <cell r="L926">
            <v>1</v>
          </cell>
          <cell r="M926">
            <v>46003</v>
          </cell>
          <cell r="N926">
            <v>46006</v>
          </cell>
          <cell r="O926">
            <v>2</v>
          </cell>
          <cell r="P926">
            <v>46008</v>
          </cell>
          <cell r="Q926">
            <v>1</v>
          </cell>
          <cell r="R926" t="str">
            <v>NA</v>
          </cell>
          <cell r="S926">
            <v>5</v>
          </cell>
        </row>
        <row r="927">
          <cell r="B927" t="str">
            <v>MNC</v>
          </cell>
          <cell r="C927" t="str">
            <v>HSLB13476</v>
          </cell>
          <cell r="D927">
            <v>202012</v>
          </cell>
          <cell r="E927" t="str">
            <v>Mueble Locker</v>
          </cell>
          <cell r="F927" t="str">
            <v>NO</v>
          </cell>
          <cell r="G927" t="str">
            <v>SI</v>
          </cell>
          <cell r="H927" t="str">
            <v>NIVEL SALA CUNA 1</v>
          </cell>
          <cell r="I927">
            <v>2</v>
          </cell>
          <cell r="J927" t="str">
            <v>H.2.8.1</v>
          </cell>
          <cell r="K927" t="str">
            <v>Sala Cuna</v>
          </cell>
          <cell r="L927">
            <v>1</v>
          </cell>
          <cell r="M927">
            <v>46003</v>
          </cell>
          <cell r="N927">
            <v>46006</v>
          </cell>
          <cell r="O927">
            <v>2</v>
          </cell>
          <cell r="P927">
            <v>46008</v>
          </cell>
          <cell r="Q927">
            <v>1</v>
          </cell>
          <cell r="R927" t="str">
            <v>NA</v>
          </cell>
          <cell r="S927">
            <v>5</v>
          </cell>
        </row>
        <row r="928">
          <cell r="B928" t="str">
            <v>MNC</v>
          </cell>
          <cell r="C928" t="str">
            <v>HSLB13462</v>
          </cell>
          <cell r="D928">
            <v>202008</v>
          </cell>
          <cell r="E928" t="str">
            <v>Cuna Alta</v>
          </cell>
          <cell r="F928" t="str">
            <v>NO</v>
          </cell>
          <cell r="G928" t="str">
            <v>NO</v>
          </cell>
          <cell r="H928" t="str">
            <v>NIVEL SALA CUNA 2</v>
          </cell>
          <cell r="I928">
            <v>7</v>
          </cell>
          <cell r="J928" t="str">
            <v>H.2.8.2</v>
          </cell>
          <cell r="K928" t="str">
            <v>Sala Cuna</v>
          </cell>
          <cell r="L928">
            <v>1</v>
          </cell>
          <cell r="M928">
            <v>46041</v>
          </cell>
          <cell r="N928">
            <v>46042</v>
          </cell>
          <cell r="O928">
            <v>2</v>
          </cell>
          <cell r="P928">
            <v>46044</v>
          </cell>
          <cell r="Q928">
            <v>1</v>
          </cell>
          <cell r="R928" t="str">
            <v>NA</v>
          </cell>
          <cell r="S928">
            <v>5</v>
          </cell>
        </row>
        <row r="929">
          <cell r="B929" t="str">
            <v>MNC</v>
          </cell>
          <cell r="C929" t="str">
            <v>HSLB13464</v>
          </cell>
          <cell r="D929">
            <v>202009</v>
          </cell>
          <cell r="E929" t="str">
            <v>Cuna Baja</v>
          </cell>
          <cell r="F929" t="str">
            <v>NO</v>
          </cell>
          <cell r="G929" t="str">
            <v>NO</v>
          </cell>
          <cell r="H929" t="str">
            <v>NIVEL SALA CUNA 2</v>
          </cell>
          <cell r="I929">
            <v>7</v>
          </cell>
          <cell r="J929" t="str">
            <v>H.2.8.2</v>
          </cell>
          <cell r="K929" t="str">
            <v>Sala Cuna</v>
          </cell>
          <cell r="L929">
            <v>1</v>
          </cell>
          <cell r="M929">
            <v>46041</v>
          </cell>
          <cell r="N929">
            <v>46042</v>
          </cell>
          <cell r="O929">
            <v>2</v>
          </cell>
          <cell r="P929">
            <v>46044</v>
          </cell>
          <cell r="Q929">
            <v>1</v>
          </cell>
          <cell r="R929" t="str">
            <v>NA</v>
          </cell>
          <cell r="S929">
            <v>5</v>
          </cell>
        </row>
        <row r="930">
          <cell r="B930" t="str">
            <v>MNC</v>
          </cell>
          <cell r="C930" t="str">
            <v>HSLB13477</v>
          </cell>
          <cell r="D930">
            <v>202012</v>
          </cell>
          <cell r="E930" t="str">
            <v>Mueble Locker</v>
          </cell>
          <cell r="F930" t="str">
            <v>NO</v>
          </cell>
          <cell r="G930" t="str">
            <v>NO</v>
          </cell>
          <cell r="H930" t="str">
            <v>NIVEL SALA CUNA 2</v>
          </cell>
          <cell r="I930">
            <v>2</v>
          </cell>
          <cell r="J930" t="str">
            <v>H.2.8.2</v>
          </cell>
          <cell r="K930" t="str">
            <v>Sala Cuna</v>
          </cell>
          <cell r="L930">
            <v>1</v>
          </cell>
          <cell r="M930">
            <v>46041</v>
          </cell>
          <cell r="N930">
            <v>46042</v>
          </cell>
          <cell r="O930">
            <v>2</v>
          </cell>
          <cell r="P930">
            <v>46044</v>
          </cell>
          <cell r="Q930">
            <v>1</v>
          </cell>
          <cell r="R930" t="str">
            <v>NA</v>
          </cell>
          <cell r="S930">
            <v>5</v>
          </cell>
        </row>
        <row r="931">
          <cell r="B931" t="str">
            <v>MNC</v>
          </cell>
          <cell r="C931" t="str">
            <v>HSLB13001</v>
          </cell>
          <cell r="D931">
            <v>201001</v>
          </cell>
          <cell r="E931" t="str">
            <v>Estación de Trabajo</v>
          </cell>
          <cell r="F931" t="str">
            <v>NO</v>
          </cell>
          <cell r="G931" t="str">
            <v>NO</v>
          </cell>
          <cell r="H931" t="str">
            <v>OFICINA INTERCULTURAL</v>
          </cell>
          <cell r="I931">
            <v>1</v>
          </cell>
          <cell r="J931" t="str">
            <v>A.1.3</v>
          </cell>
          <cell r="K931" t="str">
            <v>Consultas medicas generales</v>
          </cell>
          <cell r="L931">
            <v>1</v>
          </cell>
          <cell r="M931">
            <v>46028</v>
          </cell>
          <cell r="N931">
            <v>46029</v>
          </cell>
          <cell r="O931">
            <v>2</v>
          </cell>
          <cell r="P931">
            <v>46031</v>
          </cell>
          <cell r="Q931">
            <v>1</v>
          </cell>
          <cell r="R931" t="str">
            <v>NA</v>
          </cell>
          <cell r="S931">
            <v>5</v>
          </cell>
        </row>
        <row r="932">
          <cell r="B932" t="str">
            <v>MNC</v>
          </cell>
          <cell r="C932" t="str">
            <v>HSLB13002</v>
          </cell>
          <cell r="D932">
            <v>201001</v>
          </cell>
          <cell r="E932" t="str">
            <v>Estación de Trabajo</v>
          </cell>
          <cell r="F932" t="str">
            <v>NO</v>
          </cell>
          <cell r="G932" t="str">
            <v>NO</v>
          </cell>
          <cell r="H932" t="str">
            <v>OFICINA COMPIN</v>
          </cell>
          <cell r="I932">
            <v>1</v>
          </cell>
          <cell r="J932" t="str">
            <v>A.1.5</v>
          </cell>
          <cell r="K932" t="str">
            <v>Consultas medicas generales</v>
          </cell>
          <cell r="L932">
            <v>1</v>
          </cell>
          <cell r="M932">
            <v>46028</v>
          </cell>
          <cell r="N932">
            <v>46029</v>
          </cell>
          <cell r="O932">
            <v>2</v>
          </cell>
          <cell r="P932">
            <v>46031</v>
          </cell>
          <cell r="Q932">
            <v>1</v>
          </cell>
          <cell r="R932" t="str">
            <v>NA</v>
          </cell>
          <cell r="S932">
            <v>5</v>
          </cell>
        </row>
        <row r="933">
          <cell r="B933" t="str">
            <v>MNC</v>
          </cell>
          <cell r="C933" t="str">
            <v>HSLB13318</v>
          </cell>
          <cell r="D933">
            <v>201008</v>
          </cell>
          <cell r="E933" t="str">
            <v>Mesa Reuniones Tipo I</v>
          </cell>
          <cell r="F933" t="str">
            <v>NO</v>
          </cell>
          <cell r="G933" t="str">
            <v>NO</v>
          </cell>
          <cell r="H933" t="str">
            <v>OFICINA COMPIN</v>
          </cell>
          <cell r="I933">
            <v>1</v>
          </cell>
          <cell r="J933" t="str">
            <v>A.1.5</v>
          </cell>
          <cell r="K933" t="str">
            <v>Consultas medicas generales</v>
          </cell>
          <cell r="L933">
            <v>1</v>
          </cell>
          <cell r="M933">
            <v>46028</v>
          </cell>
          <cell r="N933">
            <v>46029</v>
          </cell>
          <cell r="O933">
            <v>2</v>
          </cell>
          <cell r="P933">
            <v>46031</v>
          </cell>
          <cell r="Q933">
            <v>1</v>
          </cell>
          <cell r="R933" t="str">
            <v>NA</v>
          </cell>
          <cell r="S933">
            <v>5</v>
          </cell>
        </row>
        <row r="934">
          <cell r="B934" t="str">
            <v>MNC</v>
          </cell>
          <cell r="C934" t="str">
            <v>HSLB13003</v>
          </cell>
          <cell r="D934">
            <v>201001</v>
          </cell>
          <cell r="E934" t="str">
            <v>Estación de Trabajo</v>
          </cell>
          <cell r="F934" t="str">
            <v>NO</v>
          </cell>
          <cell r="G934" t="str">
            <v>NO</v>
          </cell>
          <cell r="H934" t="str">
            <v>OFICINA FONASA</v>
          </cell>
          <cell r="I934">
            <v>1</v>
          </cell>
          <cell r="J934" t="str">
            <v>A.1.6</v>
          </cell>
          <cell r="K934" t="str">
            <v>Consultas medicas generales</v>
          </cell>
          <cell r="L934">
            <v>1</v>
          </cell>
          <cell r="M934">
            <v>46028</v>
          </cell>
          <cell r="N934">
            <v>46029</v>
          </cell>
          <cell r="O934">
            <v>2</v>
          </cell>
          <cell r="P934">
            <v>46031</v>
          </cell>
          <cell r="Q934">
            <v>1</v>
          </cell>
          <cell r="R934" t="str">
            <v>NA</v>
          </cell>
          <cell r="S934">
            <v>5</v>
          </cell>
        </row>
        <row r="935">
          <cell r="B935" t="str">
            <v>MNC</v>
          </cell>
          <cell r="C935" t="str">
            <v>HSLB13319</v>
          </cell>
          <cell r="D935">
            <v>201008</v>
          </cell>
          <cell r="E935" t="str">
            <v>Mesa Reuniones Tipo I</v>
          </cell>
          <cell r="F935" t="str">
            <v>NO</v>
          </cell>
          <cell r="G935" t="str">
            <v>NO</v>
          </cell>
          <cell r="H935" t="str">
            <v>OFICINA FONASA</v>
          </cell>
          <cell r="I935">
            <v>1</v>
          </cell>
          <cell r="J935" t="str">
            <v>A.1.6</v>
          </cell>
          <cell r="K935" t="str">
            <v>Consultas medicas generales</v>
          </cell>
          <cell r="L935">
            <v>1</v>
          </cell>
          <cell r="M935">
            <v>46028</v>
          </cell>
          <cell r="N935">
            <v>46029</v>
          </cell>
          <cell r="O935">
            <v>2</v>
          </cell>
          <cell r="P935">
            <v>46031</v>
          </cell>
          <cell r="Q935">
            <v>1</v>
          </cell>
          <cell r="R935" t="str">
            <v>NA</v>
          </cell>
          <cell r="S935">
            <v>5</v>
          </cell>
        </row>
        <row r="936">
          <cell r="B936" t="str">
            <v>MNC</v>
          </cell>
          <cell r="C936" t="str">
            <v>HSLB13437</v>
          </cell>
          <cell r="D936">
            <v>201011</v>
          </cell>
          <cell r="E936" t="str">
            <v>Mesa Tipo Casino</v>
          </cell>
          <cell r="F936" t="str">
            <v>NO</v>
          </cell>
          <cell r="G936" t="str">
            <v>NO</v>
          </cell>
          <cell r="H936" t="str">
            <v>CAFETERÍA</v>
          </cell>
          <cell r="I936">
            <v>2</v>
          </cell>
          <cell r="J936" t="str">
            <v>A.1.7.1</v>
          </cell>
          <cell r="K936" t="str">
            <v>Cafetería</v>
          </cell>
          <cell r="L936">
            <v>1</v>
          </cell>
          <cell r="M936">
            <v>46035</v>
          </cell>
          <cell r="N936">
            <v>46036</v>
          </cell>
          <cell r="O936">
            <v>1</v>
          </cell>
          <cell r="P936">
            <v>46037</v>
          </cell>
          <cell r="Q936">
            <v>1</v>
          </cell>
          <cell r="R936" t="str">
            <v>NA</v>
          </cell>
          <cell r="S936">
            <v>5</v>
          </cell>
        </row>
        <row r="937">
          <cell r="B937" t="str">
            <v>MNC</v>
          </cell>
          <cell r="C937" t="str">
            <v>HSLB13010</v>
          </cell>
          <cell r="D937">
            <v>201001</v>
          </cell>
          <cell r="E937" t="str">
            <v>Estación de Trabajo</v>
          </cell>
          <cell r="F937" t="str">
            <v>NO</v>
          </cell>
          <cell r="G937" t="str">
            <v>NO</v>
          </cell>
          <cell r="H937" t="str">
            <v>OFICINA JEFE OIRS</v>
          </cell>
          <cell r="I937">
            <v>1</v>
          </cell>
          <cell r="J937" t="str">
            <v>B.3.1.1</v>
          </cell>
          <cell r="K937" t="str">
            <v>Consultas medicas generales</v>
          </cell>
          <cell r="L937">
            <v>1</v>
          </cell>
          <cell r="M937">
            <v>46028</v>
          </cell>
          <cell r="N937">
            <v>46029</v>
          </cell>
          <cell r="O937">
            <v>2</v>
          </cell>
          <cell r="P937">
            <v>46031</v>
          </cell>
          <cell r="Q937">
            <v>1</v>
          </cell>
          <cell r="R937" t="str">
            <v>NA</v>
          </cell>
          <cell r="S937">
            <v>5</v>
          </cell>
        </row>
        <row r="938">
          <cell r="B938" t="str">
            <v>MNC</v>
          </cell>
          <cell r="C938" t="str">
            <v>HSLB13323</v>
          </cell>
          <cell r="D938">
            <v>201008</v>
          </cell>
          <cell r="E938" t="str">
            <v>Mesa Reuniones Tipo I</v>
          </cell>
          <cell r="F938" t="str">
            <v>NO</v>
          </cell>
          <cell r="G938" t="str">
            <v>NO</v>
          </cell>
          <cell r="H938" t="str">
            <v>OFICINA JEFE OIRS</v>
          </cell>
          <cell r="I938">
            <v>1</v>
          </cell>
          <cell r="J938" t="str">
            <v>B.3.1.1</v>
          </cell>
          <cell r="K938" t="str">
            <v>Consultas medicas generales</v>
          </cell>
          <cell r="L938">
            <v>1</v>
          </cell>
          <cell r="M938">
            <v>46028</v>
          </cell>
          <cell r="N938">
            <v>46029</v>
          </cell>
          <cell r="O938">
            <v>2</v>
          </cell>
          <cell r="P938">
            <v>46031</v>
          </cell>
          <cell r="Q938">
            <v>1</v>
          </cell>
          <cell r="R938" t="str">
            <v>NA</v>
          </cell>
          <cell r="S938">
            <v>5</v>
          </cell>
        </row>
        <row r="939">
          <cell r="B939" t="str">
            <v>MNC</v>
          </cell>
          <cell r="C939" t="str">
            <v>HSLB13025</v>
          </cell>
          <cell r="D939">
            <v>201001</v>
          </cell>
          <cell r="E939" t="str">
            <v>Estación de Trabajo</v>
          </cell>
          <cell r="F939" t="str">
            <v>NO</v>
          </cell>
          <cell r="G939" t="str">
            <v>NO</v>
          </cell>
          <cell r="H939" t="str">
            <v>MÓD. DE TRABAJO PROFESIONALES (gestión de la demanda)</v>
          </cell>
          <cell r="I939">
            <v>1</v>
          </cell>
          <cell r="J939" t="str">
            <v>C.1.2.1</v>
          </cell>
          <cell r="K939" t="str">
            <v>Consultas medicas generales</v>
          </cell>
          <cell r="L939">
            <v>1</v>
          </cell>
          <cell r="M939">
            <v>46028</v>
          </cell>
          <cell r="N939">
            <v>46029</v>
          </cell>
          <cell r="O939">
            <v>2</v>
          </cell>
          <cell r="P939">
            <v>46031</v>
          </cell>
          <cell r="Q939">
            <v>1</v>
          </cell>
          <cell r="R939" t="str">
            <v>NA</v>
          </cell>
          <cell r="S939">
            <v>5</v>
          </cell>
        </row>
        <row r="940">
          <cell r="B940" t="str">
            <v>MNC</v>
          </cell>
          <cell r="C940" t="str">
            <v>HSLB13326</v>
          </cell>
          <cell r="D940">
            <v>201008</v>
          </cell>
          <cell r="E940" t="str">
            <v>Mesa Reuniones Tipo I</v>
          </cell>
          <cell r="F940" t="str">
            <v>NO</v>
          </cell>
          <cell r="G940" t="str">
            <v>NO</v>
          </cell>
          <cell r="H940" t="str">
            <v>MÓD. DE TRABAJO PROFESIONALES (gestión de la demanda)</v>
          </cell>
          <cell r="I940">
            <v>1</v>
          </cell>
          <cell r="J940" t="str">
            <v>C.1.2.1</v>
          </cell>
          <cell r="K940" t="str">
            <v>Consultas medicas generales</v>
          </cell>
          <cell r="L940">
            <v>1</v>
          </cell>
          <cell r="M940">
            <v>46028</v>
          </cell>
          <cell r="N940">
            <v>46029</v>
          </cell>
          <cell r="O940">
            <v>2</v>
          </cell>
          <cell r="P940">
            <v>46031</v>
          </cell>
          <cell r="Q940">
            <v>1</v>
          </cell>
          <cell r="R940" t="str">
            <v>NA</v>
          </cell>
          <cell r="S940">
            <v>5</v>
          </cell>
        </row>
        <row r="941">
          <cell r="B941" t="str">
            <v>MNC</v>
          </cell>
          <cell r="C941" t="str">
            <v>HSLB15163</v>
          </cell>
          <cell r="D941">
            <v>201001</v>
          </cell>
          <cell r="E941" t="str">
            <v>Estación de Trabajo</v>
          </cell>
          <cell r="F941" t="str">
            <v>NO</v>
          </cell>
          <cell r="G941" t="str">
            <v>SI</v>
          </cell>
          <cell r="H941" t="str">
            <v>MÓDULO DE TRABAJO ADMINISTRATIVOS GES</v>
          </cell>
          <cell r="I941">
            <v>1</v>
          </cell>
          <cell r="J941" t="str">
            <v>C.1.2.1.1</v>
          </cell>
          <cell r="K941" t="str">
            <v>Consultas medicas generales</v>
          </cell>
          <cell r="L941">
            <v>1</v>
          </cell>
          <cell r="M941">
            <v>46003</v>
          </cell>
          <cell r="N941">
            <v>46006</v>
          </cell>
          <cell r="O941">
            <v>2</v>
          </cell>
          <cell r="P941">
            <v>46008</v>
          </cell>
          <cell r="Q941">
            <v>1</v>
          </cell>
          <cell r="R941" t="str">
            <v>NA</v>
          </cell>
          <cell r="S941">
            <v>5</v>
          </cell>
        </row>
        <row r="942">
          <cell r="B942" t="str">
            <v>MNC</v>
          </cell>
          <cell r="C942" t="str">
            <v>HSLB15164</v>
          </cell>
          <cell r="D942">
            <v>201001</v>
          </cell>
          <cell r="E942" t="str">
            <v>Estación de Trabajo</v>
          </cell>
          <cell r="F942" t="str">
            <v>NO</v>
          </cell>
          <cell r="G942" t="str">
            <v>NO</v>
          </cell>
          <cell r="H942" t="str">
            <v>MÓDULO DE TRABAJO PROFESIONALES LISTA DE ESPERA</v>
          </cell>
          <cell r="I942">
            <v>1</v>
          </cell>
          <cell r="J942" t="str">
            <v>C.1.2.1.2</v>
          </cell>
          <cell r="K942" t="str">
            <v>Consultas medicas generales</v>
          </cell>
          <cell r="L942">
            <v>1</v>
          </cell>
          <cell r="M942">
            <v>46028</v>
          </cell>
          <cell r="N942">
            <v>46029</v>
          </cell>
          <cell r="O942">
            <v>2</v>
          </cell>
          <cell r="P942">
            <v>46031</v>
          </cell>
          <cell r="Q942">
            <v>1</v>
          </cell>
          <cell r="R942" t="str">
            <v>NA</v>
          </cell>
          <cell r="S942">
            <v>5</v>
          </cell>
        </row>
        <row r="943">
          <cell r="B943" t="str">
            <v>MNC</v>
          </cell>
          <cell r="C943" t="str">
            <v>HSLB15165</v>
          </cell>
          <cell r="D943">
            <v>201001</v>
          </cell>
          <cell r="E943" t="str">
            <v>Estación de Trabajo</v>
          </cell>
          <cell r="F943" t="str">
            <v>NO</v>
          </cell>
          <cell r="G943" t="str">
            <v>NO</v>
          </cell>
          <cell r="H943" t="str">
            <v>MÓDULO DE TRABAJO PROFESIONALES  DEMANDA CONSULTAS MÉDICAS</v>
          </cell>
          <cell r="I943">
            <v>1</v>
          </cell>
          <cell r="J943" t="str">
            <v>C.1.2.1.3</v>
          </cell>
          <cell r="K943" t="str">
            <v>Consultas medicas generales</v>
          </cell>
          <cell r="L943">
            <v>1</v>
          </cell>
          <cell r="M943">
            <v>46028</v>
          </cell>
          <cell r="N943">
            <v>46029</v>
          </cell>
          <cell r="O943">
            <v>2</v>
          </cell>
          <cell r="P943">
            <v>46031</v>
          </cell>
          <cell r="Q943">
            <v>1</v>
          </cell>
          <cell r="R943" t="str">
            <v>NA</v>
          </cell>
          <cell r="S943">
            <v>5</v>
          </cell>
        </row>
        <row r="944">
          <cell r="B944" t="str">
            <v>MNC</v>
          </cell>
          <cell r="C944" t="str">
            <v>HSLB13026</v>
          </cell>
          <cell r="D944">
            <v>201001</v>
          </cell>
          <cell r="E944" t="str">
            <v>Estación de Trabajo</v>
          </cell>
          <cell r="F944" t="str">
            <v>NO</v>
          </cell>
          <cell r="G944" t="str">
            <v>NO</v>
          </cell>
          <cell r="H944" t="str">
            <v>MÓDULO DE TRABAJO ADMINISTRATIVOS GES</v>
          </cell>
          <cell r="I944">
            <v>3</v>
          </cell>
          <cell r="J944" t="str">
            <v>C.1.2.2</v>
          </cell>
          <cell r="K944" t="str">
            <v>Consultas medicas generales</v>
          </cell>
          <cell r="L944">
            <v>1</v>
          </cell>
          <cell r="M944">
            <v>46028</v>
          </cell>
          <cell r="N944">
            <v>46029</v>
          </cell>
          <cell r="O944">
            <v>2</v>
          </cell>
          <cell r="P944">
            <v>46031</v>
          </cell>
          <cell r="Q944">
            <v>1</v>
          </cell>
          <cell r="R944" t="str">
            <v>NA</v>
          </cell>
          <cell r="S944">
            <v>5</v>
          </cell>
        </row>
        <row r="945">
          <cell r="B945" t="str">
            <v>MNC</v>
          </cell>
          <cell r="C945" t="str">
            <v>HSLB13369</v>
          </cell>
          <cell r="D945">
            <v>201009</v>
          </cell>
          <cell r="E945" t="str">
            <v>Mesa Reuniones Tipo II</v>
          </cell>
          <cell r="F945" t="str">
            <v>NO</v>
          </cell>
          <cell r="G945" t="str">
            <v>NO</v>
          </cell>
          <cell r="H945" t="str">
            <v>MÓDULO DE TRABAJO ADMINISTRATIVOS GES</v>
          </cell>
          <cell r="I945">
            <v>1</v>
          </cell>
          <cell r="J945" t="str">
            <v>C.1.2.2</v>
          </cell>
          <cell r="K945" t="str">
            <v>Consultas medicas generales</v>
          </cell>
          <cell r="L945">
            <v>1</v>
          </cell>
          <cell r="M945">
            <v>46028</v>
          </cell>
          <cell r="N945">
            <v>46029</v>
          </cell>
          <cell r="O945">
            <v>2</v>
          </cell>
          <cell r="P945">
            <v>46031</v>
          </cell>
          <cell r="Q945">
            <v>1</v>
          </cell>
          <cell r="R945" t="str">
            <v>NA</v>
          </cell>
          <cell r="S945">
            <v>5</v>
          </cell>
        </row>
        <row r="946">
          <cell r="B946" t="str">
            <v>MNC</v>
          </cell>
          <cell r="C946" t="str">
            <v>HSLB13276</v>
          </cell>
          <cell r="D946">
            <v>201001</v>
          </cell>
          <cell r="E946" t="str">
            <v>Estación de Trabajo</v>
          </cell>
          <cell r="F946" t="str">
            <v>NO</v>
          </cell>
          <cell r="G946" t="str">
            <v>NO</v>
          </cell>
          <cell r="H946" t="str">
            <v>MÓDULO DE TRABAJO ADMINISTRATIVOS MANTENCIÓN DE AGENDA</v>
          </cell>
          <cell r="I946">
            <v>2</v>
          </cell>
          <cell r="J946" t="str">
            <v>C.1.2.2.1</v>
          </cell>
          <cell r="K946" t="str">
            <v>Consultas medicas generales</v>
          </cell>
          <cell r="L946">
            <v>1</v>
          </cell>
          <cell r="M946">
            <v>46028</v>
          </cell>
          <cell r="N946">
            <v>46029</v>
          </cell>
          <cell r="O946">
            <v>2</v>
          </cell>
          <cell r="P946">
            <v>46031</v>
          </cell>
          <cell r="Q946">
            <v>1</v>
          </cell>
          <cell r="R946" t="str">
            <v>NA</v>
          </cell>
          <cell r="S946">
            <v>5</v>
          </cell>
        </row>
        <row r="947">
          <cell r="B947" t="str">
            <v>MNC</v>
          </cell>
          <cell r="C947" t="str">
            <v>HSLB13281</v>
          </cell>
          <cell r="D947">
            <v>201001</v>
          </cell>
          <cell r="E947" t="str">
            <v>Estación de Trabajo</v>
          </cell>
          <cell r="F947" t="str">
            <v>NO</v>
          </cell>
          <cell r="G947" t="str">
            <v>NO</v>
          </cell>
          <cell r="H947" t="str">
            <v>MÓDULO DE TRABAJO ADMINISTRATIVOS LISTA DE ESPERA</v>
          </cell>
          <cell r="I947">
            <v>2</v>
          </cell>
          <cell r="J947" t="str">
            <v>C.1.2.2.2</v>
          </cell>
          <cell r="K947" t="str">
            <v>Consultas medicas generales</v>
          </cell>
          <cell r="L947">
            <v>1</v>
          </cell>
          <cell r="M947">
            <v>46028</v>
          </cell>
          <cell r="N947">
            <v>46029</v>
          </cell>
          <cell r="O947">
            <v>2</v>
          </cell>
          <cell r="P947">
            <v>46031</v>
          </cell>
          <cell r="Q947">
            <v>1</v>
          </cell>
          <cell r="R947" t="str">
            <v>NA</v>
          </cell>
          <cell r="S947">
            <v>5</v>
          </cell>
        </row>
        <row r="948">
          <cell r="B948" t="str">
            <v>MNC</v>
          </cell>
          <cell r="C948" t="str">
            <v>HSLB13036</v>
          </cell>
          <cell r="D948">
            <v>201001</v>
          </cell>
          <cell r="E948" t="str">
            <v>Estación de Trabajo</v>
          </cell>
          <cell r="F948" t="str">
            <v>NO</v>
          </cell>
          <cell r="G948" t="str">
            <v>NO</v>
          </cell>
          <cell r="H948" t="str">
            <v>SALA PROCEDIMIENTOS MONITOREO FETAL</v>
          </cell>
          <cell r="I948">
            <v>1</v>
          </cell>
          <cell r="J948" t="str">
            <v>C.2.2.2.14</v>
          </cell>
          <cell r="K948" t="str">
            <v>Consultas medicas generales</v>
          </cell>
          <cell r="L948">
            <v>1</v>
          </cell>
          <cell r="M948">
            <v>46028</v>
          </cell>
          <cell r="N948">
            <v>46029</v>
          </cell>
          <cell r="O948">
            <v>2</v>
          </cell>
          <cell r="P948">
            <v>46031</v>
          </cell>
          <cell r="Q948">
            <v>1</v>
          </cell>
          <cell r="R948" t="str">
            <v>NA</v>
          </cell>
          <cell r="S948">
            <v>5</v>
          </cell>
        </row>
        <row r="949">
          <cell r="B949" t="str">
            <v>MNC</v>
          </cell>
          <cell r="C949" t="str">
            <v>HSLB13075</v>
          </cell>
          <cell r="D949">
            <v>201001</v>
          </cell>
          <cell r="E949" t="str">
            <v>Estación de Trabajo</v>
          </cell>
          <cell r="F949" t="str">
            <v>NO</v>
          </cell>
          <cell r="G949" t="str">
            <v>NO</v>
          </cell>
          <cell r="H949" t="str">
            <v>OFICINA JEFE DIÁLISIS</v>
          </cell>
          <cell r="I949">
            <v>1</v>
          </cell>
          <cell r="J949" t="str">
            <v>C.2.3.1</v>
          </cell>
          <cell r="K949" t="str">
            <v>Dialisis</v>
          </cell>
          <cell r="L949">
            <v>1</v>
          </cell>
          <cell r="M949">
            <v>46031</v>
          </cell>
          <cell r="N949">
            <v>46034</v>
          </cell>
          <cell r="O949">
            <v>2</v>
          </cell>
          <cell r="P949">
            <v>46036</v>
          </cell>
          <cell r="Q949">
            <v>1</v>
          </cell>
          <cell r="R949" t="str">
            <v>NA</v>
          </cell>
          <cell r="S949">
            <v>5</v>
          </cell>
        </row>
        <row r="950">
          <cell r="B950" t="str">
            <v>MNC</v>
          </cell>
          <cell r="C950" t="str">
            <v>HSLB13076</v>
          </cell>
          <cell r="D950">
            <v>201001</v>
          </cell>
          <cell r="E950" t="str">
            <v>Estación de Trabajo</v>
          </cell>
          <cell r="F950" t="str">
            <v>NO</v>
          </cell>
          <cell r="G950" t="str">
            <v>NO</v>
          </cell>
          <cell r="H950" t="str">
            <v>BOX EVALUACIÓN</v>
          </cell>
          <cell r="I950">
            <v>1</v>
          </cell>
          <cell r="J950" t="str">
            <v>C.2.3.12</v>
          </cell>
          <cell r="K950" t="str">
            <v>Dialisis</v>
          </cell>
          <cell r="L950">
            <v>1</v>
          </cell>
          <cell r="M950">
            <v>46031</v>
          </cell>
          <cell r="N950">
            <v>46034</v>
          </cell>
          <cell r="O950">
            <v>2</v>
          </cell>
          <cell r="P950">
            <v>46036</v>
          </cell>
          <cell r="Q950">
            <v>1</v>
          </cell>
          <cell r="R950" t="str">
            <v>NA</v>
          </cell>
          <cell r="S950">
            <v>5</v>
          </cell>
        </row>
        <row r="951">
          <cell r="B951" t="str">
            <v>MNC</v>
          </cell>
          <cell r="C951" t="str">
            <v>HSLB15166</v>
          </cell>
          <cell r="D951">
            <v>201001</v>
          </cell>
          <cell r="E951" t="str">
            <v>Estación de Trabajo</v>
          </cell>
          <cell r="F951" t="str">
            <v>NO</v>
          </cell>
          <cell r="G951" t="str">
            <v>NO</v>
          </cell>
          <cell r="H951" t="str">
            <v>PUESTO DIALISADOS CRÓNICOS</v>
          </cell>
          <cell r="I951">
            <v>1</v>
          </cell>
          <cell r="J951" t="str">
            <v>C.2.3.13.1</v>
          </cell>
          <cell r="K951" t="str">
            <v>Dialisis</v>
          </cell>
          <cell r="L951">
            <v>1</v>
          </cell>
          <cell r="M951">
            <v>46031</v>
          </cell>
          <cell r="N951">
            <v>46034</v>
          </cell>
          <cell r="O951">
            <v>2</v>
          </cell>
          <cell r="P951">
            <v>46036</v>
          </cell>
          <cell r="Q951">
            <v>1</v>
          </cell>
          <cell r="R951" t="str">
            <v>NA</v>
          </cell>
          <cell r="S951">
            <v>5</v>
          </cell>
        </row>
        <row r="952">
          <cell r="B952" t="str">
            <v>MNC</v>
          </cell>
          <cell r="C952" t="str">
            <v>HSLB15167</v>
          </cell>
          <cell r="D952">
            <v>201001</v>
          </cell>
          <cell r="E952" t="str">
            <v>Estación de Trabajo</v>
          </cell>
          <cell r="F952" t="str">
            <v>NO</v>
          </cell>
          <cell r="G952" t="str">
            <v>NO</v>
          </cell>
          <cell r="H952" t="str">
            <v>PUESTO DIALISADOS CRÓNICOS</v>
          </cell>
          <cell r="I952">
            <v>1</v>
          </cell>
          <cell r="J952" t="str">
            <v>C.2.3.13.2</v>
          </cell>
          <cell r="K952" t="str">
            <v>Dialisis</v>
          </cell>
          <cell r="L952">
            <v>1</v>
          </cell>
          <cell r="M952">
            <v>46031</v>
          </cell>
          <cell r="N952">
            <v>46034</v>
          </cell>
          <cell r="O952">
            <v>2</v>
          </cell>
          <cell r="P952">
            <v>46036</v>
          </cell>
          <cell r="Q952">
            <v>1</v>
          </cell>
          <cell r="R952" t="str">
            <v>NA</v>
          </cell>
          <cell r="S952">
            <v>5</v>
          </cell>
        </row>
        <row r="953">
          <cell r="B953" t="str">
            <v>MNC</v>
          </cell>
          <cell r="C953" t="str">
            <v>HSLB15168</v>
          </cell>
          <cell r="D953">
            <v>201001</v>
          </cell>
          <cell r="E953" t="str">
            <v>Estación de Trabajo</v>
          </cell>
          <cell r="F953" t="str">
            <v>NO</v>
          </cell>
          <cell r="G953" t="str">
            <v>NO</v>
          </cell>
          <cell r="H953" t="str">
            <v>PUESTO DIALISADOS CRÓNICOS</v>
          </cell>
          <cell r="I953">
            <v>1</v>
          </cell>
          <cell r="J953" t="str">
            <v>C.2.3.13.3</v>
          </cell>
          <cell r="K953" t="str">
            <v>Dialisis</v>
          </cell>
          <cell r="L953">
            <v>1</v>
          </cell>
          <cell r="M953">
            <v>46031</v>
          </cell>
          <cell r="N953">
            <v>46034</v>
          </cell>
          <cell r="O953">
            <v>2</v>
          </cell>
          <cell r="P953">
            <v>46036</v>
          </cell>
          <cell r="Q953">
            <v>1</v>
          </cell>
          <cell r="R953" t="str">
            <v>NA</v>
          </cell>
          <cell r="S953">
            <v>5</v>
          </cell>
        </row>
        <row r="954">
          <cell r="B954" t="str">
            <v>MNC</v>
          </cell>
          <cell r="C954" t="str">
            <v>HSLB13329</v>
          </cell>
          <cell r="D954">
            <v>201008</v>
          </cell>
          <cell r="E954" t="str">
            <v>Mesa Reuniones Tipo I</v>
          </cell>
          <cell r="F954" t="str">
            <v>NO</v>
          </cell>
          <cell r="G954" t="str">
            <v>NO</v>
          </cell>
          <cell r="H954" t="str">
            <v xml:space="preserve">SALA POST-DIALISADOS </v>
          </cell>
          <cell r="I954">
            <v>1</v>
          </cell>
          <cell r="J954" t="str">
            <v>C.2.3.19</v>
          </cell>
          <cell r="K954" t="str">
            <v>Dialisis</v>
          </cell>
          <cell r="L954">
            <v>1</v>
          </cell>
          <cell r="M954">
            <v>46031</v>
          </cell>
          <cell r="N954">
            <v>46034</v>
          </cell>
          <cell r="O954">
            <v>2</v>
          </cell>
          <cell r="P954">
            <v>46036</v>
          </cell>
          <cell r="Q954">
            <v>1</v>
          </cell>
          <cell r="R954" t="str">
            <v>NA</v>
          </cell>
          <cell r="S954">
            <v>5</v>
          </cell>
        </row>
        <row r="955">
          <cell r="B955" t="str">
            <v>MNC</v>
          </cell>
          <cell r="C955" t="str">
            <v>HSLB13077</v>
          </cell>
          <cell r="D955">
            <v>201001</v>
          </cell>
          <cell r="E955" t="str">
            <v>Estación de Trabajo</v>
          </cell>
          <cell r="F955" t="str">
            <v>NO</v>
          </cell>
          <cell r="G955" t="str">
            <v>NO</v>
          </cell>
          <cell r="H955" t="str">
            <v>OFICINA ENFERMERA COORDINADORA                    (PERITONEO)</v>
          </cell>
          <cell r="I955">
            <v>1</v>
          </cell>
          <cell r="J955" t="str">
            <v>C.2.3.2</v>
          </cell>
          <cell r="K955" t="str">
            <v>Dialisis</v>
          </cell>
          <cell r="L955">
            <v>1</v>
          </cell>
          <cell r="M955">
            <v>46031</v>
          </cell>
          <cell r="N955">
            <v>46034</v>
          </cell>
          <cell r="O955">
            <v>2</v>
          </cell>
          <cell r="P955">
            <v>46036</v>
          </cell>
          <cell r="Q955">
            <v>1</v>
          </cell>
          <cell r="R955" t="str">
            <v>NA</v>
          </cell>
          <cell r="S955">
            <v>5</v>
          </cell>
        </row>
        <row r="956">
          <cell r="B956" t="str">
            <v>MNC</v>
          </cell>
          <cell r="C956" t="str">
            <v>HSLB15243</v>
          </cell>
          <cell r="D956">
            <v>201001</v>
          </cell>
          <cell r="E956" t="str">
            <v>Estación de Trabajo</v>
          </cell>
          <cell r="F956" t="str">
            <v>NO</v>
          </cell>
          <cell r="G956" t="str">
            <v>NO</v>
          </cell>
          <cell r="H956" t="str">
            <v>SALA EDUCACIÓN PERITONEODIÁLISIS C/ BAÑO</v>
          </cell>
          <cell r="I956">
            <v>1</v>
          </cell>
          <cell r="J956" t="str">
            <v>C.2.3.20</v>
          </cell>
          <cell r="K956" t="str">
            <v>Dialisis</v>
          </cell>
          <cell r="L956">
            <v>1</v>
          </cell>
          <cell r="M956">
            <v>46031</v>
          </cell>
          <cell r="N956">
            <v>46034</v>
          </cell>
          <cell r="O956">
            <v>2</v>
          </cell>
          <cell r="P956">
            <v>46036</v>
          </cell>
          <cell r="Q956">
            <v>1</v>
          </cell>
          <cell r="R956" t="str">
            <v>NA</v>
          </cell>
          <cell r="S956">
            <v>5</v>
          </cell>
        </row>
        <row r="957">
          <cell r="B957" t="str">
            <v>MNC</v>
          </cell>
          <cell r="C957" t="str">
            <v>HSLB15245</v>
          </cell>
          <cell r="D957">
            <v>201001</v>
          </cell>
          <cell r="E957" t="str">
            <v>Estación de Trabajo</v>
          </cell>
          <cell r="F957" t="str">
            <v>NO</v>
          </cell>
          <cell r="G957" t="str">
            <v>NO</v>
          </cell>
          <cell r="H957" t="str">
            <v>SALA PROCEDIMIENTOS</v>
          </cell>
          <cell r="I957">
            <v>1</v>
          </cell>
          <cell r="J957" t="str">
            <v>C.2.3.21</v>
          </cell>
          <cell r="K957" t="str">
            <v>Dialisis</v>
          </cell>
          <cell r="L957">
            <v>1</v>
          </cell>
          <cell r="M957">
            <v>46031</v>
          </cell>
          <cell r="N957">
            <v>46034</v>
          </cell>
          <cell r="O957">
            <v>2</v>
          </cell>
          <cell r="P957">
            <v>46036</v>
          </cell>
          <cell r="Q957">
            <v>1</v>
          </cell>
          <cell r="R957" t="str">
            <v>NA</v>
          </cell>
          <cell r="S957">
            <v>5</v>
          </cell>
        </row>
        <row r="958">
          <cell r="B958" t="str">
            <v>MNC</v>
          </cell>
          <cell r="C958" t="str">
            <v>HSLB15169</v>
          </cell>
          <cell r="D958">
            <v>201001</v>
          </cell>
          <cell r="E958" t="str">
            <v>Estación de Trabajo</v>
          </cell>
          <cell r="F958" t="str">
            <v>NO</v>
          </cell>
          <cell r="G958" t="str">
            <v>NO</v>
          </cell>
          <cell r="H958" t="str">
            <v>OFICINA COORDINADORA (HEMODIALISIS)</v>
          </cell>
          <cell r="I958">
            <v>1</v>
          </cell>
          <cell r="J958" t="str">
            <v>C.2.3.39</v>
          </cell>
          <cell r="K958" t="str">
            <v>Dialisis</v>
          </cell>
          <cell r="L958">
            <v>1</v>
          </cell>
          <cell r="M958">
            <v>46031</v>
          </cell>
          <cell r="N958">
            <v>46034</v>
          </cell>
          <cell r="O958">
            <v>2</v>
          </cell>
          <cell r="P958">
            <v>46036</v>
          </cell>
          <cell r="Q958">
            <v>1</v>
          </cell>
          <cell r="R958" t="str">
            <v>NA</v>
          </cell>
          <cell r="S958">
            <v>5</v>
          </cell>
        </row>
        <row r="959">
          <cell r="B959" t="str">
            <v>MNC</v>
          </cell>
          <cell r="C959" t="str">
            <v>HSLB13079</v>
          </cell>
          <cell r="D959">
            <v>201001</v>
          </cell>
          <cell r="E959" t="str">
            <v>Estación de Trabajo</v>
          </cell>
          <cell r="F959" t="str">
            <v>NO</v>
          </cell>
          <cell r="G959" t="str">
            <v>NO</v>
          </cell>
          <cell r="H959" t="str">
            <v>OFICINA JEFE CUIDADOS PALIATIVOS</v>
          </cell>
          <cell r="I959">
            <v>1</v>
          </cell>
          <cell r="J959" t="str">
            <v>C.2.4.1</v>
          </cell>
          <cell r="K959" t="str">
            <v>Cuidados Paliativos</v>
          </cell>
          <cell r="L959">
            <v>1</v>
          </cell>
          <cell r="M959">
            <v>46035</v>
          </cell>
          <cell r="N959">
            <v>46036</v>
          </cell>
          <cell r="O959">
            <v>2</v>
          </cell>
          <cell r="P959">
            <v>46038</v>
          </cell>
          <cell r="Q959">
            <v>1</v>
          </cell>
          <cell r="R959" t="str">
            <v>NA</v>
          </cell>
          <cell r="S959">
            <v>5</v>
          </cell>
        </row>
        <row r="960">
          <cell r="B960" t="str">
            <v>MNC</v>
          </cell>
          <cell r="C960" t="str">
            <v>HSLB13330</v>
          </cell>
          <cell r="D960">
            <v>201008</v>
          </cell>
          <cell r="E960" t="str">
            <v>Mesa Reuniones Tipo I</v>
          </cell>
          <cell r="F960" t="str">
            <v>NO</v>
          </cell>
          <cell r="G960" t="str">
            <v>NO</v>
          </cell>
          <cell r="H960" t="str">
            <v>OFICINA JEFE CUIDADOS PALIATIVOS</v>
          </cell>
          <cell r="I960">
            <v>1</v>
          </cell>
          <cell r="J960" t="str">
            <v>C.2.4.1</v>
          </cell>
          <cell r="K960" t="str">
            <v>Cuidados Paliativos</v>
          </cell>
          <cell r="L960">
            <v>1</v>
          </cell>
          <cell r="M960">
            <v>46035</v>
          </cell>
          <cell r="N960">
            <v>46036</v>
          </cell>
          <cell r="O960">
            <v>1</v>
          </cell>
          <cell r="P960">
            <v>46037</v>
          </cell>
          <cell r="Q960">
            <v>1</v>
          </cell>
          <cell r="R960" t="str">
            <v>NA</v>
          </cell>
          <cell r="S960">
            <v>5</v>
          </cell>
        </row>
        <row r="961">
          <cell r="B961" t="str">
            <v>MNC</v>
          </cell>
          <cell r="C961" t="str">
            <v>HSLB13080</v>
          </cell>
          <cell r="D961">
            <v>201001</v>
          </cell>
          <cell r="E961" t="str">
            <v>Estación de Trabajo</v>
          </cell>
          <cell r="F961" t="str">
            <v>NO</v>
          </cell>
          <cell r="G961" t="str">
            <v>NO</v>
          </cell>
          <cell r="H961" t="str">
            <v>OFICINA ENFERMERA</v>
          </cell>
          <cell r="I961">
            <v>1</v>
          </cell>
          <cell r="J961" t="str">
            <v>C.2.4.1.1</v>
          </cell>
          <cell r="K961" t="str">
            <v>Cuidados Paliativos</v>
          </cell>
          <cell r="L961">
            <v>1</v>
          </cell>
          <cell r="M961">
            <v>46035</v>
          </cell>
          <cell r="N961">
            <v>46036</v>
          </cell>
          <cell r="O961">
            <v>2</v>
          </cell>
          <cell r="P961">
            <v>46038</v>
          </cell>
          <cell r="Q961">
            <v>1</v>
          </cell>
          <cell r="R961" t="str">
            <v>NA</v>
          </cell>
          <cell r="S961">
            <v>5</v>
          </cell>
        </row>
        <row r="962">
          <cell r="B962" t="str">
            <v>MNC</v>
          </cell>
          <cell r="C962" t="str">
            <v>HSLB13081</v>
          </cell>
          <cell r="D962">
            <v>201001</v>
          </cell>
          <cell r="E962" t="str">
            <v>Estación de Trabajo</v>
          </cell>
          <cell r="F962" t="str">
            <v>NO</v>
          </cell>
          <cell r="G962" t="str">
            <v>NO</v>
          </cell>
          <cell r="H962" t="str">
            <v>SALA MULTIPROPÓSITO</v>
          </cell>
          <cell r="I962">
            <v>1</v>
          </cell>
          <cell r="J962" t="str">
            <v>C.2.4.17</v>
          </cell>
          <cell r="K962" t="str">
            <v>Cuidados Paliativos</v>
          </cell>
          <cell r="L962">
            <v>1</v>
          </cell>
          <cell r="M962">
            <v>46035</v>
          </cell>
          <cell r="N962">
            <v>46036</v>
          </cell>
          <cell r="O962">
            <v>2</v>
          </cell>
          <cell r="P962">
            <v>46038</v>
          </cell>
          <cell r="Q962">
            <v>1</v>
          </cell>
          <cell r="R962" t="str">
            <v>NA</v>
          </cell>
          <cell r="S962">
            <v>5</v>
          </cell>
        </row>
        <row r="963">
          <cell r="B963" t="str">
            <v>MNC</v>
          </cell>
          <cell r="C963" t="str">
            <v>HSLB13331</v>
          </cell>
          <cell r="D963">
            <v>201008</v>
          </cell>
          <cell r="E963" t="str">
            <v>Mesa Reuniones Tipo I</v>
          </cell>
          <cell r="F963" t="str">
            <v>NO</v>
          </cell>
          <cell r="G963" t="str">
            <v>NO</v>
          </cell>
          <cell r="H963" t="str">
            <v>SALA MULTIPROPÓSITO</v>
          </cell>
          <cell r="I963">
            <v>1</v>
          </cell>
          <cell r="J963" t="str">
            <v>C.2.4.17</v>
          </cell>
          <cell r="K963" t="str">
            <v>Cuidados Paliativos</v>
          </cell>
          <cell r="L963">
            <v>1</v>
          </cell>
          <cell r="M963">
            <v>46035</v>
          </cell>
          <cell r="N963">
            <v>46036</v>
          </cell>
          <cell r="O963">
            <v>1</v>
          </cell>
          <cell r="P963">
            <v>46037</v>
          </cell>
          <cell r="Q963">
            <v>1</v>
          </cell>
          <cell r="R963" t="str">
            <v>NA</v>
          </cell>
          <cell r="S963">
            <v>5</v>
          </cell>
        </row>
        <row r="964">
          <cell r="B964" t="str">
            <v>MNC</v>
          </cell>
          <cell r="C964" t="str">
            <v>HSLB13082</v>
          </cell>
          <cell r="D964">
            <v>201001</v>
          </cell>
          <cell r="E964" t="str">
            <v>Estación de Trabajo</v>
          </cell>
          <cell r="F964" t="str">
            <v>NO</v>
          </cell>
          <cell r="G964" t="str">
            <v>NO</v>
          </cell>
          <cell r="H964" t="str">
            <v>BOX MÉDICO</v>
          </cell>
          <cell r="I964">
            <v>1</v>
          </cell>
          <cell r="J964" t="str">
            <v>C.2.4.5</v>
          </cell>
          <cell r="K964" t="str">
            <v>Cuidados Paliativos</v>
          </cell>
          <cell r="L964">
            <v>1</v>
          </cell>
          <cell r="M964">
            <v>46035</v>
          </cell>
          <cell r="N964">
            <v>46036</v>
          </cell>
          <cell r="O964">
            <v>2</v>
          </cell>
          <cell r="P964">
            <v>46038</v>
          </cell>
          <cell r="Q964">
            <v>1</v>
          </cell>
          <cell r="R964" t="str">
            <v>NA</v>
          </cell>
          <cell r="S964">
            <v>5</v>
          </cell>
        </row>
        <row r="965">
          <cell r="B965" t="str">
            <v>MNC</v>
          </cell>
          <cell r="C965" t="str">
            <v>HSLB13083</v>
          </cell>
          <cell r="D965">
            <v>201001</v>
          </cell>
          <cell r="E965" t="str">
            <v>Estación de Trabajo</v>
          </cell>
          <cell r="F965" t="str">
            <v>NO</v>
          </cell>
          <cell r="G965" t="str">
            <v>NO</v>
          </cell>
          <cell r="H965" t="str">
            <v>BOX MULTIPROPÓSITO (1)</v>
          </cell>
          <cell r="I965">
            <v>1</v>
          </cell>
          <cell r="J965" t="str">
            <v>C.2.4.6.1</v>
          </cell>
          <cell r="K965" t="str">
            <v>Cuidados Paliativos</v>
          </cell>
          <cell r="L965">
            <v>1</v>
          </cell>
          <cell r="M965">
            <v>46035</v>
          </cell>
          <cell r="N965">
            <v>46036</v>
          </cell>
          <cell r="O965">
            <v>2</v>
          </cell>
          <cell r="P965">
            <v>46038</v>
          </cell>
          <cell r="Q965">
            <v>1</v>
          </cell>
          <cell r="R965" t="str">
            <v>NA</v>
          </cell>
          <cell r="S965">
            <v>5</v>
          </cell>
        </row>
        <row r="966">
          <cell r="B966" t="str">
            <v>MNC</v>
          </cell>
          <cell r="C966" t="str">
            <v>HSLB13084</v>
          </cell>
          <cell r="D966">
            <v>201001</v>
          </cell>
          <cell r="E966" t="str">
            <v>Estación de Trabajo</v>
          </cell>
          <cell r="F966" t="str">
            <v>NO</v>
          </cell>
          <cell r="G966" t="str">
            <v>NO</v>
          </cell>
          <cell r="H966" t="str">
            <v>BOX MULTIPROPÓSITO (2)</v>
          </cell>
          <cell r="I966">
            <v>1</v>
          </cell>
          <cell r="J966" t="str">
            <v>C.2.4.6.2</v>
          </cell>
          <cell r="K966" t="str">
            <v>Cuidados Paliativos</v>
          </cell>
          <cell r="L966">
            <v>1</v>
          </cell>
          <cell r="M966">
            <v>46035</v>
          </cell>
          <cell r="N966">
            <v>46036</v>
          </cell>
          <cell r="O966">
            <v>2</v>
          </cell>
          <cell r="P966">
            <v>46038</v>
          </cell>
          <cell r="Q966">
            <v>1</v>
          </cell>
          <cell r="R966" t="str">
            <v>NA</v>
          </cell>
          <cell r="S966">
            <v>5</v>
          </cell>
        </row>
        <row r="967">
          <cell r="B967" t="str">
            <v>MNC</v>
          </cell>
          <cell r="C967" t="str">
            <v>HSLB15256</v>
          </cell>
          <cell r="D967">
            <v>201001</v>
          </cell>
          <cell r="E967" t="str">
            <v>Estación de Trabajo</v>
          </cell>
          <cell r="F967" t="str">
            <v>NO</v>
          </cell>
          <cell r="G967" t="str">
            <v>NO</v>
          </cell>
          <cell r="H967" t="str">
            <v>SALA DE PROCEDIMIENTOS</v>
          </cell>
          <cell r="I967">
            <v>1</v>
          </cell>
          <cell r="J967" t="str">
            <v>C.2.4.8</v>
          </cell>
          <cell r="K967" t="str">
            <v>Cuidados Paliativos</v>
          </cell>
          <cell r="L967">
            <v>1</v>
          </cell>
          <cell r="M967">
            <v>46035</v>
          </cell>
          <cell r="N967">
            <v>46036</v>
          </cell>
          <cell r="O967">
            <v>2</v>
          </cell>
          <cell r="P967">
            <v>46038</v>
          </cell>
          <cell r="Q967">
            <v>1</v>
          </cell>
          <cell r="R967" t="str">
            <v>NA</v>
          </cell>
          <cell r="S967">
            <v>5</v>
          </cell>
        </row>
        <row r="968">
          <cell r="B968" t="str">
            <v>MNC</v>
          </cell>
          <cell r="C968" t="str">
            <v>HSLB13106</v>
          </cell>
          <cell r="D968">
            <v>201001</v>
          </cell>
          <cell r="E968" t="str">
            <v>Estación de Trabajo</v>
          </cell>
          <cell r="F968" t="str">
            <v>NO</v>
          </cell>
          <cell r="G968" t="str">
            <v>NO</v>
          </cell>
          <cell r="H968" t="str">
            <v>OFICINA JEFE UHCIP</v>
          </cell>
          <cell r="I968">
            <v>1</v>
          </cell>
          <cell r="J968" t="str">
            <v>C.2.5.3.1</v>
          </cell>
          <cell r="K968" t="str">
            <v>UHCIP</v>
          </cell>
          <cell r="L968">
            <v>1</v>
          </cell>
          <cell r="M968">
            <v>46024</v>
          </cell>
          <cell r="N968">
            <v>46027</v>
          </cell>
          <cell r="O968">
            <v>2</v>
          </cell>
          <cell r="P968">
            <v>46029</v>
          </cell>
          <cell r="Q968">
            <v>1</v>
          </cell>
          <cell r="R968" t="str">
            <v>NA</v>
          </cell>
          <cell r="S968">
            <v>5</v>
          </cell>
        </row>
        <row r="969">
          <cell r="B969" t="str">
            <v>MNC</v>
          </cell>
          <cell r="C969" t="str">
            <v>HSLB13333</v>
          </cell>
          <cell r="D969">
            <v>201008</v>
          </cell>
          <cell r="E969" t="str">
            <v>Mesa Reuniones Tipo I</v>
          </cell>
          <cell r="F969" t="str">
            <v>NO</v>
          </cell>
          <cell r="G969" t="str">
            <v>NO</v>
          </cell>
          <cell r="H969" t="str">
            <v>OFICINA JEFE UHCIP</v>
          </cell>
          <cell r="I969">
            <v>1</v>
          </cell>
          <cell r="J969" t="str">
            <v>C.2.5.3.1</v>
          </cell>
          <cell r="K969" t="str">
            <v>UHCIP</v>
          </cell>
          <cell r="L969">
            <v>1</v>
          </cell>
          <cell r="M969">
            <v>46024</v>
          </cell>
          <cell r="N969">
            <v>46027</v>
          </cell>
          <cell r="O969">
            <v>1</v>
          </cell>
          <cell r="P969">
            <v>46028</v>
          </cell>
          <cell r="Q969">
            <v>1</v>
          </cell>
          <cell r="R969" t="str">
            <v>NA</v>
          </cell>
          <cell r="S969">
            <v>5</v>
          </cell>
        </row>
        <row r="970">
          <cell r="B970" t="str">
            <v>MNC</v>
          </cell>
          <cell r="C970" t="str">
            <v>HSLB13107</v>
          </cell>
          <cell r="D970">
            <v>201001</v>
          </cell>
          <cell r="E970" t="str">
            <v>Estación de Trabajo</v>
          </cell>
          <cell r="F970" t="str">
            <v>NO</v>
          </cell>
          <cell r="G970" t="str">
            <v>NO</v>
          </cell>
          <cell r="H970" t="str">
            <v>SALA DE ATENCIÓN</v>
          </cell>
          <cell r="I970">
            <v>1</v>
          </cell>
          <cell r="J970" t="str">
            <v>C.2.5.3.11.1</v>
          </cell>
          <cell r="K970" t="str">
            <v>UHCIP</v>
          </cell>
          <cell r="L970">
            <v>1</v>
          </cell>
          <cell r="M970">
            <v>46024</v>
          </cell>
          <cell r="N970">
            <v>46027</v>
          </cell>
          <cell r="O970">
            <v>2</v>
          </cell>
          <cell r="P970">
            <v>46029</v>
          </cell>
          <cell r="Q970">
            <v>1</v>
          </cell>
          <cell r="R970" t="str">
            <v>NA</v>
          </cell>
          <cell r="S970">
            <v>5</v>
          </cell>
        </row>
        <row r="971">
          <cell r="B971" t="str">
            <v>MNC</v>
          </cell>
          <cell r="C971" t="str">
            <v>HSLB13108</v>
          </cell>
          <cell r="D971">
            <v>201001</v>
          </cell>
          <cell r="E971" t="str">
            <v>Estación de Trabajo</v>
          </cell>
          <cell r="F971" t="str">
            <v>NO</v>
          </cell>
          <cell r="G971" t="str">
            <v>NO</v>
          </cell>
          <cell r="H971" t="str">
            <v>SALA DE ATENCIÓN</v>
          </cell>
          <cell r="I971">
            <v>1</v>
          </cell>
          <cell r="J971" t="str">
            <v>C.2.5.3.11.2</v>
          </cell>
          <cell r="K971" t="str">
            <v>UHCIP</v>
          </cell>
          <cell r="L971">
            <v>1</v>
          </cell>
          <cell r="M971">
            <v>46024</v>
          </cell>
          <cell r="N971">
            <v>46027</v>
          </cell>
          <cell r="O971">
            <v>2</v>
          </cell>
          <cell r="P971">
            <v>46029</v>
          </cell>
          <cell r="Q971">
            <v>1</v>
          </cell>
          <cell r="R971" t="str">
            <v>NA</v>
          </cell>
          <cell r="S971">
            <v>5</v>
          </cell>
        </row>
        <row r="972">
          <cell r="B972" t="str">
            <v>MNC</v>
          </cell>
          <cell r="C972" t="str">
            <v>HSLB13109</v>
          </cell>
          <cell r="D972">
            <v>201001</v>
          </cell>
          <cell r="E972" t="str">
            <v>Estación de Trabajo</v>
          </cell>
          <cell r="F972" t="str">
            <v>NO</v>
          </cell>
          <cell r="G972" t="str">
            <v>NO</v>
          </cell>
          <cell r="H972" t="str">
            <v>SALA DE ATENCIÓN</v>
          </cell>
          <cell r="I972">
            <v>1</v>
          </cell>
          <cell r="J972" t="str">
            <v>C.2.5.3.11.3</v>
          </cell>
          <cell r="K972" t="str">
            <v>UHCIP</v>
          </cell>
          <cell r="L972">
            <v>1</v>
          </cell>
          <cell r="M972">
            <v>46024</v>
          </cell>
          <cell r="N972">
            <v>46027</v>
          </cell>
          <cell r="O972">
            <v>2</v>
          </cell>
          <cell r="P972">
            <v>46029</v>
          </cell>
          <cell r="Q972">
            <v>1</v>
          </cell>
          <cell r="R972" t="str">
            <v>NA</v>
          </cell>
          <cell r="S972">
            <v>5</v>
          </cell>
        </row>
        <row r="973">
          <cell r="B973" t="str">
            <v>MNC</v>
          </cell>
          <cell r="C973" t="str">
            <v>HSLB13110</v>
          </cell>
          <cell r="D973">
            <v>201001</v>
          </cell>
          <cell r="E973" t="str">
            <v>Estación de Trabajo</v>
          </cell>
          <cell r="F973" t="str">
            <v>NO</v>
          </cell>
          <cell r="G973" t="str">
            <v>NO</v>
          </cell>
          <cell r="H973" t="str">
            <v>BOX MULTIPROPÓSITO</v>
          </cell>
          <cell r="I973">
            <v>1</v>
          </cell>
          <cell r="J973" t="str">
            <v>C.2.5.3.12.1</v>
          </cell>
          <cell r="K973" t="str">
            <v>UHCIP</v>
          </cell>
          <cell r="L973">
            <v>1</v>
          </cell>
          <cell r="M973">
            <v>46024</v>
          </cell>
          <cell r="N973">
            <v>46027</v>
          </cell>
          <cell r="O973">
            <v>2</v>
          </cell>
          <cell r="P973">
            <v>46029</v>
          </cell>
          <cell r="Q973">
            <v>1</v>
          </cell>
          <cell r="R973" t="str">
            <v>NA</v>
          </cell>
          <cell r="S973">
            <v>5</v>
          </cell>
        </row>
        <row r="974">
          <cell r="B974" t="str">
            <v>MNC</v>
          </cell>
          <cell r="C974" t="str">
            <v>HSLB13111</v>
          </cell>
          <cell r="D974">
            <v>201001</v>
          </cell>
          <cell r="E974" t="str">
            <v>Estación de Trabajo</v>
          </cell>
          <cell r="F974" t="str">
            <v>NO</v>
          </cell>
          <cell r="G974" t="str">
            <v>NO</v>
          </cell>
          <cell r="H974" t="str">
            <v>BOX MULTIPROPÓSITO</v>
          </cell>
          <cell r="I974">
            <v>1</v>
          </cell>
          <cell r="J974" t="str">
            <v>C.2.5.3.12.2</v>
          </cell>
          <cell r="K974" t="str">
            <v>UHCIP</v>
          </cell>
          <cell r="L974">
            <v>1</v>
          </cell>
          <cell r="M974">
            <v>46024</v>
          </cell>
          <cell r="N974">
            <v>46027</v>
          </cell>
          <cell r="O974">
            <v>2</v>
          </cell>
          <cell r="P974">
            <v>46029</v>
          </cell>
          <cell r="Q974">
            <v>1</v>
          </cell>
          <cell r="R974" t="str">
            <v>NA</v>
          </cell>
          <cell r="S974">
            <v>5</v>
          </cell>
        </row>
        <row r="975">
          <cell r="B975" t="str">
            <v>MNC</v>
          </cell>
          <cell r="C975" t="str">
            <v>HSLB13112</v>
          </cell>
          <cell r="D975">
            <v>201001</v>
          </cell>
          <cell r="E975" t="str">
            <v>Estación de Trabajo</v>
          </cell>
          <cell r="F975" t="str">
            <v>NO</v>
          </cell>
          <cell r="G975" t="str">
            <v>NO</v>
          </cell>
          <cell r="H975" t="str">
            <v>SALA DE  ENTREVISTA PACIENTES</v>
          </cell>
          <cell r="I975">
            <v>1</v>
          </cell>
          <cell r="J975" t="str">
            <v>C.2.5.3.13</v>
          </cell>
          <cell r="K975" t="str">
            <v>UHCIP</v>
          </cell>
          <cell r="L975">
            <v>1</v>
          </cell>
          <cell r="M975">
            <v>46024</v>
          </cell>
          <cell r="N975">
            <v>46027</v>
          </cell>
          <cell r="O975">
            <v>2</v>
          </cell>
          <cell r="P975">
            <v>46029</v>
          </cell>
          <cell r="Q975">
            <v>1</v>
          </cell>
          <cell r="R975" t="str">
            <v>NA</v>
          </cell>
          <cell r="S975">
            <v>5</v>
          </cell>
        </row>
        <row r="976">
          <cell r="B976" t="str">
            <v>MNC</v>
          </cell>
          <cell r="C976" t="str">
            <v>HSLB13334</v>
          </cell>
          <cell r="D976">
            <v>201008</v>
          </cell>
          <cell r="E976" t="str">
            <v>Mesa Reuniones Tipo I</v>
          </cell>
          <cell r="F976" t="str">
            <v>NO</v>
          </cell>
          <cell r="G976" t="str">
            <v>NO</v>
          </cell>
          <cell r="H976" t="str">
            <v>SALA DE  ENTREVISTA PACIENTES</v>
          </cell>
          <cell r="I976">
            <v>1</v>
          </cell>
          <cell r="J976" t="str">
            <v>C.2.5.3.13</v>
          </cell>
          <cell r="K976" t="str">
            <v>UHCIP</v>
          </cell>
          <cell r="L976">
            <v>1</v>
          </cell>
          <cell r="M976">
            <v>46024</v>
          </cell>
          <cell r="N976">
            <v>46027</v>
          </cell>
          <cell r="O976">
            <v>1</v>
          </cell>
          <cell r="P976">
            <v>46028</v>
          </cell>
          <cell r="Q976">
            <v>1</v>
          </cell>
          <cell r="R976" t="str">
            <v>NA</v>
          </cell>
          <cell r="S976">
            <v>5</v>
          </cell>
        </row>
        <row r="977">
          <cell r="B977" t="str">
            <v>MNC</v>
          </cell>
          <cell r="C977" t="str">
            <v>HSLB13114</v>
          </cell>
          <cell r="D977">
            <v>201001</v>
          </cell>
          <cell r="E977" t="str">
            <v>Estación de Trabajo</v>
          </cell>
          <cell r="F977" t="str">
            <v>NO</v>
          </cell>
          <cell r="G977" t="str">
            <v>NO</v>
          </cell>
          <cell r="H977" t="str">
            <v>SALA ESTIMULACIÓN COGNITIVA</v>
          </cell>
          <cell r="I977">
            <v>1</v>
          </cell>
          <cell r="J977" t="str">
            <v>C.2.5.3.16</v>
          </cell>
          <cell r="K977" t="str">
            <v>UHCIP</v>
          </cell>
          <cell r="L977">
            <v>1</v>
          </cell>
          <cell r="M977">
            <v>46024</v>
          </cell>
          <cell r="N977">
            <v>46027</v>
          </cell>
          <cell r="O977">
            <v>2</v>
          </cell>
          <cell r="P977">
            <v>46029</v>
          </cell>
          <cell r="Q977">
            <v>1</v>
          </cell>
          <cell r="R977" t="str">
            <v>NA</v>
          </cell>
          <cell r="S977">
            <v>5</v>
          </cell>
        </row>
        <row r="978">
          <cell r="B978" t="str">
            <v>MNC</v>
          </cell>
          <cell r="C978" t="str">
            <v>HSLB13335</v>
          </cell>
          <cell r="D978">
            <v>201008</v>
          </cell>
          <cell r="E978" t="str">
            <v>Mesa Reuniones Tipo I</v>
          </cell>
          <cell r="F978" t="str">
            <v>NO</v>
          </cell>
          <cell r="G978" t="str">
            <v>NO</v>
          </cell>
          <cell r="H978" t="str">
            <v>SALA ESTIMULACIÓN COGNITIVA</v>
          </cell>
          <cell r="I978">
            <v>1</v>
          </cell>
          <cell r="J978" t="str">
            <v>C.2.5.3.16</v>
          </cell>
          <cell r="K978" t="str">
            <v>UHCIP</v>
          </cell>
          <cell r="L978">
            <v>1</v>
          </cell>
          <cell r="M978">
            <v>46024</v>
          </cell>
          <cell r="N978">
            <v>46027</v>
          </cell>
          <cell r="O978">
            <v>1</v>
          </cell>
          <cell r="P978">
            <v>46028</v>
          </cell>
          <cell r="Q978">
            <v>1</v>
          </cell>
          <cell r="R978" t="str">
            <v>NA</v>
          </cell>
          <cell r="S978">
            <v>5</v>
          </cell>
        </row>
        <row r="979">
          <cell r="B979" t="str">
            <v>MNC</v>
          </cell>
          <cell r="C979" t="str">
            <v>HSLB13314</v>
          </cell>
          <cell r="D979">
            <v>201007</v>
          </cell>
          <cell r="E979" t="str">
            <v>Mesa Reuniones Plegable</v>
          </cell>
          <cell r="F979" t="str">
            <v>NO</v>
          </cell>
          <cell r="G979" t="str">
            <v>SI</v>
          </cell>
          <cell r="H979" t="str">
            <v>SALA MULTIUSO</v>
          </cell>
          <cell r="I979">
            <v>2</v>
          </cell>
          <cell r="J979" t="str">
            <v>C.2.5.3.17.1</v>
          </cell>
          <cell r="K979" t="str">
            <v>UHCIP</v>
          </cell>
          <cell r="L979">
            <v>1</v>
          </cell>
          <cell r="M979">
            <v>46003</v>
          </cell>
          <cell r="N979">
            <v>46006</v>
          </cell>
          <cell r="O979">
            <v>1</v>
          </cell>
          <cell r="P979">
            <v>46007</v>
          </cell>
          <cell r="Q979">
            <v>1</v>
          </cell>
          <cell r="R979" t="str">
            <v>NA</v>
          </cell>
          <cell r="S979">
            <v>5</v>
          </cell>
        </row>
        <row r="980">
          <cell r="B980" t="str">
            <v>MNC</v>
          </cell>
          <cell r="C980" t="str">
            <v>HSLB13315</v>
          </cell>
          <cell r="D980">
            <v>201007</v>
          </cell>
          <cell r="E980" t="str">
            <v>Mesa Reuniones Plegable</v>
          </cell>
          <cell r="F980" t="str">
            <v>NO</v>
          </cell>
          <cell r="G980" t="str">
            <v>NO</v>
          </cell>
          <cell r="H980" t="str">
            <v>SALA MULTIUSO</v>
          </cell>
          <cell r="I980">
            <v>2</v>
          </cell>
          <cell r="J980" t="str">
            <v>C.2.5.3.17.2</v>
          </cell>
          <cell r="K980" t="str">
            <v>UHCIP</v>
          </cell>
          <cell r="L980">
            <v>1</v>
          </cell>
          <cell r="M980">
            <v>46024</v>
          </cell>
          <cell r="N980">
            <v>46027</v>
          </cell>
          <cell r="O980">
            <v>1</v>
          </cell>
          <cell r="P980">
            <v>46028</v>
          </cell>
          <cell r="Q980">
            <v>1</v>
          </cell>
          <cell r="R980" t="str">
            <v>NA</v>
          </cell>
          <cell r="S980">
            <v>5</v>
          </cell>
        </row>
        <row r="981">
          <cell r="B981" t="str">
            <v>MNC</v>
          </cell>
          <cell r="C981" t="str">
            <v>HSLB13396</v>
          </cell>
          <cell r="D981">
            <v>201011</v>
          </cell>
          <cell r="E981" t="str">
            <v>Mesa Tipo Casino</v>
          </cell>
          <cell r="F981" t="str">
            <v>NO</v>
          </cell>
          <cell r="G981" t="str">
            <v>NO</v>
          </cell>
          <cell r="H981" t="str">
            <v>SALA ESTAR COMEDOR</v>
          </cell>
          <cell r="I981">
            <v>4</v>
          </cell>
          <cell r="J981" t="str">
            <v>C.2.5.3.18</v>
          </cell>
          <cell r="K981" t="str">
            <v>UHCIP</v>
          </cell>
          <cell r="L981">
            <v>1</v>
          </cell>
          <cell r="M981">
            <v>46024</v>
          </cell>
          <cell r="N981">
            <v>46027</v>
          </cell>
          <cell r="O981">
            <v>1</v>
          </cell>
          <cell r="P981">
            <v>46028</v>
          </cell>
          <cell r="Q981">
            <v>1</v>
          </cell>
          <cell r="R981" t="str">
            <v>NA</v>
          </cell>
          <cell r="S981">
            <v>5</v>
          </cell>
        </row>
        <row r="982">
          <cell r="B982" t="str">
            <v>MNC</v>
          </cell>
          <cell r="C982" t="str">
            <v>HSLB13397</v>
          </cell>
          <cell r="D982">
            <v>201011</v>
          </cell>
          <cell r="E982" t="str">
            <v>Mesa Tipo Casino</v>
          </cell>
          <cell r="F982" t="str">
            <v>NO</v>
          </cell>
          <cell r="G982" t="str">
            <v>NO</v>
          </cell>
          <cell r="H982" t="str">
            <v>ACTIVIDADES DE LA VIDA DIARIA C/KITCHENETTE</v>
          </cell>
          <cell r="I982">
            <v>1</v>
          </cell>
          <cell r="J982" t="str">
            <v>C.2.5.3.19</v>
          </cell>
          <cell r="K982" t="str">
            <v>UHCIP</v>
          </cell>
          <cell r="L982">
            <v>1</v>
          </cell>
          <cell r="M982">
            <v>46024</v>
          </cell>
          <cell r="N982">
            <v>46027</v>
          </cell>
          <cell r="O982">
            <v>1</v>
          </cell>
          <cell r="P982">
            <v>46028</v>
          </cell>
          <cell r="Q982">
            <v>1</v>
          </cell>
          <cell r="R982" t="str">
            <v>NA</v>
          </cell>
          <cell r="S982">
            <v>5</v>
          </cell>
        </row>
        <row r="983">
          <cell r="B983" t="str">
            <v>MNC</v>
          </cell>
          <cell r="C983" t="str">
            <v>HSLB13115</v>
          </cell>
          <cell r="D983">
            <v>201001</v>
          </cell>
          <cell r="E983" t="str">
            <v>Estación de Trabajo</v>
          </cell>
          <cell r="F983" t="str">
            <v>NO</v>
          </cell>
          <cell r="G983" t="str">
            <v>NO</v>
          </cell>
          <cell r="H983" t="str">
            <v>OFICINA ENFERMERA COORDINADORA</v>
          </cell>
          <cell r="I983">
            <v>1</v>
          </cell>
          <cell r="J983" t="str">
            <v>C.2.5.3.2</v>
          </cell>
          <cell r="K983" t="str">
            <v>UHCIP</v>
          </cell>
          <cell r="L983">
            <v>1</v>
          </cell>
          <cell r="M983">
            <v>46024</v>
          </cell>
          <cell r="N983">
            <v>46027</v>
          </cell>
          <cell r="O983">
            <v>2</v>
          </cell>
          <cell r="P983">
            <v>46029</v>
          </cell>
          <cell r="Q983">
            <v>1</v>
          </cell>
          <cell r="R983" t="str">
            <v>NA</v>
          </cell>
          <cell r="S983">
            <v>5</v>
          </cell>
        </row>
        <row r="984">
          <cell r="B984" t="str">
            <v>MNC</v>
          </cell>
          <cell r="C984" t="str">
            <v>HSLB13336</v>
          </cell>
          <cell r="D984">
            <v>201008</v>
          </cell>
          <cell r="E984" t="str">
            <v>Mesa Reuniones Tipo I</v>
          </cell>
          <cell r="F984" t="str">
            <v>NO</v>
          </cell>
          <cell r="G984" t="str">
            <v>NO</v>
          </cell>
          <cell r="H984" t="str">
            <v>SALA TALLER</v>
          </cell>
          <cell r="I984">
            <v>2</v>
          </cell>
          <cell r="J984" t="str">
            <v>C.2.5.3.21</v>
          </cell>
          <cell r="K984" t="str">
            <v>UHCIP</v>
          </cell>
          <cell r="L984">
            <v>1</v>
          </cell>
          <cell r="M984">
            <v>46024</v>
          </cell>
          <cell r="N984">
            <v>46027</v>
          </cell>
          <cell r="O984">
            <v>1</v>
          </cell>
          <cell r="P984">
            <v>46028</v>
          </cell>
          <cell r="Q984">
            <v>1</v>
          </cell>
          <cell r="R984" t="str">
            <v>NA</v>
          </cell>
          <cell r="S984">
            <v>5</v>
          </cell>
        </row>
        <row r="985">
          <cell r="B985" t="str">
            <v>MNC</v>
          </cell>
          <cell r="C985" t="str">
            <v>HSLB13116</v>
          </cell>
          <cell r="D985">
            <v>201001</v>
          </cell>
          <cell r="E985" t="str">
            <v>Estación de Trabajo</v>
          </cell>
          <cell r="F985" t="str">
            <v>NO</v>
          </cell>
          <cell r="G985" t="str">
            <v>NO</v>
          </cell>
          <cell r="H985" t="str">
            <v>OF.ASISTENTE SOCIAL</v>
          </cell>
          <cell r="I985">
            <v>1</v>
          </cell>
          <cell r="J985" t="str">
            <v>C.2.5.3.3</v>
          </cell>
          <cell r="K985" t="str">
            <v>UHCIP</v>
          </cell>
          <cell r="L985">
            <v>1</v>
          </cell>
          <cell r="M985">
            <v>46024</v>
          </cell>
          <cell r="N985">
            <v>46027</v>
          </cell>
          <cell r="O985">
            <v>2</v>
          </cell>
          <cell r="P985">
            <v>46029</v>
          </cell>
          <cell r="Q985">
            <v>1</v>
          </cell>
          <cell r="R985" t="str">
            <v>NA</v>
          </cell>
          <cell r="S985">
            <v>5</v>
          </cell>
        </row>
        <row r="986">
          <cell r="B986" t="str">
            <v>MNC</v>
          </cell>
          <cell r="C986" t="str">
            <v>HSLB15267</v>
          </cell>
          <cell r="D986">
            <v>201001</v>
          </cell>
          <cell r="E986" t="str">
            <v>Estación de Trabajo</v>
          </cell>
          <cell r="F986" t="str">
            <v>NO</v>
          </cell>
          <cell r="G986" t="str">
            <v>NO</v>
          </cell>
          <cell r="H986" t="str">
            <v>SALA DE PROCEDIMIENTO</v>
          </cell>
          <cell r="I986">
            <v>1</v>
          </cell>
          <cell r="J986" t="str">
            <v>C.2.5.3.33</v>
          </cell>
          <cell r="K986" t="str">
            <v>UHCIP</v>
          </cell>
          <cell r="L986">
            <v>1</v>
          </cell>
          <cell r="M986">
            <v>46024</v>
          </cell>
          <cell r="N986">
            <v>46027</v>
          </cell>
          <cell r="O986">
            <v>2</v>
          </cell>
          <cell r="P986">
            <v>46029</v>
          </cell>
          <cell r="Q986">
            <v>1</v>
          </cell>
          <cell r="R986" t="str">
            <v>NA</v>
          </cell>
          <cell r="S986">
            <v>5</v>
          </cell>
        </row>
        <row r="987">
          <cell r="B987" t="str">
            <v>MNC</v>
          </cell>
          <cell r="C987" t="str">
            <v>HSLB13373</v>
          </cell>
          <cell r="D987">
            <v>201009</v>
          </cell>
          <cell r="E987" t="str">
            <v>Mesa Reuniones Tipo II</v>
          </cell>
          <cell r="F987" t="str">
            <v>NO</v>
          </cell>
          <cell r="G987" t="str">
            <v>NO</v>
          </cell>
          <cell r="H987" t="str">
            <v>SALA DE REUNIONES</v>
          </cell>
          <cell r="I987">
            <v>1</v>
          </cell>
          <cell r="J987" t="str">
            <v>C.2.5.3.4</v>
          </cell>
          <cell r="K987" t="str">
            <v>UHCIP</v>
          </cell>
          <cell r="L987">
            <v>1</v>
          </cell>
          <cell r="M987">
            <v>46024</v>
          </cell>
          <cell r="N987">
            <v>46027</v>
          </cell>
          <cell r="O987">
            <v>1</v>
          </cell>
          <cell r="P987">
            <v>46028</v>
          </cell>
          <cell r="Q987">
            <v>1</v>
          </cell>
          <cell r="R987" t="str">
            <v>NA</v>
          </cell>
          <cell r="S987">
            <v>5</v>
          </cell>
        </row>
        <row r="988">
          <cell r="B988" t="str">
            <v>MNC</v>
          </cell>
          <cell r="C988" t="str">
            <v>HSLB13398</v>
          </cell>
          <cell r="D988">
            <v>201011</v>
          </cell>
          <cell r="E988" t="str">
            <v>Mesa Tipo Casino</v>
          </cell>
          <cell r="F988" t="str">
            <v>NO</v>
          </cell>
          <cell r="G988" t="str">
            <v>NO</v>
          </cell>
          <cell r="H988" t="str">
            <v>ESTAR PERSONAL C/ KITCHENETTE</v>
          </cell>
          <cell r="I988">
            <v>1</v>
          </cell>
          <cell r="J988" t="str">
            <v>C.2.5.3.43</v>
          </cell>
          <cell r="K988" t="str">
            <v>UHCIP</v>
          </cell>
          <cell r="L988">
            <v>1</v>
          </cell>
          <cell r="M988">
            <v>46024</v>
          </cell>
          <cell r="N988">
            <v>46027</v>
          </cell>
          <cell r="O988">
            <v>1</v>
          </cell>
          <cell r="P988">
            <v>46028</v>
          </cell>
          <cell r="Q988">
            <v>1</v>
          </cell>
          <cell r="R988" t="str">
            <v>NA</v>
          </cell>
          <cell r="S988">
            <v>5</v>
          </cell>
        </row>
        <row r="989">
          <cell r="B989" t="str">
            <v>MNC</v>
          </cell>
          <cell r="C989" t="str">
            <v>HSLB13117</v>
          </cell>
          <cell r="D989">
            <v>201001</v>
          </cell>
          <cell r="E989" t="str">
            <v>Estación de Trabajo</v>
          </cell>
          <cell r="F989" t="str">
            <v>NO</v>
          </cell>
          <cell r="G989" t="str">
            <v>NO</v>
          </cell>
          <cell r="H989" t="str">
            <v>TRABAJO OTROS PROFESIONALES</v>
          </cell>
          <cell r="I989">
            <v>2</v>
          </cell>
          <cell r="J989" t="str">
            <v>C.2.5.3.5</v>
          </cell>
          <cell r="K989" t="str">
            <v>UHCIP</v>
          </cell>
          <cell r="L989">
            <v>1</v>
          </cell>
          <cell r="M989">
            <v>46024</v>
          </cell>
          <cell r="N989">
            <v>46027</v>
          </cell>
          <cell r="O989">
            <v>2</v>
          </cell>
          <cell r="P989">
            <v>46029</v>
          </cell>
          <cell r="Q989">
            <v>1</v>
          </cell>
          <cell r="R989" t="str">
            <v>NA</v>
          </cell>
          <cell r="S989">
            <v>5</v>
          </cell>
        </row>
        <row r="990">
          <cell r="B990" t="str">
            <v>MNC</v>
          </cell>
          <cell r="C990" t="str">
            <v>HSLB13399</v>
          </cell>
          <cell r="D990">
            <v>201011</v>
          </cell>
          <cell r="E990" t="str">
            <v>Mesa Tipo Casino</v>
          </cell>
          <cell r="F990" t="str">
            <v>NO</v>
          </cell>
          <cell r="G990" t="str">
            <v>NO</v>
          </cell>
          <cell r="H990" t="str">
            <v>SALA DE ESTAR FAMILIARES</v>
          </cell>
          <cell r="I990">
            <v>1</v>
          </cell>
          <cell r="J990" t="str">
            <v>C.2.5.3.9</v>
          </cell>
          <cell r="K990" t="str">
            <v>UHCIP</v>
          </cell>
          <cell r="L990">
            <v>1</v>
          </cell>
          <cell r="M990">
            <v>46024</v>
          </cell>
          <cell r="N990">
            <v>46027</v>
          </cell>
          <cell r="O990">
            <v>1</v>
          </cell>
          <cell r="P990">
            <v>46028</v>
          </cell>
          <cell r="Q990">
            <v>1</v>
          </cell>
          <cell r="R990" t="str">
            <v>NA</v>
          </cell>
          <cell r="S990">
            <v>5</v>
          </cell>
        </row>
        <row r="991">
          <cell r="B991" t="str">
            <v>MNC</v>
          </cell>
          <cell r="C991" t="str">
            <v>HSLB15307</v>
          </cell>
          <cell r="D991">
            <v>201001</v>
          </cell>
          <cell r="E991" t="str">
            <v>Estación de Trabajo</v>
          </cell>
          <cell r="F991" t="str">
            <v>NO</v>
          </cell>
          <cell r="G991" t="str">
            <v>NO</v>
          </cell>
          <cell r="H991" t="str">
            <v>BOX MONITOREO FETAL C/BAÑO</v>
          </cell>
          <cell r="I991">
            <v>1</v>
          </cell>
          <cell r="J991" t="str">
            <v>C.3.6.2.11</v>
          </cell>
          <cell r="K991" t="str">
            <v>Urgencia</v>
          </cell>
          <cell r="L991">
            <v>1</v>
          </cell>
          <cell r="M991">
            <v>46006</v>
          </cell>
          <cell r="N991">
            <v>46007</v>
          </cell>
          <cell r="O991">
            <v>2</v>
          </cell>
          <cell r="P991">
            <v>46009</v>
          </cell>
          <cell r="Q991">
            <v>1</v>
          </cell>
          <cell r="R991" t="str">
            <v>NA</v>
          </cell>
          <cell r="S991">
            <v>5</v>
          </cell>
        </row>
        <row r="992">
          <cell r="B992" t="str">
            <v>MNC</v>
          </cell>
          <cell r="C992" t="str">
            <v>HSLB15309</v>
          </cell>
          <cell r="D992">
            <v>201001</v>
          </cell>
          <cell r="E992" t="str">
            <v>Estación de Trabajo</v>
          </cell>
          <cell r="F992" t="str">
            <v>NO</v>
          </cell>
          <cell r="G992" t="str">
            <v>NO</v>
          </cell>
          <cell r="H992" t="str">
            <v>SALA DE PROCEDIMIENTOS</v>
          </cell>
          <cell r="I992">
            <v>1</v>
          </cell>
          <cell r="J992" t="str">
            <v>C.3.6.2.12</v>
          </cell>
          <cell r="K992" t="str">
            <v>Urgencia</v>
          </cell>
          <cell r="L992">
            <v>1</v>
          </cell>
          <cell r="M992">
            <v>46006</v>
          </cell>
          <cell r="N992">
            <v>46007</v>
          </cell>
          <cell r="O992">
            <v>2</v>
          </cell>
          <cell r="P992">
            <v>46009</v>
          </cell>
          <cell r="Q992">
            <v>1</v>
          </cell>
          <cell r="R992" t="str">
            <v>NA</v>
          </cell>
          <cell r="S992">
            <v>5</v>
          </cell>
        </row>
        <row r="993">
          <cell r="B993" t="str">
            <v>MNC</v>
          </cell>
          <cell r="C993" t="str">
            <v>HSLB13146</v>
          </cell>
          <cell r="D993">
            <v>201001</v>
          </cell>
          <cell r="E993" t="str">
            <v>Estación de Trabajo</v>
          </cell>
          <cell r="F993" t="str">
            <v>NO</v>
          </cell>
          <cell r="G993" t="str">
            <v>NO</v>
          </cell>
          <cell r="H993" t="str">
            <v>SELECTOR DE DEMANDA GINECOLOGÍA</v>
          </cell>
          <cell r="I993">
            <v>1</v>
          </cell>
          <cell r="J993" t="str">
            <v>C.3.6.2.2</v>
          </cell>
          <cell r="K993" t="str">
            <v>Urgencia</v>
          </cell>
          <cell r="L993">
            <v>1</v>
          </cell>
          <cell r="M993">
            <v>46006</v>
          </cell>
          <cell r="N993">
            <v>46007</v>
          </cell>
          <cell r="O993">
            <v>2</v>
          </cell>
          <cell r="P993">
            <v>46009</v>
          </cell>
          <cell r="Q993">
            <v>1</v>
          </cell>
          <cell r="R993" t="str">
            <v>NA</v>
          </cell>
          <cell r="S993">
            <v>5</v>
          </cell>
        </row>
        <row r="994">
          <cell r="B994" t="str">
            <v>MNC</v>
          </cell>
          <cell r="C994" t="str">
            <v>HSLB13147</v>
          </cell>
          <cell r="D994">
            <v>201001</v>
          </cell>
          <cell r="E994" t="str">
            <v>Estación de Trabajo</v>
          </cell>
          <cell r="F994" t="str">
            <v>NO</v>
          </cell>
          <cell r="G994" t="str">
            <v>NO</v>
          </cell>
          <cell r="H994" t="str">
            <v>BOX ATENCIÓN MEDICO C/BAÑO Y ECO</v>
          </cell>
          <cell r="I994">
            <v>1</v>
          </cell>
          <cell r="J994" t="str">
            <v>C.3.6.2.8</v>
          </cell>
          <cell r="K994" t="str">
            <v>Urgencia</v>
          </cell>
          <cell r="L994">
            <v>1</v>
          </cell>
          <cell r="M994">
            <v>46006</v>
          </cell>
          <cell r="N994">
            <v>46007</v>
          </cell>
          <cell r="O994">
            <v>2</v>
          </cell>
          <cell r="P994">
            <v>46009</v>
          </cell>
          <cell r="Q994">
            <v>1</v>
          </cell>
          <cell r="R994" t="str">
            <v>NA</v>
          </cell>
          <cell r="S994">
            <v>5</v>
          </cell>
        </row>
        <row r="995">
          <cell r="B995" t="str">
            <v>MNC</v>
          </cell>
          <cell r="C995" t="str">
            <v>HSLB13283</v>
          </cell>
          <cell r="D995">
            <v>201001</v>
          </cell>
          <cell r="E995" t="str">
            <v>Estación de Trabajo</v>
          </cell>
          <cell r="F995" t="str">
            <v>NO</v>
          </cell>
          <cell r="G995" t="str">
            <v>NO</v>
          </cell>
          <cell r="H995" t="str">
            <v>BOX MATRONA</v>
          </cell>
          <cell r="I995">
            <v>1</v>
          </cell>
          <cell r="J995" t="str">
            <v>C.3.6.2.8.1</v>
          </cell>
          <cell r="K995" t="str">
            <v>Urgencia</v>
          </cell>
          <cell r="L995">
            <v>1</v>
          </cell>
          <cell r="M995">
            <v>46006</v>
          </cell>
          <cell r="N995">
            <v>46007</v>
          </cell>
          <cell r="O995">
            <v>2</v>
          </cell>
          <cell r="P995">
            <v>46009</v>
          </cell>
          <cell r="Q995">
            <v>1</v>
          </cell>
          <cell r="R995" t="str">
            <v>NA</v>
          </cell>
          <cell r="S995">
            <v>5</v>
          </cell>
        </row>
        <row r="996">
          <cell r="B996" t="str">
            <v>MNC</v>
          </cell>
          <cell r="C996" t="str">
            <v>HSLB13155</v>
          </cell>
          <cell r="D996">
            <v>201001</v>
          </cell>
          <cell r="E996" t="str">
            <v>Estación de Trabajo</v>
          </cell>
          <cell r="F996" t="str">
            <v>NO</v>
          </cell>
          <cell r="G996" t="str">
            <v>NO</v>
          </cell>
          <cell r="H996" t="str">
            <v>OF. JEFE CR AT. URGENCIA</v>
          </cell>
          <cell r="I996">
            <v>1</v>
          </cell>
          <cell r="J996" t="str">
            <v>C.4.1.2</v>
          </cell>
          <cell r="K996" t="str">
            <v>Urgencia</v>
          </cell>
          <cell r="L996">
            <v>1</v>
          </cell>
          <cell r="M996">
            <v>46006</v>
          </cell>
          <cell r="N996">
            <v>46007</v>
          </cell>
          <cell r="O996">
            <v>2</v>
          </cell>
          <cell r="P996">
            <v>46009</v>
          </cell>
          <cell r="Q996">
            <v>1</v>
          </cell>
          <cell r="R996" t="str">
            <v>NA</v>
          </cell>
          <cell r="S996">
            <v>5</v>
          </cell>
        </row>
        <row r="997">
          <cell r="B997" t="str">
            <v>MNC</v>
          </cell>
          <cell r="C997" t="str">
            <v>HSLB13348</v>
          </cell>
          <cell r="D997">
            <v>201008</v>
          </cell>
          <cell r="E997" t="str">
            <v>Mesa Reuniones Tipo I</v>
          </cell>
          <cell r="F997" t="str">
            <v>NO</v>
          </cell>
          <cell r="G997" t="str">
            <v>NO</v>
          </cell>
          <cell r="H997" t="str">
            <v>OF. JEFE CR AT. URGENCIA</v>
          </cell>
          <cell r="I997">
            <v>1</v>
          </cell>
          <cell r="J997" t="str">
            <v>C.4.1.2</v>
          </cell>
          <cell r="K997" t="str">
            <v>Urgencia</v>
          </cell>
          <cell r="L997">
            <v>1</v>
          </cell>
          <cell r="M997">
            <v>46006</v>
          </cell>
          <cell r="N997">
            <v>46007</v>
          </cell>
          <cell r="O997">
            <v>1</v>
          </cell>
          <cell r="P997">
            <v>46008</v>
          </cell>
          <cell r="Q997">
            <v>1</v>
          </cell>
          <cell r="R997" t="str">
            <v>NA</v>
          </cell>
          <cell r="S997">
            <v>5</v>
          </cell>
        </row>
        <row r="998">
          <cell r="B998" t="str">
            <v>MNC</v>
          </cell>
          <cell r="C998" t="str">
            <v>HSLB13156</v>
          </cell>
          <cell r="D998">
            <v>201001</v>
          </cell>
          <cell r="E998" t="str">
            <v>Estación de Trabajo</v>
          </cell>
          <cell r="F998" t="str">
            <v>NO</v>
          </cell>
          <cell r="G998" t="str">
            <v>NO</v>
          </cell>
          <cell r="H998" t="str">
            <v>COORDINADOR CR AT. URGENCIA</v>
          </cell>
          <cell r="I998">
            <v>1</v>
          </cell>
          <cell r="J998" t="str">
            <v>C.4.1.3</v>
          </cell>
          <cell r="K998" t="str">
            <v>Urgencia</v>
          </cell>
          <cell r="L998">
            <v>1</v>
          </cell>
          <cell r="M998">
            <v>46006</v>
          </cell>
          <cell r="N998">
            <v>46007</v>
          </cell>
          <cell r="O998">
            <v>2</v>
          </cell>
          <cell r="P998">
            <v>46009</v>
          </cell>
          <cell r="Q998">
            <v>1</v>
          </cell>
          <cell r="R998" t="str">
            <v>NA</v>
          </cell>
          <cell r="S998">
            <v>5</v>
          </cell>
        </row>
        <row r="999">
          <cell r="B999" t="str">
            <v>MNC</v>
          </cell>
          <cell r="C999" t="str">
            <v>HSLB13157</v>
          </cell>
          <cell r="D999">
            <v>201001</v>
          </cell>
          <cell r="E999" t="str">
            <v>Estación de Trabajo</v>
          </cell>
          <cell r="F999" t="str">
            <v>NO</v>
          </cell>
          <cell r="G999" t="str">
            <v>NO</v>
          </cell>
          <cell r="H999" t="str">
            <v>SECRETARIA C/ARCH. Y FOTO</v>
          </cell>
          <cell r="I999">
            <v>1</v>
          </cell>
          <cell r="J999" t="str">
            <v>C.4.1.5</v>
          </cell>
          <cell r="K999" t="str">
            <v>Urgencia</v>
          </cell>
          <cell r="L999">
            <v>1</v>
          </cell>
          <cell r="M999">
            <v>46006</v>
          </cell>
          <cell r="N999">
            <v>46007</v>
          </cell>
          <cell r="O999">
            <v>2</v>
          </cell>
          <cell r="P999">
            <v>46009</v>
          </cell>
          <cell r="Q999">
            <v>1</v>
          </cell>
          <cell r="R999" t="str">
            <v>NA</v>
          </cell>
          <cell r="S999">
            <v>5</v>
          </cell>
        </row>
        <row r="1000">
          <cell r="B1000" t="str">
            <v>MNC</v>
          </cell>
          <cell r="C1000" t="str">
            <v>HSLB13313</v>
          </cell>
          <cell r="D1000">
            <v>201006</v>
          </cell>
          <cell r="E1000" t="str">
            <v>Mesa Plegable</v>
          </cell>
          <cell r="F1000" t="str">
            <v>NO</v>
          </cell>
          <cell r="G1000" t="str">
            <v>SI</v>
          </cell>
          <cell r="H1000" t="str">
            <v>BODEGA CATÁSTROFES ( Mesa Plegable Rectangular)</v>
          </cell>
          <cell r="I1000">
            <v>1</v>
          </cell>
          <cell r="J1000" t="str">
            <v>C.4.2.10</v>
          </cell>
          <cell r="K1000" t="str">
            <v>Urgencia</v>
          </cell>
          <cell r="L1000">
            <v>1</v>
          </cell>
          <cell r="M1000">
            <v>46003</v>
          </cell>
          <cell r="N1000">
            <v>46006</v>
          </cell>
          <cell r="O1000">
            <v>1</v>
          </cell>
          <cell r="P1000">
            <v>46007</v>
          </cell>
          <cell r="Q1000">
            <v>1</v>
          </cell>
          <cell r="R1000" t="str">
            <v>NA</v>
          </cell>
          <cell r="S1000">
            <v>5</v>
          </cell>
        </row>
        <row r="1001">
          <cell r="B1001" t="str">
            <v>MNC</v>
          </cell>
          <cell r="C1001" t="str">
            <v>HSLB13158</v>
          </cell>
          <cell r="D1001">
            <v>201001</v>
          </cell>
          <cell r="E1001" t="str">
            <v>Estación de Trabajo</v>
          </cell>
          <cell r="F1001" t="str">
            <v>NO</v>
          </cell>
          <cell r="G1001" t="str">
            <v>NO</v>
          </cell>
          <cell r="H1001" t="str">
            <v>SALA CARABINERO C/BAÑO</v>
          </cell>
          <cell r="I1001">
            <v>1</v>
          </cell>
          <cell r="J1001" t="str">
            <v>C.4.2.5</v>
          </cell>
          <cell r="K1001" t="str">
            <v>Urgencia</v>
          </cell>
          <cell r="L1001">
            <v>1</v>
          </cell>
          <cell r="M1001">
            <v>46006</v>
          </cell>
          <cell r="N1001">
            <v>46007</v>
          </cell>
          <cell r="O1001">
            <v>2</v>
          </cell>
          <cell r="P1001">
            <v>46009</v>
          </cell>
          <cell r="Q1001">
            <v>1</v>
          </cell>
          <cell r="R1001" t="str">
            <v>NA</v>
          </cell>
          <cell r="S1001">
            <v>5</v>
          </cell>
        </row>
        <row r="1002">
          <cell r="B1002" t="str">
            <v>MNC</v>
          </cell>
          <cell r="C1002" t="str">
            <v>HSLB13159</v>
          </cell>
          <cell r="D1002">
            <v>201001</v>
          </cell>
          <cell r="E1002" t="str">
            <v>Estación de Trabajo</v>
          </cell>
          <cell r="F1002" t="str">
            <v>NO</v>
          </cell>
          <cell r="G1002" t="str">
            <v>NO</v>
          </cell>
          <cell r="H1002" t="str">
            <v>SALA (FAST TRACK) MULTIPROPÓSITO</v>
          </cell>
          <cell r="I1002">
            <v>1</v>
          </cell>
          <cell r="J1002" t="str">
            <v>C.4.2.6</v>
          </cell>
          <cell r="K1002" t="str">
            <v>Urgencia</v>
          </cell>
          <cell r="L1002">
            <v>1</v>
          </cell>
          <cell r="M1002">
            <v>46006</v>
          </cell>
          <cell r="N1002">
            <v>46007</v>
          </cell>
          <cell r="O1002">
            <v>2</v>
          </cell>
          <cell r="P1002">
            <v>46009</v>
          </cell>
          <cell r="Q1002">
            <v>1</v>
          </cell>
          <cell r="R1002" t="str">
            <v>NA</v>
          </cell>
          <cell r="S1002">
            <v>5</v>
          </cell>
        </row>
        <row r="1003">
          <cell r="B1003" t="str">
            <v>MNC</v>
          </cell>
          <cell r="C1003" t="str">
            <v>HSLB13349</v>
          </cell>
          <cell r="D1003">
            <v>201008</v>
          </cell>
          <cell r="E1003" t="str">
            <v>Mesa Reuniones Tipo I</v>
          </cell>
          <cell r="F1003" t="str">
            <v>NO</v>
          </cell>
          <cell r="G1003" t="str">
            <v>NO</v>
          </cell>
          <cell r="H1003" t="str">
            <v>SALA ENTREVISTA FAMILIARES PACIENTES</v>
          </cell>
          <cell r="I1003">
            <v>1</v>
          </cell>
          <cell r="J1003" t="str">
            <v>C.4.2.7</v>
          </cell>
          <cell r="K1003" t="str">
            <v>Urgencia</v>
          </cell>
          <cell r="L1003">
            <v>1</v>
          </cell>
          <cell r="M1003">
            <v>46006</v>
          </cell>
          <cell r="N1003">
            <v>46007</v>
          </cell>
          <cell r="O1003">
            <v>1</v>
          </cell>
          <cell r="P1003">
            <v>46008</v>
          </cell>
          <cell r="Q1003">
            <v>1</v>
          </cell>
          <cell r="R1003" t="str">
            <v>NA</v>
          </cell>
          <cell r="S1003">
            <v>5</v>
          </cell>
        </row>
        <row r="1004">
          <cell r="B1004" t="str">
            <v>MNC</v>
          </cell>
          <cell r="C1004" t="str">
            <v>HSLB15332</v>
          </cell>
          <cell r="D1004">
            <v>201001</v>
          </cell>
          <cell r="E1004" t="str">
            <v>Estación de Trabajo</v>
          </cell>
          <cell r="F1004" t="str">
            <v>NO</v>
          </cell>
          <cell r="G1004" t="str">
            <v>NO</v>
          </cell>
          <cell r="H1004" t="str">
            <v>SELECTOR DEMANDA ADULTO</v>
          </cell>
          <cell r="I1004">
            <v>1</v>
          </cell>
          <cell r="J1004" t="str">
            <v>C.4.3.1</v>
          </cell>
          <cell r="K1004" t="str">
            <v>Urgencia</v>
          </cell>
          <cell r="L1004">
            <v>1</v>
          </cell>
          <cell r="M1004">
            <v>46006</v>
          </cell>
          <cell r="N1004">
            <v>46007</v>
          </cell>
          <cell r="O1004">
            <v>2</v>
          </cell>
          <cell r="P1004">
            <v>46009</v>
          </cell>
          <cell r="Q1004">
            <v>1</v>
          </cell>
          <cell r="R1004" t="str">
            <v>NA</v>
          </cell>
          <cell r="S1004">
            <v>5</v>
          </cell>
        </row>
        <row r="1005">
          <cell r="B1005" t="str">
            <v>MNC</v>
          </cell>
          <cell r="C1005" t="str">
            <v>HSLB15333</v>
          </cell>
          <cell r="D1005">
            <v>201001</v>
          </cell>
          <cell r="E1005" t="str">
            <v>Estación de Trabajo</v>
          </cell>
          <cell r="F1005" t="str">
            <v>NO</v>
          </cell>
          <cell r="G1005" t="str">
            <v>NO</v>
          </cell>
          <cell r="H1005" t="str">
            <v>BOX REANIMACIÓN ADULTO</v>
          </cell>
          <cell r="I1005">
            <v>1</v>
          </cell>
          <cell r="J1005" t="str">
            <v>C.4.3.12.1</v>
          </cell>
          <cell r="K1005" t="str">
            <v>Urgencia</v>
          </cell>
          <cell r="L1005">
            <v>1</v>
          </cell>
          <cell r="M1005">
            <v>46006</v>
          </cell>
          <cell r="N1005">
            <v>46007</v>
          </cell>
          <cell r="O1005">
            <v>2</v>
          </cell>
          <cell r="P1005">
            <v>46009</v>
          </cell>
          <cell r="Q1005">
            <v>1</v>
          </cell>
          <cell r="R1005" t="str">
            <v>NA</v>
          </cell>
          <cell r="S1005">
            <v>5</v>
          </cell>
        </row>
        <row r="1006">
          <cell r="B1006" t="str">
            <v>MNC</v>
          </cell>
          <cell r="C1006" t="str">
            <v>HSLB15334</v>
          </cell>
          <cell r="D1006">
            <v>201001</v>
          </cell>
          <cell r="E1006" t="str">
            <v>Estación de Trabajo</v>
          </cell>
          <cell r="F1006" t="str">
            <v>NO</v>
          </cell>
          <cell r="G1006" t="str">
            <v>NO</v>
          </cell>
          <cell r="H1006" t="str">
            <v>BOX REANIMACIÓN ADULTO</v>
          </cell>
          <cell r="I1006">
            <v>1</v>
          </cell>
          <cell r="J1006" t="str">
            <v>C.4.3.12.1</v>
          </cell>
          <cell r="K1006" t="str">
            <v>Urgencia</v>
          </cell>
          <cell r="L1006">
            <v>1</v>
          </cell>
          <cell r="M1006">
            <v>46006</v>
          </cell>
          <cell r="N1006">
            <v>46007</v>
          </cell>
          <cell r="O1006">
            <v>2</v>
          </cell>
          <cell r="P1006">
            <v>46009</v>
          </cell>
          <cell r="Q1006">
            <v>1</v>
          </cell>
          <cell r="R1006" t="str">
            <v>NA</v>
          </cell>
          <cell r="S1006">
            <v>5</v>
          </cell>
        </row>
        <row r="1007">
          <cell r="B1007" t="str">
            <v>MNC</v>
          </cell>
          <cell r="C1007" t="str">
            <v>HSLB15336</v>
          </cell>
          <cell r="D1007">
            <v>201001</v>
          </cell>
          <cell r="E1007" t="str">
            <v>Estación de Trabajo</v>
          </cell>
          <cell r="F1007" t="str">
            <v>NO</v>
          </cell>
          <cell r="G1007" t="str">
            <v>NO</v>
          </cell>
          <cell r="H1007" t="str">
            <v>BOX URGENCIA(1)</v>
          </cell>
          <cell r="I1007">
            <v>1</v>
          </cell>
          <cell r="J1007" t="str">
            <v>C.4.3.3.1</v>
          </cell>
          <cell r="K1007" t="str">
            <v>Urgencia</v>
          </cell>
          <cell r="L1007">
            <v>1</v>
          </cell>
          <cell r="M1007">
            <v>46006</v>
          </cell>
          <cell r="N1007">
            <v>46007</v>
          </cell>
          <cell r="O1007">
            <v>2</v>
          </cell>
          <cell r="P1007">
            <v>46009</v>
          </cell>
          <cell r="Q1007">
            <v>1</v>
          </cell>
          <cell r="R1007" t="str">
            <v>NA</v>
          </cell>
          <cell r="S1007">
            <v>5</v>
          </cell>
        </row>
        <row r="1008">
          <cell r="B1008" t="str">
            <v>MNC</v>
          </cell>
          <cell r="C1008" t="str">
            <v>HSLB15337</v>
          </cell>
          <cell r="D1008">
            <v>201001</v>
          </cell>
          <cell r="E1008" t="str">
            <v>Estación de Trabajo</v>
          </cell>
          <cell r="F1008" t="str">
            <v>NO</v>
          </cell>
          <cell r="G1008" t="str">
            <v>NO</v>
          </cell>
          <cell r="H1008" t="str">
            <v>BOX URGENCIA(2)</v>
          </cell>
          <cell r="I1008">
            <v>1</v>
          </cell>
          <cell r="J1008" t="str">
            <v>C.4.3.3.2</v>
          </cell>
          <cell r="K1008" t="str">
            <v>Urgencia</v>
          </cell>
          <cell r="L1008">
            <v>1</v>
          </cell>
          <cell r="M1008">
            <v>46006</v>
          </cell>
          <cell r="N1008">
            <v>46007</v>
          </cell>
          <cell r="O1008">
            <v>2</v>
          </cell>
          <cell r="P1008">
            <v>46009</v>
          </cell>
          <cell r="Q1008">
            <v>1</v>
          </cell>
          <cell r="R1008" t="str">
            <v>NA</v>
          </cell>
          <cell r="S1008">
            <v>5</v>
          </cell>
        </row>
        <row r="1009">
          <cell r="B1009" t="str">
            <v>MNC</v>
          </cell>
          <cell r="C1009" t="str">
            <v>HSLB15338</v>
          </cell>
          <cell r="D1009">
            <v>201001</v>
          </cell>
          <cell r="E1009" t="str">
            <v>Estación de Trabajo</v>
          </cell>
          <cell r="F1009" t="str">
            <v>NO</v>
          </cell>
          <cell r="G1009" t="str">
            <v>NO</v>
          </cell>
          <cell r="H1009" t="str">
            <v>BOX URGENCIA(3)</v>
          </cell>
          <cell r="I1009">
            <v>1</v>
          </cell>
          <cell r="J1009" t="str">
            <v>C.4.3.3.3</v>
          </cell>
          <cell r="K1009" t="str">
            <v>Urgencia</v>
          </cell>
          <cell r="L1009">
            <v>1</v>
          </cell>
          <cell r="M1009">
            <v>46006</v>
          </cell>
          <cell r="N1009">
            <v>46007</v>
          </cell>
          <cell r="O1009">
            <v>2</v>
          </cell>
          <cell r="P1009">
            <v>46009</v>
          </cell>
          <cell r="Q1009">
            <v>1</v>
          </cell>
          <cell r="R1009" t="str">
            <v>NA</v>
          </cell>
          <cell r="S1009">
            <v>5</v>
          </cell>
        </row>
        <row r="1010">
          <cell r="B1010" t="str">
            <v>MNC</v>
          </cell>
          <cell r="C1010" t="str">
            <v>HSLB15339</v>
          </cell>
          <cell r="D1010">
            <v>201001</v>
          </cell>
          <cell r="E1010" t="str">
            <v>Estación de Trabajo</v>
          </cell>
          <cell r="F1010" t="str">
            <v>NO</v>
          </cell>
          <cell r="G1010" t="str">
            <v>NO</v>
          </cell>
          <cell r="H1010" t="str">
            <v>BOX URGENCIA(4)</v>
          </cell>
          <cell r="I1010">
            <v>1</v>
          </cell>
          <cell r="J1010" t="str">
            <v>C.4.3.3.4</v>
          </cell>
          <cell r="K1010" t="str">
            <v>Urgencia</v>
          </cell>
          <cell r="L1010">
            <v>1</v>
          </cell>
          <cell r="M1010">
            <v>46006</v>
          </cell>
          <cell r="N1010">
            <v>46007</v>
          </cell>
          <cell r="O1010">
            <v>2</v>
          </cell>
          <cell r="P1010">
            <v>46009</v>
          </cell>
          <cell r="Q1010">
            <v>1</v>
          </cell>
          <cell r="R1010" t="str">
            <v>NA</v>
          </cell>
          <cell r="S1010">
            <v>5</v>
          </cell>
        </row>
        <row r="1011">
          <cell r="B1011" t="str">
            <v>MNC</v>
          </cell>
          <cell r="C1011" t="str">
            <v>HSLB15340</v>
          </cell>
          <cell r="D1011">
            <v>201001</v>
          </cell>
          <cell r="E1011" t="str">
            <v>Estación de Trabajo</v>
          </cell>
          <cell r="F1011" t="str">
            <v>NO</v>
          </cell>
          <cell r="G1011" t="str">
            <v>NO</v>
          </cell>
          <cell r="H1011" t="str">
            <v>BOX URGENCIA(5)</v>
          </cell>
          <cell r="I1011">
            <v>1</v>
          </cell>
          <cell r="J1011" t="str">
            <v>C.4.3.3.5</v>
          </cell>
          <cell r="K1011" t="str">
            <v>Urgencia</v>
          </cell>
          <cell r="L1011">
            <v>1</v>
          </cell>
          <cell r="M1011">
            <v>46006</v>
          </cell>
          <cell r="N1011">
            <v>46007</v>
          </cell>
          <cell r="O1011">
            <v>2</v>
          </cell>
          <cell r="P1011">
            <v>46009</v>
          </cell>
          <cell r="Q1011">
            <v>1</v>
          </cell>
          <cell r="R1011" t="str">
            <v>NA</v>
          </cell>
          <cell r="S1011">
            <v>5</v>
          </cell>
        </row>
        <row r="1012">
          <cell r="B1012" t="str">
            <v>MNC</v>
          </cell>
          <cell r="C1012" t="str">
            <v>HSLB15342</v>
          </cell>
          <cell r="D1012">
            <v>201001</v>
          </cell>
          <cell r="E1012" t="str">
            <v>Estación de Trabajo</v>
          </cell>
          <cell r="F1012" t="str">
            <v>NO</v>
          </cell>
          <cell r="G1012" t="str">
            <v>NO</v>
          </cell>
          <cell r="H1012" t="str">
            <v>SALA DE PROCEDIMIENTO</v>
          </cell>
          <cell r="I1012">
            <v>1</v>
          </cell>
          <cell r="J1012" t="str">
            <v>C.4.3.5.1</v>
          </cell>
          <cell r="K1012" t="str">
            <v>Urgencia</v>
          </cell>
          <cell r="L1012">
            <v>1</v>
          </cell>
          <cell r="M1012">
            <v>46006</v>
          </cell>
          <cell r="N1012">
            <v>46007</v>
          </cell>
          <cell r="O1012">
            <v>2</v>
          </cell>
          <cell r="P1012">
            <v>46009</v>
          </cell>
          <cell r="Q1012">
            <v>1</v>
          </cell>
          <cell r="R1012" t="str">
            <v>NA</v>
          </cell>
          <cell r="S1012">
            <v>5</v>
          </cell>
        </row>
        <row r="1013">
          <cell r="B1013" t="str">
            <v>MNC</v>
          </cell>
          <cell r="C1013" t="str">
            <v>HSLB15344</v>
          </cell>
          <cell r="D1013">
            <v>201001</v>
          </cell>
          <cell r="E1013" t="str">
            <v>Estación de Trabajo</v>
          </cell>
          <cell r="F1013" t="str">
            <v>NO</v>
          </cell>
          <cell r="G1013" t="str">
            <v>NO</v>
          </cell>
          <cell r="H1013" t="str">
            <v>SALA DE PROCEDIMIENTOS</v>
          </cell>
          <cell r="I1013">
            <v>1</v>
          </cell>
          <cell r="J1013" t="str">
            <v>C.4.3.5.2</v>
          </cell>
          <cell r="K1013" t="str">
            <v>Urgencia</v>
          </cell>
          <cell r="L1013">
            <v>1</v>
          </cell>
          <cell r="M1013">
            <v>46006</v>
          </cell>
          <cell r="N1013">
            <v>46007</v>
          </cell>
          <cell r="O1013">
            <v>2</v>
          </cell>
          <cell r="P1013">
            <v>46009</v>
          </cell>
          <cell r="Q1013">
            <v>1</v>
          </cell>
          <cell r="R1013" t="str">
            <v>NA</v>
          </cell>
          <cell r="S1013">
            <v>5</v>
          </cell>
        </row>
        <row r="1014">
          <cell r="B1014" t="str">
            <v>MNC</v>
          </cell>
          <cell r="C1014" t="str">
            <v>HSLB15345</v>
          </cell>
          <cell r="D1014">
            <v>201001</v>
          </cell>
          <cell r="E1014" t="str">
            <v>Estación de Trabajo</v>
          </cell>
          <cell r="F1014" t="str">
            <v>NO</v>
          </cell>
          <cell r="G1014" t="str">
            <v>NO</v>
          </cell>
          <cell r="H1014" t="str">
            <v>SELECTOR DE DEMANDA (infantil)</v>
          </cell>
          <cell r="I1014">
            <v>1</v>
          </cell>
          <cell r="J1014" t="str">
            <v>C.4.4.1</v>
          </cell>
          <cell r="K1014" t="str">
            <v>Urgencia</v>
          </cell>
          <cell r="L1014">
            <v>1</v>
          </cell>
          <cell r="M1014">
            <v>46006</v>
          </cell>
          <cell r="N1014">
            <v>46007</v>
          </cell>
          <cell r="O1014">
            <v>2</v>
          </cell>
          <cell r="P1014">
            <v>46009</v>
          </cell>
          <cell r="Q1014">
            <v>1</v>
          </cell>
          <cell r="R1014" t="str">
            <v>NA</v>
          </cell>
          <cell r="S1014">
            <v>5</v>
          </cell>
        </row>
        <row r="1015">
          <cell r="B1015" t="str">
            <v>MNC</v>
          </cell>
          <cell r="C1015" t="str">
            <v>HSLB15346</v>
          </cell>
          <cell r="D1015">
            <v>201001</v>
          </cell>
          <cell r="E1015" t="str">
            <v>Estación de Trabajo</v>
          </cell>
          <cell r="F1015" t="str">
            <v>NO</v>
          </cell>
          <cell r="G1015" t="str">
            <v>NO</v>
          </cell>
          <cell r="H1015" t="str">
            <v>BOX REANIMACIÓN INFANTIL</v>
          </cell>
          <cell r="I1015">
            <v>1</v>
          </cell>
          <cell r="J1015" t="str">
            <v>C.4.4.12</v>
          </cell>
          <cell r="K1015" t="str">
            <v>Urgencia</v>
          </cell>
          <cell r="L1015">
            <v>1</v>
          </cell>
          <cell r="M1015">
            <v>46006</v>
          </cell>
          <cell r="N1015">
            <v>46007</v>
          </cell>
          <cell r="O1015">
            <v>2</v>
          </cell>
          <cell r="P1015">
            <v>46009</v>
          </cell>
          <cell r="Q1015">
            <v>1</v>
          </cell>
          <cell r="R1015" t="str">
            <v>NA</v>
          </cell>
          <cell r="S1015">
            <v>5</v>
          </cell>
        </row>
        <row r="1016">
          <cell r="B1016" t="str">
            <v>MNC</v>
          </cell>
          <cell r="C1016" t="str">
            <v>HSLB15347</v>
          </cell>
          <cell r="D1016">
            <v>201001</v>
          </cell>
          <cell r="E1016" t="str">
            <v>Estación de Trabajo</v>
          </cell>
          <cell r="F1016" t="str">
            <v>NO</v>
          </cell>
          <cell r="G1016" t="str">
            <v>NO</v>
          </cell>
          <cell r="H1016" t="str">
            <v>BOX URGENCIA (infantil)</v>
          </cell>
          <cell r="I1016">
            <v>1</v>
          </cell>
          <cell r="J1016" t="str">
            <v>C.4.4.3.1</v>
          </cell>
          <cell r="K1016" t="str">
            <v>Urgencia</v>
          </cell>
          <cell r="L1016">
            <v>1</v>
          </cell>
          <cell r="M1016">
            <v>46006</v>
          </cell>
          <cell r="N1016">
            <v>46007</v>
          </cell>
          <cell r="O1016">
            <v>2</v>
          </cell>
          <cell r="P1016">
            <v>46009</v>
          </cell>
          <cell r="Q1016">
            <v>1</v>
          </cell>
          <cell r="R1016" t="str">
            <v>NA</v>
          </cell>
          <cell r="S1016">
            <v>5</v>
          </cell>
        </row>
        <row r="1017">
          <cell r="B1017" t="str">
            <v>MNC</v>
          </cell>
          <cell r="C1017" t="str">
            <v>HSLB15348</v>
          </cell>
          <cell r="D1017">
            <v>201001</v>
          </cell>
          <cell r="E1017" t="str">
            <v>Estación de Trabajo</v>
          </cell>
          <cell r="F1017" t="str">
            <v>NO</v>
          </cell>
          <cell r="G1017" t="str">
            <v>NO</v>
          </cell>
          <cell r="H1017" t="str">
            <v>BOX URGENCIA (infantil)</v>
          </cell>
          <cell r="I1017">
            <v>1</v>
          </cell>
          <cell r="J1017" t="str">
            <v>C.4.4.3.2</v>
          </cell>
          <cell r="K1017" t="str">
            <v>Urgencia</v>
          </cell>
          <cell r="L1017">
            <v>1</v>
          </cell>
          <cell r="M1017">
            <v>46006</v>
          </cell>
          <cell r="N1017">
            <v>46007</v>
          </cell>
          <cell r="O1017">
            <v>2</v>
          </cell>
          <cell r="P1017">
            <v>46009</v>
          </cell>
          <cell r="Q1017">
            <v>1</v>
          </cell>
          <cell r="R1017" t="str">
            <v>NA</v>
          </cell>
          <cell r="S1017">
            <v>5</v>
          </cell>
        </row>
        <row r="1018">
          <cell r="B1018" t="str">
            <v>MNC</v>
          </cell>
          <cell r="C1018" t="str">
            <v>HSLB15350</v>
          </cell>
          <cell r="D1018">
            <v>201001</v>
          </cell>
          <cell r="E1018" t="str">
            <v>Estación de Trabajo</v>
          </cell>
          <cell r="F1018" t="str">
            <v>NO</v>
          </cell>
          <cell r="G1018" t="str">
            <v>NO</v>
          </cell>
          <cell r="H1018" t="str">
            <v>SALA DE PROCEDIMIENTO (infantil)</v>
          </cell>
          <cell r="I1018">
            <v>1</v>
          </cell>
          <cell r="J1018" t="str">
            <v>C.4.4.5</v>
          </cell>
          <cell r="K1018" t="str">
            <v>Urgencia</v>
          </cell>
          <cell r="L1018">
            <v>1</v>
          </cell>
          <cell r="M1018">
            <v>46006</v>
          </cell>
          <cell r="N1018">
            <v>46007</v>
          </cell>
          <cell r="O1018">
            <v>2</v>
          </cell>
          <cell r="P1018">
            <v>46009</v>
          </cell>
          <cell r="Q1018">
            <v>1</v>
          </cell>
          <cell r="R1018" t="str">
            <v>NA</v>
          </cell>
          <cell r="S1018">
            <v>5</v>
          </cell>
        </row>
        <row r="1019">
          <cell r="B1019" t="str">
            <v>MNC</v>
          </cell>
          <cell r="C1019" t="str">
            <v>HSLB15351</v>
          </cell>
          <cell r="D1019">
            <v>201001</v>
          </cell>
          <cell r="E1019" t="str">
            <v>Estación de Trabajo</v>
          </cell>
          <cell r="F1019" t="str">
            <v>NO</v>
          </cell>
          <cell r="G1019" t="str">
            <v>NO</v>
          </cell>
          <cell r="H1019" t="str">
            <v>SALA TELEMEDICINA</v>
          </cell>
          <cell r="I1019">
            <v>1</v>
          </cell>
          <cell r="J1019" t="str">
            <v>C.4.5.1.1</v>
          </cell>
          <cell r="K1019" t="str">
            <v>Urgencia</v>
          </cell>
          <cell r="L1019">
            <v>1</v>
          </cell>
          <cell r="M1019">
            <v>46006</v>
          </cell>
          <cell r="N1019">
            <v>46007</v>
          </cell>
          <cell r="O1019">
            <v>2</v>
          </cell>
          <cell r="P1019">
            <v>46009</v>
          </cell>
          <cell r="Q1019">
            <v>1</v>
          </cell>
          <cell r="R1019" t="str">
            <v>NA</v>
          </cell>
          <cell r="S1019">
            <v>5</v>
          </cell>
        </row>
        <row r="1020">
          <cell r="B1020" t="str">
            <v>MNC</v>
          </cell>
          <cell r="C1020" t="str">
            <v>HSLB13287</v>
          </cell>
          <cell r="D1020">
            <v>201001</v>
          </cell>
          <cell r="E1020" t="str">
            <v>Estación de Trabajo</v>
          </cell>
          <cell r="F1020" t="str">
            <v>NO</v>
          </cell>
          <cell r="G1020" t="str">
            <v>NO</v>
          </cell>
          <cell r="H1020" t="str">
            <v>SALA TELEMEDICINA</v>
          </cell>
          <cell r="I1020">
            <v>1</v>
          </cell>
          <cell r="J1020" t="str">
            <v>C.4.5.1.2</v>
          </cell>
          <cell r="K1020" t="str">
            <v>Urgencia</v>
          </cell>
          <cell r="L1020">
            <v>1</v>
          </cell>
          <cell r="M1020">
            <v>46006</v>
          </cell>
          <cell r="N1020">
            <v>46007</v>
          </cell>
          <cell r="O1020">
            <v>2</v>
          </cell>
          <cell r="P1020">
            <v>46009</v>
          </cell>
          <cell r="Q1020">
            <v>1</v>
          </cell>
          <cell r="R1020" t="str">
            <v>NA</v>
          </cell>
          <cell r="S1020">
            <v>5</v>
          </cell>
        </row>
        <row r="1021">
          <cell r="B1021" t="str">
            <v>MNC</v>
          </cell>
          <cell r="C1021" t="str">
            <v>HSLB13306</v>
          </cell>
          <cell r="D1021">
            <v>201004</v>
          </cell>
          <cell r="E1021" t="str">
            <v>Mesa Párvulo Tipo I</v>
          </cell>
          <cell r="F1021" t="str">
            <v>NO</v>
          </cell>
          <cell r="G1021" t="str">
            <v>NO</v>
          </cell>
          <cell r="H1021" t="str">
            <v>SALA DE ESPERA ACOGIDA</v>
          </cell>
          <cell r="I1021">
            <v>1</v>
          </cell>
          <cell r="J1021" t="str">
            <v>C.4.5.14</v>
          </cell>
          <cell r="K1021" t="str">
            <v>Urgencia</v>
          </cell>
          <cell r="L1021">
            <v>1</v>
          </cell>
          <cell r="M1021">
            <v>46006</v>
          </cell>
          <cell r="N1021">
            <v>46007</v>
          </cell>
          <cell r="O1021">
            <v>1</v>
          </cell>
          <cell r="P1021">
            <v>46008</v>
          </cell>
          <cell r="Q1021">
            <v>1</v>
          </cell>
          <cell r="R1021" t="str">
            <v>NA</v>
          </cell>
          <cell r="S1021">
            <v>5</v>
          </cell>
        </row>
        <row r="1022">
          <cell r="B1022" t="str">
            <v>MNC</v>
          </cell>
          <cell r="C1022" t="str">
            <v>HSLB15171</v>
          </cell>
          <cell r="D1022">
            <v>201001</v>
          </cell>
          <cell r="E1022" t="str">
            <v>Estación de Trabajo</v>
          </cell>
          <cell r="F1022" t="str">
            <v>NO</v>
          </cell>
          <cell r="G1022" t="str">
            <v>NO</v>
          </cell>
          <cell r="H1022" t="str">
            <v>SALA ENTREVISTA ACOGIDA</v>
          </cell>
          <cell r="I1022">
            <v>1</v>
          </cell>
          <cell r="J1022" t="str">
            <v>C.4.5.15</v>
          </cell>
          <cell r="K1022" t="str">
            <v>Urgencia</v>
          </cell>
          <cell r="L1022">
            <v>1</v>
          </cell>
          <cell r="M1022">
            <v>46006</v>
          </cell>
          <cell r="N1022">
            <v>46007</v>
          </cell>
          <cell r="O1022">
            <v>2</v>
          </cell>
          <cell r="P1022">
            <v>46009</v>
          </cell>
          <cell r="Q1022">
            <v>1</v>
          </cell>
          <cell r="R1022" t="str">
            <v>NA</v>
          </cell>
          <cell r="S1022">
            <v>5</v>
          </cell>
        </row>
        <row r="1023">
          <cell r="B1023" t="str">
            <v>MNC</v>
          </cell>
          <cell r="C1023" t="str">
            <v>HSLB13160</v>
          </cell>
          <cell r="D1023">
            <v>201001</v>
          </cell>
          <cell r="E1023" t="str">
            <v>Estación de Trabajo</v>
          </cell>
          <cell r="F1023" t="str">
            <v>NO</v>
          </cell>
          <cell r="G1023" t="str">
            <v>NO</v>
          </cell>
          <cell r="H1023" t="str">
            <v>BOX AT. ACOGIDA C/BAÑO Y DUCHA</v>
          </cell>
          <cell r="I1023">
            <v>1</v>
          </cell>
          <cell r="J1023" t="str">
            <v>C.4.5.16</v>
          </cell>
          <cell r="K1023" t="str">
            <v>Urgencia</v>
          </cell>
          <cell r="L1023">
            <v>1</v>
          </cell>
          <cell r="M1023">
            <v>46006</v>
          </cell>
          <cell r="N1023">
            <v>46007</v>
          </cell>
          <cell r="O1023">
            <v>2</v>
          </cell>
          <cell r="P1023">
            <v>46009</v>
          </cell>
          <cell r="Q1023">
            <v>1</v>
          </cell>
          <cell r="R1023" t="str">
            <v>NA</v>
          </cell>
          <cell r="S1023">
            <v>5</v>
          </cell>
        </row>
        <row r="1024">
          <cell r="B1024" t="str">
            <v>MNC</v>
          </cell>
          <cell r="C1024" t="str">
            <v>HSLB15355</v>
          </cell>
          <cell r="D1024">
            <v>201001</v>
          </cell>
          <cell r="E1024" t="str">
            <v>Estación de Trabajo</v>
          </cell>
          <cell r="F1024" t="str">
            <v>NO</v>
          </cell>
          <cell r="G1024" t="str">
            <v>NO</v>
          </cell>
          <cell r="H1024" t="str">
            <v>SALA YESO</v>
          </cell>
          <cell r="I1024">
            <v>1</v>
          </cell>
          <cell r="J1024" t="str">
            <v>C.4.5.4</v>
          </cell>
          <cell r="K1024" t="str">
            <v>Urgencia</v>
          </cell>
          <cell r="L1024">
            <v>1</v>
          </cell>
          <cell r="M1024">
            <v>46006</v>
          </cell>
          <cell r="N1024">
            <v>46007</v>
          </cell>
          <cell r="O1024">
            <v>2</v>
          </cell>
          <cell r="P1024">
            <v>46009</v>
          </cell>
          <cell r="Q1024">
            <v>1</v>
          </cell>
          <cell r="R1024" t="str">
            <v>NA</v>
          </cell>
          <cell r="S1024">
            <v>5</v>
          </cell>
        </row>
        <row r="1025">
          <cell r="B1025" t="str">
            <v>MNC</v>
          </cell>
          <cell r="C1025" t="str">
            <v>HSLB13417</v>
          </cell>
          <cell r="D1025">
            <v>201011</v>
          </cell>
          <cell r="E1025" t="str">
            <v>Mesa Tipo Casino</v>
          </cell>
          <cell r="F1025" t="str">
            <v>NO</v>
          </cell>
          <cell r="G1025" t="str">
            <v>NO</v>
          </cell>
          <cell r="H1025" t="str">
            <v>ESTAR PERSONAL C/ KITCHENETTE</v>
          </cell>
          <cell r="I1025">
            <v>1</v>
          </cell>
          <cell r="J1025" t="str">
            <v>C.4.6.2.1</v>
          </cell>
          <cell r="K1025" t="str">
            <v>Urgencia</v>
          </cell>
          <cell r="L1025">
            <v>1</v>
          </cell>
          <cell r="M1025">
            <v>46006</v>
          </cell>
          <cell r="N1025">
            <v>46007</v>
          </cell>
          <cell r="O1025">
            <v>2</v>
          </cell>
          <cell r="P1025">
            <v>46009</v>
          </cell>
          <cell r="Q1025">
            <v>1</v>
          </cell>
          <cell r="R1025" t="str">
            <v>NA</v>
          </cell>
          <cell r="S1025">
            <v>5</v>
          </cell>
        </row>
        <row r="1026">
          <cell r="B1026" t="str">
            <v>MNC</v>
          </cell>
          <cell r="C1026" t="str">
            <v>HSLB13418</v>
          </cell>
          <cell r="D1026">
            <v>201011</v>
          </cell>
          <cell r="E1026" t="str">
            <v>Mesa Tipo Casino</v>
          </cell>
          <cell r="F1026" t="str">
            <v>NO</v>
          </cell>
          <cell r="G1026" t="str">
            <v>NO</v>
          </cell>
          <cell r="H1026" t="str">
            <v>ESTAR PERSONAL C/ KITCHENETTE</v>
          </cell>
          <cell r="I1026">
            <v>1</v>
          </cell>
          <cell r="J1026" t="str">
            <v>C.4.6.2.2</v>
          </cell>
          <cell r="K1026" t="str">
            <v>Urgencia</v>
          </cell>
          <cell r="L1026">
            <v>1</v>
          </cell>
          <cell r="M1026">
            <v>46006</v>
          </cell>
          <cell r="N1026">
            <v>46007</v>
          </cell>
          <cell r="O1026">
            <v>2</v>
          </cell>
          <cell r="P1026">
            <v>46009</v>
          </cell>
          <cell r="Q1026">
            <v>1</v>
          </cell>
          <cell r="R1026" t="str">
            <v>NA</v>
          </cell>
          <cell r="S1026">
            <v>5</v>
          </cell>
        </row>
        <row r="1027">
          <cell r="B1027" t="str">
            <v>MNC</v>
          </cell>
          <cell r="C1027" t="str">
            <v>HSLB13419</v>
          </cell>
          <cell r="D1027">
            <v>201011</v>
          </cell>
          <cell r="E1027" t="str">
            <v>Mesa Tipo Casino</v>
          </cell>
          <cell r="F1027" t="str">
            <v>NO</v>
          </cell>
          <cell r="G1027" t="str">
            <v>NO</v>
          </cell>
          <cell r="H1027" t="str">
            <v>ESTAR PERSONAL C/ KITCHENETTE</v>
          </cell>
          <cell r="I1027">
            <v>1</v>
          </cell>
          <cell r="J1027" t="str">
            <v>C.4.6.2.3</v>
          </cell>
          <cell r="K1027" t="str">
            <v>Urgencia</v>
          </cell>
          <cell r="L1027">
            <v>1</v>
          </cell>
          <cell r="M1027">
            <v>46006</v>
          </cell>
          <cell r="N1027">
            <v>46007</v>
          </cell>
          <cell r="O1027">
            <v>2</v>
          </cell>
          <cell r="P1027">
            <v>46009</v>
          </cell>
          <cell r="Q1027">
            <v>1</v>
          </cell>
          <cell r="R1027" t="str">
            <v>NA</v>
          </cell>
          <cell r="S1027">
            <v>5</v>
          </cell>
        </row>
        <row r="1028">
          <cell r="B1028" t="str">
            <v>MNC</v>
          </cell>
          <cell r="C1028" t="str">
            <v>HSLB13440</v>
          </cell>
          <cell r="D1028">
            <v>201011</v>
          </cell>
          <cell r="E1028" t="str">
            <v>Mesa Tipo Casino</v>
          </cell>
          <cell r="F1028" t="str">
            <v>NO</v>
          </cell>
          <cell r="G1028" t="str">
            <v>NO</v>
          </cell>
          <cell r="H1028" t="str">
            <v>ESTAR PERSONAL C/ KITCHENETTE</v>
          </cell>
          <cell r="I1028">
            <v>1</v>
          </cell>
          <cell r="J1028" t="str">
            <v>C.4.6.2.4</v>
          </cell>
          <cell r="K1028" t="str">
            <v>Urgencia</v>
          </cell>
          <cell r="L1028">
            <v>1</v>
          </cell>
          <cell r="M1028">
            <v>46006</v>
          </cell>
          <cell r="N1028">
            <v>46007</v>
          </cell>
          <cell r="O1028">
            <v>2</v>
          </cell>
          <cell r="P1028">
            <v>46009</v>
          </cell>
          <cell r="Q1028">
            <v>1</v>
          </cell>
          <cell r="R1028" t="str">
            <v>NA</v>
          </cell>
          <cell r="S1028">
            <v>5</v>
          </cell>
        </row>
        <row r="1029">
          <cell r="B1029" t="str">
            <v>MNC</v>
          </cell>
          <cell r="C1029" t="str">
            <v>HSLB13441</v>
          </cell>
          <cell r="D1029">
            <v>201011</v>
          </cell>
          <cell r="E1029" t="str">
            <v>Mesa Tipo Casino</v>
          </cell>
          <cell r="F1029" t="str">
            <v>NO</v>
          </cell>
          <cell r="G1029" t="str">
            <v>NO</v>
          </cell>
          <cell r="H1029" t="str">
            <v>ESTAR PERSONAL C/ KITCHENETTE</v>
          </cell>
          <cell r="I1029">
            <v>1</v>
          </cell>
          <cell r="J1029" t="str">
            <v>C.4.6.2.5</v>
          </cell>
          <cell r="K1029" t="str">
            <v>Urgencia</v>
          </cell>
          <cell r="L1029">
            <v>1</v>
          </cell>
          <cell r="M1029">
            <v>46006</v>
          </cell>
          <cell r="N1029">
            <v>46007</v>
          </cell>
          <cell r="O1029">
            <v>2</v>
          </cell>
          <cell r="P1029">
            <v>46009</v>
          </cell>
          <cell r="Q1029">
            <v>1</v>
          </cell>
          <cell r="R1029" t="str">
            <v>NA</v>
          </cell>
          <cell r="S1029">
            <v>5</v>
          </cell>
        </row>
        <row r="1030">
          <cell r="B1030" t="str">
            <v>MNC</v>
          </cell>
          <cell r="C1030" t="str">
            <v>HSLB13350</v>
          </cell>
          <cell r="D1030">
            <v>201010</v>
          </cell>
          <cell r="E1030" t="str">
            <v>Mesa Reuniones Tipo III</v>
          </cell>
          <cell r="F1030" t="str">
            <v>NO</v>
          </cell>
          <cell r="G1030" t="str">
            <v>NO</v>
          </cell>
          <cell r="H1030" t="str">
            <v>SALA DE REUNIONES</v>
          </cell>
          <cell r="I1030">
            <v>1</v>
          </cell>
          <cell r="J1030" t="str">
            <v>C.4.6.4</v>
          </cell>
          <cell r="K1030" t="str">
            <v>Urgencia</v>
          </cell>
          <cell r="L1030">
            <v>1</v>
          </cell>
          <cell r="M1030">
            <v>46006</v>
          </cell>
          <cell r="N1030">
            <v>46007</v>
          </cell>
          <cell r="O1030">
            <v>2</v>
          </cell>
          <cell r="P1030">
            <v>46009</v>
          </cell>
          <cell r="Q1030">
            <v>1</v>
          </cell>
          <cell r="R1030" t="str">
            <v>NA</v>
          </cell>
          <cell r="S1030">
            <v>5</v>
          </cell>
        </row>
        <row r="1031">
          <cell r="B1031" t="str">
            <v>MNC</v>
          </cell>
          <cell r="C1031" t="str">
            <v>HSLB13169</v>
          </cell>
          <cell r="D1031">
            <v>201001</v>
          </cell>
          <cell r="E1031" t="str">
            <v>Estación de Trabajo</v>
          </cell>
          <cell r="F1031" t="str">
            <v>NO</v>
          </cell>
          <cell r="G1031" t="str">
            <v>NO</v>
          </cell>
          <cell r="H1031" t="str">
            <v>SECRETARIA C/ARCHIVO, FOTOCOP.</v>
          </cell>
          <cell r="I1031">
            <v>1</v>
          </cell>
          <cell r="J1031" t="str">
            <v>C.5.3.12</v>
          </cell>
          <cell r="K1031" t="str">
            <v>Imagenología</v>
          </cell>
          <cell r="L1031">
            <v>1</v>
          </cell>
          <cell r="M1031">
            <v>46008</v>
          </cell>
          <cell r="N1031">
            <v>46009</v>
          </cell>
          <cell r="O1031">
            <v>2</v>
          </cell>
          <cell r="P1031">
            <v>46013</v>
          </cell>
          <cell r="Q1031">
            <v>1</v>
          </cell>
          <cell r="R1031" t="str">
            <v>NA</v>
          </cell>
          <cell r="S1031">
            <v>5</v>
          </cell>
        </row>
        <row r="1032">
          <cell r="B1032" t="str">
            <v>MNC</v>
          </cell>
          <cell r="C1032" t="str">
            <v>HSLB13170</v>
          </cell>
          <cell r="D1032">
            <v>201001</v>
          </cell>
          <cell r="E1032" t="str">
            <v>Estación de Trabajo</v>
          </cell>
          <cell r="F1032" t="str">
            <v>NO</v>
          </cell>
          <cell r="G1032" t="str">
            <v>NO</v>
          </cell>
          <cell r="H1032" t="str">
            <v>OFICINA JEFE IMAGENOLOGÍA</v>
          </cell>
          <cell r="I1032">
            <v>1</v>
          </cell>
          <cell r="J1032" t="str">
            <v>C.5.3.13</v>
          </cell>
          <cell r="K1032" t="str">
            <v>Imagenología</v>
          </cell>
          <cell r="L1032">
            <v>1</v>
          </cell>
          <cell r="M1032">
            <v>46008</v>
          </cell>
          <cell r="N1032">
            <v>46009</v>
          </cell>
          <cell r="O1032">
            <v>2</v>
          </cell>
          <cell r="P1032">
            <v>46013</v>
          </cell>
          <cell r="Q1032">
            <v>1</v>
          </cell>
          <cell r="R1032" t="str">
            <v>NA</v>
          </cell>
          <cell r="S1032">
            <v>5</v>
          </cell>
        </row>
        <row r="1033">
          <cell r="B1033" t="str">
            <v>MNC</v>
          </cell>
          <cell r="C1033" t="str">
            <v>HSLB13171</v>
          </cell>
          <cell r="D1033">
            <v>201001</v>
          </cell>
          <cell r="E1033" t="str">
            <v>Estación de Trabajo</v>
          </cell>
          <cell r="F1033" t="str">
            <v>NO</v>
          </cell>
          <cell r="G1033" t="str">
            <v>NO</v>
          </cell>
          <cell r="H1033" t="str">
            <v>COORDINADOR IMAGENOLOGÍA</v>
          </cell>
          <cell r="I1033">
            <v>1</v>
          </cell>
          <cell r="J1033" t="str">
            <v>C.5.3.14</v>
          </cell>
          <cell r="K1033" t="str">
            <v>Imagenología</v>
          </cell>
          <cell r="L1033">
            <v>1</v>
          </cell>
          <cell r="M1033">
            <v>46008</v>
          </cell>
          <cell r="N1033">
            <v>46009</v>
          </cell>
          <cell r="O1033">
            <v>2</v>
          </cell>
          <cell r="P1033">
            <v>46013</v>
          </cell>
          <cell r="Q1033">
            <v>1</v>
          </cell>
          <cell r="R1033" t="str">
            <v>NA</v>
          </cell>
          <cell r="S1033">
            <v>5</v>
          </cell>
        </row>
        <row r="1034">
          <cell r="B1034" t="str">
            <v>MNC</v>
          </cell>
          <cell r="C1034" t="str">
            <v>HSLB13172</v>
          </cell>
          <cell r="D1034">
            <v>201001</v>
          </cell>
          <cell r="E1034" t="str">
            <v>Estación de Trabajo</v>
          </cell>
          <cell r="F1034" t="str">
            <v>NO</v>
          </cell>
          <cell r="G1034" t="str">
            <v>SI</v>
          </cell>
          <cell r="H1034" t="str">
            <v>MÓDULO DE TRABAJO (INFORMES)</v>
          </cell>
          <cell r="I1034">
            <v>6</v>
          </cell>
          <cell r="J1034" t="str">
            <v>C.5.3.15</v>
          </cell>
          <cell r="K1034" t="str">
            <v>Imagenología</v>
          </cell>
          <cell r="L1034">
            <v>1</v>
          </cell>
          <cell r="M1034">
            <v>46003</v>
          </cell>
          <cell r="N1034">
            <v>46006</v>
          </cell>
          <cell r="O1034">
            <v>2</v>
          </cell>
          <cell r="P1034">
            <v>46008</v>
          </cell>
          <cell r="Q1034">
            <v>1</v>
          </cell>
          <cell r="R1034" t="str">
            <v>NA</v>
          </cell>
          <cell r="S1034">
            <v>5</v>
          </cell>
        </row>
        <row r="1035">
          <cell r="B1035" t="str">
            <v>MNC</v>
          </cell>
          <cell r="C1035" t="str">
            <v>HSLB13173</v>
          </cell>
          <cell r="D1035">
            <v>201001</v>
          </cell>
          <cell r="E1035" t="str">
            <v>Estación de Trabajo</v>
          </cell>
          <cell r="F1035" t="str">
            <v>NO</v>
          </cell>
          <cell r="G1035" t="str">
            <v>NO</v>
          </cell>
          <cell r="H1035" t="str">
            <v>SALA DE INFORMES Y DIAGNÓSTICO A DISTANCIA + IMPRESIÓN</v>
          </cell>
          <cell r="I1035">
            <v>3</v>
          </cell>
          <cell r="J1035" t="str">
            <v>C.5.3.16</v>
          </cell>
          <cell r="K1035" t="str">
            <v>Imagenología</v>
          </cell>
          <cell r="L1035">
            <v>1</v>
          </cell>
          <cell r="M1035">
            <v>46008</v>
          </cell>
          <cell r="N1035">
            <v>46009</v>
          </cell>
          <cell r="O1035">
            <v>2</v>
          </cell>
          <cell r="P1035">
            <v>46013</v>
          </cell>
          <cell r="Q1035">
            <v>1</v>
          </cell>
          <cell r="R1035" t="str">
            <v>NA</v>
          </cell>
          <cell r="S1035">
            <v>5</v>
          </cell>
        </row>
        <row r="1036">
          <cell r="B1036" t="str">
            <v>MNC</v>
          </cell>
          <cell r="C1036" t="str">
            <v>HSLB13421</v>
          </cell>
          <cell r="D1036">
            <v>201011</v>
          </cell>
          <cell r="E1036" t="str">
            <v>Mesa Tipo Casino</v>
          </cell>
          <cell r="F1036" t="str">
            <v>NO</v>
          </cell>
          <cell r="G1036" t="str">
            <v>NO</v>
          </cell>
          <cell r="H1036" t="str">
            <v>ESTAR PERSONAL C/ KITCHENETTE</v>
          </cell>
          <cell r="I1036">
            <v>1</v>
          </cell>
          <cell r="J1036" t="str">
            <v>C.5.3.17</v>
          </cell>
          <cell r="K1036" t="str">
            <v>Imagenología</v>
          </cell>
          <cell r="L1036">
            <v>1</v>
          </cell>
          <cell r="M1036">
            <v>46008</v>
          </cell>
          <cell r="N1036">
            <v>46009</v>
          </cell>
          <cell r="O1036">
            <v>1</v>
          </cell>
          <cell r="P1036">
            <v>46010</v>
          </cell>
          <cell r="Q1036">
            <v>1</v>
          </cell>
          <cell r="R1036" t="str">
            <v>NA</v>
          </cell>
          <cell r="S1036">
            <v>5</v>
          </cell>
        </row>
        <row r="1037">
          <cell r="B1037" t="str">
            <v>MNC</v>
          </cell>
          <cell r="C1037" t="str">
            <v>HSLB13174</v>
          </cell>
          <cell r="D1037">
            <v>201001</v>
          </cell>
          <cell r="E1037" t="str">
            <v>Estación de Trabajo</v>
          </cell>
          <cell r="F1037" t="str">
            <v>NO</v>
          </cell>
          <cell r="G1037" t="str">
            <v>NO</v>
          </cell>
          <cell r="H1037" t="str">
            <v>SALA ECOTOMOGRAFO GINECO-OBSTETRICO (EQUIPO/VESTIDOR)</v>
          </cell>
          <cell r="I1037">
            <v>1</v>
          </cell>
          <cell r="J1037" t="str">
            <v>C.5.3.8</v>
          </cell>
          <cell r="K1037" t="str">
            <v>Imagenología</v>
          </cell>
          <cell r="L1037">
            <v>1</v>
          </cell>
          <cell r="M1037">
            <v>46008</v>
          </cell>
          <cell r="N1037">
            <v>46009</v>
          </cell>
          <cell r="O1037">
            <v>2</v>
          </cell>
          <cell r="P1037">
            <v>46013</v>
          </cell>
          <cell r="Q1037">
            <v>1</v>
          </cell>
          <cell r="R1037" t="str">
            <v>NA</v>
          </cell>
          <cell r="S1037">
            <v>5</v>
          </cell>
        </row>
        <row r="1038">
          <cell r="B1038" t="str">
            <v>MNC</v>
          </cell>
          <cell r="C1038" t="str">
            <v>HSLB13175</v>
          </cell>
          <cell r="D1038">
            <v>201001</v>
          </cell>
          <cell r="E1038" t="str">
            <v>Estación de Trabajo</v>
          </cell>
          <cell r="F1038" t="str">
            <v>NO</v>
          </cell>
          <cell r="G1038" t="str">
            <v>NO</v>
          </cell>
          <cell r="H1038" t="str">
            <v>SALA ECOTOMOGRAFO INDIFERENCIADO (EQUIPO/VESTIDOR)</v>
          </cell>
          <cell r="I1038">
            <v>1</v>
          </cell>
          <cell r="J1038" t="str">
            <v>C.5.3.9.1</v>
          </cell>
          <cell r="K1038" t="str">
            <v>Imagenología</v>
          </cell>
          <cell r="L1038">
            <v>1</v>
          </cell>
          <cell r="M1038">
            <v>46008</v>
          </cell>
          <cell r="N1038">
            <v>46009</v>
          </cell>
          <cell r="O1038">
            <v>2</v>
          </cell>
          <cell r="P1038">
            <v>46013</v>
          </cell>
          <cell r="Q1038">
            <v>1</v>
          </cell>
          <cell r="R1038" t="str">
            <v>NA</v>
          </cell>
          <cell r="S1038">
            <v>5</v>
          </cell>
        </row>
        <row r="1039">
          <cell r="B1039" t="str">
            <v>MNC</v>
          </cell>
          <cell r="C1039" t="str">
            <v>HSLB13176</v>
          </cell>
          <cell r="D1039">
            <v>201001</v>
          </cell>
          <cell r="E1039" t="str">
            <v>Estación de Trabajo</v>
          </cell>
          <cell r="F1039" t="str">
            <v>NO</v>
          </cell>
          <cell r="G1039" t="str">
            <v>NO</v>
          </cell>
          <cell r="H1039" t="str">
            <v>SALA ECOTOMOGRAFO INDIFERENCIADO (EQUIPO/VESTIDOR)</v>
          </cell>
          <cell r="I1039">
            <v>1</v>
          </cell>
          <cell r="J1039" t="str">
            <v>C.5.3.9.2</v>
          </cell>
          <cell r="K1039" t="str">
            <v>Imagenología</v>
          </cell>
          <cell r="L1039">
            <v>1</v>
          </cell>
          <cell r="M1039">
            <v>46008</v>
          </cell>
          <cell r="N1039">
            <v>46009</v>
          </cell>
          <cell r="O1039">
            <v>2</v>
          </cell>
          <cell r="P1039">
            <v>46013</v>
          </cell>
          <cell r="Q1039">
            <v>1</v>
          </cell>
          <cell r="R1039" t="str">
            <v>NA</v>
          </cell>
          <cell r="S1039">
            <v>5</v>
          </cell>
        </row>
        <row r="1040">
          <cell r="B1040" t="str">
            <v>MNC</v>
          </cell>
          <cell r="C1040" t="str">
            <v>HSLB13442</v>
          </cell>
          <cell r="D1040">
            <v>201012</v>
          </cell>
          <cell r="E1040" t="str">
            <v>Mesa Trabajo Individual</v>
          </cell>
          <cell r="F1040" t="str">
            <v>NO</v>
          </cell>
          <cell r="G1040" t="str">
            <v>SI</v>
          </cell>
          <cell r="H1040" t="str">
            <v>GIMNASIO ADULTO REHABILITACIÓN CARDIOVASCULAR</v>
          </cell>
          <cell r="I1040">
            <v>1</v>
          </cell>
          <cell r="J1040" t="str">
            <v>C.5.7.14</v>
          </cell>
          <cell r="K1040" t="str">
            <v>Med física y rehabilitación</v>
          </cell>
          <cell r="L1040">
            <v>1</v>
          </cell>
          <cell r="M1040">
            <v>46003</v>
          </cell>
          <cell r="N1040">
            <v>46006</v>
          </cell>
          <cell r="O1040">
            <v>1</v>
          </cell>
          <cell r="P1040">
            <v>46007</v>
          </cell>
          <cell r="Q1040">
            <v>1</v>
          </cell>
          <cell r="R1040" t="str">
            <v>NA</v>
          </cell>
          <cell r="S1040">
            <v>5</v>
          </cell>
        </row>
        <row r="1041">
          <cell r="B1041" t="str">
            <v>MNC</v>
          </cell>
          <cell r="C1041" t="str">
            <v>HSLB13307</v>
          </cell>
          <cell r="D1041">
            <v>201004</v>
          </cell>
          <cell r="E1041" t="str">
            <v>Mesa Párvulo Tipo I</v>
          </cell>
          <cell r="F1041" t="str">
            <v>NO</v>
          </cell>
          <cell r="G1041" t="str">
            <v>NO</v>
          </cell>
          <cell r="H1041" t="str">
            <v>GIMNASIO PEDIATRICO</v>
          </cell>
          <cell r="I1041">
            <v>1</v>
          </cell>
          <cell r="J1041" t="str">
            <v>C.5.7.15</v>
          </cell>
          <cell r="K1041" t="str">
            <v>Med física y rehabilitación</v>
          </cell>
          <cell r="L1041">
            <v>1</v>
          </cell>
          <cell r="M1041">
            <v>46017</v>
          </cell>
          <cell r="N1041">
            <v>46020</v>
          </cell>
          <cell r="O1041">
            <v>2</v>
          </cell>
          <cell r="P1041">
            <v>46022</v>
          </cell>
          <cell r="Q1041">
            <v>1</v>
          </cell>
          <cell r="R1041" t="str">
            <v>NA</v>
          </cell>
          <cell r="S1041">
            <v>5</v>
          </cell>
        </row>
        <row r="1042">
          <cell r="B1042" t="str">
            <v>MNC</v>
          </cell>
          <cell r="C1042" t="str">
            <v>HSLB13443</v>
          </cell>
          <cell r="D1042">
            <v>201012</v>
          </cell>
          <cell r="E1042" t="str">
            <v>Mesa Trabajo Individual</v>
          </cell>
          <cell r="F1042" t="str">
            <v>NO</v>
          </cell>
          <cell r="G1042" t="str">
            <v>NO</v>
          </cell>
          <cell r="H1042" t="str">
            <v>GIMNASIO PEDIATRICO</v>
          </cell>
          <cell r="I1042">
            <v>1</v>
          </cell>
          <cell r="J1042" t="str">
            <v>C.5.7.15</v>
          </cell>
          <cell r="K1042" t="str">
            <v>Med física y rehabilitación</v>
          </cell>
          <cell r="L1042">
            <v>1</v>
          </cell>
          <cell r="M1042">
            <v>46017</v>
          </cell>
          <cell r="N1042">
            <v>46020</v>
          </cell>
          <cell r="O1042">
            <v>2</v>
          </cell>
          <cell r="P1042">
            <v>46022</v>
          </cell>
          <cell r="Q1042">
            <v>1</v>
          </cell>
          <cell r="R1042" t="str">
            <v>NA</v>
          </cell>
          <cell r="S1042">
            <v>5</v>
          </cell>
        </row>
        <row r="1043">
          <cell r="B1043" t="str">
            <v>MNC</v>
          </cell>
          <cell r="C1043" t="str">
            <v>HSLB13444</v>
          </cell>
          <cell r="D1043">
            <v>201012</v>
          </cell>
          <cell r="E1043" t="str">
            <v>Mesa Trabajo Individual</v>
          </cell>
          <cell r="F1043" t="str">
            <v>NO</v>
          </cell>
          <cell r="G1043" t="str">
            <v>NO</v>
          </cell>
          <cell r="H1043" t="str">
            <v>GIMNASIO TERAPIA OCUPACIONAL PEDIATRICO</v>
          </cell>
          <cell r="I1043">
            <v>1</v>
          </cell>
          <cell r="J1043" t="str">
            <v>C.5.7.15.1</v>
          </cell>
          <cell r="K1043" t="str">
            <v>Med física y rehabilitación</v>
          </cell>
          <cell r="L1043">
            <v>1</v>
          </cell>
          <cell r="M1043">
            <v>46017</v>
          </cell>
          <cell r="N1043">
            <v>46020</v>
          </cell>
          <cell r="O1043">
            <v>2</v>
          </cell>
          <cell r="P1043">
            <v>46022</v>
          </cell>
          <cell r="Q1043">
            <v>1</v>
          </cell>
          <cell r="R1043" t="str">
            <v>NA</v>
          </cell>
          <cell r="S1043">
            <v>5</v>
          </cell>
        </row>
        <row r="1044">
          <cell r="B1044" t="str">
            <v>MNC</v>
          </cell>
          <cell r="C1044" t="str">
            <v>HSLB13186</v>
          </cell>
          <cell r="D1044">
            <v>201001</v>
          </cell>
          <cell r="E1044" t="str">
            <v>Estación de Trabajo</v>
          </cell>
          <cell r="F1044" t="str">
            <v>NO</v>
          </cell>
          <cell r="G1044" t="str">
            <v>NO</v>
          </cell>
          <cell r="H1044" t="str">
            <v>SALA DE TERAPIA GRUPAL (12 MAX)</v>
          </cell>
          <cell r="I1044">
            <v>1</v>
          </cell>
          <cell r="J1044" t="str">
            <v>C.5.7.18</v>
          </cell>
          <cell r="K1044" t="str">
            <v>Med física y rehabilitación</v>
          </cell>
          <cell r="L1044">
            <v>1</v>
          </cell>
          <cell r="M1044">
            <v>46017</v>
          </cell>
          <cell r="N1044">
            <v>46020</v>
          </cell>
          <cell r="O1044">
            <v>2</v>
          </cell>
          <cell r="P1044">
            <v>46022</v>
          </cell>
          <cell r="Q1044">
            <v>1</v>
          </cell>
          <cell r="R1044" t="str">
            <v>NA</v>
          </cell>
          <cell r="S1044">
            <v>5</v>
          </cell>
        </row>
        <row r="1045">
          <cell r="B1045" t="str">
            <v>MNC</v>
          </cell>
          <cell r="C1045" t="str">
            <v>HSLB13354</v>
          </cell>
          <cell r="D1045">
            <v>201010</v>
          </cell>
          <cell r="E1045" t="str">
            <v>Mesa Reuniones Tipo III</v>
          </cell>
          <cell r="F1045" t="str">
            <v>NO</v>
          </cell>
          <cell r="G1045" t="str">
            <v>NO</v>
          </cell>
          <cell r="H1045" t="str">
            <v>SALA DE TERAPIA GRUPAL (12 MAX)</v>
          </cell>
          <cell r="I1045">
            <v>1</v>
          </cell>
          <cell r="J1045" t="str">
            <v>C.5.7.18</v>
          </cell>
          <cell r="K1045" t="str">
            <v>Med física y rehabilitación</v>
          </cell>
          <cell r="L1045">
            <v>1</v>
          </cell>
          <cell r="M1045">
            <v>46017</v>
          </cell>
          <cell r="N1045">
            <v>46020</v>
          </cell>
          <cell r="O1045">
            <v>2</v>
          </cell>
          <cell r="P1045">
            <v>46022</v>
          </cell>
          <cell r="Q1045">
            <v>1</v>
          </cell>
          <cell r="R1045" t="str">
            <v>NA</v>
          </cell>
          <cell r="S1045">
            <v>5</v>
          </cell>
        </row>
        <row r="1046">
          <cell r="B1046" t="str">
            <v>MNC</v>
          </cell>
          <cell r="C1046" t="str">
            <v>HSLB13355</v>
          </cell>
          <cell r="D1046">
            <v>201008</v>
          </cell>
          <cell r="E1046" t="str">
            <v>Mesa Reuniones Tipo I</v>
          </cell>
          <cell r="F1046" t="str">
            <v>NO</v>
          </cell>
          <cell r="G1046" t="str">
            <v>NO</v>
          </cell>
          <cell r="H1046" t="str">
            <v>SALA TERÁPIA OCUP. ADULTO E INFANTIL</v>
          </cell>
          <cell r="I1046">
            <v>3</v>
          </cell>
          <cell r="J1046" t="str">
            <v>C.5.7.19</v>
          </cell>
          <cell r="K1046" t="str">
            <v>Med física y rehabilitación</v>
          </cell>
          <cell r="L1046">
            <v>1</v>
          </cell>
          <cell r="M1046">
            <v>46017</v>
          </cell>
          <cell r="N1046">
            <v>46020</v>
          </cell>
          <cell r="O1046">
            <v>2</v>
          </cell>
          <cell r="P1046">
            <v>46022</v>
          </cell>
          <cell r="Q1046">
            <v>1</v>
          </cell>
          <cell r="R1046" t="str">
            <v>NA</v>
          </cell>
          <cell r="S1046">
            <v>5</v>
          </cell>
        </row>
        <row r="1047">
          <cell r="B1047" t="str">
            <v>MNC</v>
          </cell>
          <cell r="C1047" t="str">
            <v>HSLB13426</v>
          </cell>
          <cell r="D1047">
            <v>201011</v>
          </cell>
          <cell r="E1047" t="str">
            <v>Mesa Tipo Casino</v>
          </cell>
          <cell r="F1047" t="str">
            <v>NO</v>
          </cell>
          <cell r="G1047" t="str">
            <v>NO</v>
          </cell>
          <cell r="H1047" t="str">
            <v>SALA DE ACTIVDAD DE LA VIDA DIARIA C/BAÑO DE INSTRUCCIÓN</v>
          </cell>
          <cell r="I1047">
            <v>1</v>
          </cell>
          <cell r="J1047" t="str">
            <v>C.5.7.20</v>
          </cell>
          <cell r="K1047" t="str">
            <v>Med física y rehabilitación</v>
          </cell>
          <cell r="L1047">
            <v>1</v>
          </cell>
          <cell r="M1047">
            <v>46017</v>
          </cell>
          <cell r="N1047">
            <v>46020</v>
          </cell>
          <cell r="O1047">
            <v>2</v>
          </cell>
          <cell r="P1047">
            <v>46022</v>
          </cell>
          <cell r="Q1047">
            <v>1</v>
          </cell>
          <cell r="R1047" t="str">
            <v>NA</v>
          </cell>
          <cell r="S1047">
            <v>5</v>
          </cell>
        </row>
        <row r="1048">
          <cell r="B1048" t="str">
            <v>MNC</v>
          </cell>
          <cell r="C1048" t="str">
            <v>HSLB13187</v>
          </cell>
          <cell r="D1048">
            <v>201001</v>
          </cell>
          <cell r="E1048" t="str">
            <v>Estación de Trabajo</v>
          </cell>
          <cell r="F1048" t="str">
            <v>NO</v>
          </cell>
          <cell r="G1048" t="str">
            <v>NO</v>
          </cell>
          <cell r="H1048" t="str">
            <v>OFICINA JEFE REHABILITACIÓN</v>
          </cell>
          <cell r="I1048">
            <v>1</v>
          </cell>
          <cell r="J1048" t="str">
            <v>C.5.7.21</v>
          </cell>
          <cell r="K1048" t="str">
            <v>Med física y rehabilitación</v>
          </cell>
          <cell r="L1048">
            <v>1</v>
          </cell>
          <cell r="M1048">
            <v>46017</v>
          </cell>
          <cell r="N1048">
            <v>46020</v>
          </cell>
          <cell r="O1048">
            <v>2</v>
          </cell>
          <cell r="P1048">
            <v>46022</v>
          </cell>
          <cell r="Q1048">
            <v>1</v>
          </cell>
          <cell r="R1048" t="str">
            <v>NA</v>
          </cell>
          <cell r="S1048">
            <v>5</v>
          </cell>
        </row>
        <row r="1049">
          <cell r="B1049" t="str">
            <v>MNC</v>
          </cell>
          <cell r="C1049" t="str">
            <v>HSLB13188</v>
          </cell>
          <cell r="D1049">
            <v>201001</v>
          </cell>
          <cell r="E1049" t="str">
            <v>Estación de Trabajo</v>
          </cell>
          <cell r="F1049" t="str">
            <v>NO</v>
          </cell>
          <cell r="G1049" t="str">
            <v>NO</v>
          </cell>
          <cell r="H1049" t="str">
            <v>OFICINA JEFE COORDINADOR</v>
          </cell>
          <cell r="I1049">
            <v>1</v>
          </cell>
          <cell r="J1049" t="str">
            <v>C.5.7.22</v>
          </cell>
          <cell r="K1049" t="str">
            <v>Med física y rehabilitación</v>
          </cell>
          <cell r="L1049">
            <v>1</v>
          </cell>
          <cell r="M1049">
            <v>46017</v>
          </cell>
          <cell r="N1049">
            <v>46020</v>
          </cell>
          <cell r="O1049">
            <v>2</v>
          </cell>
          <cell r="P1049">
            <v>46022</v>
          </cell>
          <cell r="Q1049">
            <v>1</v>
          </cell>
          <cell r="R1049" t="str">
            <v>NA</v>
          </cell>
          <cell r="S1049">
            <v>5</v>
          </cell>
        </row>
        <row r="1050">
          <cell r="B1050" t="str">
            <v>MNC</v>
          </cell>
          <cell r="C1050" t="str">
            <v>HSLB13356</v>
          </cell>
          <cell r="D1050">
            <v>201008</v>
          </cell>
          <cell r="E1050" t="str">
            <v>Mesa Reuniones Tipo I</v>
          </cell>
          <cell r="F1050" t="str">
            <v>NO</v>
          </cell>
          <cell r="G1050" t="str">
            <v>NO</v>
          </cell>
          <cell r="H1050" t="str">
            <v>SALA MULTIUSO</v>
          </cell>
          <cell r="I1050">
            <v>1</v>
          </cell>
          <cell r="J1050" t="str">
            <v>C.5.7.23</v>
          </cell>
          <cell r="K1050" t="str">
            <v>Med física y rehabilitación</v>
          </cell>
          <cell r="L1050">
            <v>1</v>
          </cell>
          <cell r="M1050">
            <v>46017</v>
          </cell>
          <cell r="N1050">
            <v>46020</v>
          </cell>
          <cell r="O1050">
            <v>2</v>
          </cell>
          <cell r="P1050">
            <v>46022</v>
          </cell>
          <cell r="Q1050">
            <v>1</v>
          </cell>
          <cell r="R1050" t="str">
            <v>NA</v>
          </cell>
          <cell r="S1050">
            <v>5</v>
          </cell>
        </row>
        <row r="1051">
          <cell r="B1051" t="str">
            <v>MNC</v>
          </cell>
          <cell r="C1051" t="str">
            <v>HSLB13189</v>
          </cell>
          <cell r="D1051">
            <v>201001</v>
          </cell>
          <cell r="E1051" t="str">
            <v>Estación de Trabajo</v>
          </cell>
          <cell r="F1051" t="str">
            <v>NO</v>
          </cell>
          <cell r="G1051" t="str">
            <v>NO</v>
          </cell>
          <cell r="H1051" t="str">
            <v>BOX KINESIOLOGO(1)</v>
          </cell>
          <cell r="I1051">
            <v>1</v>
          </cell>
          <cell r="J1051" t="str">
            <v>C.5.7.4.1</v>
          </cell>
          <cell r="K1051" t="str">
            <v>Med física y rehabilitación</v>
          </cell>
          <cell r="L1051">
            <v>1</v>
          </cell>
          <cell r="M1051">
            <v>46017</v>
          </cell>
          <cell r="N1051">
            <v>46020</v>
          </cell>
          <cell r="O1051">
            <v>2</v>
          </cell>
          <cell r="P1051">
            <v>46022</v>
          </cell>
          <cell r="Q1051">
            <v>1</v>
          </cell>
          <cell r="R1051" t="str">
            <v>NA</v>
          </cell>
          <cell r="S1051">
            <v>5</v>
          </cell>
        </row>
        <row r="1052">
          <cell r="B1052" t="str">
            <v>MNC</v>
          </cell>
          <cell r="C1052" t="str">
            <v>HSLB13190</v>
          </cell>
          <cell r="D1052">
            <v>201001</v>
          </cell>
          <cell r="E1052" t="str">
            <v>Estación de Trabajo</v>
          </cell>
          <cell r="F1052" t="str">
            <v>NO</v>
          </cell>
          <cell r="G1052" t="str">
            <v>NO</v>
          </cell>
          <cell r="H1052" t="str">
            <v>BOX PSICOLOGO / A. SOCIAL</v>
          </cell>
          <cell r="I1052">
            <v>1</v>
          </cell>
          <cell r="J1052" t="str">
            <v>C.5.7.4.2</v>
          </cell>
          <cell r="K1052" t="str">
            <v>Med física y rehabilitación</v>
          </cell>
          <cell r="L1052">
            <v>1</v>
          </cell>
          <cell r="M1052">
            <v>46017</v>
          </cell>
          <cell r="N1052">
            <v>46020</v>
          </cell>
          <cell r="O1052">
            <v>2</v>
          </cell>
          <cell r="P1052">
            <v>46022</v>
          </cell>
          <cell r="Q1052">
            <v>1</v>
          </cell>
          <cell r="R1052" t="str">
            <v>NA</v>
          </cell>
          <cell r="S1052">
            <v>5</v>
          </cell>
        </row>
        <row r="1053">
          <cell r="B1053" t="str">
            <v>MNC</v>
          </cell>
          <cell r="C1053" t="str">
            <v>HSLB13191</v>
          </cell>
          <cell r="D1053">
            <v>201001</v>
          </cell>
          <cell r="E1053" t="str">
            <v>Estación de Trabajo</v>
          </cell>
          <cell r="F1053" t="str">
            <v>NO</v>
          </cell>
          <cell r="G1053" t="str">
            <v>NO</v>
          </cell>
          <cell r="H1053" t="str">
            <v>BOX INDIFERENCIADO (FONOAUDIO Y TERAPIA OCU)(1)</v>
          </cell>
          <cell r="I1053">
            <v>1</v>
          </cell>
          <cell r="J1053" t="str">
            <v>C.5.7.5.1</v>
          </cell>
          <cell r="K1053" t="str">
            <v>Med física y rehabilitación</v>
          </cell>
          <cell r="L1053">
            <v>1</v>
          </cell>
          <cell r="M1053">
            <v>46017</v>
          </cell>
          <cell r="N1053">
            <v>46020</v>
          </cell>
          <cell r="O1053">
            <v>2</v>
          </cell>
          <cell r="P1053">
            <v>46022</v>
          </cell>
          <cell r="Q1053">
            <v>1</v>
          </cell>
          <cell r="R1053" t="str">
            <v>NA</v>
          </cell>
          <cell r="S1053">
            <v>5</v>
          </cell>
        </row>
        <row r="1054">
          <cell r="B1054" t="str">
            <v>MNC</v>
          </cell>
          <cell r="C1054" t="str">
            <v>HSLB13192</v>
          </cell>
          <cell r="D1054">
            <v>201001</v>
          </cell>
          <cell r="E1054" t="str">
            <v>Estación de Trabajo</v>
          </cell>
          <cell r="F1054" t="str">
            <v>NO</v>
          </cell>
          <cell r="G1054" t="str">
            <v>NO</v>
          </cell>
          <cell r="H1054" t="str">
            <v>BOX INDIFERENCIADO (FONOAUDIO Y TERAPIA OCU)(2)</v>
          </cell>
          <cell r="I1054">
            <v>1</v>
          </cell>
          <cell r="J1054" t="str">
            <v>C.5.7.5.2</v>
          </cell>
          <cell r="K1054" t="str">
            <v>Med física y rehabilitación</v>
          </cell>
          <cell r="L1054">
            <v>1</v>
          </cell>
          <cell r="M1054">
            <v>46017</v>
          </cell>
          <cell r="N1054">
            <v>46020</v>
          </cell>
          <cell r="O1054">
            <v>2</v>
          </cell>
          <cell r="P1054">
            <v>46022</v>
          </cell>
          <cell r="Q1054">
            <v>1</v>
          </cell>
          <cell r="R1054" t="str">
            <v>NA</v>
          </cell>
          <cell r="S1054">
            <v>5</v>
          </cell>
        </row>
        <row r="1055">
          <cell r="B1055" t="str">
            <v>MNC</v>
          </cell>
          <cell r="C1055" t="str">
            <v>HSLB13193</v>
          </cell>
          <cell r="D1055">
            <v>201001</v>
          </cell>
          <cell r="E1055" t="str">
            <v>Estación de Trabajo</v>
          </cell>
          <cell r="F1055" t="str">
            <v>NO</v>
          </cell>
          <cell r="G1055" t="str">
            <v>NO</v>
          </cell>
          <cell r="H1055" t="str">
            <v>BOX FONOAUDIO PEDIATRICO</v>
          </cell>
          <cell r="I1055">
            <v>1</v>
          </cell>
          <cell r="J1055" t="str">
            <v>C.5.7.5.2.1</v>
          </cell>
          <cell r="K1055" t="str">
            <v>Med física y rehabilitación</v>
          </cell>
          <cell r="L1055">
            <v>1</v>
          </cell>
          <cell r="M1055">
            <v>46017</v>
          </cell>
          <cell r="N1055">
            <v>46020</v>
          </cell>
          <cell r="O1055">
            <v>2</v>
          </cell>
          <cell r="P1055">
            <v>46022</v>
          </cell>
          <cell r="Q1055">
            <v>1</v>
          </cell>
          <cell r="R1055" t="str">
            <v>NA</v>
          </cell>
          <cell r="S1055">
            <v>5</v>
          </cell>
        </row>
        <row r="1056">
          <cell r="B1056" t="str">
            <v>MNC</v>
          </cell>
          <cell r="C1056" t="str">
            <v>HSLB13308</v>
          </cell>
          <cell r="D1056">
            <v>201004</v>
          </cell>
          <cell r="E1056" t="str">
            <v>Mesa Párvulo Tipo I</v>
          </cell>
          <cell r="F1056" t="str">
            <v>NO</v>
          </cell>
          <cell r="G1056" t="str">
            <v>NO</v>
          </cell>
          <cell r="H1056" t="str">
            <v>BOX FONOAUDIO PEDIATRICO</v>
          </cell>
          <cell r="I1056">
            <v>1</v>
          </cell>
          <cell r="J1056" t="str">
            <v>C.5.7.5.2.1</v>
          </cell>
          <cell r="K1056" t="str">
            <v>Med física y rehabilitación</v>
          </cell>
          <cell r="L1056">
            <v>1</v>
          </cell>
          <cell r="M1056">
            <v>46017</v>
          </cell>
          <cell r="N1056">
            <v>46020</v>
          </cell>
          <cell r="O1056">
            <v>2</v>
          </cell>
          <cell r="P1056">
            <v>46022</v>
          </cell>
          <cell r="Q1056">
            <v>1</v>
          </cell>
          <cell r="R1056" t="str">
            <v>NA</v>
          </cell>
          <cell r="S1056">
            <v>5</v>
          </cell>
        </row>
        <row r="1057">
          <cell r="B1057" t="str">
            <v>MNC</v>
          </cell>
          <cell r="C1057" t="str">
            <v>HSLB13194</v>
          </cell>
          <cell r="D1057">
            <v>201001</v>
          </cell>
          <cell r="E1057" t="str">
            <v>Estación de Trabajo</v>
          </cell>
          <cell r="F1057" t="str">
            <v>NO</v>
          </cell>
          <cell r="G1057" t="str">
            <v>NO</v>
          </cell>
          <cell r="H1057" t="str">
            <v>SALA PREPARACIÓN DE PACIENTES</v>
          </cell>
          <cell r="I1057">
            <v>1</v>
          </cell>
          <cell r="J1057" t="str">
            <v>C.5.7.6</v>
          </cell>
          <cell r="K1057" t="str">
            <v>Med física y rehabilitación</v>
          </cell>
          <cell r="L1057">
            <v>1</v>
          </cell>
          <cell r="M1057">
            <v>46017</v>
          </cell>
          <cell r="N1057">
            <v>46020</v>
          </cell>
          <cell r="O1057">
            <v>2</v>
          </cell>
          <cell r="P1057">
            <v>46022</v>
          </cell>
          <cell r="Q1057">
            <v>1</v>
          </cell>
          <cell r="R1057" t="str">
            <v>NA</v>
          </cell>
          <cell r="S1057">
            <v>5</v>
          </cell>
        </row>
        <row r="1058">
          <cell r="B1058" t="str">
            <v>MNC</v>
          </cell>
          <cell r="C1058" t="str">
            <v>HSLB15410</v>
          </cell>
          <cell r="D1058">
            <v>201001</v>
          </cell>
          <cell r="E1058" t="str">
            <v>Estación de Trabajo</v>
          </cell>
          <cell r="F1058" t="str">
            <v>NO</v>
          </cell>
          <cell r="G1058" t="str">
            <v>NO</v>
          </cell>
          <cell r="H1058" t="str">
            <v>SALA DE PROCEDIMIENTOS C/BAÑO</v>
          </cell>
          <cell r="I1058">
            <v>1</v>
          </cell>
          <cell r="J1058" t="str">
            <v>C.5.7.6.1</v>
          </cell>
          <cell r="K1058" t="str">
            <v>Med física y rehabilitación</v>
          </cell>
          <cell r="L1058">
            <v>1</v>
          </cell>
          <cell r="M1058">
            <v>46017</v>
          </cell>
          <cell r="N1058">
            <v>46020</v>
          </cell>
          <cell r="O1058">
            <v>2</v>
          </cell>
          <cell r="P1058">
            <v>46022</v>
          </cell>
          <cell r="Q1058">
            <v>1</v>
          </cell>
          <cell r="R1058" t="str">
            <v>NA</v>
          </cell>
          <cell r="S1058">
            <v>5</v>
          </cell>
        </row>
        <row r="1059">
          <cell r="B1059" t="str">
            <v>MNC</v>
          </cell>
          <cell r="C1059" t="str">
            <v>HSLB13299</v>
          </cell>
          <cell r="D1059">
            <v>201002</v>
          </cell>
          <cell r="E1059" t="str">
            <v>Mesa Lateral</v>
          </cell>
          <cell r="F1059" t="str">
            <v>NO</v>
          </cell>
          <cell r="G1059" t="str">
            <v>NO</v>
          </cell>
          <cell r="H1059" t="str">
            <v>ESPACIO PARA DEUDOS</v>
          </cell>
          <cell r="I1059">
            <v>1</v>
          </cell>
          <cell r="J1059" t="str">
            <v>C.5.9.2</v>
          </cell>
          <cell r="K1059" t="str">
            <v>Morgue</v>
          </cell>
          <cell r="L1059">
            <v>1</v>
          </cell>
          <cell r="M1059">
            <v>46049</v>
          </cell>
          <cell r="N1059">
            <v>46050</v>
          </cell>
          <cell r="O1059">
            <v>1</v>
          </cell>
          <cell r="P1059">
            <v>46051</v>
          </cell>
          <cell r="Q1059">
            <v>1</v>
          </cell>
          <cell r="R1059" t="str">
            <v>NA</v>
          </cell>
          <cell r="S1059">
            <v>5</v>
          </cell>
        </row>
        <row r="1060">
          <cell r="B1060" t="str">
            <v>MNC</v>
          </cell>
          <cell r="C1060" t="str">
            <v>HSLB15176</v>
          </cell>
          <cell r="D1060">
            <v>201001</v>
          </cell>
          <cell r="E1060" t="str">
            <v>Estación de Trabajo</v>
          </cell>
          <cell r="F1060" t="str">
            <v>NO</v>
          </cell>
          <cell r="G1060" t="str">
            <v>NO</v>
          </cell>
          <cell r="H1060" t="str">
            <v>MESÓN RECEPCIÓN DE REGISTRO DE INFORMES</v>
          </cell>
          <cell r="I1060">
            <v>1</v>
          </cell>
          <cell r="J1060" t="str">
            <v>C.5.9.5</v>
          </cell>
          <cell r="K1060" t="str">
            <v>Morgue</v>
          </cell>
          <cell r="L1060">
            <v>1</v>
          </cell>
          <cell r="M1060">
            <v>46049</v>
          </cell>
          <cell r="N1060">
            <v>46050</v>
          </cell>
          <cell r="O1060">
            <v>2</v>
          </cell>
          <cell r="P1060">
            <v>46052</v>
          </cell>
          <cell r="Q1060">
            <v>1</v>
          </cell>
          <cell r="R1060" t="str">
            <v>NA</v>
          </cell>
          <cell r="S1060">
            <v>5</v>
          </cell>
        </row>
        <row r="1061">
          <cell r="B1061" t="str">
            <v>MNC</v>
          </cell>
          <cell r="C1061" t="str">
            <v>HSLB15177</v>
          </cell>
          <cell r="D1061">
            <v>201001</v>
          </cell>
          <cell r="E1061" t="str">
            <v>Estación de Trabajo</v>
          </cell>
          <cell r="F1061" t="str">
            <v>NO</v>
          </cell>
          <cell r="G1061" t="str">
            <v>NO</v>
          </cell>
          <cell r="H1061" t="str">
            <v>VESTIDOR Y ENTREGA FAMILIARES</v>
          </cell>
          <cell r="I1061">
            <v>1</v>
          </cell>
          <cell r="J1061" t="str">
            <v>C.5.9.7</v>
          </cell>
          <cell r="K1061" t="str">
            <v>Morgue</v>
          </cell>
          <cell r="L1061">
            <v>1</v>
          </cell>
          <cell r="M1061">
            <v>46049</v>
          </cell>
          <cell r="N1061">
            <v>46050</v>
          </cell>
          <cell r="O1061">
            <v>2</v>
          </cell>
          <cell r="P1061">
            <v>46052</v>
          </cell>
          <cell r="Q1061">
            <v>1</v>
          </cell>
          <cell r="R1061" t="str">
            <v>NA</v>
          </cell>
          <cell r="S1061">
            <v>5</v>
          </cell>
        </row>
        <row r="1062">
          <cell r="B1062" t="str">
            <v>MNC</v>
          </cell>
          <cell r="C1062" t="str">
            <v>HSLB13202</v>
          </cell>
          <cell r="D1062">
            <v>201001</v>
          </cell>
          <cell r="E1062" t="str">
            <v>Estación de Trabajo</v>
          </cell>
          <cell r="F1062" t="str">
            <v>NO</v>
          </cell>
          <cell r="G1062" t="str">
            <v>NO</v>
          </cell>
          <cell r="H1062" t="str">
            <v>OFICINA JEFE SOME</v>
          </cell>
          <cell r="I1062">
            <v>1</v>
          </cell>
          <cell r="J1062" t="str">
            <v>D.1.1.1.1</v>
          </cell>
          <cell r="K1062" t="str">
            <v>Consultas medicas generales</v>
          </cell>
          <cell r="L1062">
            <v>1</v>
          </cell>
          <cell r="M1062">
            <v>46028</v>
          </cell>
          <cell r="N1062">
            <v>46029</v>
          </cell>
          <cell r="O1062">
            <v>2</v>
          </cell>
          <cell r="P1062">
            <v>46031</v>
          </cell>
          <cell r="Q1062">
            <v>1</v>
          </cell>
          <cell r="R1062" t="str">
            <v>NA</v>
          </cell>
          <cell r="S1062">
            <v>5</v>
          </cell>
        </row>
        <row r="1063">
          <cell r="B1063" t="str">
            <v>MNC</v>
          </cell>
          <cell r="C1063" t="str">
            <v>HSLB13357</v>
          </cell>
          <cell r="D1063">
            <v>201008</v>
          </cell>
          <cell r="E1063" t="str">
            <v>Mesa Reuniones Tipo I</v>
          </cell>
          <cell r="F1063" t="str">
            <v>NO</v>
          </cell>
          <cell r="G1063" t="str">
            <v>NO</v>
          </cell>
          <cell r="H1063" t="str">
            <v>OFICINA JEFE SOME</v>
          </cell>
          <cell r="I1063">
            <v>1</v>
          </cell>
          <cell r="J1063" t="str">
            <v>D.1.1.1.1</v>
          </cell>
          <cell r="K1063" t="str">
            <v>Consultas medicas generales</v>
          </cell>
          <cell r="L1063">
            <v>1</v>
          </cell>
          <cell r="M1063">
            <v>46028</v>
          </cell>
          <cell r="N1063">
            <v>46029</v>
          </cell>
          <cell r="O1063">
            <v>2</v>
          </cell>
          <cell r="P1063">
            <v>46031</v>
          </cell>
          <cell r="Q1063">
            <v>1</v>
          </cell>
          <cell r="R1063" t="str">
            <v>NA</v>
          </cell>
          <cell r="S1063">
            <v>5</v>
          </cell>
        </row>
        <row r="1064">
          <cell r="B1064" t="str">
            <v>MNC</v>
          </cell>
          <cell r="C1064" t="str">
            <v>HSLB13203</v>
          </cell>
          <cell r="D1064">
            <v>201001</v>
          </cell>
          <cell r="E1064" t="str">
            <v>Estación de Trabajo</v>
          </cell>
          <cell r="F1064" t="str">
            <v>NO</v>
          </cell>
          <cell r="G1064" t="str">
            <v>NO</v>
          </cell>
          <cell r="H1064" t="str">
            <v>SECRETARIA C/ARCH. Y FOTO</v>
          </cell>
          <cell r="I1064">
            <v>1</v>
          </cell>
          <cell r="J1064" t="str">
            <v>D.1.1.1.2</v>
          </cell>
          <cell r="K1064" t="str">
            <v>Consultas medicas generales</v>
          </cell>
          <cell r="L1064">
            <v>1</v>
          </cell>
          <cell r="M1064">
            <v>46028</v>
          </cell>
          <cell r="N1064">
            <v>46029</v>
          </cell>
          <cell r="O1064">
            <v>2</v>
          </cell>
          <cell r="P1064">
            <v>46031</v>
          </cell>
          <cell r="Q1064">
            <v>1</v>
          </cell>
          <cell r="R1064" t="str">
            <v>NA</v>
          </cell>
          <cell r="S1064">
            <v>5</v>
          </cell>
        </row>
        <row r="1065">
          <cell r="B1065" t="str">
            <v>MNC</v>
          </cell>
          <cell r="C1065" t="str">
            <v>HSLB13204</v>
          </cell>
          <cell r="D1065">
            <v>201001</v>
          </cell>
          <cell r="E1065" t="str">
            <v>Estación de Trabajo</v>
          </cell>
          <cell r="F1065" t="str">
            <v>NO</v>
          </cell>
          <cell r="G1065" t="str">
            <v>NO</v>
          </cell>
          <cell r="H1065" t="str">
            <v>MODULOS DE TRABAJO (OPERADOR TELEFONICO)</v>
          </cell>
          <cell r="I1065">
            <v>2</v>
          </cell>
          <cell r="J1065" t="str">
            <v>D.1.1.1.3</v>
          </cell>
          <cell r="K1065" t="str">
            <v>Consultas medicas generales</v>
          </cell>
          <cell r="L1065">
            <v>1</v>
          </cell>
          <cell r="M1065">
            <v>46028</v>
          </cell>
          <cell r="N1065">
            <v>46029</v>
          </cell>
          <cell r="O1065">
            <v>2</v>
          </cell>
          <cell r="P1065">
            <v>46031</v>
          </cell>
          <cell r="Q1065">
            <v>1</v>
          </cell>
          <cell r="R1065" t="str">
            <v>NA</v>
          </cell>
          <cell r="S1065">
            <v>5</v>
          </cell>
        </row>
        <row r="1066">
          <cell r="B1066" t="str">
            <v>MNC</v>
          </cell>
          <cell r="C1066" t="str">
            <v>HSLB13217</v>
          </cell>
          <cell r="D1066">
            <v>201001</v>
          </cell>
          <cell r="E1066" t="str">
            <v>Estación de Trabajo</v>
          </cell>
          <cell r="F1066" t="str">
            <v>NO</v>
          </cell>
          <cell r="G1066" t="str">
            <v>NO</v>
          </cell>
          <cell r="H1066" t="str">
            <v>COORDINADOR GENERAL RS</v>
          </cell>
          <cell r="I1066">
            <v>1</v>
          </cell>
          <cell r="J1066" t="str">
            <v>D.2.2.2.6</v>
          </cell>
          <cell r="K1066" t="str">
            <v>Consultas medicas generales</v>
          </cell>
          <cell r="L1066">
            <v>1</v>
          </cell>
          <cell r="M1066">
            <v>46028</v>
          </cell>
          <cell r="N1066">
            <v>46029</v>
          </cell>
          <cell r="O1066">
            <v>2</v>
          </cell>
          <cell r="P1066">
            <v>46031</v>
          </cell>
          <cell r="Q1066">
            <v>1</v>
          </cell>
          <cell r="R1066" t="str">
            <v>NA</v>
          </cell>
          <cell r="S1066">
            <v>5</v>
          </cell>
        </row>
        <row r="1067">
          <cell r="B1067" t="str">
            <v>MNC</v>
          </cell>
          <cell r="C1067" t="str">
            <v>HSLB13429</v>
          </cell>
          <cell r="D1067">
            <v>201011</v>
          </cell>
          <cell r="E1067" t="str">
            <v>Mesa Tipo Casino</v>
          </cell>
          <cell r="F1067" t="str">
            <v>NO</v>
          </cell>
          <cell r="G1067" t="str">
            <v>NO</v>
          </cell>
          <cell r="H1067" t="str">
            <v>ESTAR PERSONAL C/ KITCHENETTE</v>
          </cell>
          <cell r="I1067">
            <v>1</v>
          </cell>
          <cell r="J1067" t="str">
            <v>D.2.2.3.2</v>
          </cell>
          <cell r="K1067" t="str">
            <v>Urgencia</v>
          </cell>
          <cell r="L1067">
            <v>1</v>
          </cell>
          <cell r="M1067">
            <v>46006</v>
          </cell>
          <cell r="N1067">
            <v>46007</v>
          </cell>
          <cell r="O1067">
            <v>2</v>
          </cell>
          <cell r="P1067">
            <v>46009</v>
          </cell>
          <cell r="Q1067">
            <v>1</v>
          </cell>
          <cell r="R1067" t="str">
            <v>NA</v>
          </cell>
          <cell r="S1067">
            <v>5</v>
          </cell>
        </row>
        <row r="1068">
          <cell r="B1068" t="str">
            <v>MNC</v>
          </cell>
          <cell r="C1068" t="str">
            <v>HSLB13218</v>
          </cell>
          <cell r="D1068">
            <v>201001</v>
          </cell>
          <cell r="E1068" t="str">
            <v>Estación de Trabajo</v>
          </cell>
          <cell r="F1068" t="str">
            <v>NO</v>
          </cell>
          <cell r="G1068" t="str">
            <v>NO</v>
          </cell>
          <cell r="H1068" t="str">
            <v>MÓDULOS DE TRABAJO (operadores telefónicos)</v>
          </cell>
          <cell r="I1068">
            <v>2</v>
          </cell>
          <cell r="J1068" t="str">
            <v>D.2.2.4.1</v>
          </cell>
          <cell r="K1068" t="str">
            <v>Consultas medicas generales</v>
          </cell>
          <cell r="L1068">
            <v>1</v>
          </cell>
          <cell r="M1068">
            <v>46028</v>
          </cell>
          <cell r="N1068">
            <v>46029</v>
          </cell>
          <cell r="O1068">
            <v>2</v>
          </cell>
          <cell r="P1068">
            <v>46031</v>
          </cell>
          <cell r="Q1068">
            <v>1</v>
          </cell>
          <cell r="R1068" t="str">
            <v>NA</v>
          </cell>
          <cell r="S1068">
            <v>5</v>
          </cell>
        </row>
        <row r="1069">
          <cell r="B1069" t="str">
            <v>MNC</v>
          </cell>
          <cell r="C1069" t="str">
            <v>HSLB13430</v>
          </cell>
          <cell r="D1069">
            <v>201011</v>
          </cell>
          <cell r="E1069" t="str">
            <v>Mesa Tipo Casino</v>
          </cell>
          <cell r="F1069" t="str">
            <v>NO</v>
          </cell>
          <cell r="G1069" t="str">
            <v>NO</v>
          </cell>
          <cell r="H1069" t="str">
            <v>ESTAR PERSONAL C/ KITCHENETTE</v>
          </cell>
          <cell r="I1069">
            <v>1</v>
          </cell>
          <cell r="J1069" t="str">
            <v>D.2.2.4.3</v>
          </cell>
          <cell r="K1069" t="str">
            <v>Consultas medicas generales</v>
          </cell>
          <cell r="L1069">
            <v>1</v>
          </cell>
          <cell r="M1069">
            <v>46028</v>
          </cell>
          <cell r="N1069">
            <v>46029</v>
          </cell>
          <cell r="O1069">
            <v>2</v>
          </cell>
          <cell r="P1069">
            <v>46031</v>
          </cell>
          <cell r="Q1069">
            <v>1</v>
          </cell>
          <cell r="R1069" t="str">
            <v>NA</v>
          </cell>
          <cell r="S1069">
            <v>5</v>
          </cell>
        </row>
        <row r="1070">
          <cell r="B1070" t="str">
            <v>MNC</v>
          </cell>
          <cell r="C1070" t="str">
            <v>HSLB13219</v>
          </cell>
          <cell r="D1070">
            <v>201001</v>
          </cell>
          <cell r="E1070" t="str">
            <v>Estación de Trabajo</v>
          </cell>
          <cell r="F1070" t="str">
            <v>NO</v>
          </cell>
          <cell r="G1070" t="str">
            <v>NO</v>
          </cell>
          <cell r="H1070" t="str">
            <v>OFICINA COORDINADOR ROPERÍA</v>
          </cell>
          <cell r="I1070">
            <v>1</v>
          </cell>
          <cell r="J1070" t="str">
            <v>D.2.2.5.1</v>
          </cell>
          <cell r="K1070" t="str">
            <v>Lavandería</v>
          </cell>
          <cell r="L1070">
            <v>1</v>
          </cell>
          <cell r="M1070">
            <v>46037</v>
          </cell>
          <cell r="N1070">
            <v>46038</v>
          </cell>
          <cell r="O1070">
            <v>2</v>
          </cell>
          <cell r="P1070">
            <v>46042</v>
          </cell>
          <cell r="Q1070">
            <v>1</v>
          </cell>
          <cell r="R1070" t="str">
            <v>NA</v>
          </cell>
          <cell r="S1070">
            <v>5</v>
          </cell>
        </row>
        <row r="1071">
          <cell r="B1071" t="str">
            <v>MNC</v>
          </cell>
          <cell r="C1071" t="str">
            <v>HSLB13220</v>
          </cell>
          <cell r="D1071">
            <v>201001</v>
          </cell>
          <cell r="E1071" t="str">
            <v>Estación de Trabajo</v>
          </cell>
          <cell r="F1071" t="str">
            <v>NO</v>
          </cell>
          <cell r="G1071" t="str">
            <v>NO</v>
          </cell>
          <cell r="H1071" t="str">
            <v>COORDINADOR SERVICIOS EXTERNALIZADOS</v>
          </cell>
          <cell r="I1071">
            <v>1</v>
          </cell>
          <cell r="J1071" t="str">
            <v>D.2.2.6.1</v>
          </cell>
          <cell r="K1071" t="str">
            <v>Consultas medicas generales</v>
          </cell>
          <cell r="L1071">
            <v>1</v>
          </cell>
          <cell r="M1071">
            <v>46028</v>
          </cell>
          <cell r="N1071">
            <v>46029</v>
          </cell>
          <cell r="O1071">
            <v>2</v>
          </cell>
          <cell r="P1071">
            <v>46031</v>
          </cell>
          <cell r="Q1071">
            <v>1</v>
          </cell>
          <cell r="R1071" t="str">
            <v>NA</v>
          </cell>
          <cell r="S1071">
            <v>5</v>
          </cell>
        </row>
        <row r="1072">
          <cell r="B1072" t="str">
            <v>MNC</v>
          </cell>
          <cell r="C1072" t="str">
            <v>HSLB13221</v>
          </cell>
          <cell r="D1072">
            <v>201001</v>
          </cell>
          <cell r="E1072" t="str">
            <v>Estación de Trabajo</v>
          </cell>
          <cell r="F1072" t="str">
            <v>NO</v>
          </cell>
          <cell r="G1072" t="str">
            <v>NO</v>
          </cell>
          <cell r="H1072" t="str">
            <v>MONITOREO VIGILANCIA</v>
          </cell>
          <cell r="I1072">
            <v>2</v>
          </cell>
          <cell r="J1072" t="str">
            <v>D.2.2.6.13</v>
          </cell>
          <cell r="K1072" t="str">
            <v>Consultas medicas generales</v>
          </cell>
          <cell r="L1072">
            <v>1</v>
          </cell>
          <cell r="M1072">
            <v>46028</v>
          </cell>
          <cell r="N1072">
            <v>46029</v>
          </cell>
          <cell r="O1072">
            <v>2</v>
          </cell>
          <cell r="P1072">
            <v>46031</v>
          </cell>
          <cell r="Q1072">
            <v>1</v>
          </cell>
          <cell r="R1072" t="str">
            <v>NA</v>
          </cell>
          <cell r="S1072">
            <v>5</v>
          </cell>
        </row>
        <row r="1073">
          <cell r="B1073" t="str">
            <v>MNC</v>
          </cell>
          <cell r="C1073" t="str">
            <v>HSLB13431</v>
          </cell>
          <cell r="D1073">
            <v>201011</v>
          </cell>
          <cell r="E1073" t="str">
            <v>Mesa Tipo Casino</v>
          </cell>
          <cell r="F1073" t="str">
            <v>NO</v>
          </cell>
          <cell r="G1073" t="str">
            <v>NO</v>
          </cell>
          <cell r="H1073" t="str">
            <v>ESTAR PERSONAL C/ KITCHENETTE</v>
          </cell>
          <cell r="I1073">
            <v>1</v>
          </cell>
          <cell r="J1073" t="str">
            <v>D.2.2.6.7</v>
          </cell>
          <cell r="K1073" t="str">
            <v>Consultas medicas generales</v>
          </cell>
          <cell r="L1073">
            <v>1</v>
          </cell>
          <cell r="M1073">
            <v>46028</v>
          </cell>
          <cell r="N1073">
            <v>46029</v>
          </cell>
          <cell r="O1073">
            <v>2</v>
          </cell>
          <cell r="P1073">
            <v>46031</v>
          </cell>
          <cell r="Q1073">
            <v>1</v>
          </cell>
          <cell r="R1073" t="str">
            <v>NA</v>
          </cell>
          <cell r="S1073">
            <v>5</v>
          </cell>
        </row>
        <row r="1074">
          <cell r="B1074" t="str">
            <v>MNC</v>
          </cell>
          <cell r="C1074" t="str">
            <v>HSLB13225</v>
          </cell>
          <cell r="D1074">
            <v>201001</v>
          </cell>
          <cell r="E1074" t="str">
            <v>Estación de Trabajo</v>
          </cell>
          <cell r="F1074" t="str">
            <v>NO</v>
          </cell>
          <cell r="G1074" t="str">
            <v>NO</v>
          </cell>
          <cell r="H1074" t="str">
            <v>COORDINADOR EQUIPOS INDUSTRIALES</v>
          </cell>
          <cell r="I1074">
            <v>1</v>
          </cell>
          <cell r="J1074" t="str">
            <v>D.2.4.1.1</v>
          </cell>
          <cell r="K1074" t="str">
            <v>Mantenimiento</v>
          </cell>
          <cell r="L1074">
            <v>1</v>
          </cell>
          <cell r="M1074">
            <v>46037</v>
          </cell>
          <cell r="N1074">
            <v>46038</v>
          </cell>
          <cell r="O1074">
            <v>2</v>
          </cell>
          <cell r="P1074">
            <v>46042</v>
          </cell>
          <cell r="Q1074">
            <v>1</v>
          </cell>
          <cell r="R1074" t="str">
            <v>NA</v>
          </cell>
          <cell r="S1074">
            <v>5</v>
          </cell>
        </row>
        <row r="1075">
          <cell r="B1075" t="str">
            <v>MNC</v>
          </cell>
          <cell r="C1075" t="str">
            <v>HSLB13226</v>
          </cell>
          <cell r="D1075">
            <v>201001</v>
          </cell>
          <cell r="E1075" t="str">
            <v>Estación de Trabajo</v>
          </cell>
          <cell r="F1075" t="str">
            <v>NO</v>
          </cell>
          <cell r="G1075" t="str">
            <v>NO</v>
          </cell>
          <cell r="H1075" t="str">
            <v>SECRETARÍA EQUIPOS INDUSTRIALES</v>
          </cell>
          <cell r="I1075">
            <v>1</v>
          </cell>
          <cell r="J1075" t="str">
            <v>D.2.4.1.2</v>
          </cell>
          <cell r="K1075" t="str">
            <v>Mantenimiento</v>
          </cell>
          <cell r="L1075">
            <v>1</v>
          </cell>
          <cell r="M1075">
            <v>46037</v>
          </cell>
          <cell r="N1075">
            <v>46038</v>
          </cell>
          <cell r="O1075">
            <v>2</v>
          </cell>
          <cell r="P1075">
            <v>46042</v>
          </cell>
          <cell r="Q1075">
            <v>1</v>
          </cell>
          <cell r="R1075" t="str">
            <v>NA</v>
          </cell>
          <cell r="S1075">
            <v>5</v>
          </cell>
        </row>
        <row r="1076">
          <cell r="B1076" t="str">
            <v>MNC</v>
          </cell>
          <cell r="C1076" t="str">
            <v>HSLB13227</v>
          </cell>
          <cell r="D1076">
            <v>201001</v>
          </cell>
          <cell r="E1076" t="str">
            <v>Estación de Trabajo</v>
          </cell>
          <cell r="F1076" t="str">
            <v>NO</v>
          </cell>
          <cell r="G1076" t="str">
            <v>NO</v>
          </cell>
          <cell r="H1076" t="str">
            <v>MODULO DE TRABAJO</v>
          </cell>
          <cell r="I1076">
            <v>2</v>
          </cell>
          <cell r="J1076" t="str">
            <v>D.2.4.3.1</v>
          </cell>
          <cell r="K1076" t="str">
            <v>Mantenimiento</v>
          </cell>
          <cell r="L1076">
            <v>1</v>
          </cell>
          <cell r="M1076">
            <v>46037</v>
          </cell>
          <cell r="N1076">
            <v>46038</v>
          </cell>
          <cell r="O1076">
            <v>2</v>
          </cell>
          <cell r="P1076">
            <v>46042</v>
          </cell>
          <cell r="Q1076">
            <v>1</v>
          </cell>
          <cell r="R1076" t="str">
            <v>NA</v>
          </cell>
          <cell r="S1076">
            <v>5</v>
          </cell>
        </row>
        <row r="1077">
          <cell r="B1077" t="str">
            <v>MNC</v>
          </cell>
          <cell r="C1077" t="str">
            <v>HSLB13432</v>
          </cell>
          <cell r="D1077">
            <v>201011</v>
          </cell>
          <cell r="E1077" t="str">
            <v>Mesa Tipo Casino</v>
          </cell>
          <cell r="F1077" t="str">
            <v>NO</v>
          </cell>
          <cell r="G1077" t="str">
            <v>NO</v>
          </cell>
          <cell r="H1077" t="str">
            <v>ESTAR PERSONAL C/ KITCHENETTE</v>
          </cell>
          <cell r="I1077">
            <v>1</v>
          </cell>
          <cell r="J1077" t="str">
            <v>D.2.4.4.4</v>
          </cell>
          <cell r="K1077" t="str">
            <v>Mantenimiento</v>
          </cell>
          <cell r="L1077">
            <v>1</v>
          </cell>
          <cell r="M1077">
            <v>46037</v>
          </cell>
          <cell r="N1077">
            <v>46038</v>
          </cell>
          <cell r="O1077">
            <v>1</v>
          </cell>
          <cell r="P1077">
            <v>46041</v>
          </cell>
          <cell r="Q1077">
            <v>1</v>
          </cell>
          <cell r="R1077" t="str">
            <v>NA</v>
          </cell>
          <cell r="S1077">
            <v>5</v>
          </cell>
        </row>
        <row r="1078">
          <cell r="B1078" t="str">
            <v>MNC</v>
          </cell>
          <cell r="C1078" t="str">
            <v>HSLB13246</v>
          </cell>
          <cell r="D1078">
            <v>201001</v>
          </cell>
          <cell r="E1078" t="str">
            <v>Estación de Trabajo</v>
          </cell>
          <cell r="F1078" t="str">
            <v>NO</v>
          </cell>
          <cell r="G1078" t="str">
            <v>NO</v>
          </cell>
          <cell r="H1078" t="str">
            <v>COORDINADOR BODEGA</v>
          </cell>
          <cell r="I1078">
            <v>1</v>
          </cell>
          <cell r="J1078" t="str">
            <v>D.3.3.3.1</v>
          </cell>
          <cell r="K1078" t="str">
            <v>Abastecimiento</v>
          </cell>
          <cell r="L1078">
            <v>1</v>
          </cell>
          <cell r="M1078">
            <v>46035</v>
          </cell>
          <cell r="N1078">
            <v>46036</v>
          </cell>
          <cell r="O1078">
            <v>2</v>
          </cell>
          <cell r="P1078">
            <v>46038</v>
          </cell>
          <cell r="Q1078">
            <v>1</v>
          </cell>
          <cell r="R1078" t="str">
            <v>NA</v>
          </cell>
          <cell r="S1078">
            <v>5</v>
          </cell>
        </row>
        <row r="1079">
          <cell r="B1079" t="str">
            <v>MNC</v>
          </cell>
          <cell r="C1079" t="str">
            <v>HSLB13433</v>
          </cell>
          <cell r="D1079">
            <v>201011</v>
          </cell>
          <cell r="E1079" t="str">
            <v>Mesa Tipo Casino</v>
          </cell>
          <cell r="F1079" t="str">
            <v>NO</v>
          </cell>
          <cell r="G1079" t="str">
            <v>NO</v>
          </cell>
          <cell r="H1079" t="str">
            <v>ESTAR PERSONAL C/ KITCHENETTE</v>
          </cell>
          <cell r="I1079">
            <v>1</v>
          </cell>
          <cell r="J1079" t="str">
            <v>D.3.3.3.10</v>
          </cell>
          <cell r="K1079" t="str">
            <v>Abastecimiento</v>
          </cell>
          <cell r="L1079">
            <v>1</v>
          </cell>
          <cell r="M1079">
            <v>46035</v>
          </cell>
          <cell r="N1079">
            <v>46036</v>
          </cell>
          <cell r="O1079">
            <v>1</v>
          </cell>
          <cell r="P1079">
            <v>46037</v>
          </cell>
          <cell r="Q1079">
            <v>1</v>
          </cell>
          <cell r="R1079" t="str">
            <v>NA</v>
          </cell>
          <cell r="S1079">
            <v>5</v>
          </cell>
        </row>
        <row r="1080">
          <cell r="B1080" t="str">
            <v>MNC</v>
          </cell>
          <cell r="C1080" t="str">
            <v>HSLB13247</v>
          </cell>
          <cell r="D1080">
            <v>201001</v>
          </cell>
          <cell r="E1080" t="str">
            <v>Estación de Trabajo</v>
          </cell>
          <cell r="F1080" t="str">
            <v>NO</v>
          </cell>
          <cell r="G1080" t="str">
            <v>NO</v>
          </cell>
          <cell r="H1080" t="str">
            <v>ÁREA REGISTRO BODEGA GENERAL</v>
          </cell>
          <cell r="I1080">
            <v>1</v>
          </cell>
          <cell r="J1080" t="str">
            <v>D.3.3.3.11</v>
          </cell>
          <cell r="K1080" t="str">
            <v>Abastecimiento</v>
          </cell>
          <cell r="L1080">
            <v>1</v>
          </cell>
          <cell r="M1080">
            <v>46035</v>
          </cell>
          <cell r="N1080">
            <v>46036</v>
          </cell>
          <cell r="O1080">
            <v>2</v>
          </cell>
          <cell r="P1080">
            <v>46038</v>
          </cell>
          <cell r="Q1080">
            <v>1</v>
          </cell>
          <cell r="R1080" t="str">
            <v>NA</v>
          </cell>
          <cell r="S1080">
            <v>5</v>
          </cell>
        </row>
        <row r="1081">
          <cell r="B1081" t="str">
            <v>MNC</v>
          </cell>
          <cell r="C1081" t="str">
            <v>HSLB13248</v>
          </cell>
          <cell r="D1081">
            <v>201001</v>
          </cell>
          <cell r="E1081" t="str">
            <v>Estación de Trabajo</v>
          </cell>
          <cell r="F1081" t="str">
            <v>NO</v>
          </cell>
          <cell r="G1081" t="str">
            <v>NO</v>
          </cell>
          <cell r="H1081" t="str">
            <v>ÁREA REGISTRO BODEGA FARMACIA E INSUMOS</v>
          </cell>
          <cell r="I1081">
            <v>1</v>
          </cell>
          <cell r="J1081" t="str">
            <v>D.3.3.3.22</v>
          </cell>
          <cell r="K1081" t="str">
            <v>Abastecimiento</v>
          </cell>
          <cell r="L1081">
            <v>1</v>
          </cell>
          <cell r="M1081">
            <v>46035</v>
          </cell>
          <cell r="N1081">
            <v>46036</v>
          </cell>
          <cell r="O1081">
            <v>2</v>
          </cell>
          <cell r="P1081">
            <v>46038</v>
          </cell>
          <cell r="Q1081">
            <v>1</v>
          </cell>
          <cell r="R1081" t="str">
            <v>NA</v>
          </cell>
          <cell r="S1081">
            <v>5</v>
          </cell>
        </row>
        <row r="1082">
          <cell r="B1082" t="str">
            <v>MNC</v>
          </cell>
          <cell r="C1082" t="str">
            <v>HSLB15440</v>
          </cell>
          <cell r="D1082">
            <v>201001</v>
          </cell>
          <cell r="E1082" t="str">
            <v>Estación de Trabajo</v>
          </cell>
          <cell r="F1082" t="str">
            <v>NO</v>
          </cell>
          <cell r="G1082" t="str">
            <v>NO</v>
          </cell>
          <cell r="H1082" t="str">
            <v>BODEGA DE SUEROS</v>
          </cell>
          <cell r="I1082">
            <v>1</v>
          </cell>
          <cell r="J1082" t="str">
            <v>D.3.3.3.25</v>
          </cell>
          <cell r="K1082" t="str">
            <v>Abastecimiento</v>
          </cell>
          <cell r="L1082">
            <v>1</v>
          </cell>
          <cell r="M1082">
            <v>46035</v>
          </cell>
          <cell r="N1082">
            <v>46036</v>
          </cell>
          <cell r="O1082">
            <v>2</v>
          </cell>
          <cell r="P1082">
            <v>46038</v>
          </cell>
          <cell r="Q1082">
            <v>1</v>
          </cell>
          <cell r="R1082" t="str">
            <v>NA</v>
          </cell>
          <cell r="S1082">
            <v>5</v>
          </cell>
        </row>
        <row r="1083">
          <cell r="B1083" t="str">
            <v>MNC</v>
          </cell>
          <cell r="C1083" t="str">
            <v>HSLB13384</v>
          </cell>
          <cell r="D1083">
            <v>201009</v>
          </cell>
          <cell r="E1083" t="str">
            <v>Mesa Reuniones Tipo II</v>
          </cell>
          <cell r="F1083" t="str">
            <v>NO</v>
          </cell>
          <cell r="G1083" t="str">
            <v>NO</v>
          </cell>
          <cell r="H1083" t="str">
            <v>SALA MULTIUSO CON KITCHENETTE</v>
          </cell>
          <cell r="I1083">
            <v>1</v>
          </cell>
          <cell r="J1083" t="str">
            <v>H.1.2</v>
          </cell>
          <cell r="K1083" t="str">
            <v>Urgencia</v>
          </cell>
          <cell r="L1083">
            <v>1</v>
          </cell>
          <cell r="M1083">
            <v>46006</v>
          </cell>
          <cell r="N1083">
            <v>46007</v>
          </cell>
          <cell r="O1083">
            <v>2</v>
          </cell>
          <cell r="P1083">
            <v>46009</v>
          </cell>
          <cell r="Q1083">
            <v>1</v>
          </cell>
          <cell r="R1083" t="str">
            <v>NA</v>
          </cell>
          <cell r="S1083">
            <v>5</v>
          </cell>
        </row>
        <row r="1084">
          <cell r="B1084" t="str">
            <v>MNC</v>
          </cell>
          <cell r="C1084" t="str">
            <v>HSLB13436</v>
          </cell>
          <cell r="D1084">
            <v>201011</v>
          </cell>
          <cell r="E1084" t="str">
            <v>Mesa Tipo Casino</v>
          </cell>
          <cell r="F1084" t="str">
            <v>NO</v>
          </cell>
          <cell r="G1084" t="str">
            <v>NO</v>
          </cell>
          <cell r="H1084" t="str">
            <v>ESTAR PERSONAL</v>
          </cell>
          <cell r="I1084">
            <v>1</v>
          </cell>
          <cell r="J1084" t="str">
            <v>H.1.3</v>
          </cell>
          <cell r="K1084" t="str">
            <v>Urgencia</v>
          </cell>
          <cell r="L1084">
            <v>1</v>
          </cell>
          <cell r="M1084">
            <v>46006</v>
          </cell>
          <cell r="N1084">
            <v>46007</v>
          </cell>
          <cell r="O1084">
            <v>2</v>
          </cell>
          <cell r="P1084">
            <v>46009</v>
          </cell>
          <cell r="Q1084">
            <v>1</v>
          </cell>
          <cell r="R1084" t="str">
            <v>NA</v>
          </cell>
          <cell r="S1084">
            <v>5</v>
          </cell>
        </row>
        <row r="1085">
          <cell r="B1085" t="str">
            <v>MNC</v>
          </cell>
          <cell r="C1085" t="str">
            <v>HSLB15181</v>
          </cell>
          <cell r="D1085">
            <v>201001</v>
          </cell>
          <cell r="E1085" t="str">
            <v>Estación de Trabajo</v>
          </cell>
          <cell r="F1085" t="str">
            <v>NO</v>
          </cell>
          <cell r="G1085" t="str">
            <v>NO</v>
          </cell>
          <cell r="H1085" t="str">
            <v>OFICINA MULTIUSO</v>
          </cell>
          <cell r="I1085">
            <v>1</v>
          </cell>
          <cell r="J1085" t="str">
            <v>H.1.3.1</v>
          </cell>
          <cell r="K1085" t="str">
            <v>Urgencia</v>
          </cell>
          <cell r="L1085">
            <v>1</v>
          </cell>
          <cell r="M1085">
            <v>46006</v>
          </cell>
          <cell r="N1085">
            <v>46007</v>
          </cell>
          <cell r="O1085">
            <v>2</v>
          </cell>
          <cell r="P1085">
            <v>46009</v>
          </cell>
          <cell r="Q1085">
            <v>1</v>
          </cell>
          <cell r="R1085" t="str">
            <v>NA</v>
          </cell>
          <cell r="S1085">
            <v>5</v>
          </cell>
        </row>
        <row r="1086">
          <cell r="B1086" t="str">
            <v>MNC</v>
          </cell>
          <cell r="C1086" t="str">
            <v>HSLB13385</v>
          </cell>
          <cell r="D1086">
            <v>201009</v>
          </cell>
          <cell r="E1086" t="str">
            <v>Mesa Reuniones Tipo II</v>
          </cell>
          <cell r="F1086" t="str">
            <v>NO</v>
          </cell>
          <cell r="G1086" t="str">
            <v>NO</v>
          </cell>
          <cell r="H1086" t="str">
            <v>SALA DE REUNIONES</v>
          </cell>
          <cell r="I1086">
            <v>1</v>
          </cell>
          <cell r="J1086" t="str">
            <v>H.1.5</v>
          </cell>
          <cell r="K1086" t="str">
            <v>Urgencia</v>
          </cell>
          <cell r="L1086">
            <v>1</v>
          </cell>
          <cell r="M1086">
            <v>46006</v>
          </cell>
          <cell r="N1086">
            <v>46007</v>
          </cell>
          <cell r="O1086">
            <v>2</v>
          </cell>
          <cell r="P1086">
            <v>46009</v>
          </cell>
          <cell r="Q1086">
            <v>1</v>
          </cell>
          <cell r="R1086" t="str">
            <v>NA</v>
          </cell>
          <cell r="S1086">
            <v>5</v>
          </cell>
        </row>
        <row r="1087">
          <cell r="B1087" t="str">
            <v>MNC</v>
          </cell>
          <cell r="C1087" t="str">
            <v>HSLB13309</v>
          </cell>
          <cell r="D1087">
            <v>201005</v>
          </cell>
          <cell r="E1087" t="str">
            <v>Mesa Párvulo Tipo II</v>
          </cell>
          <cell r="F1087" t="str">
            <v>NO</v>
          </cell>
          <cell r="G1087" t="str">
            <v>NO</v>
          </cell>
          <cell r="H1087" t="str">
            <v>NIVEL MEDIO MENOR</v>
          </cell>
          <cell r="I1087">
            <v>4</v>
          </cell>
          <cell r="J1087" t="str">
            <v>H.2.11.1</v>
          </cell>
          <cell r="K1087" t="str">
            <v>Sala Cuna</v>
          </cell>
          <cell r="L1087">
            <v>1</v>
          </cell>
          <cell r="M1087">
            <v>46041</v>
          </cell>
          <cell r="N1087">
            <v>46042</v>
          </cell>
          <cell r="O1087">
            <v>2</v>
          </cell>
          <cell r="P1087">
            <v>46044</v>
          </cell>
          <cell r="Q1087">
            <v>1</v>
          </cell>
          <cell r="R1087" t="str">
            <v>NA</v>
          </cell>
          <cell r="S1087">
            <v>5</v>
          </cell>
        </row>
        <row r="1088">
          <cell r="B1088" t="str">
            <v>MNC</v>
          </cell>
          <cell r="C1088" t="str">
            <v>HSLB13310</v>
          </cell>
          <cell r="D1088">
            <v>201005</v>
          </cell>
          <cell r="E1088" t="str">
            <v>Mesa Párvulo Tipo II</v>
          </cell>
          <cell r="F1088" t="str">
            <v>NO</v>
          </cell>
          <cell r="G1088" t="str">
            <v>SI</v>
          </cell>
          <cell r="H1088" t="str">
            <v>NIVEL MEDIO MAYOR</v>
          </cell>
          <cell r="I1088">
            <v>4</v>
          </cell>
          <cell r="J1088" t="str">
            <v>H.2.11.2</v>
          </cell>
          <cell r="K1088" t="str">
            <v>Sala Cuna</v>
          </cell>
          <cell r="L1088">
            <v>1</v>
          </cell>
          <cell r="M1088">
            <v>46003</v>
          </cell>
          <cell r="N1088">
            <v>46006</v>
          </cell>
          <cell r="O1088">
            <v>2</v>
          </cell>
          <cell r="P1088">
            <v>46008</v>
          </cell>
          <cell r="Q1088">
            <v>1</v>
          </cell>
          <cell r="R1088" t="str">
            <v>NA</v>
          </cell>
          <cell r="S1088">
            <v>5</v>
          </cell>
        </row>
        <row r="1089">
          <cell r="B1089" t="str">
            <v>MNC</v>
          </cell>
          <cell r="C1089" t="str">
            <v>HSLB13273</v>
          </cell>
          <cell r="D1089">
            <v>201001</v>
          </cell>
          <cell r="E1089" t="str">
            <v>Estación de Trabajo</v>
          </cell>
          <cell r="F1089" t="str">
            <v>NO</v>
          </cell>
          <cell r="G1089" t="str">
            <v>NO</v>
          </cell>
          <cell r="H1089" t="str">
            <v>OFICINA DIRECTORA</v>
          </cell>
          <cell r="I1089">
            <v>1</v>
          </cell>
          <cell r="J1089" t="str">
            <v>H.2.3</v>
          </cell>
          <cell r="K1089" t="str">
            <v>Sala Cuna</v>
          </cell>
          <cell r="L1089">
            <v>1</v>
          </cell>
          <cell r="M1089">
            <v>46041</v>
          </cell>
          <cell r="N1089">
            <v>46042</v>
          </cell>
          <cell r="O1089">
            <v>2</v>
          </cell>
          <cell r="P1089">
            <v>46044</v>
          </cell>
          <cell r="Q1089">
            <v>1</v>
          </cell>
          <cell r="R1089" t="str">
            <v>NA</v>
          </cell>
          <cell r="S1089">
            <v>5</v>
          </cell>
        </row>
        <row r="1090">
          <cell r="B1090" t="str">
            <v>MNC</v>
          </cell>
          <cell r="C1090" t="str">
            <v>HSLB13274</v>
          </cell>
          <cell r="D1090">
            <v>201001</v>
          </cell>
          <cell r="E1090" t="str">
            <v>Estación de Trabajo</v>
          </cell>
          <cell r="F1090" t="str">
            <v>NO</v>
          </cell>
          <cell r="G1090" t="str">
            <v>NO</v>
          </cell>
          <cell r="H1090" t="str">
            <v>OFICINA 2 EDUCADORAS</v>
          </cell>
          <cell r="I1090">
            <v>2</v>
          </cell>
          <cell r="J1090" t="str">
            <v>H.2.4</v>
          </cell>
          <cell r="K1090" t="str">
            <v>Sala Cuna</v>
          </cell>
          <cell r="L1090">
            <v>1</v>
          </cell>
          <cell r="M1090">
            <v>46041</v>
          </cell>
          <cell r="N1090">
            <v>46042</v>
          </cell>
          <cell r="O1090">
            <v>2</v>
          </cell>
          <cell r="P1090">
            <v>46044</v>
          </cell>
          <cell r="Q1090">
            <v>1</v>
          </cell>
          <cell r="R1090" t="str">
            <v>NA</v>
          </cell>
          <cell r="S1090">
            <v>5</v>
          </cell>
        </row>
        <row r="1091">
          <cell r="B1091" t="str">
            <v>MNC</v>
          </cell>
          <cell r="C1091" t="str">
            <v>HSLB13275</v>
          </cell>
          <cell r="D1091">
            <v>201001</v>
          </cell>
          <cell r="E1091" t="str">
            <v>Estación de Trabajo</v>
          </cell>
          <cell r="F1091" t="str">
            <v>NO</v>
          </cell>
          <cell r="G1091" t="str">
            <v>NO</v>
          </cell>
          <cell r="H1091" t="str">
            <v>SALA CONTROL SALUD</v>
          </cell>
          <cell r="I1091">
            <v>1</v>
          </cell>
          <cell r="J1091" t="str">
            <v>H.2.6</v>
          </cell>
          <cell r="K1091" t="str">
            <v>Sala Cuna</v>
          </cell>
          <cell r="L1091">
            <v>1</v>
          </cell>
          <cell r="M1091">
            <v>46041</v>
          </cell>
          <cell r="N1091">
            <v>46042</v>
          </cell>
          <cell r="O1091">
            <v>2</v>
          </cell>
          <cell r="P1091">
            <v>46044</v>
          </cell>
          <cell r="Q1091">
            <v>1</v>
          </cell>
          <cell r="R1091" t="str">
            <v>NA</v>
          </cell>
          <cell r="S1091">
            <v>5</v>
          </cell>
        </row>
        <row r="1092">
          <cell r="B1092" t="str">
            <v>MNC</v>
          </cell>
          <cell r="C1092" t="str">
            <v>HSLB13394</v>
          </cell>
          <cell r="D1092">
            <v>201007</v>
          </cell>
          <cell r="E1092" t="str">
            <v>Mesa Reuniones Plegable</v>
          </cell>
          <cell r="F1092" t="str">
            <v>NO</v>
          </cell>
          <cell r="G1092" t="str">
            <v>NO</v>
          </cell>
          <cell r="H1092" t="str">
            <v>SALA MULTIUSO 1</v>
          </cell>
          <cell r="I1092">
            <v>1</v>
          </cell>
          <cell r="J1092" t="str">
            <v>H.2.7</v>
          </cell>
          <cell r="K1092" t="str">
            <v>Sala Cuna</v>
          </cell>
          <cell r="L1092">
            <v>1</v>
          </cell>
          <cell r="M1092">
            <v>46041</v>
          </cell>
          <cell r="N1092">
            <v>46042</v>
          </cell>
          <cell r="O1092">
            <v>2</v>
          </cell>
          <cell r="P1092">
            <v>46044</v>
          </cell>
          <cell r="Q1092">
            <v>1</v>
          </cell>
          <cell r="R1092" t="str">
            <v>NA</v>
          </cell>
          <cell r="S1092">
            <v>5</v>
          </cell>
        </row>
        <row r="1093">
          <cell r="B1093" t="str">
            <v>MNC</v>
          </cell>
          <cell r="C1093" t="str">
            <v>HSLB13300</v>
          </cell>
          <cell r="D1093">
            <v>201003</v>
          </cell>
          <cell r="E1093" t="str">
            <v>Mesa Párvulo Inclusión</v>
          </cell>
          <cell r="F1093" t="str">
            <v>NO</v>
          </cell>
          <cell r="G1093" t="str">
            <v>SI</v>
          </cell>
          <cell r="H1093" t="str">
            <v>NIVEL SALA CUNA 1</v>
          </cell>
          <cell r="I1093">
            <v>1</v>
          </cell>
          <cell r="J1093" t="str">
            <v>H.2.8.1</v>
          </cell>
          <cell r="K1093" t="str">
            <v>Sala Cuna</v>
          </cell>
          <cell r="L1093">
            <v>1</v>
          </cell>
          <cell r="M1093">
            <v>46003</v>
          </cell>
          <cell r="N1093">
            <v>46006</v>
          </cell>
          <cell r="O1093">
            <v>2</v>
          </cell>
          <cell r="P1093">
            <v>46008</v>
          </cell>
          <cell r="Q1093">
            <v>1</v>
          </cell>
          <cell r="R1093" t="str">
            <v>NA</v>
          </cell>
          <cell r="S1093">
            <v>5</v>
          </cell>
        </row>
        <row r="1094">
          <cell r="B1094" t="str">
            <v>MNC</v>
          </cell>
          <cell r="C1094" t="str">
            <v>HSLB13311</v>
          </cell>
          <cell r="D1094">
            <v>201005</v>
          </cell>
          <cell r="E1094" t="str">
            <v>Mesa Párvulo Tipo II</v>
          </cell>
          <cell r="F1094" t="str">
            <v>NO</v>
          </cell>
          <cell r="G1094" t="str">
            <v>SI</v>
          </cell>
          <cell r="H1094" t="str">
            <v>NIVEL SALA CUNA 1</v>
          </cell>
          <cell r="I1094">
            <v>2</v>
          </cell>
          <cell r="J1094" t="str">
            <v>H.2.8.1</v>
          </cell>
          <cell r="K1094" t="str">
            <v>Sala Cuna</v>
          </cell>
          <cell r="L1094">
            <v>1</v>
          </cell>
          <cell r="M1094">
            <v>46003</v>
          </cell>
          <cell r="N1094">
            <v>46006</v>
          </cell>
          <cell r="O1094">
            <v>2</v>
          </cell>
          <cell r="P1094">
            <v>46008</v>
          </cell>
          <cell r="Q1094">
            <v>1</v>
          </cell>
          <cell r="R1094" t="str">
            <v>NA</v>
          </cell>
          <cell r="S1094">
            <v>5</v>
          </cell>
        </row>
        <row r="1095">
          <cell r="B1095" t="str">
            <v>MNC</v>
          </cell>
          <cell r="C1095" t="str">
            <v>HSLB13312</v>
          </cell>
          <cell r="D1095">
            <v>201005</v>
          </cell>
          <cell r="E1095" t="str">
            <v>Mesa Párvulo Tipo II</v>
          </cell>
          <cell r="F1095" t="str">
            <v>NO</v>
          </cell>
          <cell r="G1095" t="str">
            <v>NO</v>
          </cell>
          <cell r="H1095" t="str">
            <v>NIVEL SALA CUNA 2</v>
          </cell>
          <cell r="I1095">
            <v>2</v>
          </cell>
          <cell r="J1095" t="str">
            <v>H.2.8.2</v>
          </cell>
          <cell r="K1095" t="str">
            <v>Sala Cuna</v>
          </cell>
          <cell r="L1095">
            <v>1</v>
          </cell>
          <cell r="M1095">
            <v>46041</v>
          </cell>
          <cell r="N1095">
            <v>46042</v>
          </cell>
          <cell r="O1095">
            <v>2</v>
          </cell>
          <cell r="P1095">
            <v>46044</v>
          </cell>
          <cell r="Q1095">
            <v>1</v>
          </cell>
          <cell r="R1095" t="str">
            <v>NA</v>
          </cell>
          <cell r="S1095">
            <v>5</v>
          </cell>
        </row>
        <row r="1096">
          <cell r="B1096" t="str">
            <v>MNC</v>
          </cell>
          <cell r="C1096" t="str">
            <v>HSLB15472</v>
          </cell>
          <cell r="D1096">
            <v>201003</v>
          </cell>
          <cell r="E1096" t="str">
            <v>Mesa Párvulo Inclusión</v>
          </cell>
          <cell r="F1096" t="str">
            <v>NO</v>
          </cell>
          <cell r="G1096" t="str">
            <v>NO</v>
          </cell>
          <cell r="H1096" t="str">
            <v>NIVEL SALA CUNA 2</v>
          </cell>
          <cell r="I1096">
            <v>1</v>
          </cell>
          <cell r="J1096" t="str">
            <v>H.2.8.2</v>
          </cell>
          <cell r="K1096" t="str">
            <v>Sala Cuna</v>
          </cell>
          <cell r="L1096">
            <v>1</v>
          </cell>
          <cell r="M1096">
            <v>46041</v>
          </cell>
          <cell r="N1096">
            <v>46042</v>
          </cell>
          <cell r="O1096">
            <v>2</v>
          </cell>
          <cell r="P1096">
            <v>46044</v>
          </cell>
          <cell r="Q1096">
            <v>1</v>
          </cell>
          <cell r="R1096" t="str">
            <v>NA</v>
          </cell>
          <cell r="S1096">
            <v>5</v>
          </cell>
        </row>
        <row r="1097">
          <cell r="B1097" t="str">
            <v>MNC</v>
          </cell>
          <cell r="C1097" t="str">
            <v>HSLB14166</v>
          </cell>
          <cell r="D1097">
            <v>204006</v>
          </cell>
          <cell r="E1097" t="str">
            <v>Silla Ergonómica</v>
          </cell>
          <cell r="F1097" t="str">
            <v>NO</v>
          </cell>
          <cell r="G1097" t="str">
            <v>NO</v>
          </cell>
          <cell r="H1097" t="str">
            <v>OFICINA INTERCULTURAL</v>
          </cell>
          <cell r="I1097">
            <v>1</v>
          </cell>
          <cell r="J1097" t="str">
            <v>A.1.3</v>
          </cell>
          <cell r="K1097" t="str">
            <v>Consultas medicas generales</v>
          </cell>
          <cell r="L1097">
            <v>1</v>
          </cell>
          <cell r="M1097">
            <v>46028</v>
          </cell>
          <cell r="N1097">
            <v>46029</v>
          </cell>
          <cell r="O1097">
            <v>2</v>
          </cell>
          <cell r="P1097">
            <v>46031</v>
          </cell>
          <cell r="Q1097">
            <v>1</v>
          </cell>
          <cell r="R1097" t="str">
            <v>NA</v>
          </cell>
          <cell r="S1097">
            <v>5</v>
          </cell>
        </row>
        <row r="1098">
          <cell r="B1098" t="str">
            <v>MNC</v>
          </cell>
          <cell r="C1098" t="str">
            <v>HSLB14627</v>
          </cell>
          <cell r="D1098">
            <v>204012</v>
          </cell>
          <cell r="E1098" t="str">
            <v>Silla Visita</v>
          </cell>
          <cell r="F1098" t="str">
            <v>NO</v>
          </cell>
          <cell r="G1098" t="str">
            <v>NO</v>
          </cell>
          <cell r="H1098" t="str">
            <v>OFICINA INTERCULTURAL</v>
          </cell>
          <cell r="I1098">
            <v>2</v>
          </cell>
          <cell r="J1098" t="str">
            <v>A.1.3</v>
          </cell>
          <cell r="K1098" t="str">
            <v>Consultas medicas generales</v>
          </cell>
          <cell r="L1098">
            <v>1</v>
          </cell>
          <cell r="M1098">
            <v>46028</v>
          </cell>
          <cell r="N1098">
            <v>46029</v>
          </cell>
          <cell r="O1098">
            <v>2</v>
          </cell>
          <cell r="P1098">
            <v>46031</v>
          </cell>
          <cell r="Q1098">
            <v>1</v>
          </cell>
          <cell r="R1098" t="str">
            <v>NA</v>
          </cell>
          <cell r="S1098">
            <v>5</v>
          </cell>
        </row>
        <row r="1099">
          <cell r="B1099" t="str">
            <v>MNC</v>
          </cell>
          <cell r="C1099" t="str">
            <v>HSLB14167</v>
          </cell>
          <cell r="D1099">
            <v>204006</v>
          </cell>
          <cell r="E1099" t="str">
            <v>Silla Ergonómica</v>
          </cell>
          <cell r="F1099" t="str">
            <v>NO</v>
          </cell>
          <cell r="G1099" t="str">
            <v>NO</v>
          </cell>
          <cell r="H1099" t="str">
            <v>MÓDULO DE TRABAJO OIRS</v>
          </cell>
          <cell r="I1099">
            <v>2</v>
          </cell>
          <cell r="J1099" t="str">
            <v>A.1.4</v>
          </cell>
          <cell r="K1099" t="str">
            <v>Consultas medicas generales</v>
          </cell>
          <cell r="L1099">
            <v>1</v>
          </cell>
          <cell r="M1099">
            <v>46028</v>
          </cell>
          <cell r="N1099">
            <v>46029</v>
          </cell>
          <cell r="O1099">
            <v>2</v>
          </cell>
          <cell r="P1099">
            <v>46031</v>
          </cell>
          <cell r="Q1099">
            <v>1</v>
          </cell>
          <cell r="R1099" t="str">
            <v>NA</v>
          </cell>
          <cell r="S1099">
            <v>5</v>
          </cell>
        </row>
        <row r="1100">
          <cell r="B1100" t="str">
            <v>MNC</v>
          </cell>
          <cell r="C1100" t="str">
            <v>HSLB14168</v>
          </cell>
          <cell r="D1100">
            <v>204006</v>
          </cell>
          <cell r="E1100" t="str">
            <v>Silla Ergonómica</v>
          </cell>
          <cell r="F1100" t="str">
            <v>NO</v>
          </cell>
          <cell r="G1100" t="str">
            <v>NO</v>
          </cell>
          <cell r="H1100" t="str">
            <v>OFICINA COMPIN</v>
          </cell>
          <cell r="I1100">
            <v>1</v>
          </cell>
          <cell r="J1100" t="str">
            <v>A.1.5</v>
          </cell>
          <cell r="K1100" t="str">
            <v>Consultas medicas generales</v>
          </cell>
          <cell r="L1100">
            <v>1</v>
          </cell>
          <cell r="M1100">
            <v>46028</v>
          </cell>
          <cell r="N1100">
            <v>46029</v>
          </cell>
          <cell r="O1100">
            <v>2</v>
          </cell>
          <cell r="P1100">
            <v>46031</v>
          </cell>
          <cell r="Q1100">
            <v>1</v>
          </cell>
          <cell r="R1100" t="str">
            <v>NA</v>
          </cell>
          <cell r="S1100">
            <v>5</v>
          </cell>
        </row>
        <row r="1101">
          <cell r="B1101" t="str">
            <v>MNC</v>
          </cell>
          <cell r="C1101" t="str">
            <v>HSLB14628</v>
          </cell>
          <cell r="D1101">
            <v>204012</v>
          </cell>
          <cell r="E1101" t="str">
            <v>Silla Visita</v>
          </cell>
          <cell r="F1101" t="str">
            <v>NO</v>
          </cell>
          <cell r="G1101" t="str">
            <v>NO</v>
          </cell>
          <cell r="H1101" t="str">
            <v>OFICINA COMPIN</v>
          </cell>
          <cell r="I1101">
            <v>4</v>
          </cell>
          <cell r="J1101" t="str">
            <v>A.1.5</v>
          </cell>
          <cell r="K1101" t="str">
            <v>Consultas medicas generales</v>
          </cell>
          <cell r="L1101">
            <v>1</v>
          </cell>
          <cell r="M1101">
            <v>46028</v>
          </cell>
          <cell r="N1101">
            <v>46029</v>
          </cell>
          <cell r="O1101">
            <v>2</v>
          </cell>
          <cell r="P1101">
            <v>46031</v>
          </cell>
          <cell r="Q1101">
            <v>1</v>
          </cell>
          <cell r="R1101" t="str">
            <v>NA</v>
          </cell>
          <cell r="S1101">
            <v>5</v>
          </cell>
        </row>
        <row r="1102">
          <cell r="B1102" t="str">
            <v>MNC</v>
          </cell>
          <cell r="C1102" t="str">
            <v>HSLB14169</v>
          </cell>
          <cell r="D1102">
            <v>204006</v>
          </cell>
          <cell r="E1102" t="str">
            <v>Silla Ergonómica</v>
          </cell>
          <cell r="F1102" t="str">
            <v>NO</v>
          </cell>
          <cell r="G1102" t="str">
            <v>NO</v>
          </cell>
          <cell r="H1102" t="str">
            <v>OFICINA FONASA</v>
          </cell>
          <cell r="I1102">
            <v>1</v>
          </cell>
          <cell r="J1102" t="str">
            <v>A.1.6</v>
          </cell>
          <cell r="K1102" t="str">
            <v>Consultas medicas generales</v>
          </cell>
          <cell r="L1102">
            <v>1</v>
          </cell>
          <cell r="M1102">
            <v>46028</v>
          </cell>
          <cell r="N1102">
            <v>46029</v>
          </cell>
          <cell r="O1102">
            <v>2</v>
          </cell>
          <cell r="P1102">
            <v>46031</v>
          </cell>
          <cell r="Q1102">
            <v>1</v>
          </cell>
          <cell r="R1102" t="str">
            <v>NA</v>
          </cell>
          <cell r="S1102">
            <v>5</v>
          </cell>
        </row>
        <row r="1103">
          <cell r="B1103" t="str">
            <v>MNC</v>
          </cell>
          <cell r="C1103" t="str">
            <v>HSLB14629</v>
          </cell>
          <cell r="D1103">
            <v>204012</v>
          </cell>
          <cell r="E1103" t="str">
            <v>Silla Visita</v>
          </cell>
          <cell r="F1103" t="str">
            <v>NO</v>
          </cell>
          <cell r="G1103" t="str">
            <v>NO</v>
          </cell>
          <cell r="H1103" t="str">
            <v>OFICINA FONASA</v>
          </cell>
          <cell r="I1103">
            <v>4</v>
          </cell>
          <cell r="J1103" t="str">
            <v>A.1.6</v>
          </cell>
          <cell r="K1103" t="str">
            <v>Consultas medicas generales</v>
          </cell>
          <cell r="L1103">
            <v>1</v>
          </cell>
          <cell r="M1103">
            <v>46028</v>
          </cell>
          <cell r="N1103">
            <v>46029</v>
          </cell>
          <cell r="O1103">
            <v>2</v>
          </cell>
          <cell r="P1103">
            <v>46031</v>
          </cell>
          <cell r="Q1103">
            <v>1</v>
          </cell>
          <cell r="R1103" t="str">
            <v>NA</v>
          </cell>
          <cell r="S1103">
            <v>5</v>
          </cell>
        </row>
        <row r="1104">
          <cell r="B1104" t="str">
            <v>MNC</v>
          </cell>
          <cell r="C1104" t="str">
            <v>HSLB14619</v>
          </cell>
          <cell r="D1104">
            <v>204010</v>
          </cell>
          <cell r="E1104" t="str">
            <v>Silla tipo Casino</v>
          </cell>
          <cell r="F1104" t="str">
            <v>NO</v>
          </cell>
          <cell r="G1104" t="str">
            <v>NO</v>
          </cell>
          <cell r="H1104" t="str">
            <v>CAFETERIA</v>
          </cell>
          <cell r="I1104">
            <v>8</v>
          </cell>
          <cell r="J1104" t="str">
            <v>A.1.7.1</v>
          </cell>
          <cell r="K1104" t="str">
            <v>Cafetería</v>
          </cell>
          <cell r="L1104">
            <v>1</v>
          </cell>
          <cell r="M1104">
            <v>46035</v>
          </cell>
          <cell r="N1104">
            <v>46036</v>
          </cell>
          <cell r="O1104">
            <v>1</v>
          </cell>
          <cell r="P1104">
            <v>46037</v>
          </cell>
          <cell r="Q1104">
            <v>1</v>
          </cell>
          <cell r="R1104" t="str">
            <v>NA</v>
          </cell>
          <cell r="S1104">
            <v>5</v>
          </cell>
        </row>
        <row r="1105">
          <cell r="B1105" t="str">
            <v>MNC</v>
          </cell>
          <cell r="C1105" t="str">
            <v>HSLB15210</v>
          </cell>
          <cell r="D1105">
            <v>204002</v>
          </cell>
          <cell r="E1105" t="str">
            <v>Banca Madera</v>
          </cell>
          <cell r="F1105" t="str">
            <v>NO</v>
          </cell>
          <cell r="G1105" t="str">
            <v>NO</v>
          </cell>
          <cell r="H1105" t="str">
            <v>CAFETERÍA VESTIDOR</v>
          </cell>
          <cell r="I1105">
            <v>1</v>
          </cell>
          <cell r="J1105" t="str">
            <v>A.1.7.1_B</v>
          </cell>
          <cell r="K1105" t="str">
            <v>Cafetería</v>
          </cell>
          <cell r="L1105">
            <v>1</v>
          </cell>
          <cell r="M1105">
            <v>46035</v>
          </cell>
          <cell r="N1105">
            <v>46036</v>
          </cell>
          <cell r="O1105">
            <v>1</v>
          </cell>
          <cell r="P1105">
            <v>46037</v>
          </cell>
          <cell r="Q1105">
            <v>1</v>
          </cell>
          <cell r="R1105" t="str">
            <v>NA</v>
          </cell>
          <cell r="S1105">
            <v>5</v>
          </cell>
        </row>
        <row r="1106">
          <cell r="B1106" t="str">
            <v>MNC</v>
          </cell>
          <cell r="C1106" t="str">
            <v>HSLB14176</v>
          </cell>
          <cell r="D1106">
            <v>204006</v>
          </cell>
          <cell r="E1106" t="str">
            <v>Silla Ergonómica</v>
          </cell>
          <cell r="F1106" t="str">
            <v>NO</v>
          </cell>
          <cell r="G1106" t="str">
            <v>NO</v>
          </cell>
          <cell r="H1106" t="str">
            <v>OFICINA JEFE OIRS</v>
          </cell>
          <cell r="I1106">
            <v>1</v>
          </cell>
          <cell r="J1106" t="str">
            <v>B.3.1.1</v>
          </cell>
          <cell r="K1106" t="str">
            <v>Consultas medicas generales</v>
          </cell>
          <cell r="L1106">
            <v>1</v>
          </cell>
          <cell r="M1106">
            <v>46028</v>
          </cell>
          <cell r="N1106">
            <v>46029</v>
          </cell>
          <cell r="O1106">
            <v>2</v>
          </cell>
          <cell r="P1106">
            <v>46031</v>
          </cell>
          <cell r="Q1106">
            <v>1</v>
          </cell>
          <cell r="R1106" t="str">
            <v>NA</v>
          </cell>
          <cell r="S1106">
            <v>5</v>
          </cell>
        </row>
        <row r="1107">
          <cell r="B1107" t="str">
            <v>MNC</v>
          </cell>
          <cell r="C1107" t="str">
            <v>HSLB14635</v>
          </cell>
          <cell r="D1107">
            <v>204012</v>
          </cell>
          <cell r="E1107" t="str">
            <v>Silla Visita</v>
          </cell>
          <cell r="F1107" t="str">
            <v>NO</v>
          </cell>
          <cell r="G1107" t="str">
            <v>NO</v>
          </cell>
          <cell r="H1107" t="str">
            <v>OFICINA JEFE OIRS</v>
          </cell>
          <cell r="I1107">
            <v>4</v>
          </cell>
          <cell r="J1107" t="str">
            <v>B.3.1.1</v>
          </cell>
          <cell r="K1107" t="str">
            <v>Consultas medicas generales</v>
          </cell>
          <cell r="L1107">
            <v>1</v>
          </cell>
          <cell r="M1107">
            <v>46028</v>
          </cell>
          <cell r="N1107">
            <v>46029</v>
          </cell>
          <cell r="O1107">
            <v>2</v>
          </cell>
          <cell r="P1107">
            <v>46031</v>
          </cell>
          <cell r="Q1107">
            <v>1</v>
          </cell>
          <cell r="R1107" t="str">
            <v>NA</v>
          </cell>
          <cell r="S1107">
            <v>5</v>
          </cell>
        </row>
        <row r="1108">
          <cell r="B1108" t="str">
            <v>MNC</v>
          </cell>
          <cell r="C1108" t="str">
            <v>HSLB14192</v>
          </cell>
          <cell r="D1108">
            <v>204006</v>
          </cell>
          <cell r="E1108" t="str">
            <v>Silla Ergonómica</v>
          </cell>
          <cell r="F1108" t="str">
            <v>NO</v>
          </cell>
          <cell r="G1108" t="str">
            <v>NO</v>
          </cell>
          <cell r="H1108" t="str">
            <v>MÓD. DE TRABAJO PROFESIONALES (gestión de la demanda)</v>
          </cell>
          <cell r="I1108">
            <v>1</v>
          </cell>
          <cell r="J1108" t="str">
            <v>C.1.2.1</v>
          </cell>
          <cell r="K1108" t="str">
            <v>Consultas medicas generales</v>
          </cell>
          <cell r="L1108">
            <v>1</v>
          </cell>
          <cell r="M1108">
            <v>46028</v>
          </cell>
          <cell r="N1108">
            <v>46029</v>
          </cell>
          <cell r="O1108">
            <v>2</v>
          </cell>
          <cell r="P1108">
            <v>46031</v>
          </cell>
          <cell r="Q1108">
            <v>1</v>
          </cell>
          <cell r="R1108" t="str">
            <v>NA</v>
          </cell>
          <cell r="S1108">
            <v>5</v>
          </cell>
        </row>
        <row r="1109">
          <cell r="B1109" t="str">
            <v>MNC</v>
          </cell>
          <cell r="C1109" t="str">
            <v>HSLB14651</v>
          </cell>
          <cell r="D1109">
            <v>204012</v>
          </cell>
          <cell r="E1109" t="str">
            <v>Silla Visita</v>
          </cell>
          <cell r="F1109" t="str">
            <v>NO</v>
          </cell>
          <cell r="G1109" t="str">
            <v>NO</v>
          </cell>
          <cell r="H1109" t="str">
            <v>MÓD. DE TRABAJO PROFESIONALES (gestión de la demanda)</v>
          </cell>
          <cell r="I1109">
            <v>4</v>
          </cell>
          <cell r="J1109" t="str">
            <v>C.1.2.1</v>
          </cell>
          <cell r="K1109" t="str">
            <v>Consultas medicas generales</v>
          </cell>
          <cell r="L1109">
            <v>1</v>
          </cell>
          <cell r="M1109">
            <v>46028</v>
          </cell>
          <cell r="N1109">
            <v>46029</v>
          </cell>
          <cell r="O1109">
            <v>2</v>
          </cell>
          <cell r="P1109">
            <v>46031</v>
          </cell>
          <cell r="Q1109">
            <v>1</v>
          </cell>
          <cell r="R1109" t="str">
            <v>NA</v>
          </cell>
          <cell r="S1109">
            <v>5</v>
          </cell>
        </row>
        <row r="1110">
          <cell r="B1110" t="str">
            <v>MNC</v>
          </cell>
          <cell r="C1110" t="str">
            <v>HSLB14556</v>
          </cell>
          <cell r="D1110">
            <v>204006</v>
          </cell>
          <cell r="E1110" t="str">
            <v>Silla Ergonómica</v>
          </cell>
          <cell r="F1110" t="str">
            <v>NO</v>
          </cell>
          <cell r="G1110" t="str">
            <v>SI</v>
          </cell>
          <cell r="H1110" t="str">
            <v>MÓDULO DE TRABAJO PROFESIONALES GES</v>
          </cell>
          <cell r="I1110">
            <v>1</v>
          </cell>
          <cell r="J1110" t="str">
            <v>C.1.2.1.1</v>
          </cell>
          <cell r="K1110" t="str">
            <v>Consultas medicas generales</v>
          </cell>
          <cell r="L1110">
            <v>1</v>
          </cell>
          <cell r="M1110">
            <v>46003</v>
          </cell>
          <cell r="N1110">
            <v>46006</v>
          </cell>
          <cell r="O1110">
            <v>1</v>
          </cell>
          <cell r="P1110">
            <v>46007</v>
          </cell>
          <cell r="Q1110">
            <v>1</v>
          </cell>
          <cell r="R1110" t="str">
            <v>NA</v>
          </cell>
          <cell r="S1110">
            <v>5</v>
          </cell>
        </row>
        <row r="1111">
          <cell r="B1111" t="str">
            <v>MNC</v>
          </cell>
          <cell r="C1111" t="str">
            <v>HSLB14557</v>
          </cell>
          <cell r="D1111">
            <v>204006</v>
          </cell>
          <cell r="E1111" t="str">
            <v>Silla Ergonómica</v>
          </cell>
          <cell r="F1111" t="str">
            <v>NO</v>
          </cell>
          <cell r="G1111" t="str">
            <v>NO</v>
          </cell>
          <cell r="H1111" t="str">
            <v>MÓDULO DE TRABAJO PROFESIONALES LISTA DE ESPERA</v>
          </cell>
          <cell r="I1111">
            <v>1</v>
          </cell>
          <cell r="J1111" t="str">
            <v>C.1.2.1.2</v>
          </cell>
          <cell r="K1111" t="str">
            <v>Consultas medicas generales</v>
          </cell>
          <cell r="L1111">
            <v>1</v>
          </cell>
          <cell r="M1111">
            <v>46028</v>
          </cell>
          <cell r="N1111">
            <v>46029</v>
          </cell>
          <cell r="O1111">
            <v>2</v>
          </cell>
          <cell r="P1111">
            <v>46031</v>
          </cell>
          <cell r="Q1111">
            <v>1</v>
          </cell>
          <cell r="R1111" t="str">
            <v>NA</v>
          </cell>
          <cell r="S1111">
            <v>5</v>
          </cell>
        </row>
        <row r="1112">
          <cell r="B1112" t="str">
            <v>MNC</v>
          </cell>
          <cell r="C1112" t="str">
            <v>HSLB14558</v>
          </cell>
          <cell r="D1112">
            <v>204006</v>
          </cell>
          <cell r="E1112" t="str">
            <v>Silla Ergonómica</v>
          </cell>
          <cell r="F1112" t="str">
            <v>NO</v>
          </cell>
          <cell r="G1112" t="str">
            <v>NO</v>
          </cell>
          <cell r="H1112" t="str">
            <v>MÓDULO DE TRABAJO PROFESIONALES  DEMANDA CONSULTAS MÉDICAS</v>
          </cell>
          <cell r="I1112">
            <v>2</v>
          </cell>
          <cell r="J1112" t="str">
            <v>C.1.2.1.3</v>
          </cell>
          <cell r="K1112" t="str">
            <v>Consultas medicas generales</v>
          </cell>
          <cell r="L1112">
            <v>1</v>
          </cell>
          <cell r="M1112">
            <v>46028</v>
          </cell>
          <cell r="N1112">
            <v>46029</v>
          </cell>
          <cell r="O1112">
            <v>2</v>
          </cell>
          <cell r="P1112">
            <v>46031</v>
          </cell>
          <cell r="Q1112">
            <v>1</v>
          </cell>
          <cell r="R1112" t="str">
            <v>NA</v>
          </cell>
          <cell r="S1112">
            <v>5</v>
          </cell>
        </row>
        <row r="1113">
          <cell r="B1113" t="str">
            <v>MNC</v>
          </cell>
          <cell r="C1113" t="str">
            <v>HSLB14193</v>
          </cell>
          <cell r="D1113">
            <v>204006</v>
          </cell>
          <cell r="E1113" t="str">
            <v>Silla Ergonómica</v>
          </cell>
          <cell r="F1113" t="str">
            <v>NO</v>
          </cell>
          <cell r="G1113" t="str">
            <v>NO</v>
          </cell>
          <cell r="H1113" t="str">
            <v>MÓDULO DE TRABAJO ADMINISTRATIVOS GES</v>
          </cell>
          <cell r="I1113">
            <v>4</v>
          </cell>
          <cell r="J1113" t="str">
            <v>C.1.2.2</v>
          </cell>
          <cell r="K1113" t="str">
            <v>Consultas medicas generales</v>
          </cell>
          <cell r="L1113">
            <v>1</v>
          </cell>
          <cell r="M1113">
            <v>46028</v>
          </cell>
          <cell r="N1113">
            <v>46029</v>
          </cell>
          <cell r="O1113">
            <v>2</v>
          </cell>
          <cell r="P1113">
            <v>46031</v>
          </cell>
          <cell r="Q1113">
            <v>1</v>
          </cell>
          <cell r="R1113" t="str">
            <v>NA</v>
          </cell>
          <cell r="S1113">
            <v>5</v>
          </cell>
        </row>
        <row r="1114">
          <cell r="B1114" t="str">
            <v>MNC</v>
          </cell>
          <cell r="C1114" t="str">
            <v>HSLB14652</v>
          </cell>
          <cell r="D1114">
            <v>204012</v>
          </cell>
          <cell r="E1114" t="str">
            <v>Silla Visita</v>
          </cell>
          <cell r="F1114" t="str">
            <v>NO</v>
          </cell>
          <cell r="G1114" t="str">
            <v>NO</v>
          </cell>
          <cell r="H1114" t="str">
            <v>MÓDULO DE TRABAJO ADMINISTRATIVOS GES</v>
          </cell>
          <cell r="I1114">
            <v>4</v>
          </cell>
          <cell r="J1114" t="str">
            <v>C.1.2.2</v>
          </cell>
          <cell r="K1114" t="str">
            <v>Consultas medicas generales</v>
          </cell>
          <cell r="L1114">
            <v>1</v>
          </cell>
          <cell r="M1114">
            <v>46028</v>
          </cell>
          <cell r="N1114">
            <v>46029</v>
          </cell>
          <cell r="O1114">
            <v>2</v>
          </cell>
          <cell r="P1114">
            <v>46031</v>
          </cell>
          <cell r="Q1114">
            <v>1</v>
          </cell>
          <cell r="R1114" t="str">
            <v>NA</v>
          </cell>
          <cell r="S1114">
            <v>5</v>
          </cell>
        </row>
        <row r="1115">
          <cell r="B1115" t="str">
            <v>MNC</v>
          </cell>
          <cell r="C1115" t="str">
            <v>HSLB14545</v>
          </cell>
          <cell r="D1115">
            <v>204006</v>
          </cell>
          <cell r="E1115" t="str">
            <v>Silla Ergonómica</v>
          </cell>
          <cell r="F1115" t="str">
            <v>NO</v>
          </cell>
          <cell r="G1115" t="str">
            <v>NO</v>
          </cell>
          <cell r="H1115" t="str">
            <v>MÓDULO DE TRABAJO ADMINISTRATIVOS MANTENCIÓN DE AGENDA</v>
          </cell>
          <cell r="I1115">
            <v>2</v>
          </cell>
          <cell r="J1115" t="str">
            <v>C.1.2.2.1</v>
          </cell>
          <cell r="K1115" t="str">
            <v>Consultas medicas generales</v>
          </cell>
          <cell r="L1115">
            <v>1</v>
          </cell>
          <cell r="M1115">
            <v>46028</v>
          </cell>
          <cell r="N1115">
            <v>46029</v>
          </cell>
          <cell r="O1115">
            <v>2</v>
          </cell>
          <cell r="P1115">
            <v>46031</v>
          </cell>
          <cell r="Q1115">
            <v>1</v>
          </cell>
          <cell r="R1115" t="str">
            <v>NA</v>
          </cell>
          <cell r="S1115">
            <v>5</v>
          </cell>
        </row>
        <row r="1116">
          <cell r="B1116" t="str">
            <v>MNC</v>
          </cell>
          <cell r="C1116" t="str">
            <v>HSLB14944</v>
          </cell>
          <cell r="D1116">
            <v>204012</v>
          </cell>
          <cell r="E1116" t="str">
            <v>Silla Visita</v>
          </cell>
          <cell r="F1116" t="str">
            <v>NO</v>
          </cell>
          <cell r="G1116" t="str">
            <v>NO</v>
          </cell>
          <cell r="H1116" t="str">
            <v>MÓDULO DE TRABAJO ADMINISTRATIVOS MANTENCIÓN DE AGENDA</v>
          </cell>
          <cell r="I1116">
            <v>4</v>
          </cell>
          <cell r="J1116" t="str">
            <v>C.1.2.2.1</v>
          </cell>
          <cell r="K1116" t="str">
            <v>Consultas medicas generales</v>
          </cell>
          <cell r="L1116">
            <v>1</v>
          </cell>
          <cell r="M1116">
            <v>46028</v>
          </cell>
          <cell r="N1116">
            <v>46029</v>
          </cell>
          <cell r="O1116">
            <v>2</v>
          </cell>
          <cell r="P1116">
            <v>46031</v>
          </cell>
          <cell r="Q1116">
            <v>1</v>
          </cell>
          <cell r="R1116" t="str">
            <v>NA</v>
          </cell>
          <cell r="S1116">
            <v>5</v>
          </cell>
        </row>
        <row r="1117">
          <cell r="B1117" t="str">
            <v>MNC</v>
          </cell>
          <cell r="C1117" t="str">
            <v>HSLB14559</v>
          </cell>
          <cell r="D1117">
            <v>204006</v>
          </cell>
          <cell r="E1117" t="str">
            <v>Silla Ergonómica</v>
          </cell>
          <cell r="F1117" t="str">
            <v>NO</v>
          </cell>
          <cell r="G1117" t="str">
            <v>NO</v>
          </cell>
          <cell r="H1117" t="str">
            <v>MÓDULO DE TRABAJO ADMINISTRATIVOS LISTA DE ESPERA</v>
          </cell>
          <cell r="I1117">
            <v>2</v>
          </cell>
          <cell r="J1117" t="str">
            <v>C.1.2.2.2</v>
          </cell>
          <cell r="K1117" t="str">
            <v>Consultas medicas generales</v>
          </cell>
          <cell r="L1117">
            <v>1</v>
          </cell>
          <cell r="M1117">
            <v>46028</v>
          </cell>
          <cell r="N1117">
            <v>46029</v>
          </cell>
          <cell r="O1117">
            <v>2</v>
          </cell>
          <cell r="P1117">
            <v>46031</v>
          </cell>
          <cell r="Q1117">
            <v>1</v>
          </cell>
          <cell r="R1117" t="str">
            <v>NA</v>
          </cell>
          <cell r="S1117">
            <v>5</v>
          </cell>
        </row>
        <row r="1118">
          <cell r="B1118" t="str">
            <v>MNC</v>
          </cell>
          <cell r="C1118" t="str">
            <v>HSLB14951</v>
          </cell>
          <cell r="D1118">
            <v>204012</v>
          </cell>
          <cell r="E1118" t="str">
            <v>Silla Visita</v>
          </cell>
          <cell r="F1118" t="str">
            <v>NO</v>
          </cell>
          <cell r="G1118" t="str">
            <v>NO</v>
          </cell>
          <cell r="H1118" t="str">
            <v>MÓDULO DE TRABAJO ADMINISTRATIVOS LISTA DE ESPERA</v>
          </cell>
          <cell r="I1118">
            <v>4</v>
          </cell>
          <cell r="J1118" t="str">
            <v>C.1.2.2.2</v>
          </cell>
          <cell r="K1118" t="str">
            <v>Consultas medicas generales</v>
          </cell>
          <cell r="L1118">
            <v>1</v>
          </cell>
          <cell r="M1118">
            <v>46028</v>
          </cell>
          <cell r="N1118">
            <v>46029</v>
          </cell>
          <cell r="O1118">
            <v>2</v>
          </cell>
          <cell r="P1118">
            <v>46031</v>
          </cell>
          <cell r="Q1118">
            <v>1</v>
          </cell>
          <cell r="R1118" t="str">
            <v>NA</v>
          </cell>
          <cell r="S1118">
            <v>5</v>
          </cell>
        </row>
        <row r="1119">
          <cell r="B1119" t="str">
            <v>MNC</v>
          </cell>
          <cell r="C1119" t="str">
            <v>HSLB15217</v>
          </cell>
          <cell r="D1119">
            <v>204020</v>
          </cell>
          <cell r="E1119" t="str">
            <v>Silla Butaca Espera 3 Cuerpos</v>
          </cell>
          <cell r="F1119" t="str">
            <v>NO</v>
          </cell>
          <cell r="G1119" t="str">
            <v>NO</v>
          </cell>
          <cell r="H1119" t="str">
            <v>HALL DE ACCESO</v>
          </cell>
          <cell r="I1119">
            <v>9</v>
          </cell>
          <cell r="J1119" t="str">
            <v>C.2.2.1.1</v>
          </cell>
          <cell r="K1119" t="str">
            <v>Consultas medicas generales</v>
          </cell>
          <cell r="L1119">
            <v>1</v>
          </cell>
          <cell r="M1119">
            <v>46028</v>
          </cell>
          <cell r="N1119">
            <v>46029</v>
          </cell>
          <cell r="O1119">
            <v>2</v>
          </cell>
          <cell r="P1119">
            <v>46031</v>
          </cell>
          <cell r="Q1119">
            <v>1</v>
          </cell>
          <cell r="R1119" t="str">
            <v>NA</v>
          </cell>
          <cell r="S1119">
            <v>5</v>
          </cell>
        </row>
        <row r="1120">
          <cell r="B1120" t="str">
            <v>MNC</v>
          </cell>
          <cell r="C1120" t="str">
            <v>HSLB14196</v>
          </cell>
          <cell r="D1120">
            <v>204006</v>
          </cell>
          <cell r="E1120" t="str">
            <v>Silla Ergonómica</v>
          </cell>
          <cell r="F1120" t="str">
            <v>NO</v>
          </cell>
          <cell r="G1120" t="str">
            <v>NO</v>
          </cell>
          <cell r="H1120" t="str">
            <v>MÓDULO SOME ADMISIÓN</v>
          </cell>
          <cell r="I1120">
            <v>3</v>
          </cell>
          <cell r="J1120" t="str">
            <v>C.2.2.1.2</v>
          </cell>
          <cell r="K1120" t="str">
            <v>Consultas medicas generales</v>
          </cell>
          <cell r="L1120">
            <v>1</v>
          </cell>
          <cell r="M1120">
            <v>46028</v>
          </cell>
          <cell r="N1120">
            <v>46029</v>
          </cell>
          <cell r="O1120">
            <v>2</v>
          </cell>
          <cell r="P1120">
            <v>46031</v>
          </cell>
          <cell r="Q1120">
            <v>1</v>
          </cell>
          <cell r="R1120" t="str">
            <v>NA</v>
          </cell>
          <cell r="S1120">
            <v>5</v>
          </cell>
        </row>
        <row r="1121">
          <cell r="B1121" t="str">
            <v>MNC</v>
          </cell>
          <cell r="C1121" t="str">
            <v>HSLB14197</v>
          </cell>
          <cell r="D1121">
            <v>204006</v>
          </cell>
          <cell r="E1121" t="str">
            <v>Silla Ergonómica</v>
          </cell>
          <cell r="F1121" t="str">
            <v>NO</v>
          </cell>
          <cell r="G1121" t="str">
            <v>NO</v>
          </cell>
          <cell r="H1121" t="str">
            <v>MÓDULO SOME RECAUDACIÓN</v>
          </cell>
          <cell r="I1121">
            <v>1</v>
          </cell>
          <cell r="J1121" t="str">
            <v>C.2.2.1.3</v>
          </cell>
          <cell r="K1121" t="str">
            <v>Consultas medicas generales</v>
          </cell>
          <cell r="L1121">
            <v>1</v>
          </cell>
          <cell r="M1121">
            <v>46028</v>
          </cell>
          <cell r="N1121">
            <v>46029</v>
          </cell>
          <cell r="O1121">
            <v>2</v>
          </cell>
          <cell r="P1121">
            <v>46031</v>
          </cell>
          <cell r="Q1121">
            <v>1</v>
          </cell>
          <cell r="R1121" t="str">
            <v>NA</v>
          </cell>
          <cell r="S1121">
            <v>5</v>
          </cell>
        </row>
        <row r="1122">
          <cell r="B1122" t="str">
            <v>MNC</v>
          </cell>
          <cell r="C1122" t="str">
            <v>HSLB14198</v>
          </cell>
          <cell r="D1122">
            <v>204006</v>
          </cell>
          <cell r="E1122" t="str">
            <v>Silla Ergonómica</v>
          </cell>
          <cell r="F1122" t="str">
            <v>NO</v>
          </cell>
          <cell r="G1122" t="str">
            <v>NO</v>
          </cell>
          <cell r="H1122" t="str">
            <v>MÓDULO DE TRABAJO OIRS</v>
          </cell>
          <cell r="I1122">
            <v>1</v>
          </cell>
          <cell r="J1122" t="str">
            <v>C.2.2.1.4</v>
          </cell>
          <cell r="K1122" t="str">
            <v>Consultas medicas generales</v>
          </cell>
          <cell r="L1122">
            <v>1</v>
          </cell>
          <cell r="M1122">
            <v>46028</v>
          </cell>
          <cell r="N1122">
            <v>46029</v>
          </cell>
          <cell r="O1122">
            <v>2</v>
          </cell>
          <cell r="P1122">
            <v>46031</v>
          </cell>
          <cell r="Q1122">
            <v>1</v>
          </cell>
          <cell r="R1122" t="str">
            <v>NA</v>
          </cell>
          <cell r="S1122">
            <v>5</v>
          </cell>
        </row>
        <row r="1123">
          <cell r="B1123" t="str">
            <v>MNC</v>
          </cell>
          <cell r="C1123" t="str">
            <v>HSLB14242</v>
          </cell>
          <cell r="D1123">
            <v>204006</v>
          </cell>
          <cell r="E1123" t="str">
            <v>Silla Ergonómica</v>
          </cell>
          <cell r="F1123" t="str">
            <v>NO</v>
          </cell>
          <cell r="G1123" t="str">
            <v>NO</v>
          </cell>
          <cell r="H1123" t="str">
            <v>RECAUDACIÓN ODONTOLOGÍA</v>
          </cell>
          <cell r="I1123">
            <v>1</v>
          </cell>
          <cell r="J1123" t="str">
            <v>C.2.2.4.2</v>
          </cell>
          <cell r="K1123" t="str">
            <v>Consultas medicas generales</v>
          </cell>
          <cell r="L1123">
            <v>1</v>
          </cell>
          <cell r="M1123">
            <v>46028</v>
          </cell>
          <cell r="N1123">
            <v>46029</v>
          </cell>
          <cell r="O1123">
            <v>2</v>
          </cell>
          <cell r="P1123">
            <v>46031</v>
          </cell>
          <cell r="Q1123">
            <v>1</v>
          </cell>
          <cell r="R1123" t="str">
            <v>NA</v>
          </cell>
          <cell r="S1123">
            <v>5</v>
          </cell>
        </row>
        <row r="1124">
          <cell r="B1124" t="str">
            <v>MNC</v>
          </cell>
          <cell r="C1124" t="str">
            <v>HSLB14244</v>
          </cell>
          <cell r="D1124">
            <v>204006</v>
          </cell>
          <cell r="E1124" t="str">
            <v>Silla Ergonómica</v>
          </cell>
          <cell r="F1124" t="str">
            <v>NO</v>
          </cell>
          <cell r="G1124" t="str">
            <v>NO</v>
          </cell>
          <cell r="H1124" t="str">
            <v>OFICINA JEFE DIÁLISIS</v>
          </cell>
          <cell r="I1124">
            <v>1</v>
          </cell>
          <cell r="J1124" t="str">
            <v>C.2.3.1</v>
          </cell>
          <cell r="K1124" t="str">
            <v>Dialisis</v>
          </cell>
          <cell r="L1124">
            <v>1</v>
          </cell>
          <cell r="M1124">
            <v>46031</v>
          </cell>
          <cell r="N1124">
            <v>46034</v>
          </cell>
          <cell r="O1124">
            <v>2</v>
          </cell>
          <cell r="P1124">
            <v>46036</v>
          </cell>
          <cell r="Q1124">
            <v>1</v>
          </cell>
          <cell r="R1124" t="str">
            <v>NA</v>
          </cell>
          <cell r="S1124">
            <v>5</v>
          </cell>
        </row>
        <row r="1125">
          <cell r="B1125" t="str">
            <v>MNC</v>
          </cell>
          <cell r="C1125" t="str">
            <v>HSLB14692</v>
          </cell>
          <cell r="D1125">
            <v>204012</v>
          </cell>
          <cell r="E1125" t="str">
            <v>Silla Visita</v>
          </cell>
          <cell r="F1125" t="str">
            <v>NO</v>
          </cell>
          <cell r="G1125" t="str">
            <v>NO</v>
          </cell>
          <cell r="H1125" t="str">
            <v>OFICINA JEFE DIÁLISIS</v>
          </cell>
          <cell r="I1125">
            <v>2</v>
          </cell>
          <cell r="J1125" t="str">
            <v>C.2.3.1</v>
          </cell>
          <cell r="K1125" t="str">
            <v>Dialisis</v>
          </cell>
          <cell r="L1125">
            <v>1</v>
          </cell>
          <cell r="M1125">
            <v>46031</v>
          </cell>
          <cell r="N1125">
            <v>46034</v>
          </cell>
          <cell r="O1125">
            <v>2</v>
          </cell>
          <cell r="P1125">
            <v>46036</v>
          </cell>
          <cell r="Q1125">
            <v>1</v>
          </cell>
          <cell r="R1125" t="str">
            <v>NA</v>
          </cell>
          <cell r="S1125">
            <v>5</v>
          </cell>
        </row>
        <row r="1126">
          <cell r="B1126" t="str">
            <v>MNC</v>
          </cell>
          <cell r="C1126" t="str">
            <v>HSLB14245</v>
          </cell>
          <cell r="D1126">
            <v>204006</v>
          </cell>
          <cell r="E1126" t="str">
            <v>Silla Ergonómica</v>
          </cell>
          <cell r="F1126" t="str">
            <v>NO</v>
          </cell>
          <cell r="G1126" t="str">
            <v>NO</v>
          </cell>
          <cell r="H1126" t="str">
            <v>BOX EVALUACIÓN</v>
          </cell>
          <cell r="I1126">
            <v>1</v>
          </cell>
          <cell r="J1126" t="str">
            <v>C.2.3.12</v>
          </cell>
          <cell r="K1126" t="str">
            <v>Dialisis</v>
          </cell>
          <cell r="L1126">
            <v>1</v>
          </cell>
          <cell r="M1126">
            <v>46031</v>
          </cell>
          <cell r="N1126">
            <v>46034</v>
          </cell>
          <cell r="O1126">
            <v>2</v>
          </cell>
          <cell r="P1126">
            <v>46036</v>
          </cell>
          <cell r="Q1126">
            <v>1</v>
          </cell>
          <cell r="R1126" t="str">
            <v>NA</v>
          </cell>
          <cell r="S1126">
            <v>5</v>
          </cell>
        </row>
        <row r="1127">
          <cell r="B1127" t="str">
            <v>MNC</v>
          </cell>
          <cell r="C1127" t="str">
            <v>HSLB14693</v>
          </cell>
          <cell r="D1127">
            <v>204012</v>
          </cell>
          <cell r="E1127" t="str">
            <v>Silla Visita</v>
          </cell>
          <cell r="F1127" t="str">
            <v>NO</v>
          </cell>
          <cell r="G1127" t="str">
            <v>NO</v>
          </cell>
          <cell r="H1127" t="str">
            <v>BOX EVALUACIÓN</v>
          </cell>
          <cell r="I1127">
            <v>2</v>
          </cell>
          <cell r="J1127" t="str">
            <v>C.2.3.12</v>
          </cell>
          <cell r="K1127" t="str">
            <v>Dialisis</v>
          </cell>
          <cell r="L1127">
            <v>1</v>
          </cell>
          <cell r="M1127">
            <v>46031</v>
          </cell>
          <cell r="N1127">
            <v>46034</v>
          </cell>
          <cell r="O1127">
            <v>2</v>
          </cell>
          <cell r="P1127">
            <v>46036</v>
          </cell>
          <cell r="Q1127">
            <v>1</v>
          </cell>
          <cell r="R1127" t="str">
            <v>NA</v>
          </cell>
          <cell r="S1127">
            <v>5</v>
          </cell>
        </row>
        <row r="1128">
          <cell r="B1128" t="str">
            <v>MNC</v>
          </cell>
          <cell r="C1128" t="str">
            <v>HSLB15237</v>
          </cell>
          <cell r="D1128">
            <v>204006</v>
          </cell>
          <cell r="E1128" t="str">
            <v>Silla Ergonómica</v>
          </cell>
          <cell r="F1128" t="str">
            <v>NO</v>
          </cell>
          <cell r="G1128" t="str">
            <v>NO</v>
          </cell>
          <cell r="H1128" t="str">
            <v>PUESTO DIALISADOS CRÓNICOS</v>
          </cell>
          <cell r="I1128">
            <v>1</v>
          </cell>
          <cell r="J1128" t="str">
            <v>C.2.3.13.1</v>
          </cell>
          <cell r="K1128" t="str">
            <v>Dialisis</v>
          </cell>
          <cell r="L1128">
            <v>1</v>
          </cell>
          <cell r="M1128">
            <v>46031</v>
          </cell>
          <cell r="N1128">
            <v>46034</v>
          </cell>
          <cell r="O1128">
            <v>2</v>
          </cell>
          <cell r="P1128">
            <v>46036</v>
          </cell>
          <cell r="Q1128">
            <v>1</v>
          </cell>
          <cell r="R1128" t="str">
            <v>NA</v>
          </cell>
          <cell r="S1128">
            <v>5</v>
          </cell>
        </row>
        <row r="1129">
          <cell r="B1129" t="str">
            <v>MNC</v>
          </cell>
          <cell r="C1129" t="str">
            <v>HSLB15238</v>
          </cell>
          <cell r="D1129">
            <v>204012</v>
          </cell>
          <cell r="E1129" t="str">
            <v>Silla Visita</v>
          </cell>
          <cell r="F1129" t="str">
            <v>NO</v>
          </cell>
          <cell r="G1129" t="str">
            <v>NO</v>
          </cell>
          <cell r="H1129" t="str">
            <v>PUESTO DIALISADOS CRÓNICOS</v>
          </cell>
          <cell r="I1129">
            <v>6</v>
          </cell>
          <cell r="J1129" t="str">
            <v>C.2.3.13.1</v>
          </cell>
          <cell r="K1129" t="str">
            <v>Dialisis</v>
          </cell>
          <cell r="L1129">
            <v>1</v>
          </cell>
          <cell r="M1129">
            <v>46031</v>
          </cell>
          <cell r="N1129">
            <v>46034</v>
          </cell>
          <cell r="O1129">
            <v>2</v>
          </cell>
          <cell r="P1129">
            <v>46036</v>
          </cell>
          <cell r="Q1129">
            <v>1</v>
          </cell>
          <cell r="R1129" t="str">
            <v>NA</v>
          </cell>
          <cell r="S1129">
            <v>5</v>
          </cell>
        </row>
        <row r="1130">
          <cell r="B1130" t="str">
            <v>MNC</v>
          </cell>
          <cell r="C1130" t="str">
            <v>HSLB15239</v>
          </cell>
          <cell r="D1130">
            <v>204006</v>
          </cell>
          <cell r="E1130" t="str">
            <v>Silla Ergonómica</v>
          </cell>
          <cell r="F1130" t="str">
            <v>NO</v>
          </cell>
          <cell r="G1130" t="str">
            <v>NO</v>
          </cell>
          <cell r="H1130" t="str">
            <v>PUESTO DIALISADOS CRÓNICOS</v>
          </cell>
          <cell r="I1130">
            <v>1</v>
          </cell>
          <cell r="J1130" t="str">
            <v>C.2.3.13.2</v>
          </cell>
          <cell r="K1130" t="str">
            <v>Dialisis</v>
          </cell>
          <cell r="L1130">
            <v>1</v>
          </cell>
          <cell r="M1130">
            <v>46031</v>
          </cell>
          <cell r="N1130">
            <v>46034</v>
          </cell>
          <cell r="O1130">
            <v>2</v>
          </cell>
          <cell r="P1130">
            <v>46036</v>
          </cell>
          <cell r="Q1130">
            <v>1</v>
          </cell>
          <cell r="R1130" t="str">
            <v>NA</v>
          </cell>
          <cell r="S1130">
            <v>5</v>
          </cell>
        </row>
        <row r="1131">
          <cell r="B1131" t="str">
            <v>MNC</v>
          </cell>
          <cell r="C1131" t="str">
            <v>HSLB15240</v>
          </cell>
          <cell r="D1131">
            <v>204012</v>
          </cell>
          <cell r="E1131" t="str">
            <v>Silla Visita</v>
          </cell>
          <cell r="F1131" t="str">
            <v>NO</v>
          </cell>
          <cell r="G1131" t="str">
            <v>NO</v>
          </cell>
          <cell r="H1131" t="str">
            <v>PUESTO DIALISADOS CRÓNICOS</v>
          </cell>
          <cell r="I1131">
            <v>6</v>
          </cell>
          <cell r="J1131" t="str">
            <v>C.2.3.13.2</v>
          </cell>
          <cell r="K1131" t="str">
            <v>Dialisis</v>
          </cell>
          <cell r="L1131">
            <v>1</v>
          </cell>
          <cell r="M1131">
            <v>46031</v>
          </cell>
          <cell r="N1131">
            <v>46034</v>
          </cell>
          <cell r="O1131">
            <v>2</v>
          </cell>
          <cell r="P1131">
            <v>46036</v>
          </cell>
          <cell r="Q1131">
            <v>1</v>
          </cell>
          <cell r="R1131" t="str">
            <v>NA</v>
          </cell>
          <cell r="S1131">
            <v>5</v>
          </cell>
        </row>
        <row r="1132">
          <cell r="B1132" t="str">
            <v>MNC</v>
          </cell>
          <cell r="C1132" t="str">
            <v>HSLB15241</v>
          </cell>
          <cell r="D1132">
            <v>204006</v>
          </cell>
          <cell r="E1132" t="str">
            <v>Silla Ergonómica</v>
          </cell>
          <cell r="F1132" t="str">
            <v>NO</v>
          </cell>
          <cell r="G1132" t="str">
            <v>NO</v>
          </cell>
          <cell r="H1132" t="str">
            <v>PUESTO DIALISADOS CRÓNICOS</v>
          </cell>
          <cell r="I1132">
            <v>1</v>
          </cell>
          <cell r="J1132" t="str">
            <v>C.2.3.13.3</v>
          </cell>
          <cell r="K1132" t="str">
            <v>Dialisis</v>
          </cell>
          <cell r="L1132">
            <v>1</v>
          </cell>
          <cell r="M1132">
            <v>46031</v>
          </cell>
          <cell r="N1132">
            <v>46034</v>
          </cell>
          <cell r="O1132">
            <v>2</v>
          </cell>
          <cell r="P1132">
            <v>46036</v>
          </cell>
          <cell r="Q1132">
            <v>1</v>
          </cell>
          <cell r="R1132" t="str">
            <v>NA</v>
          </cell>
          <cell r="S1132">
            <v>5</v>
          </cell>
        </row>
        <row r="1133">
          <cell r="B1133" t="str">
            <v>MNC</v>
          </cell>
          <cell r="C1133" t="str">
            <v>HSLB15242</v>
          </cell>
          <cell r="D1133">
            <v>204012</v>
          </cell>
          <cell r="E1133" t="str">
            <v>Silla Visita</v>
          </cell>
          <cell r="F1133" t="str">
            <v>NO</v>
          </cell>
          <cell r="G1133" t="str">
            <v>NO</v>
          </cell>
          <cell r="H1133" t="str">
            <v>PUESTO DIALISADOS CRÓNICOS</v>
          </cell>
          <cell r="I1133">
            <v>5</v>
          </cell>
          <cell r="J1133" t="str">
            <v>C.2.3.13.3</v>
          </cell>
          <cell r="K1133" t="str">
            <v>Dialisis</v>
          </cell>
          <cell r="L1133">
            <v>1</v>
          </cell>
          <cell r="M1133">
            <v>46031</v>
          </cell>
          <cell r="N1133">
            <v>46034</v>
          </cell>
          <cell r="O1133">
            <v>2</v>
          </cell>
          <cell r="P1133">
            <v>46036</v>
          </cell>
          <cell r="Q1133">
            <v>1</v>
          </cell>
          <cell r="R1133" t="str">
            <v>NA</v>
          </cell>
          <cell r="S1133">
            <v>5</v>
          </cell>
        </row>
        <row r="1134">
          <cell r="B1134" t="str">
            <v>MNC</v>
          </cell>
          <cell r="C1134" t="str">
            <v>HSLB14546</v>
          </cell>
          <cell r="D1134">
            <v>204006</v>
          </cell>
          <cell r="E1134" t="str">
            <v>Silla Ergonómica</v>
          </cell>
          <cell r="F1134" t="str">
            <v>NO</v>
          </cell>
          <cell r="G1134" t="str">
            <v>NO</v>
          </cell>
          <cell r="H1134" t="str">
            <v>ESTACIÓN DE ENFERMERÍA</v>
          </cell>
          <cell r="I1134">
            <v>1</v>
          </cell>
          <cell r="J1134" t="str">
            <v>C.2.3.15.1</v>
          </cell>
          <cell r="K1134" t="str">
            <v>Dialisis</v>
          </cell>
          <cell r="L1134">
            <v>1</v>
          </cell>
          <cell r="M1134">
            <v>46031</v>
          </cell>
          <cell r="N1134">
            <v>46034</v>
          </cell>
          <cell r="O1134">
            <v>2</v>
          </cell>
          <cell r="P1134">
            <v>46036</v>
          </cell>
          <cell r="Q1134">
            <v>1</v>
          </cell>
          <cell r="R1134" t="str">
            <v>NA</v>
          </cell>
          <cell r="S1134">
            <v>5</v>
          </cell>
        </row>
        <row r="1135">
          <cell r="B1135" t="str">
            <v>MNC</v>
          </cell>
          <cell r="C1135" t="str">
            <v>HSLB14547</v>
          </cell>
          <cell r="D1135">
            <v>204006</v>
          </cell>
          <cell r="E1135" t="str">
            <v>Silla Ergonómica</v>
          </cell>
          <cell r="F1135" t="str">
            <v>NO</v>
          </cell>
          <cell r="G1135" t="str">
            <v>NO</v>
          </cell>
          <cell r="H1135" t="str">
            <v>ESTACIÓN DE ENFERMERÍA</v>
          </cell>
          <cell r="I1135">
            <v>1</v>
          </cell>
          <cell r="J1135" t="str">
            <v>C.2.3.15.2</v>
          </cell>
          <cell r="K1135" t="str">
            <v>Dialisis</v>
          </cell>
          <cell r="L1135">
            <v>1</v>
          </cell>
          <cell r="M1135">
            <v>46031</v>
          </cell>
          <cell r="N1135">
            <v>46034</v>
          </cell>
          <cell r="O1135">
            <v>2</v>
          </cell>
          <cell r="P1135">
            <v>46036</v>
          </cell>
          <cell r="Q1135">
            <v>1</v>
          </cell>
          <cell r="R1135" t="str">
            <v>NA</v>
          </cell>
          <cell r="S1135">
            <v>5</v>
          </cell>
        </row>
        <row r="1136">
          <cell r="B1136" t="str">
            <v>MNC</v>
          </cell>
          <cell r="C1136" t="str">
            <v>HSLB14246</v>
          </cell>
          <cell r="D1136">
            <v>204006</v>
          </cell>
          <cell r="E1136" t="str">
            <v>Silla Ergonómica</v>
          </cell>
          <cell r="F1136" t="str">
            <v>NO</v>
          </cell>
          <cell r="G1136" t="str">
            <v>NO</v>
          </cell>
          <cell r="H1136" t="str">
            <v>ESTACIÓN DE ENFERMERÍA</v>
          </cell>
          <cell r="I1136">
            <v>1</v>
          </cell>
          <cell r="J1136" t="str">
            <v>C.2.3.15.3</v>
          </cell>
          <cell r="K1136" t="str">
            <v>Dialisis</v>
          </cell>
          <cell r="L1136">
            <v>1</v>
          </cell>
          <cell r="M1136">
            <v>46031</v>
          </cell>
          <cell r="N1136">
            <v>46034</v>
          </cell>
          <cell r="O1136">
            <v>2</v>
          </cell>
          <cell r="P1136">
            <v>46036</v>
          </cell>
          <cell r="Q1136">
            <v>1</v>
          </cell>
          <cell r="R1136" t="str">
            <v>NA</v>
          </cell>
          <cell r="S1136">
            <v>5</v>
          </cell>
        </row>
        <row r="1137">
          <cell r="B1137" t="str">
            <v>MNC</v>
          </cell>
          <cell r="C1137" t="str">
            <v>HSLB14694</v>
          </cell>
          <cell r="D1137">
            <v>204012</v>
          </cell>
          <cell r="E1137" t="str">
            <v>Silla Visita</v>
          </cell>
          <cell r="F1137" t="str">
            <v>NO</v>
          </cell>
          <cell r="G1137" t="str">
            <v>NO</v>
          </cell>
          <cell r="H1137" t="str">
            <v xml:space="preserve">SALA POST-DIALISADOS </v>
          </cell>
          <cell r="I1137">
            <v>4</v>
          </cell>
          <cell r="J1137" t="str">
            <v>C.2.3.19</v>
          </cell>
          <cell r="K1137" t="str">
            <v>Dialisis</v>
          </cell>
          <cell r="L1137">
            <v>1</v>
          </cell>
          <cell r="M1137">
            <v>46031</v>
          </cell>
          <cell r="N1137">
            <v>46034</v>
          </cell>
          <cell r="O1137">
            <v>2</v>
          </cell>
          <cell r="P1137">
            <v>46036</v>
          </cell>
          <cell r="Q1137">
            <v>1</v>
          </cell>
          <cell r="R1137" t="str">
            <v>NA</v>
          </cell>
          <cell r="S1137">
            <v>5</v>
          </cell>
        </row>
        <row r="1138">
          <cell r="B1138" t="str">
            <v>MNC</v>
          </cell>
          <cell r="C1138" t="str">
            <v>HSLB14247</v>
          </cell>
          <cell r="D1138">
            <v>204006</v>
          </cell>
          <cell r="E1138" t="str">
            <v>Silla Ergonómica</v>
          </cell>
          <cell r="F1138" t="str">
            <v>NO</v>
          </cell>
          <cell r="G1138" t="str">
            <v>NO</v>
          </cell>
          <cell r="H1138" t="str">
            <v>OFICINA ENFERMERA COORDINADORA                    (PERITONEO)</v>
          </cell>
          <cell r="I1138">
            <v>1</v>
          </cell>
          <cell r="J1138" t="str">
            <v>C.2.3.2</v>
          </cell>
          <cell r="K1138" t="str">
            <v>Dialisis</v>
          </cell>
          <cell r="L1138">
            <v>1</v>
          </cell>
          <cell r="M1138">
            <v>46031</v>
          </cell>
          <cell r="N1138">
            <v>46034</v>
          </cell>
          <cell r="O1138">
            <v>2</v>
          </cell>
          <cell r="P1138">
            <v>46036</v>
          </cell>
          <cell r="Q1138">
            <v>1</v>
          </cell>
          <cell r="R1138" t="str">
            <v>NA</v>
          </cell>
          <cell r="S1138">
            <v>5</v>
          </cell>
        </row>
        <row r="1139">
          <cell r="B1139" t="str">
            <v>MNC</v>
          </cell>
          <cell r="C1139" t="str">
            <v>HSLB14695</v>
          </cell>
          <cell r="D1139">
            <v>204012</v>
          </cell>
          <cell r="E1139" t="str">
            <v>Silla Visita</v>
          </cell>
          <cell r="F1139" t="str">
            <v>NO</v>
          </cell>
          <cell r="G1139" t="str">
            <v>NO</v>
          </cell>
          <cell r="H1139" t="str">
            <v>OFICINA ENFERMERA COORDINADORA                    (PERITONEO)</v>
          </cell>
          <cell r="I1139">
            <v>2</v>
          </cell>
          <cell r="J1139" t="str">
            <v>C.2.3.2</v>
          </cell>
          <cell r="K1139" t="str">
            <v>Dialisis</v>
          </cell>
          <cell r="L1139">
            <v>1</v>
          </cell>
          <cell r="M1139">
            <v>46031</v>
          </cell>
          <cell r="N1139">
            <v>46034</v>
          </cell>
          <cell r="O1139">
            <v>2</v>
          </cell>
          <cell r="P1139">
            <v>46036</v>
          </cell>
          <cell r="Q1139">
            <v>1</v>
          </cell>
          <cell r="R1139" t="str">
            <v>NA</v>
          </cell>
          <cell r="S1139">
            <v>5</v>
          </cell>
        </row>
        <row r="1140">
          <cell r="B1140" t="str">
            <v>MNC</v>
          </cell>
          <cell r="C1140" t="str">
            <v>HSLB14248</v>
          </cell>
          <cell r="D1140">
            <v>204006</v>
          </cell>
          <cell r="E1140" t="str">
            <v>Silla Ergonómica</v>
          </cell>
          <cell r="F1140" t="str">
            <v>NO</v>
          </cell>
          <cell r="G1140" t="str">
            <v>NO</v>
          </cell>
          <cell r="H1140" t="str">
            <v>SALA EDUCACIÓN PERITONEODIÁLISIS C/ BAÑO</v>
          </cell>
          <cell r="I1140">
            <v>1</v>
          </cell>
          <cell r="J1140" t="str">
            <v>C.2.3.20</v>
          </cell>
          <cell r="K1140" t="str">
            <v>Dialisis</v>
          </cell>
          <cell r="L1140">
            <v>1</v>
          </cell>
          <cell r="M1140">
            <v>46031</v>
          </cell>
          <cell r="N1140">
            <v>46034</v>
          </cell>
          <cell r="O1140">
            <v>2</v>
          </cell>
          <cell r="P1140">
            <v>46036</v>
          </cell>
          <cell r="Q1140">
            <v>1</v>
          </cell>
          <cell r="R1140" t="str">
            <v>NA</v>
          </cell>
          <cell r="S1140">
            <v>5</v>
          </cell>
        </row>
        <row r="1141">
          <cell r="B1141" t="str">
            <v>MNC</v>
          </cell>
          <cell r="C1141" t="str">
            <v>HSLB14696</v>
          </cell>
          <cell r="D1141">
            <v>204012</v>
          </cell>
          <cell r="E1141" t="str">
            <v>Silla Visita</v>
          </cell>
          <cell r="F1141" t="str">
            <v>NO</v>
          </cell>
          <cell r="G1141" t="str">
            <v>NO</v>
          </cell>
          <cell r="H1141" t="str">
            <v>SALA EDUCACIÓN PERITONEODIÁLISIS C/ BAÑO</v>
          </cell>
          <cell r="I1141">
            <v>2</v>
          </cell>
          <cell r="J1141" t="str">
            <v>C.2.3.20</v>
          </cell>
          <cell r="K1141" t="str">
            <v>Dialisis</v>
          </cell>
          <cell r="L1141">
            <v>1</v>
          </cell>
          <cell r="M1141">
            <v>46031</v>
          </cell>
          <cell r="N1141">
            <v>46034</v>
          </cell>
          <cell r="O1141">
            <v>2</v>
          </cell>
          <cell r="P1141">
            <v>46036</v>
          </cell>
          <cell r="Q1141">
            <v>1</v>
          </cell>
          <cell r="R1141" t="str">
            <v>NA</v>
          </cell>
          <cell r="S1141">
            <v>5</v>
          </cell>
        </row>
        <row r="1142">
          <cell r="B1142" t="str">
            <v>MNC</v>
          </cell>
          <cell r="C1142" t="str">
            <v>HSLB15244</v>
          </cell>
          <cell r="D1142">
            <v>204012</v>
          </cell>
          <cell r="E1142" t="str">
            <v>Silla Visita</v>
          </cell>
          <cell r="F1142" t="str">
            <v>NO</v>
          </cell>
          <cell r="G1142" t="str">
            <v>NO</v>
          </cell>
          <cell r="H1142" t="str">
            <v xml:space="preserve">SALA PROCEDIMIENTOS </v>
          </cell>
          <cell r="I1142">
            <v>1</v>
          </cell>
          <cell r="J1142" t="str">
            <v>C.2.3.21</v>
          </cell>
          <cell r="K1142" t="str">
            <v>Dialisis</v>
          </cell>
          <cell r="L1142">
            <v>1</v>
          </cell>
          <cell r="M1142">
            <v>46031</v>
          </cell>
          <cell r="N1142">
            <v>46034</v>
          </cell>
          <cell r="O1142">
            <v>2</v>
          </cell>
          <cell r="P1142">
            <v>46036</v>
          </cell>
          <cell r="Q1142">
            <v>1</v>
          </cell>
          <cell r="R1142" t="str">
            <v>NA</v>
          </cell>
          <cell r="S1142">
            <v>5</v>
          </cell>
        </row>
        <row r="1143">
          <cell r="B1143" t="str">
            <v>MNC</v>
          </cell>
          <cell r="C1143" t="str">
            <v>HSLB15246</v>
          </cell>
          <cell r="D1143">
            <v>204002</v>
          </cell>
          <cell r="E1143" t="str">
            <v>Banca Madera</v>
          </cell>
          <cell r="F1143" t="str">
            <v>NO</v>
          </cell>
          <cell r="G1143" t="str">
            <v>NO</v>
          </cell>
          <cell r="H1143" t="str">
            <v>VESTIDOR DE PACIENTES C/DUCHA Y LOCKERS (1)/ Banca de madera (60x50x45)</v>
          </cell>
          <cell r="I1143">
            <v>1</v>
          </cell>
          <cell r="J1143" t="str">
            <v>C.2.3.3.1</v>
          </cell>
          <cell r="K1143" t="str">
            <v>Dialisis</v>
          </cell>
          <cell r="L1143">
            <v>1</v>
          </cell>
          <cell r="M1143">
            <v>46031</v>
          </cell>
          <cell r="N1143">
            <v>46034</v>
          </cell>
          <cell r="O1143">
            <v>2</v>
          </cell>
          <cell r="P1143">
            <v>46036</v>
          </cell>
          <cell r="Q1143">
            <v>1</v>
          </cell>
          <cell r="R1143" t="str">
            <v>NA</v>
          </cell>
          <cell r="S1143">
            <v>5</v>
          </cell>
        </row>
        <row r="1144">
          <cell r="B1144" t="str">
            <v>MNC</v>
          </cell>
          <cell r="C1144" t="str">
            <v>HSLB15247</v>
          </cell>
          <cell r="D1144">
            <v>204002</v>
          </cell>
          <cell r="E1144" t="str">
            <v>Banca Madera</v>
          </cell>
          <cell r="F1144" t="str">
            <v>NO</v>
          </cell>
          <cell r="G1144" t="str">
            <v>NO</v>
          </cell>
          <cell r="H1144" t="str">
            <v>VESTIDOR DE PACIENTES C/DUCHA Y LOCKERS (2)/ Banca de madera</v>
          </cell>
          <cell r="I1144">
            <v>1</v>
          </cell>
          <cell r="J1144" t="str">
            <v>C.2.3.3.2</v>
          </cell>
          <cell r="K1144" t="str">
            <v>Dialisis</v>
          </cell>
          <cell r="L1144">
            <v>1</v>
          </cell>
          <cell r="M1144">
            <v>46031</v>
          </cell>
          <cell r="N1144">
            <v>46034</v>
          </cell>
          <cell r="O1144">
            <v>2</v>
          </cell>
          <cell r="P1144">
            <v>46036</v>
          </cell>
          <cell r="Q1144">
            <v>1</v>
          </cell>
          <cell r="R1144" t="str">
            <v>NA</v>
          </cell>
          <cell r="S1144">
            <v>5</v>
          </cell>
        </row>
        <row r="1145">
          <cell r="B1145" t="str">
            <v>MNC</v>
          </cell>
          <cell r="C1145" t="str">
            <v>HSLB15250</v>
          </cell>
          <cell r="D1145">
            <v>204006</v>
          </cell>
          <cell r="E1145" t="str">
            <v>Silla Ergonómica</v>
          </cell>
          <cell r="F1145" t="str">
            <v>NO</v>
          </cell>
          <cell r="G1145" t="str">
            <v>NO</v>
          </cell>
          <cell r="H1145" t="str">
            <v>OFICINA COORDINADORA (HEMODIALISIS)</v>
          </cell>
          <cell r="I1145">
            <v>1</v>
          </cell>
          <cell r="J1145" t="str">
            <v>C.2.3.39</v>
          </cell>
          <cell r="K1145" t="str">
            <v>Dialisis</v>
          </cell>
          <cell r="L1145">
            <v>1</v>
          </cell>
          <cell r="M1145">
            <v>46031</v>
          </cell>
          <cell r="N1145">
            <v>46034</v>
          </cell>
          <cell r="O1145">
            <v>2</v>
          </cell>
          <cell r="P1145">
            <v>46036</v>
          </cell>
          <cell r="Q1145">
            <v>1</v>
          </cell>
          <cell r="R1145" t="str">
            <v>NA</v>
          </cell>
          <cell r="S1145">
            <v>5</v>
          </cell>
        </row>
        <row r="1146">
          <cell r="B1146" t="str">
            <v>MNC</v>
          </cell>
          <cell r="C1146" t="str">
            <v>HSLB15251</v>
          </cell>
          <cell r="D1146">
            <v>204012</v>
          </cell>
          <cell r="E1146" t="str">
            <v>Silla Visita</v>
          </cell>
          <cell r="F1146" t="str">
            <v>NO</v>
          </cell>
          <cell r="G1146" t="str">
            <v>NO</v>
          </cell>
          <cell r="H1146" t="str">
            <v>OFICINA COORDINADORA (HEMODIALISIS)</v>
          </cell>
          <cell r="I1146">
            <v>2</v>
          </cell>
          <cell r="J1146" t="str">
            <v>C.2.3.39</v>
          </cell>
          <cell r="K1146" t="str">
            <v>Dialisis</v>
          </cell>
          <cell r="L1146">
            <v>1</v>
          </cell>
          <cell r="M1146">
            <v>46031</v>
          </cell>
          <cell r="N1146">
            <v>46034</v>
          </cell>
          <cell r="O1146">
            <v>2</v>
          </cell>
          <cell r="P1146">
            <v>46036</v>
          </cell>
          <cell r="Q1146">
            <v>1</v>
          </cell>
          <cell r="R1146" t="str">
            <v>NA</v>
          </cell>
          <cell r="S1146">
            <v>5</v>
          </cell>
        </row>
        <row r="1147">
          <cell r="B1147" t="str">
            <v>MNC</v>
          </cell>
          <cell r="C1147" t="str">
            <v>HSLB14249</v>
          </cell>
          <cell r="D1147">
            <v>204006</v>
          </cell>
          <cell r="E1147" t="str">
            <v>Silla Ergonómica</v>
          </cell>
          <cell r="F1147" t="str">
            <v>NO</v>
          </cell>
          <cell r="G1147" t="str">
            <v>NO</v>
          </cell>
          <cell r="H1147" t="str">
            <v xml:space="preserve">MESÓN DE RECEPCIÓN C/ARCHIVO Y FOTOCOPIADORA </v>
          </cell>
          <cell r="I1147">
            <v>1</v>
          </cell>
          <cell r="J1147" t="str">
            <v>C.2.3.6</v>
          </cell>
          <cell r="K1147" t="str">
            <v>Dialisis</v>
          </cell>
          <cell r="L1147">
            <v>1</v>
          </cell>
          <cell r="M1147">
            <v>46031</v>
          </cell>
          <cell r="N1147">
            <v>46034</v>
          </cell>
          <cell r="O1147">
            <v>2</v>
          </cell>
          <cell r="P1147">
            <v>46036</v>
          </cell>
          <cell r="Q1147">
            <v>1</v>
          </cell>
          <cell r="R1147" t="str">
            <v>NA</v>
          </cell>
          <cell r="S1147">
            <v>5</v>
          </cell>
        </row>
        <row r="1148">
          <cell r="B1148" t="str">
            <v>MNC</v>
          </cell>
          <cell r="C1148" t="str">
            <v>HSLB15253</v>
          </cell>
          <cell r="D1148">
            <v>204020</v>
          </cell>
          <cell r="E1148" t="str">
            <v>Silla Butaca Espera 3 Cuerpos</v>
          </cell>
          <cell r="F1148" t="str">
            <v>NO</v>
          </cell>
          <cell r="G1148" t="str">
            <v>NO</v>
          </cell>
          <cell r="H1148" t="str">
            <v>SALA DE ESPERA DIÁLISIS</v>
          </cell>
          <cell r="I1148">
            <v>8</v>
          </cell>
          <cell r="J1148" t="str">
            <v>C.2.3.7</v>
          </cell>
          <cell r="K1148" t="str">
            <v>Dialisis</v>
          </cell>
          <cell r="L1148">
            <v>1</v>
          </cell>
          <cell r="M1148">
            <v>46031</v>
          </cell>
          <cell r="N1148">
            <v>46034</v>
          </cell>
          <cell r="O1148">
            <v>2</v>
          </cell>
          <cell r="P1148">
            <v>46036</v>
          </cell>
          <cell r="Q1148">
            <v>1</v>
          </cell>
          <cell r="R1148" t="str">
            <v>NA</v>
          </cell>
          <cell r="S1148">
            <v>5</v>
          </cell>
        </row>
        <row r="1149">
          <cell r="B1149" t="str">
            <v>MNC</v>
          </cell>
          <cell r="C1149" t="str">
            <v>HSLB14250</v>
          </cell>
          <cell r="D1149">
            <v>204006</v>
          </cell>
          <cell r="E1149" t="str">
            <v>Silla Ergonómica</v>
          </cell>
          <cell r="F1149" t="str">
            <v>NO</v>
          </cell>
          <cell r="G1149" t="str">
            <v>NO</v>
          </cell>
          <cell r="H1149" t="str">
            <v>OFICINA JEFE CUIDADOS PALIATIVOS</v>
          </cell>
          <cell r="I1149">
            <v>1</v>
          </cell>
          <cell r="J1149" t="str">
            <v>C.2.4.1</v>
          </cell>
          <cell r="K1149" t="str">
            <v>Cuidados Paliativos</v>
          </cell>
          <cell r="L1149">
            <v>1</v>
          </cell>
          <cell r="M1149">
            <v>46035</v>
          </cell>
          <cell r="N1149">
            <v>46036</v>
          </cell>
          <cell r="O1149">
            <v>1</v>
          </cell>
          <cell r="P1149">
            <v>46037</v>
          </cell>
          <cell r="Q1149">
            <v>1</v>
          </cell>
          <cell r="R1149" t="str">
            <v>NA</v>
          </cell>
          <cell r="S1149">
            <v>5</v>
          </cell>
        </row>
        <row r="1150">
          <cell r="B1150" t="str">
            <v>MNC</v>
          </cell>
          <cell r="C1150" t="str">
            <v>HSLB14697</v>
          </cell>
          <cell r="D1150">
            <v>204012</v>
          </cell>
          <cell r="E1150" t="str">
            <v>Silla Visita</v>
          </cell>
          <cell r="F1150" t="str">
            <v>NO</v>
          </cell>
          <cell r="G1150" t="str">
            <v>NO</v>
          </cell>
          <cell r="H1150" t="str">
            <v>OFICINA JEFE CUIDADOS PALIATIVOS</v>
          </cell>
          <cell r="I1150">
            <v>4</v>
          </cell>
          <cell r="J1150" t="str">
            <v>C.2.4.1</v>
          </cell>
          <cell r="K1150" t="str">
            <v>Cuidados Paliativos</v>
          </cell>
          <cell r="L1150">
            <v>1</v>
          </cell>
          <cell r="M1150">
            <v>46035</v>
          </cell>
          <cell r="N1150">
            <v>46036</v>
          </cell>
          <cell r="O1150">
            <v>1</v>
          </cell>
          <cell r="P1150">
            <v>46037</v>
          </cell>
          <cell r="Q1150">
            <v>1</v>
          </cell>
          <cell r="R1150" t="str">
            <v>NA</v>
          </cell>
          <cell r="S1150">
            <v>5</v>
          </cell>
        </row>
        <row r="1151">
          <cell r="B1151" t="str">
            <v>MNC</v>
          </cell>
          <cell r="C1151" t="str">
            <v>HSLB14251</v>
          </cell>
          <cell r="D1151">
            <v>204006</v>
          </cell>
          <cell r="E1151" t="str">
            <v>Silla Ergonómica</v>
          </cell>
          <cell r="F1151" t="str">
            <v>NO</v>
          </cell>
          <cell r="G1151" t="str">
            <v>NO</v>
          </cell>
          <cell r="H1151" t="str">
            <v>OFICINA ENFERMERA</v>
          </cell>
          <cell r="I1151">
            <v>1</v>
          </cell>
          <cell r="J1151" t="str">
            <v>C.2.4.1.1</v>
          </cell>
          <cell r="K1151" t="str">
            <v>Cuidados Paliativos</v>
          </cell>
          <cell r="L1151">
            <v>1</v>
          </cell>
          <cell r="M1151">
            <v>46035</v>
          </cell>
          <cell r="N1151">
            <v>46036</v>
          </cell>
          <cell r="O1151">
            <v>1</v>
          </cell>
          <cell r="P1151">
            <v>46037</v>
          </cell>
          <cell r="Q1151">
            <v>1</v>
          </cell>
          <cell r="R1151" t="str">
            <v>NA</v>
          </cell>
          <cell r="S1151">
            <v>5</v>
          </cell>
        </row>
        <row r="1152">
          <cell r="B1152" t="str">
            <v>MNC</v>
          </cell>
          <cell r="C1152" t="str">
            <v>HSLB14698</v>
          </cell>
          <cell r="D1152">
            <v>204012</v>
          </cell>
          <cell r="E1152" t="str">
            <v>Silla Visita</v>
          </cell>
          <cell r="F1152" t="str">
            <v>NO</v>
          </cell>
          <cell r="G1152" t="str">
            <v>NO</v>
          </cell>
          <cell r="H1152" t="str">
            <v>OFICINA ENFERMERA</v>
          </cell>
          <cell r="I1152">
            <v>2</v>
          </cell>
          <cell r="J1152" t="str">
            <v>C.2.4.1.1</v>
          </cell>
          <cell r="K1152" t="str">
            <v>Cuidados Paliativos</v>
          </cell>
          <cell r="L1152">
            <v>1</v>
          </cell>
          <cell r="M1152">
            <v>46035</v>
          </cell>
          <cell r="N1152">
            <v>46036</v>
          </cell>
          <cell r="O1152">
            <v>1</v>
          </cell>
          <cell r="P1152">
            <v>46037</v>
          </cell>
          <cell r="Q1152">
            <v>1</v>
          </cell>
          <cell r="R1152" t="str">
            <v>NA</v>
          </cell>
          <cell r="S1152">
            <v>5</v>
          </cell>
        </row>
        <row r="1153">
          <cell r="B1153" t="str">
            <v>MNC</v>
          </cell>
          <cell r="C1153" t="str">
            <v>HSLB14252</v>
          </cell>
          <cell r="D1153">
            <v>204006</v>
          </cell>
          <cell r="E1153" t="str">
            <v>Silla Ergonómica</v>
          </cell>
          <cell r="F1153" t="str">
            <v>NO</v>
          </cell>
          <cell r="G1153" t="str">
            <v>NO</v>
          </cell>
          <cell r="H1153" t="str">
            <v>SALA MULTIPROPÓSITO</v>
          </cell>
          <cell r="I1153">
            <v>1</v>
          </cell>
          <cell r="J1153" t="str">
            <v>C.2.4.17</v>
          </cell>
          <cell r="K1153" t="str">
            <v>Cuidados Paliativos</v>
          </cell>
          <cell r="L1153">
            <v>1</v>
          </cell>
          <cell r="M1153">
            <v>46035</v>
          </cell>
          <cell r="N1153">
            <v>46036</v>
          </cell>
          <cell r="O1153">
            <v>1</v>
          </cell>
          <cell r="P1153">
            <v>46037</v>
          </cell>
          <cell r="Q1153">
            <v>1</v>
          </cell>
          <cell r="R1153" t="str">
            <v>NA</v>
          </cell>
          <cell r="S1153">
            <v>5</v>
          </cell>
        </row>
        <row r="1154">
          <cell r="B1154" t="str">
            <v>MNC</v>
          </cell>
          <cell r="C1154" t="str">
            <v>HSLB14699</v>
          </cell>
          <cell r="D1154">
            <v>204012</v>
          </cell>
          <cell r="E1154" t="str">
            <v>Silla Visita</v>
          </cell>
          <cell r="F1154" t="str">
            <v>NO</v>
          </cell>
          <cell r="G1154" t="str">
            <v>NO</v>
          </cell>
          <cell r="H1154" t="str">
            <v>SALA MULTIPROPÓSITO</v>
          </cell>
          <cell r="I1154">
            <v>6</v>
          </cell>
          <cell r="J1154" t="str">
            <v>C.2.4.17</v>
          </cell>
          <cell r="K1154" t="str">
            <v>Cuidados Paliativos</v>
          </cell>
          <cell r="L1154">
            <v>1</v>
          </cell>
          <cell r="M1154">
            <v>46035</v>
          </cell>
          <cell r="N1154">
            <v>46036</v>
          </cell>
          <cell r="O1154">
            <v>1</v>
          </cell>
          <cell r="P1154">
            <v>46037</v>
          </cell>
          <cell r="Q1154">
            <v>1</v>
          </cell>
          <cell r="R1154" t="str">
            <v>NA</v>
          </cell>
          <cell r="S1154">
            <v>5</v>
          </cell>
        </row>
        <row r="1155">
          <cell r="B1155" t="str">
            <v>MNC</v>
          </cell>
          <cell r="C1155" t="str">
            <v>HSLB14957</v>
          </cell>
          <cell r="D1155">
            <v>204013</v>
          </cell>
          <cell r="E1155" t="str">
            <v>Sillón 1 Cuerpo</v>
          </cell>
          <cell r="F1155" t="str">
            <v>NO</v>
          </cell>
          <cell r="G1155" t="str">
            <v>NO</v>
          </cell>
          <cell r="H1155" t="str">
            <v>SALA DE ESPERA</v>
          </cell>
          <cell r="I1155">
            <v>0</v>
          </cell>
          <cell r="J1155" t="str">
            <v>C.2.4.2</v>
          </cell>
          <cell r="K1155" t="str">
            <v>Cuidados Paliativos</v>
          </cell>
          <cell r="L1155">
            <v>1</v>
          </cell>
          <cell r="M1155">
            <v>46035</v>
          </cell>
          <cell r="N1155">
            <v>46036</v>
          </cell>
          <cell r="O1155">
            <v>1</v>
          </cell>
          <cell r="P1155">
            <v>46037</v>
          </cell>
          <cell r="Q1155">
            <v>1</v>
          </cell>
          <cell r="R1155" t="str">
            <v>NA</v>
          </cell>
          <cell r="S1155">
            <v>5</v>
          </cell>
        </row>
        <row r="1156">
          <cell r="B1156" t="str">
            <v>MNC</v>
          </cell>
          <cell r="C1156" t="str">
            <v>HSLB14980</v>
          </cell>
          <cell r="D1156">
            <v>204014</v>
          </cell>
          <cell r="E1156" t="str">
            <v>Sillón 2 Cuerpo</v>
          </cell>
          <cell r="F1156" t="str">
            <v>NO</v>
          </cell>
          <cell r="G1156" t="str">
            <v>NO</v>
          </cell>
          <cell r="H1156" t="str">
            <v>SALA DE ESPERA</v>
          </cell>
          <cell r="I1156">
            <v>2</v>
          </cell>
          <cell r="J1156" t="str">
            <v>C.2.4.2</v>
          </cell>
          <cell r="K1156" t="str">
            <v>Cuidados Paliativos</v>
          </cell>
          <cell r="L1156">
            <v>1</v>
          </cell>
          <cell r="M1156">
            <v>46035</v>
          </cell>
          <cell r="N1156">
            <v>46036</v>
          </cell>
          <cell r="O1156">
            <v>1</v>
          </cell>
          <cell r="P1156">
            <v>46037</v>
          </cell>
          <cell r="Q1156">
            <v>1</v>
          </cell>
          <cell r="R1156" t="str">
            <v>NA</v>
          </cell>
          <cell r="S1156">
            <v>5</v>
          </cell>
        </row>
        <row r="1157">
          <cell r="B1157" t="str">
            <v>MNC</v>
          </cell>
          <cell r="C1157" t="str">
            <v>HSLB14253</v>
          </cell>
          <cell r="D1157">
            <v>204006</v>
          </cell>
          <cell r="E1157" t="str">
            <v>Silla Ergonómica</v>
          </cell>
          <cell r="F1157" t="str">
            <v>NO</v>
          </cell>
          <cell r="G1157" t="str">
            <v>NO</v>
          </cell>
          <cell r="H1157" t="str">
            <v>MESÓN DE RECEPCIÓN C/ARCHIVO Y FOTOCOPIADORA</v>
          </cell>
          <cell r="I1157">
            <v>1</v>
          </cell>
          <cell r="J1157" t="str">
            <v>C.2.4.3</v>
          </cell>
          <cell r="K1157" t="str">
            <v>Cuidados Paliativos</v>
          </cell>
          <cell r="L1157">
            <v>1</v>
          </cell>
          <cell r="M1157">
            <v>46035</v>
          </cell>
          <cell r="N1157">
            <v>46036</v>
          </cell>
          <cell r="O1157">
            <v>1</v>
          </cell>
          <cell r="P1157">
            <v>46037</v>
          </cell>
          <cell r="Q1157">
            <v>1</v>
          </cell>
          <cell r="R1157" t="str">
            <v>NA</v>
          </cell>
          <cell r="S1157">
            <v>5</v>
          </cell>
        </row>
        <row r="1158">
          <cell r="B1158" t="str">
            <v>MNC</v>
          </cell>
          <cell r="C1158" t="str">
            <v>HSLB14254</v>
          </cell>
          <cell r="D1158">
            <v>204006</v>
          </cell>
          <cell r="E1158" t="str">
            <v>Silla Ergonómica</v>
          </cell>
          <cell r="F1158" t="str">
            <v>NO</v>
          </cell>
          <cell r="G1158" t="str">
            <v>NO</v>
          </cell>
          <cell r="H1158" t="str">
            <v>BOX MÉDICO</v>
          </cell>
          <cell r="I1158">
            <v>1</v>
          </cell>
          <cell r="J1158" t="str">
            <v>C.2.4.5</v>
          </cell>
          <cell r="K1158" t="str">
            <v>Cuidados Paliativos</v>
          </cell>
          <cell r="L1158">
            <v>1</v>
          </cell>
          <cell r="M1158">
            <v>46035</v>
          </cell>
          <cell r="N1158">
            <v>46036</v>
          </cell>
          <cell r="O1158">
            <v>1</v>
          </cell>
          <cell r="P1158">
            <v>46037</v>
          </cell>
          <cell r="Q1158">
            <v>1</v>
          </cell>
          <cell r="R1158" t="str">
            <v>NA</v>
          </cell>
          <cell r="S1158">
            <v>5</v>
          </cell>
        </row>
        <row r="1159">
          <cell r="B1159" t="str">
            <v>MNC</v>
          </cell>
          <cell r="C1159" t="str">
            <v>HSLB14700</v>
          </cell>
          <cell r="D1159">
            <v>204012</v>
          </cell>
          <cell r="E1159" t="str">
            <v>Silla Visita</v>
          </cell>
          <cell r="F1159" t="str">
            <v>NO</v>
          </cell>
          <cell r="G1159" t="str">
            <v>NO</v>
          </cell>
          <cell r="H1159" t="str">
            <v>BOX MÉDICO</v>
          </cell>
          <cell r="I1159">
            <v>2</v>
          </cell>
          <cell r="J1159" t="str">
            <v>C.2.4.5</v>
          </cell>
          <cell r="K1159" t="str">
            <v>Cuidados Paliativos</v>
          </cell>
          <cell r="L1159">
            <v>1</v>
          </cell>
          <cell r="M1159">
            <v>46035</v>
          </cell>
          <cell r="N1159">
            <v>46036</v>
          </cell>
          <cell r="O1159">
            <v>1</v>
          </cell>
          <cell r="P1159">
            <v>46037</v>
          </cell>
          <cell r="Q1159">
            <v>1</v>
          </cell>
          <cell r="R1159" t="str">
            <v>NA</v>
          </cell>
          <cell r="S1159">
            <v>5</v>
          </cell>
        </row>
        <row r="1160">
          <cell r="B1160" t="str">
            <v>MNC</v>
          </cell>
          <cell r="C1160" t="str">
            <v>HSLB14255</v>
          </cell>
          <cell r="D1160">
            <v>204006</v>
          </cell>
          <cell r="E1160" t="str">
            <v>Silla Ergonómica</v>
          </cell>
          <cell r="F1160" t="str">
            <v>NO</v>
          </cell>
          <cell r="G1160" t="str">
            <v>NO</v>
          </cell>
          <cell r="H1160" t="str">
            <v>BOX MULTIPROPÓSITO (1)</v>
          </cell>
          <cell r="I1160">
            <v>1</v>
          </cell>
          <cell r="J1160" t="str">
            <v>C.2.4.6.1</v>
          </cell>
          <cell r="K1160" t="str">
            <v>Cuidados Paliativos</v>
          </cell>
          <cell r="L1160">
            <v>1</v>
          </cell>
          <cell r="M1160">
            <v>46035</v>
          </cell>
          <cell r="N1160">
            <v>46036</v>
          </cell>
          <cell r="O1160">
            <v>1</v>
          </cell>
          <cell r="P1160">
            <v>46037</v>
          </cell>
          <cell r="Q1160">
            <v>1</v>
          </cell>
          <cell r="R1160" t="str">
            <v>NA</v>
          </cell>
          <cell r="S1160">
            <v>5</v>
          </cell>
        </row>
        <row r="1161">
          <cell r="B1161" t="str">
            <v>MNC</v>
          </cell>
          <cell r="C1161" t="str">
            <v>HSLB14701</v>
          </cell>
          <cell r="D1161">
            <v>204012</v>
          </cell>
          <cell r="E1161" t="str">
            <v>Silla Visita</v>
          </cell>
          <cell r="F1161" t="str">
            <v>NO</v>
          </cell>
          <cell r="G1161" t="str">
            <v>NO</v>
          </cell>
          <cell r="H1161" t="str">
            <v>BOX MULTIPROPÓSITO (1)</v>
          </cell>
          <cell r="I1161">
            <v>2</v>
          </cell>
          <cell r="J1161" t="str">
            <v>C.2.4.6.1</v>
          </cell>
          <cell r="K1161" t="str">
            <v>Cuidados Paliativos</v>
          </cell>
          <cell r="L1161">
            <v>1</v>
          </cell>
          <cell r="M1161">
            <v>46035</v>
          </cell>
          <cell r="N1161">
            <v>46036</v>
          </cell>
          <cell r="O1161">
            <v>1</v>
          </cell>
          <cell r="P1161">
            <v>46037</v>
          </cell>
          <cell r="Q1161">
            <v>1</v>
          </cell>
          <cell r="R1161" t="str">
            <v>NA</v>
          </cell>
          <cell r="S1161">
            <v>5</v>
          </cell>
        </row>
        <row r="1162">
          <cell r="B1162" t="str">
            <v>MNC</v>
          </cell>
          <cell r="C1162" t="str">
            <v>HSLB14958</v>
          </cell>
          <cell r="D1162">
            <v>204013</v>
          </cell>
          <cell r="E1162" t="str">
            <v>Sillón 1 Cuerpo</v>
          </cell>
          <cell r="F1162" t="str">
            <v>NO</v>
          </cell>
          <cell r="G1162" t="str">
            <v>NO</v>
          </cell>
          <cell r="H1162" t="str">
            <v>BOX MULTIPROPÓSITO (1)</v>
          </cell>
          <cell r="I1162">
            <v>1</v>
          </cell>
          <cell r="J1162" t="str">
            <v>C.2.4.6.1</v>
          </cell>
          <cell r="K1162" t="str">
            <v>Cuidados Paliativos</v>
          </cell>
          <cell r="L1162">
            <v>1</v>
          </cell>
          <cell r="M1162">
            <v>46035</v>
          </cell>
          <cell r="N1162">
            <v>46036</v>
          </cell>
          <cell r="O1162">
            <v>1</v>
          </cell>
          <cell r="P1162">
            <v>46037</v>
          </cell>
          <cell r="Q1162">
            <v>1</v>
          </cell>
          <cell r="R1162" t="str">
            <v>NA</v>
          </cell>
          <cell r="S1162">
            <v>5</v>
          </cell>
        </row>
        <row r="1163">
          <cell r="B1163" t="str">
            <v>MNC</v>
          </cell>
          <cell r="C1163" t="str">
            <v>HSLB14981</v>
          </cell>
          <cell r="D1163">
            <v>204014</v>
          </cell>
          <cell r="E1163" t="str">
            <v>Sillón 2 Cuerpo</v>
          </cell>
          <cell r="F1163" t="str">
            <v>NO</v>
          </cell>
          <cell r="G1163" t="str">
            <v>NO</v>
          </cell>
          <cell r="H1163" t="str">
            <v>BOX MULTIPROPÓSITO (1)</v>
          </cell>
          <cell r="I1163">
            <v>1</v>
          </cell>
          <cell r="J1163" t="str">
            <v>C.2.4.6.1</v>
          </cell>
          <cell r="K1163" t="str">
            <v>Cuidados Paliativos</v>
          </cell>
          <cell r="L1163">
            <v>1</v>
          </cell>
          <cell r="M1163">
            <v>46035</v>
          </cell>
          <cell r="N1163">
            <v>46036</v>
          </cell>
          <cell r="O1163">
            <v>1</v>
          </cell>
          <cell r="P1163">
            <v>46037</v>
          </cell>
          <cell r="Q1163">
            <v>1</v>
          </cell>
          <cell r="R1163" t="str">
            <v>NA</v>
          </cell>
          <cell r="S1163">
            <v>5</v>
          </cell>
        </row>
        <row r="1164">
          <cell r="B1164" t="str">
            <v>MNC</v>
          </cell>
          <cell r="C1164" t="str">
            <v>HSLB14256</v>
          </cell>
          <cell r="D1164">
            <v>204006</v>
          </cell>
          <cell r="E1164" t="str">
            <v>Silla Ergonómica</v>
          </cell>
          <cell r="F1164" t="str">
            <v>NO</v>
          </cell>
          <cell r="G1164" t="str">
            <v>NO</v>
          </cell>
          <cell r="H1164" t="str">
            <v>BOX MULTIPROPÓSITO (2)</v>
          </cell>
          <cell r="I1164">
            <v>1</v>
          </cell>
          <cell r="J1164" t="str">
            <v>C.2.4.6.2</v>
          </cell>
          <cell r="K1164" t="str">
            <v>Cuidados Paliativos</v>
          </cell>
          <cell r="L1164">
            <v>1</v>
          </cell>
          <cell r="M1164">
            <v>46035</v>
          </cell>
          <cell r="N1164">
            <v>46036</v>
          </cell>
          <cell r="O1164">
            <v>1</v>
          </cell>
          <cell r="P1164">
            <v>46037</v>
          </cell>
          <cell r="Q1164">
            <v>1</v>
          </cell>
          <cell r="R1164" t="str">
            <v>NA</v>
          </cell>
          <cell r="S1164">
            <v>5</v>
          </cell>
        </row>
        <row r="1165">
          <cell r="B1165" t="str">
            <v>MNC</v>
          </cell>
          <cell r="C1165" t="str">
            <v>HSLB14702</v>
          </cell>
          <cell r="D1165">
            <v>204012</v>
          </cell>
          <cell r="E1165" t="str">
            <v>Silla Visita</v>
          </cell>
          <cell r="F1165" t="str">
            <v>NO</v>
          </cell>
          <cell r="G1165" t="str">
            <v>NO</v>
          </cell>
          <cell r="H1165" t="str">
            <v>BOX MULTIPROPÓSITO (2)</v>
          </cell>
          <cell r="I1165">
            <v>2</v>
          </cell>
          <cell r="J1165" t="str">
            <v>C.2.4.6.2</v>
          </cell>
          <cell r="K1165" t="str">
            <v>Cuidados Paliativos</v>
          </cell>
          <cell r="L1165">
            <v>1</v>
          </cell>
          <cell r="M1165">
            <v>46035</v>
          </cell>
          <cell r="N1165">
            <v>46036</v>
          </cell>
          <cell r="O1165">
            <v>1</v>
          </cell>
          <cell r="P1165">
            <v>46037</v>
          </cell>
          <cell r="Q1165">
            <v>1</v>
          </cell>
          <cell r="R1165" t="str">
            <v>NA</v>
          </cell>
          <cell r="S1165">
            <v>5</v>
          </cell>
        </row>
        <row r="1166">
          <cell r="B1166" t="str">
            <v>MNC</v>
          </cell>
          <cell r="C1166" t="str">
            <v>HSLB14257</v>
          </cell>
          <cell r="D1166">
            <v>204006</v>
          </cell>
          <cell r="E1166" t="str">
            <v>Silla Ergonómica</v>
          </cell>
          <cell r="F1166" t="str">
            <v>NO</v>
          </cell>
          <cell r="G1166" t="str">
            <v>SI</v>
          </cell>
          <cell r="H1166" t="str">
            <v>SALA DE TRATAMIENTOS TRANSITORIOS</v>
          </cell>
          <cell r="I1166">
            <v>1</v>
          </cell>
          <cell r="J1166" t="str">
            <v>C.2.4.7</v>
          </cell>
          <cell r="K1166" t="str">
            <v>Cuidados Paliativos</v>
          </cell>
          <cell r="L1166">
            <v>1</v>
          </cell>
          <cell r="M1166">
            <v>46003</v>
          </cell>
          <cell r="N1166">
            <v>46006</v>
          </cell>
          <cell r="O1166">
            <v>1</v>
          </cell>
          <cell r="P1166">
            <v>46007</v>
          </cell>
          <cell r="Q1166">
            <v>1</v>
          </cell>
          <cell r="R1166" t="str">
            <v>NA</v>
          </cell>
          <cell r="S1166">
            <v>5</v>
          </cell>
        </row>
        <row r="1167">
          <cell r="B1167" t="str">
            <v>MNC</v>
          </cell>
          <cell r="C1167" t="str">
            <v>HSLB14258</v>
          </cell>
          <cell r="D1167">
            <v>204006</v>
          </cell>
          <cell r="E1167" t="str">
            <v>Silla Ergonómica</v>
          </cell>
          <cell r="F1167" t="str">
            <v>NO</v>
          </cell>
          <cell r="G1167" t="str">
            <v>NO</v>
          </cell>
          <cell r="H1167" t="str">
            <v>SALA DE PROCEDIMIENTOS</v>
          </cell>
          <cell r="I1167">
            <v>1</v>
          </cell>
          <cell r="J1167" t="str">
            <v>C.2.4.8</v>
          </cell>
          <cell r="K1167" t="str">
            <v>Cuidados Paliativos</v>
          </cell>
          <cell r="L1167">
            <v>1</v>
          </cell>
          <cell r="M1167">
            <v>46035</v>
          </cell>
          <cell r="N1167">
            <v>46036</v>
          </cell>
          <cell r="O1167">
            <v>1</v>
          </cell>
          <cell r="P1167">
            <v>46037</v>
          </cell>
          <cell r="Q1167">
            <v>1</v>
          </cell>
          <cell r="R1167" t="str">
            <v>NA</v>
          </cell>
          <cell r="S1167">
            <v>5</v>
          </cell>
        </row>
        <row r="1168">
          <cell r="B1168" t="str">
            <v>MNC</v>
          </cell>
          <cell r="C1168" t="str">
            <v>HSLB14280</v>
          </cell>
          <cell r="D1168">
            <v>204006</v>
          </cell>
          <cell r="E1168" t="str">
            <v>Silla Ergonómica</v>
          </cell>
          <cell r="F1168" t="str">
            <v>NO</v>
          </cell>
          <cell r="G1168" t="str">
            <v>NO</v>
          </cell>
          <cell r="H1168" t="str">
            <v>OFICINA JEFE UHCIP</v>
          </cell>
          <cell r="I1168">
            <v>1</v>
          </cell>
          <cell r="J1168" t="str">
            <v>C.2.5.3.1</v>
          </cell>
          <cell r="K1168" t="str">
            <v>UHCIP</v>
          </cell>
          <cell r="L1168">
            <v>1</v>
          </cell>
          <cell r="M1168">
            <v>46024</v>
          </cell>
          <cell r="N1168">
            <v>46027</v>
          </cell>
          <cell r="O1168">
            <v>1</v>
          </cell>
          <cell r="P1168">
            <v>46028</v>
          </cell>
          <cell r="Q1168">
            <v>1</v>
          </cell>
          <cell r="R1168" t="str">
            <v>NA</v>
          </cell>
          <cell r="S1168">
            <v>5</v>
          </cell>
        </row>
        <row r="1169">
          <cell r="B1169" t="str">
            <v>MNC</v>
          </cell>
          <cell r="C1169" t="str">
            <v>HSLB14723</v>
          </cell>
          <cell r="D1169">
            <v>204012</v>
          </cell>
          <cell r="E1169" t="str">
            <v>Silla Visita</v>
          </cell>
          <cell r="F1169" t="str">
            <v>NO</v>
          </cell>
          <cell r="G1169" t="str">
            <v>NO</v>
          </cell>
          <cell r="H1169" t="str">
            <v>OFICINA JEFE UHCIP</v>
          </cell>
          <cell r="I1169">
            <v>4</v>
          </cell>
          <cell r="J1169" t="str">
            <v>C.2.5.3.1</v>
          </cell>
          <cell r="K1169" t="str">
            <v>UHCIP</v>
          </cell>
          <cell r="L1169">
            <v>1</v>
          </cell>
          <cell r="M1169">
            <v>46024</v>
          </cell>
          <cell r="N1169">
            <v>46027</v>
          </cell>
          <cell r="O1169">
            <v>1</v>
          </cell>
          <cell r="P1169">
            <v>46028</v>
          </cell>
          <cell r="Q1169">
            <v>1</v>
          </cell>
          <cell r="R1169" t="str">
            <v>NA</v>
          </cell>
          <cell r="S1169">
            <v>5</v>
          </cell>
        </row>
        <row r="1170">
          <cell r="B1170" t="str">
            <v>MNC</v>
          </cell>
          <cell r="C1170" t="str">
            <v>HSLB14724</v>
          </cell>
          <cell r="D1170">
            <v>204012</v>
          </cell>
          <cell r="E1170" t="str">
            <v>Silla Visita</v>
          </cell>
          <cell r="F1170" t="str">
            <v>NO</v>
          </cell>
          <cell r="G1170" t="str">
            <v>NO</v>
          </cell>
          <cell r="H1170" t="str">
            <v>SALA DE ATENCIÓN</v>
          </cell>
          <cell r="I1170">
            <v>2</v>
          </cell>
          <cell r="J1170" t="str">
            <v>C.2.5.3.11.1</v>
          </cell>
          <cell r="K1170" t="str">
            <v>UHCIP</v>
          </cell>
          <cell r="L1170">
            <v>1</v>
          </cell>
          <cell r="M1170">
            <v>46024</v>
          </cell>
          <cell r="N1170">
            <v>46027</v>
          </cell>
          <cell r="O1170">
            <v>1</v>
          </cell>
          <cell r="P1170">
            <v>46028</v>
          </cell>
          <cell r="Q1170">
            <v>1</v>
          </cell>
          <cell r="R1170" t="str">
            <v>NA</v>
          </cell>
          <cell r="S1170">
            <v>5</v>
          </cell>
        </row>
        <row r="1171">
          <cell r="B1171" t="str">
            <v>MNC</v>
          </cell>
          <cell r="C1171" t="str">
            <v>HSLB14964</v>
          </cell>
          <cell r="D1171">
            <v>204013</v>
          </cell>
          <cell r="E1171" t="str">
            <v>Sillón 1 Cuerpo</v>
          </cell>
          <cell r="F1171" t="str">
            <v>NO</v>
          </cell>
          <cell r="G1171" t="str">
            <v>NO</v>
          </cell>
          <cell r="H1171" t="str">
            <v>SALA DE ATENCIÓN</v>
          </cell>
          <cell r="I1171">
            <v>2</v>
          </cell>
          <cell r="J1171" t="str">
            <v>C.2.5.3.11.1</v>
          </cell>
          <cell r="K1171" t="str">
            <v>UHCIP</v>
          </cell>
          <cell r="L1171">
            <v>1</v>
          </cell>
          <cell r="M1171">
            <v>46024</v>
          </cell>
          <cell r="N1171">
            <v>46027</v>
          </cell>
          <cell r="O1171">
            <v>1</v>
          </cell>
          <cell r="P1171">
            <v>46028</v>
          </cell>
          <cell r="Q1171">
            <v>1</v>
          </cell>
          <cell r="R1171" t="str">
            <v>NA</v>
          </cell>
          <cell r="S1171">
            <v>5</v>
          </cell>
        </row>
        <row r="1172">
          <cell r="B1172" t="str">
            <v>MNC</v>
          </cell>
          <cell r="C1172" t="str">
            <v>HSLB15262</v>
          </cell>
          <cell r="D1172">
            <v>204006</v>
          </cell>
          <cell r="E1172" t="str">
            <v>Silla Ergonómica</v>
          </cell>
          <cell r="F1172" t="str">
            <v>NO</v>
          </cell>
          <cell r="G1172" t="str">
            <v>NO</v>
          </cell>
          <cell r="H1172" t="str">
            <v>SALA DE ATENCIÓN</v>
          </cell>
          <cell r="I1172">
            <v>1</v>
          </cell>
          <cell r="J1172" t="str">
            <v>C.2.5.3.11.1</v>
          </cell>
          <cell r="K1172" t="str">
            <v>UHCIP</v>
          </cell>
          <cell r="L1172">
            <v>1</v>
          </cell>
          <cell r="M1172">
            <v>46024</v>
          </cell>
          <cell r="N1172">
            <v>46027</v>
          </cell>
          <cell r="O1172">
            <v>1</v>
          </cell>
          <cell r="P1172">
            <v>46028</v>
          </cell>
          <cell r="Q1172">
            <v>1</v>
          </cell>
          <cell r="R1172" t="str">
            <v>NA</v>
          </cell>
          <cell r="S1172">
            <v>5</v>
          </cell>
        </row>
        <row r="1173">
          <cell r="B1173" t="str">
            <v>MNC</v>
          </cell>
          <cell r="C1173" t="str">
            <v>HSLB14725</v>
          </cell>
          <cell r="D1173">
            <v>204012</v>
          </cell>
          <cell r="E1173" t="str">
            <v>Silla Visita</v>
          </cell>
          <cell r="F1173" t="str">
            <v>NO</v>
          </cell>
          <cell r="G1173" t="str">
            <v>NO</v>
          </cell>
          <cell r="H1173" t="str">
            <v>SALA DE ATENCIÓN</v>
          </cell>
          <cell r="I1173">
            <v>2</v>
          </cell>
          <cell r="J1173" t="str">
            <v>C.2.5.3.11.2</v>
          </cell>
          <cell r="K1173" t="str">
            <v>UHCIP</v>
          </cell>
          <cell r="L1173">
            <v>1</v>
          </cell>
          <cell r="M1173">
            <v>46024</v>
          </cell>
          <cell r="N1173">
            <v>46027</v>
          </cell>
          <cell r="O1173">
            <v>1</v>
          </cell>
          <cell r="P1173">
            <v>46028</v>
          </cell>
          <cell r="Q1173">
            <v>1</v>
          </cell>
          <cell r="R1173" t="str">
            <v>NA</v>
          </cell>
          <cell r="S1173">
            <v>5</v>
          </cell>
        </row>
        <row r="1174">
          <cell r="B1174" t="str">
            <v>MNC</v>
          </cell>
          <cell r="C1174" t="str">
            <v>HSLB14965</v>
          </cell>
          <cell r="D1174">
            <v>204013</v>
          </cell>
          <cell r="E1174" t="str">
            <v>Sillón 1 Cuerpo</v>
          </cell>
          <cell r="F1174" t="str">
            <v>NO</v>
          </cell>
          <cell r="G1174" t="str">
            <v>NO</v>
          </cell>
          <cell r="H1174" t="str">
            <v>SALA DE ATENCIÓN</v>
          </cell>
          <cell r="I1174">
            <v>2</v>
          </cell>
          <cell r="J1174" t="str">
            <v>C.2.5.3.11.2</v>
          </cell>
          <cell r="K1174" t="str">
            <v>UHCIP</v>
          </cell>
          <cell r="L1174">
            <v>1</v>
          </cell>
          <cell r="M1174">
            <v>46024</v>
          </cell>
          <cell r="N1174">
            <v>46027</v>
          </cell>
          <cell r="O1174">
            <v>1</v>
          </cell>
          <cell r="P1174">
            <v>46028</v>
          </cell>
          <cell r="Q1174">
            <v>1</v>
          </cell>
          <cell r="R1174" t="str">
            <v>NA</v>
          </cell>
          <cell r="S1174">
            <v>5</v>
          </cell>
        </row>
        <row r="1175">
          <cell r="B1175" t="str">
            <v>MNC</v>
          </cell>
          <cell r="C1175" t="str">
            <v>HSLB15263</v>
          </cell>
          <cell r="D1175">
            <v>204006</v>
          </cell>
          <cell r="E1175" t="str">
            <v>Silla Ergonómica</v>
          </cell>
          <cell r="F1175" t="str">
            <v>NO</v>
          </cell>
          <cell r="G1175" t="str">
            <v>NO</v>
          </cell>
          <cell r="H1175" t="str">
            <v>SALA DE ATENCIÓN</v>
          </cell>
          <cell r="I1175">
            <v>1</v>
          </cell>
          <cell r="J1175" t="str">
            <v>C.2.5.3.11.2</v>
          </cell>
          <cell r="K1175" t="str">
            <v>UHCIP</v>
          </cell>
          <cell r="L1175">
            <v>1</v>
          </cell>
          <cell r="M1175">
            <v>46024</v>
          </cell>
          <cell r="N1175">
            <v>46027</v>
          </cell>
          <cell r="O1175">
            <v>1</v>
          </cell>
          <cell r="P1175">
            <v>46028</v>
          </cell>
          <cell r="Q1175">
            <v>1</v>
          </cell>
          <cell r="R1175" t="str">
            <v>NA</v>
          </cell>
          <cell r="S1175">
            <v>5</v>
          </cell>
        </row>
        <row r="1176">
          <cell r="B1176" t="str">
            <v>MNC</v>
          </cell>
          <cell r="C1176" t="str">
            <v>HSLB14726</v>
          </cell>
          <cell r="D1176">
            <v>204012</v>
          </cell>
          <cell r="E1176" t="str">
            <v>Silla Visita</v>
          </cell>
          <cell r="F1176" t="str">
            <v>NO</v>
          </cell>
          <cell r="G1176" t="str">
            <v>NO</v>
          </cell>
          <cell r="H1176" t="str">
            <v>SALA DE ATENCIÓN</v>
          </cell>
          <cell r="I1176">
            <v>2</v>
          </cell>
          <cell r="J1176" t="str">
            <v>C.2.5.3.11.3</v>
          </cell>
          <cell r="K1176" t="str">
            <v>UHCIP</v>
          </cell>
          <cell r="L1176">
            <v>1</v>
          </cell>
          <cell r="M1176">
            <v>46024</v>
          </cell>
          <cell r="N1176">
            <v>46027</v>
          </cell>
          <cell r="O1176">
            <v>1</v>
          </cell>
          <cell r="P1176">
            <v>46028</v>
          </cell>
          <cell r="Q1176">
            <v>1</v>
          </cell>
          <cell r="R1176" t="str">
            <v>NA</v>
          </cell>
          <cell r="S1176">
            <v>5</v>
          </cell>
        </row>
        <row r="1177">
          <cell r="B1177" t="str">
            <v>MNC</v>
          </cell>
          <cell r="C1177" t="str">
            <v>HSLB14966</v>
          </cell>
          <cell r="D1177">
            <v>204013</v>
          </cell>
          <cell r="E1177" t="str">
            <v>Sillón 1 Cuerpo</v>
          </cell>
          <cell r="F1177" t="str">
            <v>NO</v>
          </cell>
          <cell r="G1177" t="str">
            <v>NO</v>
          </cell>
          <cell r="H1177" t="str">
            <v>SALA DE ATENCIÓN</v>
          </cell>
          <cell r="I1177">
            <v>2</v>
          </cell>
          <cell r="J1177" t="str">
            <v>C.2.5.3.11.3</v>
          </cell>
          <cell r="K1177" t="str">
            <v>UHCIP</v>
          </cell>
          <cell r="L1177">
            <v>1</v>
          </cell>
          <cell r="M1177">
            <v>46024</v>
          </cell>
          <cell r="N1177">
            <v>46027</v>
          </cell>
          <cell r="O1177">
            <v>1</v>
          </cell>
          <cell r="P1177">
            <v>46028</v>
          </cell>
          <cell r="Q1177">
            <v>1</v>
          </cell>
          <cell r="R1177" t="str">
            <v>NA</v>
          </cell>
          <cell r="S1177">
            <v>5</v>
          </cell>
        </row>
        <row r="1178">
          <cell r="B1178" t="str">
            <v>MNC</v>
          </cell>
          <cell r="C1178" t="str">
            <v>HSLB15264</v>
          </cell>
          <cell r="D1178">
            <v>204006</v>
          </cell>
          <cell r="E1178" t="str">
            <v>Silla Ergonómica</v>
          </cell>
          <cell r="F1178" t="str">
            <v>NO</v>
          </cell>
          <cell r="G1178" t="str">
            <v>NO</v>
          </cell>
          <cell r="H1178" t="str">
            <v>SALA DE ATENCIÓN</v>
          </cell>
          <cell r="I1178">
            <v>1</v>
          </cell>
          <cell r="J1178" t="str">
            <v>C.2.5.3.11.3</v>
          </cell>
          <cell r="K1178" t="str">
            <v>UHCIP</v>
          </cell>
          <cell r="L1178">
            <v>1</v>
          </cell>
          <cell r="M1178">
            <v>46024</v>
          </cell>
          <cell r="N1178">
            <v>46027</v>
          </cell>
          <cell r="O1178">
            <v>1</v>
          </cell>
          <cell r="P1178">
            <v>46028</v>
          </cell>
          <cell r="Q1178">
            <v>1</v>
          </cell>
          <cell r="R1178" t="str">
            <v>NA</v>
          </cell>
          <cell r="S1178">
            <v>5</v>
          </cell>
        </row>
        <row r="1179">
          <cell r="B1179" t="str">
            <v>MNC</v>
          </cell>
          <cell r="C1179" t="str">
            <v>HSLB14281</v>
          </cell>
          <cell r="D1179">
            <v>204006</v>
          </cell>
          <cell r="E1179" t="str">
            <v>Silla Ergonómica</v>
          </cell>
          <cell r="F1179" t="str">
            <v>NO</v>
          </cell>
          <cell r="G1179" t="str">
            <v>NO</v>
          </cell>
          <cell r="H1179" t="str">
            <v>BOX MULTIPROPÓSITO</v>
          </cell>
          <cell r="I1179">
            <v>1</v>
          </cell>
          <cell r="J1179" t="str">
            <v>C.2.5.3.12.1</v>
          </cell>
          <cell r="K1179" t="str">
            <v>UHCIP</v>
          </cell>
          <cell r="L1179">
            <v>1</v>
          </cell>
          <cell r="M1179">
            <v>46024</v>
          </cell>
          <cell r="N1179">
            <v>46027</v>
          </cell>
          <cell r="O1179">
            <v>1</v>
          </cell>
          <cell r="P1179">
            <v>46028</v>
          </cell>
          <cell r="Q1179">
            <v>1</v>
          </cell>
          <cell r="R1179" t="str">
            <v>NA</v>
          </cell>
          <cell r="S1179">
            <v>5</v>
          </cell>
        </row>
        <row r="1180">
          <cell r="B1180" t="str">
            <v>MNC</v>
          </cell>
          <cell r="C1180" t="str">
            <v>HSLB14727</v>
          </cell>
          <cell r="D1180">
            <v>204012</v>
          </cell>
          <cell r="E1180" t="str">
            <v>Silla Visita</v>
          </cell>
          <cell r="F1180" t="str">
            <v>NO</v>
          </cell>
          <cell r="G1180" t="str">
            <v>NO</v>
          </cell>
          <cell r="H1180" t="str">
            <v>BOX MULTIPROPÓSITO</v>
          </cell>
          <cell r="I1180">
            <v>2</v>
          </cell>
          <cell r="J1180" t="str">
            <v>C.2.5.3.12.1</v>
          </cell>
          <cell r="K1180" t="str">
            <v>UHCIP</v>
          </cell>
          <cell r="L1180">
            <v>1</v>
          </cell>
          <cell r="M1180">
            <v>46024</v>
          </cell>
          <cell r="N1180">
            <v>46027</v>
          </cell>
          <cell r="O1180">
            <v>1</v>
          </cell>
          <cell r="P1180">
            <v>46028</v>
          </cell>
          <cell r="Q1180">
            <v>1</v>
          </cell>
          <cell r="R1180" t="str">
            <v>NA</v>
          </cell>
          <cell r="S1180">
            <v>5</v>
          </cell>
        </row>
        <row r="1181">
          <cell r="B1181" t="str">
            <v>MNC</v>
          </cell>
          <cell r="C1181" t="str">
            <v>HSLB14282</v>
          </cell>
          <cell r="D1181">
            <v>204006</v>
          </cell>
          <cell r="E1181" t="str">
            <v>Silla Ergonómica</v>
          </cell>
          <cell r="F1181" t="str">
            <v>NO</v>
          </cell>
          <cell r="G1181" t="str">
            <v>NO</v>
          </cell>
          <cell r="H1181" t="str">
            <v>BOX MULTIPROPÓSITO</v>
          </cell>
          <cell r="I1181">
            <v>1</v>
          </cell>
          <cell r="J1181" t="str">
            <v>C.2.5.3.12.2</v>
          </cell>
          <cell r="K1181" t="str">
            <v>UHCIP</v>
          </cell>
          <cell r="L1181">
            <v>1</v>
          </cell>
          <cell r="M1181">
            <v>46024</v>
          </cell>
          <cell r="N1181">
            <v>46027</v>
          </cell>
          <cell r="O1181">
            <v>1</v>
          </cell>
          <cell r="P1181">
            <v>46028</v>
          </cell>
          <cell r="Q1181">
            <v>1</v>
          </cell>
          <cell r="R1181" t="str">
            <v>NA</v>
          </cell>
          <cell r="S1181">
            <v>5</v>
          </cell>
        </row>
        <row r="1182">
          <cell r="B1182" t="str">
            <v>MNC</v>
          </cell>
          <cell r="C1182" t="str">
            <v>HSLB14728</v>
          </cell>
          <cell r="D1182">
            <v>204012</v>
          </cell>
          <cell r="E1182" t="str">
            <v>Silla Visita</v>
          </cell>
          <cell r="F1182" t="str">
            <v>NO</v>
          </cell>
          <cell r="G1182" t="str">
            <v>NO</v>
          </cell>
          <cell r="H1182" t="str">
            <v>BOX MULTIPROPÓSITO</v>
          </cell>
          <cell r="I1182">
            <v>2</v>
          </cell>
          <cell r="J1182" t="str">
            <v>C.2.5.3.12.2</v>
          </cell>
          <cell r="K1182" t="str">
            <v>UHCIP</v>
          </cell>
          <cell r="L1182">
            <v>1</v>
          </cell>
          <cell r="M1182">
            <v>46024</v>
          </cell>
          <cell r="N1182">
            <v>46027</v>
          </cell>
          <cell r="O1182">
            <v>1</v>
          </cell>
          <cell r="P1182">
            <v>46028</v>
          </cell>
          <cell r="Q1182">
            <v>1</v>
          </cell>
          <cell r="R1182" t="str">
            <v>NA</v>
          </cell>
          <cell r="S1182">
            <v>5</v>
          </cell>
        </row>
        <row r="1183">
          <cell r="B1183" t="str">
            <v>MNC</v>
          </cell>
          <cell r="C1183" t="str">
            <v>HSLB14283</v>
          </cell>
          <cell r="D1183">
            <v>204006</v>
          </cell>
          <cell r="E1183" t="str">
            <v>Silla Ergonómica</v>
          </cell>
          <cell r="F1183" t="str">
            <v>NO</v>
          </cell>
          <cell r="G1183" t="str">
            <v>NO</v>
          </cell>
          <cell r="H1183" t="str">
            <v>SALA DE  ENTREVISTA PACIENTES</v>
          </cell>
          <cell r="I1183">
            <v>1</v>
          </cell>
          <cell r="J1183" t="str">
            <v>C.2.5.3.13</v>
          </cell>
          <cell r="K1183" t="str">
            <v>UHCIP</v>
          </cell>
          <cell r="L1183">
            <v>1</v>
          </cell>
          <cell r="M1183">
            <v>46024</v>
          </cell>
          <cell r="N1183">
            <v>46027</v>
          </cell>
          <cell r="O1183">
            <v>1</v>
          </cell>
          <cell r="P1183">
            <v>46028</v>
          </cell>
          <cell r="Q1183">
            <v>1</v>
          </cell>
          <cell r="R1183" t="str">
            <v>NA</v>
          </cell>
          <cell r="S1183">
            <v>5</v>
          </cell>
        </row>
        <row r="1184">
          <cell r="B1184" t="str">
            <v>MNC</v>
          </cell>
          <cell r="C1184" t="str">
            <v>HSLB14729</v>
          </cell>
          <cell r="D1184">
            <v>204012</v>
          </cell>
          <cell r="E1184" t="str">
            <v>Silla Visita</v>
          </cell>
          <cell r="F1184" t="str">
            <v>NO</v>
          </cell>
          <cell r="G1184" t="str">
            <v>NO</v>
          </cell>
          <cell r="H1184" t="str">
            <v>SALA DE  ENTREVISTA PACIENTES</v>
          </cell>
          <cell r="I1184">
            <v>4</v>
          </cell>
          <cell r="J1184" t="str">
            <v>C.2.5.3.13</v>
          </cell>
          <cell r="K1184" t="str">
            <v>UHCIP</v>
          </cell>
          <cell r="L1184">
            <v>1</v>
          </cell>
          <cell r="M1184">
            <v>46024</v>
          </cell>
          <cell r="N1184">
            <v>46027</v>
          </cell>
          <cell r="O1184">
            <v>1</v>
          </cell>
          <cell r="P1184">
            <v>46028</v>
          </cell>
          <cell r="Q1184">
            <v>1</v>
          </cell>
          <cell r="R1184" t="str">
            <v>NA</v>
          </cell>
          <cell r="S1184">
            <v>5</v>
          </cell>
        </row>
        <row r="1185">
          <cell r="B1185" t="str">
            <v>MNC</v>
          </cell>
          <cell r="C1185" t="str">
            <v>HSLB14285</v>
          </cell>
          <cell r="D1185">
            <v>204006</v>
          </cell>
          <cell r="E1185" t="str">
            <v>Silla Ergonómica</v>
          </cell>
          <cell r="F1185" t="str">
            <v>NO</v>
          </cell>
          <cell r="G1185" t="str">
            <v>NO</v>
          </cell>
          <cell r="H1185" t="str">
            <v>SALA ESTIMULACIÓN COGNITIVA</v>
          </cell>
          <cell r="I1185">
            <v>1</v>
          </cell>
          <cell r="J1185" t="str">
            <v>C.2.5.3.16</v>
          </cell>
          <cell r="K1185" t="str">
            <v>UHCIP</v>
          </cell>
          <cell r="L1185">
            <v>1</v>
          </cell>
          <cell r="M1185">
            <v>46024</v>
          </cell>
          <cell r="N1185">
            <v>46027</v>
          </cell>
          <cell r="O1185">
            <v>1</v>
          </cell>
          <cell r="P1185">
            <v>46028</v>
          </cell>
          <cell r="Q1185">
            <v>1</v>
          </cell>
          <cell r="R1185" t="str">
            <v>NA</v>
          </cell>
          <cell r="S1185">
            <v>5</v>
          </cell>
        </row>
        <row r="1186">
          <cell r="B1186" t="str">
            <v>MNC</v>
          </cell>
          <cell r="C1186" t="str">
            <v>HSLB14730</v>
          </cell>
          <cell r="D1186">
            <v>204012</v>
          </cell>
          <cell r="E1186" t="str">
            <v>Silla Visita</v>
          </cell>
          <cell r="F1186" t="str">
            <v>NO</v>
          </cell>
          <cell r="G1186" t="str">
            <v>NO</v>
          </cell>
          <cell r="H1186" t="str">
            <v>SALA ESTIMULACIÓN COGNITIVA</v>
          </cell>
          <cell r="I1186">
            <v>4</v>
          </cell>
          <cell r="J1186" t="str">
            <v>C.2.5.3.16</v>
          </cell>
          <cell r="K1186" t="str">
            <v>UHCIP</v>
          </cell>
          <cell r="L1186">
            <v>1</v>
          </cell>
          <cell r="M1186">
            <v>46024</v>
          </cell>
          <cell r="N1186">
            <v>46027</v>
          </cell>
          <cell r="O1186">
            <v>1</v>
          </cell>
          <cell r="P1186">
            <v>46028</v>
          </cell>
          <cell r="Q1186">
            <v>1</v>
          </cell>
          <cell r="R1186" t="str">
            <v>NA</v>
          </cell>
          <cell r="S1186">
            <v>5</v>
          </cell>
        </row>
        <row r="1187">
          <cell r="B1187" t="str">
            <v>MNC</v>
          </cell>
          <cell r="C1187" t="str">
            <v>HSLB14731</v>
          </cell>
          <cell r="D1187">
            <v>204012</v>
          </cell>
          <cell r="E1187" t="str">
            <v>Silla Visita</v>
          </cell>
          <cell r="F1187" t="str">
            <v>NO</v>
          </cell>
          <cell r="G1187" t="str">
            <v>SI</v>
          </cell>
          <cell r="H1187" t="str">
            <v>SALA MULTIUSO</v>
          </cell>
          <cell r="I1187">
            <v>10</v>
          </cell>
          <cell r="J1187" t="str">
            <v>C.2.5.3.17.1</v>
          </cell>
          <cell r="K1187" t="str">
            <v>UHCIP</v>
          </cell>
          <cell r="L1187">
            <v>1</v>
          </cell>
          <cell r="M1187">
            <v>46003</v>
          </cell>
          <cell r="N1187">
            <v>46006</v>
          </cell>
          <cell r="O1187">
            <v>1</v>
          </cell>
          <cell r="P1187">
            <v>46007</v>
          </cell>
          <cell r="Q1187">
            <v>1</v>
          </cell>
          <cell r="R1187" t="str">
            <v>NA</v>
          </cell>
          <cell r="S1187">
            <v>5</v>
          </cell>
        </row>
        <row r="1188">
          <cell r="B1188" t="str">
            <v>MNC</v>
          </cell>
          <cell r="C1188" t="str">
            <v>HSLB14732</v>
          </cell>
          <cell r="D1188">
            <v>204012</v>
          </cell>
          <cell r="E1188" t="str">
            <v>Silla Visita</v>
          </cell>
          <cell r="F1188" t="str">
            <v>NO</v>
          </cell>
          <cell r="G1188" t="str">
            <v>NO</v>
          </cell>
          <cell r="H1188" t="str">
            <v>SALA MULTIUSO</v>
          </cell>
          <cell r="I1188">
            <v>10</v>
          </cell>
          <cell r="J1188" t="str">
            <v>C.2.5.3.17.2</v>
          </cell>
          <cell r="K1188" t="str">
            <v>UHCIP</v>
          </cell>
          <cell r="L1188">
            <v>1</v>
          </cell>
          <cell r="M1188">
            <v>46024</v>
          </cell>
          <cell r="N1188">
            <v>46027</v>
          </cell>
          <cell r="O1188">
            <v>1</v>
          </cell>
          <cell r="P1188">
            <v>46028</v>
          </cell>
          <cell r="Q1188">
            <v>1</v>
          </cell>
          <cell r="R1188" t="str">
            <v>NA</v>
          </cell>
          <cell r="S1188">
            <v>5</v>
          </cell>
        </row>
        <row r="1189">
          <cell r="B1189" t="str">
            <v>MNC</v>
          </cell>
          <cell r="C1189" t="str">
            <v>HSLB14583</v>
          </cell>
          <cell r="D1189">
            <v>204010</v>
          </cell>
          <cell r="E1189" t="str">
            <v>Silla tipo Casino</v>
          </cell>
          <cell r="F1189" t="str">
            <v>NO</v>
          </cell>
          <cell r="G1189" t="str">
            <v>NO</v>
          </cell>
          <cell r="H1189" t="str">
            <v>SALA ESTAR COMEDOR</v>
          </cell>
          <cell r="I1189">
            <v>16</v>
          </cell>
          <cell r="J1189" t="str">
            <v>C.2.5.3.18</v>
          </cell>
          <cell r="K1189" t="str">
            <v>UHCIP</v>
          </cell>
          <cell r="L1189">
            <v>1</v>
          </cell>
          <cell r="M1189">
            <v>46024</v>
          </cell>
          <cell r="N1189">
            <v>46027</v>
          </cell>
          <cell r="O1189">
            <v>1</v>
          </cell>
          <cell r="P1189">
            <v>46028</v>
          </cell>
          <cell r="Q1189">
            <v>1</v>
          </cell>
          <cell r="R1189" t="str">
            <v>NA</v>
          </cell>
          <cell r="S1189">
            <v>5</v>
          </cell>
        </row>
        <row r="1190">
          <cell r="B1190" t="str">
            <v>MNC</v>
          </cell>
          <cell r="C1190" t="str">
            <v>HSLB14968</v>
          </cell>
          <cell r="D1190">
            <v>204013</v>
          </cell>
          <cell r="E1190" t="str">
            <v>Sillón 1 Cuerpo</v>
          </cell>
          <cell r="F1190" t="str">
            <v>NO</v>
          </cell>
          <cell r="G1190" t="str">
            <v>NO</v>
          </cell>
          <cell r="H1190" t="str">
            <v>SALA ESTAR COMEDOR</v>
          </cell>
          <cell r="I1190">
            <v>2</v>
          </cell>
          <cell r="J1190" t="str">
            <v>C.2.5.3.18</v>
          </cell>
          <cell r="K1190" t="str">
            <v>UHCIP</v>
          </cell>
          <cell r="L1190">
            <v>1</v>
          </cell>
          <cell r="M1190">
            <v>46024</v>
          </cell>
          <cell r="N1190">
            <v>46027</v>
          </cell>
          <cell r="O1190">
            <v>1</v>
          </cell>
          <cell r="P1190">
            <v>46028</v>
          </cell>
          <cell r="Q1190">
            <v>1</v>
          </cell>
          <cell r="R1190" t="str">
            <v>NA</v>
          </cell>
          <cell r="S1190">
            <v>5</v>
          </cell>
        </row>
        <row r="1191">
          <cell r="B1191" t="str">
            <v>MNC</v>
          </cell>
          <cell r="C1191" t="str">
            <v>HSLB14989</v>
          </cell>
          <cell r="D1191">
            <v>204014</v>
          </cell>
          <cell r="E1191" t="str">
            <v>Sillón 2 Cuerpo</v>
          </cell>
          <cell r="F1191" t="str">
            <v>NO</v>
          </cell>
          <cell r="G1191" t="str">
            <v>NO</v>
          </cell>
          <cell r="H1191" t="str">
            <v>SALA ESTAR COMEDOR</v>
          </cell>
          <cell r="I1191">
            <v>1</v>
          </cell>
          <cell r="J1191" t="str">
            <v>C.2.5.3.18</v>
          </cell>
          <cell r="K1191" t="str">
            <v>UHCIP</v>
          </cell>
          <cell r="L1191">
            <v>1</v>
          </cell>
          <cell r="M1191">
            <v>46024</v>
          </cell>
          <cell r="N1191">
            <v>46027</v>
          </cell>
          <cell r="O1191">
            <v>1</v>
          </cell>
          <cell r="P1191">
            <v>46028</v>
          </cell>
          <cell r="Q1191">
            <v>1</v>
          </cell>
          <cell r="R1191" t="str">
            <v>NA</v>
          </cell>
          <cell r="S1191">
            <v>5</v>
          </cell>
        </row>
        <row r="1192">
          <cell r="B1192" t="str">
            <v>MNC</v>
          </cell>
          <cell r="C1192" t="str">
            <v>HSLB15265</v>
          </cell>
          <cell r="D1192">
            <v>204010</v>
          </cell>
          <cell r="E1192" t="str">
            <v>Silla tipo Casino</v>
          </cell>
          <cell r="F1192" t="str">
            <v>NO</v>
          </cell>
          <cell r="G1192" t="str">
            <v>NO</v>
          </cell>
          <cell r="H1192" t="str">
            <v>ACTIVIDADES DE LA VIDA DIARIA C/KITCHENETTE</v>
          </cell>
          <cell r="I1192">
            <v>4</v>
          </cell>
          <cell r="J1192" t="str">
            <v>C.2.5.3.19</v>
          </cell>
          <cell r="K1192" t="str">
            <v>UHCIP</v>
          </cell>
          <cell r="L1192">
            <v>1</v>
          </cell>
          <cell r="M1192">
            <v>46024</v>
          </cell>
          <cell r="N1192">
            <v>46027</v>
          </cell>
          <cell r="O1192">
            <v>1</v>
          </cell>
          <cell r="P1192">
            <v>46028</v>
          </cell>
          <cell r="Q1192">
            <v>1</v>
          </cell>
          <cell r="R1192" t="str">
            <v>NA</v>
          </cell>
          <cell r="S1192">
            <v>5</v>
          </cell>
        </row>
        <row r="1193">
          <cell r="B1193" t="str">
            <v>MNC</v>
          </cell>
          <cell r="C1193" t="str">
            <v>HSLB14286</v>
          </cell>
          <cell r="D1193">
            <v>204006</v>
          </cell>
          <cell r="E1193" t="str">
            <v>Silla Ergonómica</v>
          </cell>
          <cell r="F1193" t="str">
            <v>NO</v>
          </cell>
          <cell r="G1193" t="str">
            <v>NO</v>
          </cell>
          <cell r="H1193" t="str">
            <v>OFICINA ENFERMERA COORDINADORA</v>
          </cell>
          <cell r="I1193">
            <v>1</v>
          </cell>
          <cell r="J1193" t="str">
            <v>C.2.5.3.2</v>
          </cell>
          <cell r="K1193" t="str">
            <v>UHCIP</v>
          </cell>
          <cell r="L1193">
            <v>1</v>
          </cell>
          <cell r="M1193">
            <v>46024</v>
          </cell>
          <cell r="N1193">
            <v>46027</v>
          </cell>
          <cell r="O1193">
            <v>1</v>
          </cell>
          <cell r="P1193">
            <v>46028</v>
          </cell>
          <cell r="Q1193">
            <v>1</v>
          </cell>
          <cell r="R1193" t="str">
            <v>NA</v>
          </cell>
          <cell r="S1193">
            <v>5</v>
          </cell>
        </row>
        <row r="1194">
          <cell r="B1194" t="str">
            <v>MNC</v>
          </cell>
          <cell r="C1194" t="str">
            <v>HSLB14733</v>
          </cell>
          <cell r="D1194">
            <v>204012</v>
          </cell>
          <cell r="E1194" t="str">
            <v>Silla Visita</v>
          </cell>
          <cell r="F1194" t="str">
            <v>NO</v>
          </cell>
          <cell r="G1194" t="str">
            <v>NO</v>
          </cell>
          <cell r="H1194" t="str">
            <v>OFICINA ENFERMERA COORDINADORA</v>
          </cell>
          <cell r="I1194">
            <v>2</v>
          </cell>
          <cell r="J1194" t="str">
            <v>C.2.5.3.2</v>
          </cell>
          <cell r="K1194" t="str">
            <v>UHCIP</v>
          </cell>
          <cell r="L1194">
            <v>1</v>
          </cell>
          <cell r="M1194">
            <v>46024</v>
          </cell>
          <cell r="N1194">
            <v>46027</v>
          </cell>
          <cell r="O1194">
            <v>1</v>
          </cell>
          <cell r="P1194">
            <v>46028</v>
          </cell>
          <cell r="Q1194">
            <v>1</v>
          </cell>
          <cell r="R1194" t="str">
            <v>NA</v>
          </cell>
          <cell r="S1194">
            <v>5</v>
          </cell>
        </row>
        <row r="1195">
          <cell r="B1195" t="str">
            <v>MNC</v>
          </cell>
          <cell r="C1195" t="str">
            <v>HSLB14734</v>
          </cell>
          <cell r="D1195">
            <v>204012</v>
          </cell>
          <cell r="E1195" t="str">
            <v>Silla Visita</v>
          </cell>
          <cell r="F1195" t="str">
            <v>NO</v>
          </cell>
          <cell r="G1195" t="str">
            <v>NO</v>
          </cell>
          <cell r="H1195" t="str">
            <v>TALLER COMPUTACIÓN</v>
          </cell>
          <cell r="I1195">
            <v>4</v>
          </cell>
          <cell r="J1195" t="str">
            <v>C.2.5.3.20</v>
          </cell>
          <cell r="K1195" t="str">
            <v>UHCIP</v>
          </cell>
          <cell r="L1195">
            <v>1</v>
          </cell>
          <cell r="M1195">
            <v>46024</v>
          </cell>
          <cell r="N1195">
            <v>46027</v>
          </cell>
          <cell r="O1195">
            <v>1</v>
          </cell>
          <cell r="P1195">
            <v>46028</v>
          </cell>
          <cell r="Q1195">
            <v>1</v>
          </cell>
          <cell r="R1195" t="str">
            <v>NA</v>
          </cell>
          <cell r="S1195">
            <v>5</v>
          </cell>
        </row>
        <row r="1196">
          <cell r="B1196" t="str">
            <v>MNC</v>
          </cell>
          <cell r="C1196" t="str">
            <v>HSLB14735</v>
          </cell>
          <cell r="D1196">
            <v>204012</v>
          </cell>
          <cell r="E1196" t="str">
            <v>Silla Visita</v>
          </cell>
          <cell r="F1196" t="str">
            <v>NO</v>
          </cell>
          <cell r="G1196" t="str">
            <v>NO</v>
          </cell>
          <cell r="H1196" t="str">
            <v>SALA TALLER</v>
          </cell>
          <cell r="I1196">
            <v>8</v>
          </cell>
          <cell r="J1196" t="str">
            <v>C.2.5.3.21</v>
          </cell>
          <cell r="K1196" t="str">
            <v>UHCIP</v>
          </cell>
          <cell r="L1196">
            <v>1</v>
          </cell>
          <cell r="M1196">
            <v>46024</v>
          </cell>
          <cell r="N1196">
            <v>46027</v>
          </cell>
          <cell r="O1196">
            <v>1</v>
          </cell>
          <cell r="P1196">
            <v>46028</v>
          </cell>
          <cell r="Q1196">
            <v>1</v>
          </cell>
          <cell r="R1196" t="str">
            <v>NA</v>
          </cell>
          <cell r="S1196">
            <v>5</v>
          </cell>
        </row>
        <row r="1197">
          <cell r="B1197" t="str">
            <v>MNC</v>
          </cell>
          <cell r="C1197" t="str">
            <v>HSLB14287</v>
          </cell>
          <cell r="D1197">
            <v>204006</v>
          </cell>
          <cell r="E1197" t="str">
            <v>Silla Ergonómica</v>
          </cell>
          <cell r="F1197" t="str">
            <v>NO</v>
          </cell>
          <cell r="G1197" t="str">
            <v>NO</v>
          </cell>
          <cell r="H1197" t="str">
            <v>ESTACIÓN DE ENFERMERÍA</v>
          </cell>
          <cell r="I1197">
            <v>4</v>
          </cell>
          <cell r="J1197" t="str">
            <v>C.2.5.3.24</v>
          </cell>
          <cell r="K1197" t="str">
            <v>UHCIP</v>
          </cell>
          <cell r="L1197">
            <v>1</v>
          </cell>
          <cell r="M1197">
            <v>46024</v>
          </cell>
          <cell r="N1197">
            <v>46027</v>
          </cell>
          <cell r="O1197">
            <v>1</v>
          </cell>
          <cell r="P1197">
            <v>46028</v>
          </cell>
          <cell r="Q1197">
            <v>1</v>
          </cell>
          <cell r="R1197" t="str">
            <v>NA</v>
          </cell>
          <cell r="S1197">
            <v>5</v>
          </cell>
        </row>
        <row r="1198">
          <cell r="B1198" t="str">
            <v>MNC</v>
          </cell>
          <cell r="C1198" t="str">
            <v>HSLB14288</v>
          </cell>
          <cell r="D1198">
            <v>204006</v>
          </cell>
          <cell r="E1198" t="str">
            <v>Silla Ergonómica</v>
          </cell>
          <cell r="F1198" t="str">
            <v>NO</v>
          </cell>
          <cell r="G1198" t="str">
            <v>NO</v>
          </cell>
          <cell r="H1198" t="str">
            <v>OF.ASISTENTE SOCIAL</v>
          </cell>
          <cell r="I1198">
            <v>1</v>
          </cell>
          <cell r="J1198" t="str">
            <v>C.2.5.3.3</v>
          </cell>
          <cell r="K1198" t="str">
            <v>UHCIP</v>
          </cell>
          <cell r="L1198">
            <v>1</v>
          </cell>
          <cell r="M1198">
            <v>46024</v>
          </cell>
          <cell r="N1198">
            <v>46027</v>
          </cell>
          <cell r="O1198">
            <v>1</v>
          </cell>
          <cell r="P1198">
            <v>46028</v>
          </cell>
          <cell r="Q1198">
            <v>1</v>
          </cell>
          <cell r="R1198" t="str">
            <v>NA</v>
          </cell>
          <cell r="S1198">
            <v>5</v>
          </cell>
        </row>
        <row r="1199">
          <cell r="B1199" t="str">
            <v>MNC</v>
          </cell>
          <cell r="C1199" t="str">
            <v>HSLB14736</v>
          </cell>
          <cell r="D1199">
            <v>204012</v>
          </cell>
          <cell r="E1199" t="str">
            <v>Silla Visita</v>
          </cell>
          <cell r="F1199" t="str">
            <v>NO</v>
          </cell>
          <cell r="G1199" t="str">
            <v>NO</v>
          </cell>
          <cell r="H1199" t="str">
            <v>OF.ASISTENTE SOCIAL</v>
          </cell>
          <cell r="I1199">
            <v>2</v>
          </cell>
          <cell r="J1199" t="str">
            <v>C.2.5.3.3</v>
          </cell>
          <cell r="K1199" t="str">
            <v>UHCIP</v>
          </cell>
          <cell r="L1199">
            <v>1</v>
          </cell>
          <cell r="M1199">
            <v>46024</v>
          </cell>
          <cell r="N1199">
            <v>46027</v>
          </cell>
          <cell r="O1199">
            <v>1</v>
          </cell>
          <cell r="P1199">
            <v>46028</v>
          </cell>
          <cell r="Q1199">
            <v>1</v>
          </cell>
          <cell r="R1199" t="str">
            <v>NA</v>
          </cell>
          <cell r="S1199">
            <v>5</v>
          </cell>
        </row>
        <row r="1200">
          <cell r="B1200" t="str">
            <v>MNC</v>
          </cell>
          <cell r="C1200" t="str">
            <v>HSLB15266</v>
          </cell>
          <cell r="D1200">
            <v>204012</v>
          </cell>
          <cell r="E1200" t="str">
            <v>Silla Visita</v>
          </cell>
          <cell r="F1200" t="str">
            <v>NO</v>
          </cell>
          <cell r="G1200" t="str">
            <v>NO</v>
          </cell>
          <cell r="H1200" t="str">
            <v>SALA DE PROCEDIMIENTO</v>
          </cell>
          <cell r="I1200">
            <v>1</v>
          </cell>
          <cell r="J1200" t="str">
            <v>C.2.5.3.33</v>
          </cell>
          <cell r="K1200" t="str">
            <v>UHCIP</v>
          </cell>
          <cell r="L1200">
            <v>1</v>
          </cell>
          <cell r="M1200">
            <v>46024</v>
          </cell>
          <cell r="N1200">
            <v>46027</v>
          </cell>
          <cell r="O1200">
            <v>1</v>
          </cell>
          <cell r="P1200">
            <v>46028</v>
          </cell>
          <cell r="Q1200">
            <v>1</v>
          </cell>
          <cell r="R1200" t="str">
            <v>NA</v>
          </cell>
          <cell r="S1200">
            <v>5</v>
          </cell>
        </row>
        <row r="1201">
          <cell r="B1201" t="str">
            <v>MNC</v>
          </cell>
          <cell r="C1201" t="str">
            <v>HSLB14737</v>
          </cell>
          <cell r="D1201">
            <v>204012</v>
          </cell>
          <cell r="E1201" t="str">
            <v>Silla Visita</v>
          </cell>
          <cell r="F1201" t="str">
            <v>NO</v>
          </cell>
          <cell r="G1201" t="str">
            <v>NO</v>
          </cell>
          <cell r="H1201" t="str">
            <v>SALA DE REUNIONES</v>
          </cell>
          <cell r="I1201">
            <v>8</v>
          </cell>
          <cell r="J1201" t="str">
            <v>C.2.5.3.4</v>
          </cell>
          <cell r="K1201" t="str">
            <v>UHCIP</v>
          </cell>
          <cell r="L1201">
            <v>1</v>
          </cell>
          <cell r="M1201">
            <v>46024</v>
          </cell>
          <cell r="N1201">
            <v>46027</v>
          </cell>
          <cell r="O1201">
            <v>1</v>
          </cell>
          <cell r="P1201">
            <v>46028</v>
          </cell>
          <cell r="Q1201">
            <v>1</v>
          </cell>
          <cell r="R1201" t="str">
            <v>NA</v>
          </cell>
          <cell r="S1201">
            <v>5</v>
          </cell>
        </row>
        <row r="1202">
          <cell r="B1202" t="str">
            <v>MNC</v>
          </cell>
          <cell r="C1202" t="str">
            <v>HSLB14584</v>
          </cell>
          <cell r="D1202">
            <v>204010</v>
          </cell>
          <cell r="E1202" t="str">
            <v>Silla tipo Casino</v>
          </cell>
          <cell r="F1202" t="str">
            <v>NO</v>
          </cell>
          <cell r="G1202" t="str">
            <v>NO</v>
          </cell>
          <cell r="H1202" t="str">
            <v>ESTAR PERSONAL C/ KITCHENETTE</v>
          </cell>
          <cell r="I1202">
            <v>4</v>
          </cell>
          <cell r="J1202" t="str">
            <v>C.2.5.3.43</v>
          </cell>
          <cell r="K1202" t="str">
            <v>UHCIP</v>
          </cell>
          <cell r="L1202">
            <v>1</v>
          </cell>
          <cell r="M1202">
            <v>46024</v>
          </cell>
          <cell r="N1202">
            <v>46027</v>
          </cell>
          <cell r="O1202">
            <v>1</v>
          </cell>
          <cell r="P1202">
            <v>46028</v>
          </cell>
          <cell r="Q1202">
            <v>1</v>
          </cell>
          <cell r="R1202" t="str">
            <v>NA</v>
          </cell>
          <cell r="S1202">
            <v>5</v>
          </cell>
        </row>
        <row r="1203">
          <cell r="B1203" t="str">
            <v>MNC</v>
          </cell>
          <cell r="C1203" t="str">
            <v>HSLB14990</v>
          </cell>
          <cell r="D1203">
            <v>204014</v>
          </cell>
          <cell r="E1203" t="str">
            <v>Sillón 2 Cuerpo</v>
          </cell>
          <cell r="F1203" t="str">
            <v>NO</v>
          </cell>
          <cell r="G1203" t="str">
            <v>NO</v>
          </cell>
          <cell r="H1203" t="str">
            <v>ESTAR PERSONAL C/ KITCHENETTE</v>
          </cell>
          <cell r="I1203">
            <v>1</v>
          </cell>
          <cell r="J1203" t="str">
            <v>C.2.5.3.43</v>
          </cell>
          <cell r="K1203" t="str">
            <v>UHCIP</v>
          </cell>
          <cell r="L1203">
            <v>1</v>
          </cell>
          <cell r="M1203">
            <v>46024</v>
          </cell>
          <cell r="N1203">
            <v>46027</v>
          </cell>
          <cell r="O1203">
            <v>1</v>
          </cell>
          <cell r="P1203">
            <v>46028</v>
          </cell>
          <cell r="Q1203">
            <v>1</v>
          </cell>
          <cell r="R1203" t="str">
            <v>NA</v>
          </cell>
          <cell r="S1203">
            <v>5</v>
          </cell>
        </row>
        <row r="1204">
          <cell r="B1204" t="str">
            <v>MNC</v>
          </cell>
          <cell r="C1204" t="str">
            <v>HSLB14289</v>
          </cell>
          <cell r="D1204">
            <v>204006</v>
          </cell>
          <cell r="E1204" t="str">
            <v>Silla Ergonómica</v>
          </cell>
          <cell r="F1204" t="str">
            <v>NO</v>
          </cell>
          <cell r="G1204" t="str">
            <v>NO</v>
          </cell>
          <cell r="H1204" t="str">
            <v>TRABAJO OTROS PROFESIONALES</v>
          </cell>
          <cell r="I1204">
            <v>2</v>
          </cell>
          <cell r="J1204" t="str">
            <v>C.2.5.3.5</v>
          </cell>
          <cell r="K1204" t="str">
            <v>UHCIP</v>
          </cell>
          <cell r="L1204">
            <v>1</v>
          </cell>
          <cell r="M1204">
            <v>46024</v>
          </cell>
          <cell r="N1204">
            <v>46027</v>
          </cell>
          <cell r="O1204">
            <v>1</v>
          </cell>
          <cell r="P1204">
            <v>46028</v>
          </cell>
          <cell r="Q1204">
            <v>1</v>
          </cell>
          <cell r="R1204" t="str">
            <v>NA</v>
          </cell>
          <cell r="S1204">
            <v>5</v>
          </cell>
        </row>
        <row r="1205">
          <cell r="B1205" t="str">
            <v>MNC</v>
          </cell>
          <cell r="C1205" t="str">
            <v>HSLB15268</v>
          </cell>
          <cell r="D1205">
            <v>204020</v>
          </cell>
          <cell r="E1205" t="str">
            <v>Silla Butaca Espera 3 Cuerpos</v>
          </cell>
          <cell r="F1205" t="str">
            <v>NO</v>
          </cell>
          <cell r="G1205" t="str">
            <v>NO</v>
          </cell>
          <cell r="H1205" t="str">
            <v>SALA DE ESPERA</v>
          </cell>
          <cell r="I1205">
            <v>4</v>
          </cell>
          <cell r="J1205" t="str">
            <v>C.2.5.3.6</v>
          </cell>
          <cell r="K1205" t="str">
            <v>UHCIP</v>
          </cell>
          <cell r="L1205">
            <v>1</v>
          </cell>
          <cell r="M1205">
            <v>46024</v>
          </cell>
          <cell r="N1205">
            <v>46027</v>
          </cell>
          <cell r="O1205">
            <v>1</v>
          </cell>
          <cell r="P1205">
            <v>46028</v>
          </cell>
          <cell r="Q1205">
            <v>1</v>
          </cell>
          <cell r="R1205" t="str">
            <v>NA</v>
          </cell>
          <cell r="S1205">
            <v>5</v>
          </cell>
        </row>
        <row r="1206">
          <cell r="B1206" t="str">
            <v>MNC</v>
          </cell>
          <cell r="C1206" t="str">
            <v>HSLB14290</v>
          </cell>
          <cell r="D1206">
            <v>204006</v>
          </cell>
          <cell r="E1206" t="str">
            <v>Silla Ergonómica</v>
          </cell>
          <cell r="F1206" t="str">
            <v>NO</v>
          </cell>
          <cell r="G1206" t="str">
            <v>NO</v>
          </cell>
          <cell r="H1206" t="str">
            <v>MESÓN DE RECEPCIÓN C/ARCHIVO Y FOTOCOPIADORA</v>
          </cell>
          <cell r="I1206">
            <v>1</v>
          </cell>
          <cell r="J1206" t="str">
            <v>C.2.5.3.7</v>
          </cell>
          <cell r="K1206" t="str">
            <v>UHCIP</v>
          </cell>
          <cell r="L1206">
            <v>1</v>
          </cell>
          <cell r="M1206">
            <v>46024</v>
          </cell>
          <cell r="N1206">
            <v>46027</v>
          </cell>
          <cell r="O1206">
            <v>1</v>
          </cell>
          <cell r="P1206">
            <v>46028</v>
          </cell>
          <cell r="Q1206">
            <v>1</v>
          </cell>
          <cell r="R1206" t="str">
            <v>NA</v>
          </cell>
          <cell r="S1206">
            <v>5</v>
          </cell>
        </row>
        <row r="1207">
          <cell r="B1207" t="str">
            <v>MNC</v>
          </cell>
          <cell r="C1207" t="str">
            <v>HSLB14585</v>
          </cell>
          <cell r="D1207">
            <v>204010</v>
          </cell>
          <cell r="E1207" t="str">
            <v>Silla tipo Casino</v>
          </cell>
          <cell r="F1207" t="str">
            <v>NO</v>
          </cell>
          <cell r="G1207" t="str">
            <v>NO</v>
          </cell>
          <cell r="H1207" t="str">
            <v>SALA DE ESTAR FAMILIARES</v>
          </cell>
          <cell r="I1207">
            <v>4</v>
          </cell>
          <cell r="J1207" t="str">
            <v>C.2.5.3.9</v>
          </cell>
          <cell r="K1207" t="str">
            <v>UHCIP</v>
          </cell>
          <cell r="L1207">
            <v>1</v>
          </cell>
          <cell r="M1207">
            <v>46024</v>
          </cell>
          <cell r="N1207">
            <v>46027</v>
          </cell>
          <cell r="O1207">
            <v>1</v>
          </cell>
          <cell r="P1207">
            <v>46028</v>
          </cell>
          <cell r="Q1207">
            <v>1</v>
          </cell>
          <cell r="R1207" t="str">
            <v>NA</v>
          </cell>
          <cell r="S1207">
            <v>5</v>
          </cell>
        </row>
        <row r="1208">
          <cell r="B1208" t="str">
            <v>MNC</v>
          </cell>
          <cell r="C1208" t="str">
            <v>HSLB14991</v>
          </cell>
          <cell r="D1208">
            <v>204014</v>
          </cell>
          <cell r="E1208" t="str">
            <v>Sillón 2 Cuerpo</v>
          </cell>
          <cell r="F1208" t="str">
            <v>NO</v>
          </cell>
          <cell r="G1208" t="str">
            <v>NO</v>
          </cell>
          <cell r="H1208" t="str">
            <v>SALA DE ESTAR FAMILIARES</v>
          </cell>
          <cell r="I1208">
            <v>1</v>
          </cell>
          <cell r="J1208" t="str">
            <v>C.2.5.3.9</v>
          </cell>
          <cell r="K1208" t="str">
            <v>UHCIP</v>
          </cell>
          <cell r="L1208">
            <v>1</v>
          </cell>
          <cell r="M1208">
            <v>46024</v>
          </cell>
          <cell r="N1208">
            <v>46027</v>
          </cell>
          <cell r="O1208">
            <v>1</v>
          </cell>
          <cell r="P1208">
            <v>46028</v>
          </cell>
          <cell r="Q1208">
            <v>1</v>
          </cell>
          <cell r="R1208" t="str">
            <v>NA</v>
          </cell>
          <cell r="S1208">
            <v>5</v>
          </cell>
        </row>
        <row r="1209">
          <cell r="B1209" t="str">
            <v>MNC</v>
          </cell>
          <cell r="C1209" t="str">
            <v>HSLB14301</v>
          </cell>
          <cell r="D1209">
            <v>204006</v>
          </cell>
          <cell r="E1209" t="str">
            <v>Silla Ergonómica</v>
          </cell>
          <cell r="F1209" t="str">
            <v>NO</v>
          </cell>
          <cell r="G1209" t="str">
            <v>NO</v>
          </cell>
          <cell r="H1209" t="str">
            <v>MÓDULO DE TRABAJO SOME ADMISIÓN</v>
          </cell>
          <cell r="I1209">
            <v>2</v>
          </cell>
          <cell r="J1209" t="str">
            <v>C.3.1.1</v>
          </cell>
          <cell r="K1209" t="str">
            <v>Consultas medicas generales</v>
          </cell>
          <cell r="L1209">
            <v>1</v>
          </cell>
          <cell r="M1209">
            <v>46028</v>
          </cell>
          <cell r="N1209">
            <v>46029</v>
          </cell>
          <cell r="O1209">
            <v>2</v>
          </cell>
          <cell r="P1209">
            <v>46031</v>
          </cell>
          <cell r="Q1209">
            <v>1</v>
          </cell>
          <cell r="R1209" t="str">
            <v>NA</v>
          </cell>
          <cell r="S1209">
            <v>5</v>
          </cell>
        </row>
        <row r="1210">
          <cell r="B1210" t="str">
            <v>MNC</v>
          </cell>
          <cell r="C1210" t="str">
            <v>HSLB14753</v>
          </cell>
          <cell r="D1210">
            <v>204012</v>
          </cell>
          <cell r="E1210" t="str">
            <v>Silla Visita</v>
          </cell>
          <cell r="F1210" t="str">
            <v>NO</v>
          </cell>
          <cell r="G1210" t="str">
            <v>NO</v>
          </cell>
          <cell r="H1210" t="str">
            <v>MÓDULO DE TRABAJO SOME ADMISIÓN</v>
          </cell>
          <cell r="I1210">
            <v>4</v>
          </cell>
          <cell r="J1210" t="str">
            <v>C.3.1.1</v>
          </cell>
          <cell r="K1210" t="str">
            <v>Consultas medicas generales</v>
          </cell>
          <cell r="L1210">
            <v>1</v>
          </cell>
          <cell r="M1210">
            <v>46028</v>
          </cell>
          <cell r="N1210">
            <v>46029</v>
          </cell>
          <cell r="O1210">
            <v>2</v>
          </cell>
          <cell r="P1210">
            <v>46031</v>
          </cell>
          <cell r="Q1210">
            <v>1</v>
          </cell>
          <cell r="R1210" t="str">
            <v>NA</v>
          </cell>
          <cell r="S1210">
            <v>5</v>
          </cell>
        </row>
        <row r="1211">
          <cell r="B1211" t="str">
            <v>MNC</v>
          </cell>
          <cell r="C1211" t="str">
            <v>HSLB14302</v>
          </cell>
          <cell r="D1211">
            <v>204006</v>
          </cell>
          <cell r="E1211" t="str">
            <v>Silla Ergonómica</v>
          </cell>
          <cell r="F1211" t="str">
            <v>NO</v>
          </cell>
          <cell r="G1211" t="str">
            <v>NO</v>
          </cell>
          <cell r="H1211" t="str">
            <v>MÓDULO DE TRABAJO SOME RECAUDACIÓN</v>
          </cell>
          <cell r="I1211">
            <v>1</v>
          </cell>
          <cell r="J1211" t="str">
            <v>C.3.1.2</v>
          </cell>
          <cell r="K1211" t="str">
            <v>Consultas medicas generales</v>
          </cell>
          <cell r="L1211">
            <v>1</v>
          </cell>
          <cell r="M1211">
            <v>46028</v>
          </cell>
          <cell r="N1211">
            <v>46029</v>
          </cell>
          <cell r="O1211">
            <v>2</v>
          </cell>
          <cell r="P1211">
            <v>46031</v>
          </cell>
          <cell r="Q1211">
            <v>1</v>
          </cell>
          <cell r="R1211" t="str">
            <v>NA</v>
          </cell>
          <cell r="S1211">
            <v>5</v>
          </cell>
        </row>
        <row r="1212">
          <cell r="B1212" t="str">
            <v>MNC</v>
          </cell>
          <cell r="C1212" t="str">
            <v>HSLB14303</v>
          </cell>
          <cell r="D1212">
            <v>204006</v>
          </cell>
          <cell r="E1212" t="str">
            <v>Silla Ergonómica</v>
          </cell>
          <cell r="F1212" t="str">
            <v>NO</v>
          </cell>
          <cell r="G1212" t="str">
            <v>NO</v>
          </cell>
          <cell r="H1212" t="str">
            <v>MÓDULO DE TRABAJO OIRS</v>
          </cell>
          <cell r="I1212">
            <v>1</v>
          </cell>
          <cell r="J1212" t="str">
            <v>C.3.1.3</v>
          </cell>
          <cell r="K1212" t="str">
            <v>Consultas medicas generales</v>
          </cell>
          <cell r="L1212">
            <v>1</v>
          </cell>
          <cell r="M1212">
            <v>46028</v>
          </cell>
          <cell r="N1212">
            <v>46029</v>
          </cell>
          <cell r="O1212">
            <v>2</v>
          </cell>
          <cell r="P1212">
            <v>46031</v>
          </cell>
          <cell r="Q1212">
            <v>1</v>
          </cell>
          <cell r="R1212" t="str">
            <v>NA</v>
          </cell>
          <cell r="S1212">
            <v>5</v>
          </cell>
        </row>
        <row r="1213">
          <cell r="B1213" t="str">
            <v>MNC</v>
          </cell>
          <cell r="C1213" t="str">
            <v>HSLB14754</v>
          </cell>
          <cell r="D1213">
            <v>204012</v>
          </cell>
          <cell r="E1213" t="str">
            <v>Silla Visita</v>
          </cell>
          <cell r="F1213" t="str">
            <v>NO</v>
          </cell>
          <cell r="G1213" t="str">
            <v>NO</v>
          </cell>
          <cell r="H1213" t="str">
            <v>MÓDULO DE TRABAJO OIRS</v>
          </cell>
          <cell r="I1213">
            <v>2</v>
          </cell>
          <cell r="J1213" t="str">
            <v>C.3.1.3</v>
          </cell>
          <cell r="K1213" t="str">
            <v>Consultas medicas generales</v>
          </cell>
          <cell r="L1213">
            <v>1</v>
          </cell>
          <cell r="M1213">
            <v>46028</v>
          </cell>
          <cell r="N1213">
            <v>46029</v>
          </cell>
          <cell r="O1213">
            <v>2</v>
          </cell>
          <cell r="P1213">
            <v>46031</v>
          </cell>
          <cell r="Q1213">
            <v>1</v>
          </cell>
          <cell r="R1213" t="str">
            <v>NA</v>
          </cell>
          <cell r="S1213">
            <v>5</v>
          </cell>
        </row>
        <row r="1214">
          <cell r="B1214" t="str">
            <v>MNC</v>
          </cell>
          <cell r="C1214" t="str">
            <v>HSLB15273</v>
          </cell>
          <cell r="D1214">
            <v>204020</v>
          </cell>
          <cell r="E1214" t="str">
            <v>Silla Butaca Espera 3 Cuerpos</v>
          </cell>
          <cell r="F1214" t="str">
            <v>NO</v>
          </cell>
          <cell r="G1214" t="str">
            <v>NO</v>
          </cell>
          <cell r="H1214" t="str">
            <v xml:space="preserve">SALA DE ESPERA </v>
          </cell>
          <cell r="I1214">
            <v>10</v>
          </cell>
          <cell r="J1214" t="str">
            <v>C.3.1.4</v>
          </cell>
          <cell r="K1214" t="str">
            <v>Consultas medicas generales</v>
          </cell>
          <cell r="L1214">
            <v>1</v>
          </cell>
          <cell r="M1214">
            <v>46028</v>
          </cell>
          <cell r="N1214">
            <v>46029</v>
          </cell>
          <cell r="O1214">
            <v>2</v>
          </cell>
          <cell r="P1214">
            <v>46031</v>
          </cell>
          <cell r="Q1214">
            <v>1</v>
          </cell>
          <cell r="R1214" t="str">
            <v>NA</v>
          </cell>
          <cell r="S1214">
            <v>5</v>
          </cell>
        </row>
        <row r="1215">
          <cell r="B1215" t="str">
            <v>MNC</v>
          </cell>
          <cell r="C1215" t="str">
            <v>HSLB15288</v>
          </cell>
          <cell r="D1215">
            <v>204002</v>
          </cell>
          <cell r="E1215" t="str">
            <v>Banca Madera</v>
          </cell>
          <cell r="F1215" t="str">
            <v>NO</v>
          </cell>
          <cell r="G1215" t="str">
            <v>NO</v>
          </cell>
          <cell r="H1215" t="str">
            <v>CASILLEROS</v>
          </cell>
          <cell r="I1215">
            <v>1</v>
          </cell>
          <cell r="J1215" t="str">
            <v>C.3.4.4.5</v>
          </cell>
          <cell r="K1215" t="str">
            <v>Administración y apoyo general</v>
          </cell>
          <cell r="L1215">
            <v>1</v>
          </cell>
          <cell r="M1215">
            <v>46035</v>
          </cell>
          <cell r="N1215">
            <v>46036</v>
          </cell>
          <cell r="O1215">
            <v>1</v>
          </cell>
          <cell r="P1215">
            <v>46037</v>
          </cell>
          <cell r="Q1215">
            <v>1</v>
          </cell>
          <cell r="R1215" t="str">
            <v>NA</v>
          </cell>
          <cell r="S1215">
            <v>5</v>
          </cell>
        </row>
        <row r="1216">
          <cell r="B1216" t="str">
            <v>MNC</v>
          </cell>
          <cell r="C1216" t="str">
            <v>HSLB15305</v>
          </cell>
          <cell r="D1216">
            <v>204020</v>
          </cell>
          <cell r="E1216" t="str">
            <v>Silla Butaca Espera 3 Cuerpos</v>
          </cell>
          <cell r="F1216" t="str">
            <v>NO</v>
          </cell>
          <cell r="G1216" t="str">
            <v>NO</v>
          </cell>
          <cell r="H1216" t="str">
            <v>SALA DE ESPERA</v>
          </cell>
          <cell r="I1216">
            <v>3</v>
          </cell>
          <cell r="J1216" t="str">
            <v>C.3.6.2.1</v>
          </cell>
          <cell r="K1216" t="str">
            <v>Urgencia</v>
          </cell>
          <cell r="L1216">
            <v>1</v>
          </cell>
          <cell r="M1216">
            <v>46006</v>
          </cell>
          <cell r="N1216">
            <v>46007</v>
          </cell>
          <cell r="O1216">
            <v>1</v>
          </cell>
          <cell r="P1216">
            <v>46008</v>
          </cell>
          <cell r="Q1216">
            <v>1</v>
          </cell>
          <cell r="R1216" t="str">
            <v>NA</v>
          </cell>
          <cell r="S1216">
            <v>5</v>
          </cell>
        </row>
        <row r="1217">
          <cell r="B1217" t="str">
            <v>MNC</v>
          </cell>
          <cell r="C1217" t="str">
            <v>HSLB14771</v>
          </cell>
          <cell r="D1217">
            <v>204012</v>
          </cell>
          <cell r="E1217" t="str">
            <v>Silla Visita</v>
          </cell>
          <cell r="F1217" t="str">
            <v>NO</v>
          </cell>
          <cell r="G1217" t="str">
            <v>NO</v>
          </cell>
          <cell r="H1217" t="str">
            <v>SALA DE OBSERVACIONES</v>
          </cell>
          <cell r="I1217">
            <v>2</v>
          </cell>
          <cell r="J1217" t="str">
            <v>C.3.6.2.10</v>
          </cell>
          <cell r="K1217" t="str">
            <v>Urgencia</v>
          </cell>
          <cell r="L1217">
            <v>1</v>
          </cell>
          <cell r="M1217">
            <v>46006</v>
          </cell>
          <cell r="N1217">
            <v>46007</v>
          </cell>
          <cell r="O1217">
            <v>1</v>
          </cell>
          <cell r="P1217">
            <v>46008</v>
          </cell>
          <cell r="Q1217">
            <v>1</v>
          </cell>
          <cell r="R1217" t="str">
            <v>NA</v>
          </cell>
          <cell r="S1217">
            <v>5</v>
          </cell>
        </row>
        <row r="1218">
          <cell r="B1218" t="str">
            <v>MNC</v>
          </cell>
          <cell r="C1218" t="str">
            <v>HSLB15306</v>
          </cell>
          <cell r="D1218">
            <v>204012</v>
          </cell>
          <cell r="E1218" t="str">
            <v>Silla Visita</v>
          </cell>
          <cell r="F1218" t="str">
            <v>NO</v>
          </cell>
          <cell r="G1218" t="str">
            <v>NO</v>
          </cell>
          <cell r="H1218" t="str">
            <v>BOX MONITOREO FETAL C / BAÑO</v>
          </cell>
          <cell r="I1218">
            <v>1</v>
          </cell>
          <cell r="J1218" t="str">
            <v>C.3.6.2.11</v>
          </cell>
          <cell r="K1218" t="str">
            <v>Urgencia</v>
          </cell>
          <cell r="L1218">
            <v>1</v>
          </cell>
          <cell r="M1218">
            <v>46006</v>
          </cell>
          <cell r="N1218">
            <v>46007</v>
          </cell>
          <cell r="O1218">
            <v>1</v>
          </cell>
          <cell r="P1218">
            <v>46008</v>
          </cell>
          <cell r="Q1218">
            <v>1</v>
          </cell>
          <cell r="R1218" t="str">
            <v>NA</v>
          </cell>
          <cell r="S1218">
            <v>5</v>
          </cell>
        </row>
        <row r="1219">
          <cell r="B1219" t="str">
            <v>MNC</v>
          </cell>
          <cell r="C1219" t="str">
            <v>HSLB15308</v>
          </cell>
          <cell r="D1219">
            <v>204012</v>
          </cell>
          <cell r="E1219" t="str">
            <v>Silla Visita</v>
          </cell>
          <cell r="F1219" t="str">
            <v>NO</v>
          </cell>
          <cell r="G1219" t="str">
            <v>NO</v>
          </cell>
          <cell r="H1219" t="str">
            <v>SALA DE PROCEDIMIENTOS</v>
          </cell>
          <cell r="I1219">
            <v>1</v>
          </cell>
          <cell r="J1219" t="str">
            <v>C.3.6.2.12</v>
          </cell>
          <cell r="K1219" t="str">
            <v>Urgencia</v>
          </cell>
          <cell r="L1219">
            <v>1</v>
          </cell>
          <cell r="M1219">
            <v>46006</v>
          </cell>
          <cell r="N1219">
            <v>46007</v>
          </cell>
          <cell r="O1219">
            <v>1</v>
          </cell>
          <cell r="P1219">
            <v>46008</v>
          </cell>
          <cell r="Q1219">
            <v>1</v>
          </cell>
          <cell r="R1219" t="str">
            <v>NA</v>
          </cell>
          <cell r="S1219">
            <v>5</v>
          </cell>
        </row>
        <row r="1220">
          <cell r="B1220" t="str">
            <v>MNC</v>
          </cell>
          <cell r="C1220" t="str">
            <v>HSLB14336</v>
          </cell>
          <cell r="D1220">
            <v>204006</v>
          </cell>
          <cell r="E1220" t="str">
            <v>Silla Ergonómica</v>
          </cell>
          <cell r="F1220" t="str">
            <v>NO</v>
          </cell>
          <cell r="G1220" t="str">
            <v>NO</v>
          </cell>
          <cell r="H1220" t="str">
            <v>SELECTOR DE DEMANDA GINECOLOGÍA</v>
          </cell>
          <cell r="I1220">
            <v>1</v>
          </cell>
          <cell r="J1220" t="str">
            <v>C.3.6.2.2</v>
          </cell>
          <cell r="K1220" t="str">
            <v>Urgencia</v>
          </cell>
          <cell r="L1220">
            <v>1</v>
          </cell>
          <cell r="M1220">
            <v>46006</v>
          </cell>
          <cell r="N1220">
            <v>46007</v>
          </cell>
          <cell r="O1220">
            <v>1</v>
          </cell>
          <cell r="P1220">
            <v>46008</v>
          </cell>
          <cell r="Q1220">
            <v>1</v>
          </cell>
          <cell r="R1220" t="str">
            <v>NA</v>
          </cell>
          <cell r="S1220">
            <v>5</v>
          </cell>
        </row>
        <row r="1221">
          <cell r="B1221" t="str">
            <v>MNC</v>
          </cell>
          <cell r="C1221" t="str">
            <v>HSLB14772</v>
          </cell>
          <cell r="D1221">
            <v>204012</v>
          </cell>
          <cell r="E1221" t="str">
            <v>Silla Visita</v>
          </cell>
          <cell r="F1221" t="str">
            <v>NO</v>
          </cell>
          <cell r="G1221" t="str">
            <v>NO</v>
          </cell>
          <cell r="H1221" t="str">
            <v>SELECTOR DE DEMANDA GINECOLOGÍA</v>
          </cell>
          <cell r="I1221">
            <v>2</v>
          </cell>
          <cell r="J1221" t="str">
            <v>C.3.6.2.2</v>
          </cell>
          <cell r="K1221" t="str">
            <v>Urgencia</v>
          </cell>
          <cell r="L1221">
            <v>1</v>
          </cell>
          <cell r="M1221">
            <v>46006</v>
          </cell>
          <cell r="N1221">
            <v>46007</v>
          </cell>
          <cell r="O1221">
            <v>1</v>
          </cell>
          <cell r="P1221">
            <v>46008</v>
          </cell>
          <cell r="Q1221">
            <v>1</v>
          </cell>
          <cell r="R1221" t="str">
            <v>NA</v>
          </cell>
          <cell r="S1221">
            <v>5</v>
          </cell>
        </row>
        <row r="1222">
          <cell r="B1222" t="str">
            <v>MNC</v>
          </cell>
          <cell r="C1222" t="str">
            <v>HSLB15310</v>
          </cell>
          <cell r="D1222">
            <v>204020</v>
          </cell>
          <cell r="E1222" t="str">
            <v>Silla Butaca Espera 3 Cuerpos</v>
          </cell>
          <cell r="F1222" t="str">
            <v>NO</v>
          </cell>
          <cell r="G1222" t="str">
            <v>NO</v>
          </cell>
          <cell r="H1222" t="str">
            <v>SALA DE ESPERA</v>
          </cell>
          <cell r="I1222">
            <v>3</v>
          </cell>
          <cell r="J1222" t="str">
            <v>C.3.6.2.3</v>
          </cell>
          <cell r="K1222" t="str">
            <v>Urgencia</v>
          </cell>
          <cell r="L1222">
            <v>1</v>
          </cell>
          <cell r="M1222">
            <v>46006</v>
          </cell>
          <cell r="N1222">
            <v>46007</v>
          </cell>
          <cell r="O1222">
            <v>1</v>
          </cell>
          <cell r="P1222">
            <v>46008</v>
          </cell>
          <cell r="Q1222">
            <v>1</v>
          </cell>
          <cell r="R1222" t="str">
            <v>NA</v>
          </cell>
          <cell r="S1222">
            <v>5</v>
          </cell>
        </row>
        <row r="1223">
          <cell r="B1223" t="str">
            <v>MNC</v>
          </cell>
          <cell r="C1223" t="str">
            <v>HSLB14337</v>
          </cell>
          <cell r="D1223">
            <v>204006</v>
          </cell>
          <cell r="E1223" t="str">
            <v>Silla Ergonómica</v>
          </cell>
          <cell r="F1223" t="str">
            <v>NO</v>
          </cell>
          <cell r="G1223" t="str">
            <v>NO</v>
          </cell>
          <cell r="H1223" t="str">
            <v>ESTACIÓN DE ENFERMERÍA</v>
          </cell>
          <cell r="I1223">
            <v>3</v>
          </cell>
          <cell r="J1223" t="str">
            <v>C.3.6.2.4</v>
          </cell>
          <cell r="K1223" t="str">
            <v>Urgencia</v>
          </cell>
          <cell r="L1223">
            <v>1</v>
          </cell>
          <cell r="M1223">
            <v>46006</v>
          </cell>
          <cell r="N1223">
            <v>46007</v>
          </cell>
          <cell r="O1223">
            <v>1</v>
          </cell>
          <cell r="P1223">
            <v>46008</v>
          </cell>
          <cell r="Q1223">
            <v>1</v>
          </cell>
          <cell r="R1223" t="str">
            <v>NA</v>
          </cell>
          <cell r="S1223">
            <v>5</v>
          </cell>
        </row>
        <row r="1224">
          <cell r="B1224" t="str">
            <v>MNC</v>
          </cell>
          <cell r="C1224" t="str">
            <v>HSLB14773</v>
          </cell>
          <cell r="D1224">
            <v>204012</v>
          </cell>
          <cell r="E1224" t="str">
            <v>Silla Visita</v>
          </cell>
          <cell r="F1224" t="str">
            <v>NO</v>
          </cell>
          <cell r="G1224" t="str">
            <v>NO</v>
          </cell>
          <cell r="H1224" t="str">
            <v>BOX ATENCIÓN MEDICO C/BAÑO Y ECO</v>
          </cell>
          <cell r="I1224">
            <v>2</v>
          </cell>
          <cell r="J1224" t="str">
            <v>C.3.6.2.8</v>
          </cell>
          <cell r="K1224" t="str">
            <v>Urgencia</v>
          </cell>
          <cell r="L1224">
            <v>1</v>
          </cell>
          <cell r="M1224">
            <v>46006</v>
          </cell>
          <cell r="N1224">
            <v>46007</v>
          </cell>
          <cell r="O1224">
            <v>1</v>
          </cell>
          <cell r="P1224">
            <v>46008</v>
          </cell>
          <cell r="Q1224">
            <v>1</v>
          </cell>
          <cell r="R1224" t="str">
            <v>NA</v>
          </cell>
          <cell r="S1224">
            <v>5</v>
          </cell>
        </row>
        <row r="1225">
          <cell r="B1225" t="str">
            <v>MNC</v>
          </cell>
          <cell r="C1225" t="str">
            <v>HSLB15311</v>
          </cell>
          <cell r="D1225">
            <v>204006</v>
          </cell>
          <cell r="E1225" t="str">
            <v>Silla Ergonómica</v>
          </cell>
          <cell r="F1225" t="str">
            <v>NO</v>
          </cell>
          <cell r="G1225" t="str">
            <v>NO</v>
          </cell>
          <cell r="H1225" t="str">
            <v>BOX ATENCIÓN MEDICO C/BAÑO Y ECO</v>
          </cell>
          <cell r="I1225">
            <v>1</v>
          </cell>
          <cell r="J1225" t="str">
            <v>C.3.6.2.8</v>
          </cell>
          <cell r="K1225" t="str">
            <v>Urgencia</v>
          </cell>
          <cell r="L1225">
            <v>1</v>
          </cell>
          <cell r="M1225">
            <v>46006</v>
          </cell>
          <cell r="N1225">
            <v>46007</v>
          </cell>
          <cell r="O1225">
            <v>1</v>
          </cell>
          <cell r="P1225">
            <v>46008</v>
          </cell>
          <cell r="Q1225">
            <v>1</v>
          </cell>
          <cell r="R1225" t="str">
            <v>NA</v>
          </cell>
          <cell r="S1225">
            <v>5</v>
          </cell>
        </row>
        <row r="1226">
          <cell r="B1226" t="str">
            <v>MNC</v>
          </cell>
          <cell r="C1226" t="str">
            <v>HSLB14561</v>
          </cell>
          <cell r="D1226">
            <v>204006</v>
          </cell>
          <cell r="E1226" t="str">
            <v>Silla Ergonómica</v>
          </cell>
          <cell r="F1226" t="str">
            <v>NO</v>
          </cell>
          <cell r="G1226" t="str">
            <v>NO</v>
          </cell>
          <cell r="H1226" t="str">
            <v>BOX MATRONA</v>
          </cell>
          <cell r="I1226">
            <v>1</v>
          </cell>
          <cell r="J1226" t="str">
            <v>C.3.6.2.8.1</v>
          </cell>
          <cell r="K1226" t="str">
            <v>Urgencia</v>
          </cell>
          <cell r="L1226">
            <v>1</v>
          </cell>
          <cell r="M1226">
            <v>46006</v>
          </cell>
          <cell r="N1226">
            <v>46007</v>
          </cell>
          <cell r="O1226">
            <v>1</v>
          </cell>
          <cell r="P1226">
            <v>46008</v>
          </cell>
          <cell r="Q1226">
            <v>1</v>
          </cell>
          <cell r="R1226" t="str">
            <v>NA</v>
          </cell>
          <cell r="S1226">
            <v>5</v>
          </cell>
        </row>
        <row r="1227">
          <cell r="B1227" t="str">
            <v>MNC</v>
          </cell>
          <cell r="C1227" t="str">
            <v>HSLB14953</v>
          </cell>
          <cell r="D1227">
            <v>204012</v>
          </cell>
          <cell r="E1227" t="str">
            <v>Silla Visita</v>
          </cell>
          <cell r="F1227" t="str">
            <v>NO</v>
          </cell>
          <cell r="G1227" t="str">
            <v>NO</v>
          </cell>
          <cell r="H1227" t="str">
            <v>BOX MATRONA</v>
          </cell>
          <cell r="I1227">
            <v>1</v>
          </cell>
          <cell r="J1227" t="str">
            <v>C.3.6.2.8.1</v>
          </cell>
          <cell r="K1227" t="str">
            <v>Urgencia</v>
          </cell>
          <cell r="L1227">
            <v>1</v>
          </cell>
          <cell r="M1227">
            <v>46006</v>
          </cell>
          <cell r="N1227">
            <v>46007</v>
          </cell>
          <cell r="O1227">
            <v>1</v>
          </cell>
          <cell r="P1227">
            <v>46008</v>
          </cell>
          <cell r="Q1227">
            <v>1</v>
          </cell>
          <cell r="R1227" t="str">
            <v>NA</v>
          </cell>
          <cell r="S1227">
            <v>5</v>
          </cell>
        </row>
        <row r="1228">
          <cell r="B1228" t="str">
            <v>MNC</v>
          </cell>
          <cell r="C1228" t="str">
            <v>HSLB15328</v>
          </cell>
          <cell r="D1228">
            <v>204012</v>
          </cell>
          <cell r="E1228" t="str">
            <v>Silla Visita</v>
          </cell>
          <cell r="F1228" t="str">
            <v>NO</v>
          </cell>
          <cell r="G1228" t="str">
            <v>SI</v>
          </cell>
          <cell r="H1228" t="str">
            <v>SALA DE ESPERA</v>
          </cell>
          <cell r="I1228">
            <v>3</v>
          </cell>
          <cell r="J1228" t="str">
            <v>C.4.1.1</v>
          </cell>
          <cell r="K1228" t="str">
            <v>Urgencia</v>
          </cell>
          <cell r="L1228">
            <v>1</v>
          </cell>
          <cell r="M1228">
            <v>46003</v>
          </cell>
          <cell r="N1228">
            <v>46006</v>
          </cell>
          <cell r="O1228">
            <v>1</v>
          </cell>
          <cell r="P1228">
            <v>46007</v>
          </cell>
          <cell r="Q1228">
            <v>1</v>
          </cell>
          <cell r="R1228" t="str">
            <v>NA</v>
          </cell>
          <cell r="S1228">
            <v>5</v>
          </cell>
        </row>
        <row r="1229">
          <cell r="B1229" t="str">
            <v>MNC</v>
          </cell>
          <cell r="C1229" t="str">
            <v>HSLB14350</v>
          </cell>
          <cell r="D1229">
            <v>204006</v>
          </cell>
          <cell r="E1229" t="str">
            <v>Silla Ergonómica</v>
          </cell>
          <cell r="F1229" t="str">
            <v>NO</v>
          </cell>
          <cell r="G1229" t="str">
            <v>NO</v>
          </cell>
          <cell r="H1229" t="str">
            <v>OF. JEFE CR AT. URGENCIA</v>
          </cell>
          <cell r="I1229">
            <v>1</v>
          </cell>
          <cell r="J1229" t="str">
            <v>C.4.1.2</v>
          </cell>
          <cell r="K1229" t="str">
            <v>Urgencia</v>
          </cell>
          <cell r="L1229">
            <v>1</v>
          </cell>
          <cell r="M1229">
            <v>46006</v>
          </cell>
          <cell r="N1229">
            <v>46007</v>
          </cell>
          <cell r="O1229">
            <v>1</v>
          </cell>
          <cell r="P1229">
            <v>46008</v>
          </cell>
          <cell r="Q1229">
            <v>1</v>
          </cell>
          <cell r="R1229" t="str">
            <v>NA</v>
          </cell>
          <cell r="S1229">
            <v>5</v>
          </cell>
        </row>
        <row r="1230">
          <cell r="B1230" t="str">
            <v>MNC</v>
          </cell>
          <cell r="C1230" t="str">
            <v>HSLB14783</v>
          </cell>
          <cell r="D1230">
            <v>204012</v>
          </cell>
          <cell r="E1230" t="str">
            <v>Silla Visita</v>
          </cell>
          <cell r="F1230" t="str">
            <v>NO</v>
          </cell>
          <cell r="G1230" t="str">
            <v>NO</v>
          </cell>
          <cell r="H1230" t="str">
            <v>OF. JEFE CR AT. URGENCIA</v>
          </cell>
          <cell r="I1230">
            <v>4</v>
          </cell>
          <cell r="J1230" t="str">
            <v>C.4.1.2</v>
          </cell>
          <cell r="K1230" t="str">
            <v>Urgencia</v>
          </cell>
          <cell r="L1230">
            <v>1</v>
          </cell>
          <cell r="M1230">
            <v>46006</v>
          </cell>
          <cell r="N1230">
            <v>46007</v>
          </cell>
          <cell r="O1230">
            <v>1</v>
          </cell>
          <cell r="P1230">
            <v>46008</v>
          </cell>
          <cell r="Q1230">
            <v>1</v>
          </cell>
          <cell r="R1230" t="str">
            <v>NA</v>
          </cell>
          <cell r="S1230">
            <v>5</v>
          </cell>
        </row>
        <row r="1231">
          <cell r="B1231" t="str">
            <v>MNC</v>
          </cell>
          <cell r="C1231" t="str">
            <v>HSLB14351</v>
          </cell>
          <cell r="D1231">
            <v>204006</v>
          </cell>
          <cell r="E1231" t="str">
            <v>Silla Ergonómica</v>
          </cell>
          <cell r="F1231" t="str">
            <v>NO</v>
          </cell>
          <cell r="G1231" t="str">
            <v>NO</v>
          </cell>
          <cell r="H1231" t="str">
            <v>COORDINADOR CR AT. URGENCIA</v>
          </cell>
          <cell r="I1231">
            <v>1</v>
          </cell>
          <cell r="J1231" t="str">
            <v>C.4.1.3</v>
          </cell>
          <cell r="K1231" t="str">
            <v>Urgencia</v>
          </cell>
          <cell r="L1231">
            <v>1</v>
          </cell>
          <cell r="M1231">
            <v>46006</v>
          </cell>
          <cell r="N1231">
            <v>46007</v>
          </cell>
          <cell r="O1231">
            <v>1</v>
          </cell>
          <cell r="P1231">
            <v>46008</v>
          </cell>
          <cell r="Q1231">
            <v>1</v>
          </cell>
          <cell r="R1231" t="str">
            <v>NA</v>
          </cell>
          <cell r="S1231">
            <v>5</v>
          </cell>
        </row>
        <row r="1232">
          <cell r="B1232" t="str">
            <v>MNC</v>
          </cell>
          <cell r="C1232" t="str">
            <v>HSLB14784</v>
          </cell>
          <cell r="D1232">
            <v>204012</v>
          </cell>
          <cell r="E1232" t="str">
            <v>Silla Visita</v>
          </cell>
          <cell r="F1232" t="str">
            <v>NO</v>
          </cell>
          <cell r="G1232" t="str">
            <v>NO</v>
          </cell>
          <cell r="H1232" t="str">
            <v>COORDINADOR CR AT. URGENCIA</v>
          </cell>
          <cell r="I1232">
            <v>2</v>
          </cell>
          <cell r="J1232" t="str">
            <v>C.4.1.3</v>
          </cell>
          <cell r="K1232" t="str">
            <v>Urgencia</v>
          </cell>
          <cell r="L1232">
            <v>1</v>
          </cell>
          <cell r="M1232">
            <v>46006</v>
          </cell>
          <cell r="N1232">
            <v>46007</v>
          </cell>
          <cell r="O1232">
            <v>1</v>
          </cell>
          <cell r="P1232">
            <v>46008</v>
          </cell>
          <cell r="Q1232">
            <v>1</v>
          </cell>
          <cell r="R1232" t="str">
            <v>NA</v>
          </cell>
          <cell r="S1232">
            <v>5</v>
          </cell>
        </row>
        <row r="1233">
          <cell r="B1233" t="str">
            <v>MNC</v>
          </cell>
          <cell r="C1233" t="str">
            <v>HSLB14352</v>
          </cell>
          <cell r="D1233">
            <v>204006</v>
          </cell>
          <cell r="E1233" t="str">
            <v>Silla Ergonómica</v>
          </cell>
          <cell r="F1233" t="str">
            <v>NO</v>
          </cell>
          <cell r="G1233" t="str">
            <v>NO</v>
          </cell>
          <cell r="H1233" t="str">
            <v>SECRETARIA C/ARCH. Y FOTO</v>
          </cell>
          <cell r="I1233">
            <v>1</v>
          </cell>
          <cell r="J1233" t="str">
            <v>C.4.1.5</v>
          </cell>
          <cell r="K1233" t="str">
            <v>Urgencia</v>
          </cell>
          <cell r="L1233">
            <v>1</v>
          </cell>
          <cell r="M1233">
            <v>46006</v>
          </cell>
          <cell r="N1233">
            <v>46007</v>
          </cell>
          <cell r="O1233">
            <v>1</v>
          </cell>
          <cell r="P1233">
            <v>46008</v>
          </cell>
          <cell r="Q1233">
            <v>1</v>
          </cell>
          <cell r="R1233" t="str">
            <v>NA</v>
          </cell>
          <cell r="S1233">
            <v>5</v>
          </cell>
        </row>
        <row r="1234">
          <cell r="B1234" t="str">
            <v>MNC</v>
          </cell>
          <cell r="C1234" t="str">
            <v>HSLB14785</v>
          </cell>
          <cell r="D1234">
            <v>204012</v>
          </cell>
          <cell r="E1234" t="str">
            <v>Silla Visita</v>
          </cell>
          <cell r="F1234" t="str">
            <v>NO</v>
          </cell>
          <cell r="G1234" t="str">
            <v>NO</v>
          </cell>
          <cell r="H1234" t="str">
            <v>SECRETARIA C/ARCH. Y FOTO</v>
          </cell>
          <cell r="I1234">
            <v>2</v>
          </cell>
          <cell r="J1234" t="str">
            <v>C.4.1.5</v>
          </cell>
          <cell r="K1234" t="str">
            <v>Urgencia</v>
          </cell>
          <cell r="L1234">
            <v>1</v>
          </cell>
          <cell r="M1234">
            <v>46006</v>
          </cell>
          <cell r="N1234">
            <v>46007</v>
          </cell>
          <cell r="O1234">
            <v>1</v>
          </cell>
          <cell r="P1234">
            <v>46008</v>
          </cell>
          <cell r="Q1234">
            <v>1</v>
          </cell>
          <cell r="R1234" t="str">
            <v>NA</v>
          </cell>
          <cell r="S1234">
            <v>5</v>
          </cell>
        </row>
        <row r="1235">
          <cell r="B1235" t="str">
            <v>MNC</v>
          </cell>
          <cell r="C1235" t="str">
            <v>HSLB15329</v>
          </cell>
          <cell r="D1235">
            <v>204020</v>
          </cell>
          <cell r="E1235" t="str">
            <v>Silla Butaca Espera 3 Cuerpos</v>
          </cell>
          <cell r="F1235" t="str">
            <v>NO</v>
          </cell>
          <cell r="G1235" t="str">
            <v>NO</v>
          </cell>
          <cell r="H1235" t="str">
            <v>SALA DE ESPERA (ADULTO)</v>
          </cell>
          <cell r="I1235">
            <v>9</v>
          </cell>
          <cell r="J1235" t="str">
            <v>C.4.2.1.1</v>
          </cell>
          <cell r="K1235" t="str">
            <v>Urgencia</v>
          </cell>
          <cell r="L1235">
            <v>1</v>
          </cell>
          <cell r="M1235">
            <v>46006</v>
          </cell>
          <cell r="N1235">
            <v>46007</v>
          </cell>
          <cell r="O1235">
            <v>1</v>
          </cell>
          <cell r="P1235">
            <v>46008</v>
          </cell>
          <cell r="Q1235">
            <v>1</v>
          </cell>
          <cell r="R1235" t="str">
            <v>NA</v>
          </cell>
          <cell r="S1235">
            <v>5</v>
          </cell>
        </row>
        <row r="1236">
          <cell r="B1236" t="str">
            <v>MNC</v>
          </cell>
          <cell r="C1236" t="str">
            <v>HSLB15330</v>
          </cell>
          <cell r="D1236">
            <v>204020</v>
          </cell>
          <cell r="E1236" t="str">
            <v>Silla Butaca Espera 3 Cuerpos</v>
          </cell>
          <cell r="F1236" t="str">
            <v>NO</v>
          </cell>
          <cell r="G1236" t="str">
            <v>NO</v>
          </cell>
          <cell r="H1236" t="str">
            <v>SALA DE ESPERA</v>
          </cell>
          <cell r="I1236">
            <v>5</v>
          </cell>
          <cell r="J1236" t="str">
            <v>C.4.2.1.2</v>
          </cell>
          <cell r="K1236" t="str">
            <v>Urgencia</v>
          </cell>
          <cell r="L1236">
            <v>1</v>
          </cell>
          <cell r="M1236">
            <v>46006</v>
          </cell>
          <cell r="N1236">
            <v>46007</v>
          </cell>
          <cell r="O1236">
            <v>1</v>
          </cell>
          <cell r="P1236">
            <v>46008</v>
          </cell>
          <cell r="Q1236">
            <v>1</v>
          </cell>
          <cell r="R1236" t="str">
            <v>NA</v>
          </cell>
          <cell r="S1236">
            <v>5</v>
          </cell>
        </row>
        <row r="1237">
          <cell r="B1237" t="str">
            <v>MNC</v>
          </cell>
          <cell r="C1237" t="str">
            <v>HSLB14353</v>
          </cell>
          <cell r="D1237">
            <v>204006</v>
          </cell>
          <cell r="E1237" t="str">
            <v>Silla Ergonómica</v>
          </cell>
          <cell r="F1237" t="str">
            <v>NO</v>
          </cell>
          <cell r="G1237" t="str">
            <v>NO</v>
          </cell>
          <cell r="H1237" t="str">
            <v>MODULO DE TRABAJO OIRS</v>
          </cell>
          <cell r="I1237">
            <v>2</v>
          </cell>
          <cell r="J1237" t="str">
            <v>C.4.2.2</v>
          </cell>
          <cell r="K1237" t="str">
            <v>Urgencia</v>
          </cell>
          <cell r="L1237">
            <v>1</v>
          </cell>
          <cell r="M1237">
            <v>46006</v>
          </cell>
          <cell r="N1237">
            <v>46007</v>
          </cell>
          <cell r="O1237">
            <v>1</v>
          </cell>
          <cell r="P1237">
            <v>46008</v>
          </cell>
          <cell r="Q1237">
            <v>1</v>
          </cell>
          <cell r="R1237" t="str">
            <v>NA</v>
          </cell>
          <cell r="S1237">
            <v>5</v>
          </cell>
        </row>
        <row r="1238">
          <cell r="B1238" t="str">
            <v>MNC</v>
          </cell>
          <cell r="C1238" t="str">
            <v>HSLB14786</v>
          </cell>
          <cell r="D1238">
            <v>204012</v>
          </cell>
          <cell r="E1238" t="str">
            <v>Silla Visita</v>
          </cell>
          <cell r="F1238" t="str">
            <v>NO</v>
          </cell>
          <cell r="G1238" t="str">
            <v>NO</v>
          </cell>
          <cell r="H1238" t="str">
            <v>MODULO DE TRABAJO OIRS</v>
          </cell>
          <cell r="I1238">
            <v>2</v>
          </cell>
          <cell r="J1238" t="str">
            <v>C.4.2.2</v>
          </cell>
          <cell r="K1238" t="str">
            <v>Urgencia</v>
          </cell>
          <cell r="L1238">
            <v>1</v>
          </cell>
          <cell r="M1238">
            <v>46006</v>
          </cell>
          <cell r="N1238">
            <v>46007</v>
          </cell>
          <cell r="O1238">
            <v>1</v>
          </cell>
          <cell r="P1238">
            <v>46008</v>
          </cell>
          <cell r="Q1238">
            <v>1</v>
          </cell>
          <cell r="R1238" t="str">
            <v>NA</v>
          </cell>
          <cell r="S1238">
            <v>5</v>
          </cell>
        </row>
        <row r="1239">
          <cell r="B1239" t="str">
            <v>MNC</v>
          </cell>
          <cell r="C1239" t="str">
            <v>HSLB14354</v>
          </cell>
          <cell r="D1239">
            <v>204006</v>
          </cell>
          <cell r="E1239" t="str">
            <v>Silla Ergonómica</v>
          </cell>
          <cell r="F1239" t="str">
            <v>NO</v>
          </cell>
          <cell r="G1239" t="str">
            <v>NO</v>
          </cell>
          <cell r="H1239" t="str">
            <v>SOME ADMISIÓN</v>
          </cell>
          <cell r="I1239">
            <v>2</v>
          </cell>
          <cell r="J1239" t="str">
            <v>C.4.2.3</v>
          </cell>
          <cell r="K1239" t="str">
            <v>Urgencia</v>
          </cell>
          <cell r="L1239">
            <v>1</v>
          </cell>
          <cell r="M1239">
            <v>46006</v>
          </cell>
          <cell r="N1239">
            <v>46007</v>
          </cell>
          <cell r="O1239">
            <v>1</v>
          </cell>
          <cell r="P1239">
            <v>46008</v>
          </cell>
          <cell r="Q1239">
            <v>1</v>
          </cell>
          <cell r="R1239" t="str">
            <v>NA</v>
          </cell>
          <cell r="S1239">
            <v>5</v>
          </cell>
        </row>
        <row r="1240">
          <cell r="B1240" t="str">
            <v>MNC</v>
          </cell>
          <cell r="C1240" t="str">
            <v>HSLB14787</v>
          </cell>
          <cell r="D1240">
            <v>204012</v>
          </cell>
          <cell r="E1240" t="str">
            <v>Silla Visita</v>
          </cell>
          <cell r="F1240" t="str">
            <v>NO</v>
          </cell>
          <cell r="G1240" t="str">
            <v>NO</v>
          </cell>
          <cell r="H1240" t="str">
            <v>SOME ADMISIÓN</v>
          </cell>
          <cell r="I1240">
            <v>2</v>
          </cell>
          <cell r="J1240" t="str">
            <v>C.4.2.3</v>
          </cell>
          <cell r="K1240" t="str">
            <v>Urgencia</v>
          </cell>
          <cell r="L1240">
            <v>1</v>
          </cell>
          <cell r="M1240">
            <v>46006</v>
          </cell>
          <cell r="N1240">
            <v>46007</v>
          </cell>
          <cell r="O1240">
            <v>1</v>
          </cell>
          <cell r="P1240">
            <v>46008</v>
          </cell>
          <cell r="Q1240">
            <v>1</v>
          </cell>
          <cell r="R1240" t="str">
            <v>NA</v>
          </cell>
          <cell r="S1240">
            <v>5</v>
          </cell>
        </row>
        <row r="1241">
          <cell r="B1241" t="str">
            <v>MNC</v>
          </cell>
          <cell r="C1241" t="str">
            <v>HSLB14355</v>
          </cell>
          <cell r="D1241">
            <v>204006</v>
          </cell>
          <cell r="E1241" t="str">
            <v>Silla Ergonómica</v>
          </cell>
          <cell r="F1241" t="str">
            <v>NO</v>
          </cell>
          <cell r="G1241" t="str">
            <v>NO</v>
          </cell>
          <cell r="H1241" t="str">
            <v>SOME RECAUDACIÓN</v>
          </cell>
          <cell r="I1241">
            <v>2</v>
          </cell>
          <cell r="J1241" t="str">
            <v>C.4.2.4</v>
          </cell>
          <cell r="K1241" t="str">
            <v>Urgencia</v>
          </cell>
          <cell r="L1241">
            <v>1</v>
          </cell>
          <cell r="M1241">
            <v>46006</v>
          </cell>
          <cell r="N1241">
            <v>46007</v>
          </cell>
          <cell r="O1241">
            <v>1</v>
          </cell>
          <cell r="P1241">
            <v>46008</v>
          </cell>
          <cell r="Q1241">
            <v>1</v>
          </cell>
          <cell r="R1241" t="str">
            <v>NA</v>
          </cell>
          <cell r="S1241">
            <v>5</v>
          </cell>
        </row>
        <row r="1242">
          <cell r="B1242" t="str">
            <v>MNC</v>
          </cell>
          <cell r="C1242" t="str">
            <v>HSLB14788</v>
          </cell>
          <cell r="D1242">
            <v>204012</v>
          </cell>
          <cell r="E1242" t="str">
            <v>Silla Visita</v>
          </cell>
          <cell r="F1242" t="str">
            <v>NO</v>
          </cell>
          <cell r="G1242" t="str">
            <v>NO</v>
          </cell>
          <cell r="H1242" t="str">
            <v>SOME RECAUDACIÓN</v>
          </cell>
          <cell r="I1242">
            <v>2</v>
          </cell>
          <cell r="J1242" t="str">
            <v>C.4.2.4</v>
          </cell>
          <cell r="K1242" t="str">
            <v>Urgencia</v>
          </cell>
          <cell r="L1242">
            <v>1</v>
          </cell>
          <cell r="M1242">
            <v>46006</v>
          </cell>
          <cell r="N1242">
            <v>46007</v>
          </cell>
          <cell r="O1242">
            <v>1</v>
          </cell>
          <cell r="P1242">
            <v>46008</v>
          </cell>
          <cell r="Q1242">
            <v>1</v>
          </cell>
          <cell r="R1242" t="str">
            <v>NA</v>
          </cell>
          <cell r="S1242">
            <v>5</v>
          </cell>
        </row>
        <row r="1243">
          <cell r="B1243" t="str">
            <v>MNC</v>
          </cell>
          <cell r="C1243" t="str">
            <v>HSLB14356</v>
          </cell>
          <cell r="D1243">
            <v>204006</v>
          </cell>
          <cell r="E1243" t="str">
            <v>Silla Ergonómica</v>
          </cell>
          <cell r="F1243" t="str">
            <v>NO</v>
          </cell>
          <cell r="G1243" t="str">
            <v>NO</v>
          </cell>
          <cell r="H1243" t="str">
            <v>SALA CARABINERO C/BAÑO</v>
          </cell>
          <cell r="I1243">
            <v>1</v>
          </cell>
          <cell r="J1243" t="str">
            <v>C.4.2.5</v>
          </cell>
          <cell r="K1243" t="str">
            <v>Urgencia</v>
          </cell>
          <cell r="L1243">
            <v>1</v>
          </cell>
          <cell r="M1243">
            <v>46006</v>
          </cell>
          <cell r="N1243">
            <v>46007</v>
          </cell>
          <cell r="O1243">
            <v>1</v>
          </cell>
          <cell r="P1243">
            <v>46008</v>
          </cell>
          <cell r="Q1243">
            <v>1</v>
          </cell>
          <cell r="R1243" t="str">
            <v>NA</v>
          </cell>
          <cell r="S1243">
            <v>5</v>
          </cell>
        </row>
        <row r="1244">
          <cell r="B1244" t="str">
            <v>MNC</v>
          </cell>
          <cell r="C1244" t="str">
            <v>HSLB14789</v>
          </cell>
          <cell r="D1244">
            <v>204012</v>
          </cell>
          <cell r="E1244" t="str">
            <v>Silla Visita</v>
          </cell>
          <cell r="F1244" t="str">
            <v>NO</v>
          </cell>
          <cell r="G1244" t="str">
            <v>NO</v>
          </cell>
          <cell r="H1244" t="str">
            <v>SALA CARABINERO C/BAÑO</v>
          </cell>
          <cell r="I1244">
            <v>2</v>
          </cell>
          <cell r="J1244" t="str">
            <v>C.4.2.5</v>
          </cell>
          <cell r="K1244" t="str">
            <v>Urgencia</v>
          </cell>
          <cell r="L1244">
            <v>1</v>
          </cell>
          <cell r="M1244">
            <v>46006</v>
          </cell>
          <cell r="N1244">
            <v>46007</v>
          </cell>
          <cell r="O1244">
            <v>1</v>
          </cell>
          <cell r="P1244">
            <v>46008</v>
          </cell>
          <cell r="Q1244">
            <v>1</v>
          </cell>
          <cell r="R1244" t="str">
            <v>NA</v>
          </cell>
          <cell r="S1244">
            <v>5</v>
          </cell>
        </row>
        <row r="1245">
          <cell r="B1245" t="str">
            <v>MNC</v>
          </cell>
          <cell r="C1245" t="str">
            <v>HSLB14357</v>
          </cell>
          <cell r="D1245">
            <v>204006</v>
          </cell>
          <cell r="E1245" t="str">
            <v>Silla Ergonómica</v>
          </cell>
          <cell r="F1245" t="str">
            <v>NO</v>
          </cell>
          <cell r="G1245" t="str">
            <v>NO</v>
          </cell>
          <cell r="H1245" t="str">
            <v>SALA (FAST TRACK) MULTIPROPÓSITO</v>
          </cell>
          <cell r="I1245">
            <v>1</v>
          </cell>
          <cell r="J1245" t="str">
            <v>C.4.2.6</v>
          </cell>
          <cell r="K1245" t="str">
            <v>Urgencia</v>
          </cell>
          <cell r="L1245">
            <v>1</v>
          </cell>
          <cell r="M1245">
            <v>46006</v>
          </cell>
          <cell r="N1245">
            <v>46007</v>
          </cell>
          <cell r="O1245">
            <v>1</v>
          </cell>
          <cell r="P1245">
            <v>46008</v>
          </cell>
          <cell r="Q1245">
            <v>1</v>
          </cell>
          <cell r="R1245" t="str">
            <v>NA</v>
          </cell>
          <cell r="S1245">
            <v>5</v>
          </cell>
        </row>
        <row r="1246">
          <cell r="B1246" t="str">
            <v>MNC</v>
          </cell>
          <cell r="C1246" t="str">
            <v>HSLB14790</v>
          </cell>
          <cell r="D1246">
            <v>204012</v>
          </cell>
          <cell r="E1246" t="str">
            <v>Silla Visita</v>
          </cell>
          <cell r="F1246" t="str">
            <v>NO</v>
          </cell>
          <cell r="G1246" t="str">
            <v>NO</v>
          </cell>
          <cell r="H1246" t="str">
            <v>SALA (FAST TRACK) MULTIPROPÓSITO</v>
          </cell>
          <cell r="I1246">
            <v>2</v>
          </cell>
          <cell r="J1246" t="str">
            <v>C.4.2.6</v>
          </cell>
          <cell r="K1246" t="str">
            <v>Urgencia</v>
          </cell>
          <cell r="L1246">
            <v>1</v>
          </cell>
          <cell r="M1246">
            <v>46006</v>
          </cell>
          <cell r="N1246">
            <v>46007</v>
          </cell>
          <cell r="O1246">
            <v>1</v>
          </cell>
          <cell r="P1246">
            <v>46008</v>
          </cell>
          <cell r="Q1246">
            <v>1</v>
          </cell>
          <cell r="R1246" t="str">
            <v>NA</v>
          </cell>
          <cell r="S1246">
            <v>5</v>
          </cell>
        </row>
        <row r="1247">
          <cell r="B1247" t="str">
            <v>MNC</v>
          </cell>
          <cell r="C1247" t="str">
            <v>HSLB14791</v>
          </cell>
          <cell r="D1247">
            <v>204012</v>
          </cell>
          <cell r="E1247" t="str">
            <v>Silla Visita</v>
          </cell>
          <cell r="F1247" t="str">
            <v>NO</v>
          </cell>
          <cell r="G1247" t="str">
            <v>NO</v>
          </cell>
          <cell r="H1247" t="str">
            <v>SALA ENTREVISTA FAMILIARES PACIENTES</v>
          </cell>
          <cell r="I1247">
            <v>4</v>
          </cell>
          <cell r="J1247" t="str">
            <v>C.4.2.7</v>
          </cell>
          <cell r="K1247" t="str">
            <v>Urgencia</v>
          </cell>
          <cell r="L1247">
            <v>1</v>
          </cell>
          <cell r="M1247">
            <v>46006</v>
          </cell>
          <cell r="N1247">
            <v>46007</v>
          </cell>
          <cell r="O1247">
            <v>1</v>
          </cell>
          <cell r="P1247">
            <v>46008</v>
          </cell>
          <cell r="Q1247">
            <v>1</v>
          </cell>
          <cell r="R1247" t="str">
            <v>NA</v>
          </cell>
          <cell r="S1247">
            <v>5</v>
          </cell>
        </row>
        <row r="1248">
          <cell r="B1248" t="str">
            <v>MNC</v>
          </cell>
          <cell r="C1248" t="str">
            <v>HSLB14792</v>
          </cell>
          <cell r="D1248">
            <v>204012</v>
          </cell>
          <cell r="E1248" t="str">
            <v>Silla Visita</v>
          </cell>
          <cell r="F1248" t="str">
            <v>NO</v>
          </cell>
          <cell r="G1248" t="str">
            <v>NO</v>
          </cell>
          <cell r="H1248" t="str">
            <v>SELECTOR DEMANDA ADULTO</v>
          </cell>
          <cell r="I1248">
            <v>2</v>
          </cell>
          <cell r="J1248" t="str">
            <v>C.4.3.1</v>
          </cell>
          <cell r="K1248" t="str">
            <v>Urgencia</v>
          </cell>
          <cell r="L1248">
            <v>1</v>
          </cell>
          <cell r="M1248">
            <v>46006</v>
          </cell>
          <cell r="N1248">
            <v>46007</v>
          </cell>
          <cell r="O1248">
            <v>1</v>
          </cell>
          <cell r="P1248">
            <v>46008</v>
          </cell>
          <cell r="Q1248">
            <v>1</v>
          </cell>
          <cell r="R1248" t="str">
            <v>NA</v>
          </cell>
          <cell r="S1248">
            <v>5</v>
          </cell>
        </row>
        <row r="1249">
          <cell r="B1249" t="str">
            <v>MNC</v>
          </cell>
          <cell r="C1249" t="str">
            <v>HSLB15331</v>
          </cell>
          <cell r="D1249">
            <v>204006</v>
          </cell>
          <cell r="E1249" t="str">
            <v>Silla Ergonómica</v>
          </cell>
          <cell r="F1249" t="str">
            <v>NO</v>
          </cell>
          <cell r="G1249" t="str">
            <v>NO</v>
          </cell>
          <cell r="H1249" t="str">
            <v>SALA (FAST TRACK) MULTIPROPÓSITO</v>
          </cell>
          <cell r="I1249">
            <v>1</v>
          </cell>
          <cell r="J1249" t="str">
            <v>C.4.3.1</v>
          </cell>
          <cell r="K1249" t="str">
            <v>Urgencia</v>
          </cell>
          <cell r="L1249">
            <v>1</v>
          </cell>
          <cell r="M1249">
            <v>46006</v>
          </cell>
          <cell r="N1249">
            <v>46007</v>
          </cell>
          <cell r="O1249">
            <v>1</v>
          </cell>
          <cell r="P1249">
            <v>46008</v>
          </cell>
          <cell r="Q1249">
            <v>1</v>
          </cell>
          <cell r="R1249" t="str">
            <v>NA</v>
          </cell>
          <cell r="S1249">
            <v>5</v>
          </cell>
        </row>
        <row r="1250">
          <cell r="B1250" t="str">
            <v>MNC</v>
          </cell>
          <cell r="C1250" t="str">
            <v>HSLB15146</v>
          </cell>
          <cell r="D1250">
            <v>204017</v>
          </cell>
          <cell r="E1250" t="str">
            <v>Tarima</v>
          </cell>
          <cell r="F1250" t="str">
            <v>NO</v>
          </cell>
          <cell r="G1250" t="str">
            <v>NO</v>
          </cell>
          <cell r="H1250" t="str">
            <v>BOX REANIMACIÓN ADULTO</v>
          </cell>
          <cell r="I1250">
            <v>1</v>
          </cell>
          <cell r="J1250" t="str">
            <v>C.4.3.12.1</v>
          </cell>
          <cell r="K1250" t="str">
            <v>Urgencia</v>
          </cell>
          <cell r="L1250">
            <v>1</v>
          </cell>
          <cell r="M1250">
            <v>46006</v>
          </cell>
          <cell r="N1250">
            <v>46007</v>
          </cell>
          <cell r="O1250">
            <v>1</v>
          </cell>
          <cell r="P1250">
            <v>46008</v>
          </cell>
          <cell r="Q1250">
            <v>1</v>
          </cell>
          <cell r="R1250" t="str">
            <v>NA</v>
          </cell>
          <cell r="S1250">
            <v>5</v>
          </cell>
        </row>
        <row r="1251">
          <cell r="B1251" t="str">
            <v>MNC</v>
          </cell>
          <cell r="C1251" t="str">
            <v>HSLB15147</v>
          </cell>
          <cell r="D1251">
            <v>204017</v>
          </cell>
          <cell r="E1251" t="str">
            <v>Tarima</v>
          </cell>
          <cell r="F1251" t="str">
            <v>NO</v>
          </cell>
          <cell r="G1251" t="str">
            <v>NO</v>
          </cell>
          <cell r="H1251" t="str">
            <v>BOX REANIMACIÓN ADULTO</v>
          </cell>
          <cell r="I1251">
            <v>1</v>
          </cell>
          <cell r="J1251" t="str">
            <v>C.4.3.12.2</v>
          </cell>
          <cell r="K1251" t="str">
            <v>Urgencia</v>
          </cell>
          <cell r="L1251">
            <v>1</v>
          </cell>
          <cell r="M1251">
            <v>46006</v>
          </cell>
          <cell r="N1251">
            <v>46007</v>
          </cell>
          <cell r="O1251">
            <v>1</v>
          </cell>
          <cell r="P1251">
            <v>46008</v>
          </cell>
          <cell r="Q1251">
            <v>1</v>
          </cell>
          <cell r="R1251" t="str">
            <v>NA</v>
          </cell>
          <cell r="S1251">
            <v>5</v>
          </cell>
        </row>
        <row r="1252">
          <cell r="B1252" t="str">
            <v>MNC</v>
          </cell>
          <cell r="C1252" t="str">
            <v>HSLB15335</v>
          </cell>
          <cell r="D1252">
            <v>204020</v>
          </cell>
          <cell r="E1252" t="str">
            <v>Silla Butaca Espera 3 Cuerpos</v>
          </cell>
          <cell r="F1252" t="str">
            <v>NO</v>
          </cell>
          <cell r="G1252" t="str">
            <v>NO</v>
          </cell>
          <cell r="H1252" t="str">
            <v>SALA DE ESPERA SECUNDARIA (ADULTO)</v>
          </cell>
          <cell r="I1252">
            <v>6</v>
          </cell>
          <cell r="J1252" t="str">
            <v>C.4.3.2</v>
          </cell>
          <cell r="K1252" t="str">
            <v>Urgencia</v>
          </cell>
          <cell r="L1252">
            <v>1</v>
          </cell>
          <cell r="M1252">
            <v>46006</v>
          </cell>
          <cell r="N1252">
            <v>46007</v>
          </cell>
          <cell r="O1252">
            <v>1</v>
          </cell>
          <cell r="P1252">
            <v>46008</v>
          </cell>
          <cell r="Q1252">
            <v>1</v>
          </cell>
          <cell r="R1252" t="str">
            <v>NA</v>
          </cell>
          <cell r="S1252">
            <v>5</v>
          </cell>
        </row>
        <row r="1253">
          <cell r="B1253" t="str">
            <v>MNC</v>
          </cell>
          <cell r="C1253" t="str">
            <v>HSLB14793</v>
          </cell>
          <cell r="D1253">
            <v>204012</v>
          </cell>
          <cell r="E1253" t="str">
            <v>Silla Visita</v>
          </cell>
          <cell r="F1253" t="str">
            <v>NO</v>
          </cell>
          <cell r="G1253" t="str">
            <v>NO</v>
          </cell>
          <cell r="H1253" t="str">
            <v>BOX URGENCIA(1)</v>
          </cell>
          <cell r="I1253">
            <v>1</v>
          </cell>
          <cell r="J1253" t="str">
            <v>C.4.3.3.1</v>
          </cell>
          <cell r="K1253" t="str">
            <v>Urgencia</v>
          </cell>
          <cell r="L1253">
            <v>1</v>
          </cell>
          <cell r="M1253">
            <v>46006</v>
          </cell>
          <cell r="N1253">
            <v>46007</v>
          </cell>
          <cell r="O1253">
            <v>1</v>
          </cell>
          <cell r="P1253">
            <v>46008</v>
          </cell>
          <cell r="Q1253">
            <v>1</v>
          </cell>
          <cell r="R1253" t="str">
            <v>NA</v>
          </cell>
          <cell r="S1253">
            <v>5</v>
          </cell>
        </row>
        <row r="1254">
          <cell r="B1254" t="str">
            <v>MNC</v>
          </cell>
          <cell r="C1254" t="str">
            <v>HSLB14794</v>
          </cell>
          <cell r="D1254">
            <v>204012</v>
          </cell>
          <cell r="E1254" t="str">
            <v>Silla Visita</v>
          </cell>
          <cell r="F1254" t="str">
            <v>NO</v>
          </cell>
          <cell r="G1254" t="str">
            <v>NO</v>
          </cell>
          <cell r="H1254" t="str">
            <v>BOX URGENCIA (2)</v>
          </cell>
          <cell r="I1254">
            <v>1</v>
          </cell>
          <cell r="J1254" t="str">
            <v>C.4.3.3.2</v>
          </cell>
          <cell r="K1254" t="str">
            <v>Urgencia</v>
          </cell>
          <cell r="L1254">
            <v>1</v>
          </cell>
          <cell r="M1254">
            <v>46006</v>
          </cell>
          <cell r="N1254">
            <v>46007</v>
          </cell>
          <cell r="O1254">
            <v>1</v>
          </cell>
          <cell r="P1254">
            <v>46008</v>
          </cell>
          <cell r="Q1254">
            <v>1</v>
          </cell>
          <cell r="R1254" t="str">
            <v>NA</v>
          </cell>
          <cell r="S1254">
            <v>5</v>
          </cell>
        </row>
        <row r="1255">
          <cell r="B1255" t="str">
            <v>MNC</v>
          </cell>
          <cell r="C1255" t="str">
            <v>HSLB14795</v>
          </cell>
          <cell r="D1255">
            <v>204012</v>
          </cell>
          <cell r="E1255" t="str">
            <v>Silla Visita</v>
          </cell>
          <cell r="F1255" t="str">
            <v>NO</v>
          </cell>
          <cell r="G1255" t="str">
            <v>NO</v>
          </cell>
          <cell r="H1255" t="str">
            <v>BOX URGENCIA(3)</v>
          </cell>
          <cell r="I1255">
            <v>1</v>
          </cell>
          <cell r="J1255" t="str">
            <v>C.4.3.3.3</v>
          </cell>
          <cell r="K1255" t="str">
            <v>Urgencia</v>
          </cell>
          <cell r="L1255">
            <v>1</v>
          </cell>
          <cell r="M1255">
            <v>46006</v>
          </cell>
          <cell r="N1255">
            <v>46007</v>
          </cell>
          <cell r="O1255">
            <v>1</v>
          </cell>
          <cell r="P1255">
            <v>46008</v>
          </cell>
          <cell r="Q1255">
            <v>1</v>
          </cell>
          <cell r="R1255" t="str">
            <v>NA</v>
          </cell>
          <cell r="S1255">
            <v>5</v>
          </cell>
        </row>
        <row r="1256">
          <cell r="B1256" t="str">
            <v>MNC</v>
          </cell>
          <cell r="C1256" t="str">
            <v>HSLB14796</v>
          </cell>
          <cell r="D1256">
            <v>204012</v>
          </cell>
          <cell r="E1256" t="str">
            <v>Silla Visita</v>
          </cell>
          <cell r="F1256" t="str">
            <v>NO</v>
          </cell>
          <cell r="G1256" t="str">
            <v>NO</v>
          </cell>
          <cell r="H1256" t="str">
            <v>BOX URGENCIA(4)</v>
          </cell>
          <cell r="I1256">
            <v>1</v>
          </cell>
          <cell r="J1256" t="str">
            <v>C.4.3.3.4</v>
          </cell>
          <cell r="K1256" t="str">
            <v>Urgencia</v>
          </cell>
          <cell r="L1256">
            <v>1</v>
          </cell>
          <cell r="M1256">
            <v>46006</v>
          </cell>
          <cell r="N1256">
            <v>46007</v>
          </cell>
          <cell r="O1256">
            <v>1</v>
          </cell>
          <cell r="P1256">
            <v>46008</v>
          </cell>
          <cell r="Q1256">
            <v>1</v>
          </cell>
          <cell r="R1256" t="str">
            <v>NA</v>
          </cell>
          <cell r="S1256">
            <v>5</v>
          </cell>
        </row>
        <row r="1257">
          <cell r="B1257" t="str">
            <v>MNC</v>
          </cell>
          <cell r="C1257" t="str">
            <v>HSLB14797</v>
          </cell>
          <cell r="D1257">
            <v>204012</v>
          </cell>
          <cell r="E1257" t="str">
            <v>Silla Visita</v>
          </cell>
          <cell r="F1257" t="str">
            <v>NO</v>
          </cell>
          <cell r="G1257" t="str">
            <v>NO</v>
          </cell>
          <cell r="H1257" t="str">
            <v>BOX URGENCIA(5)</v>
          </cell>
          <cell r="I1257">
            <v>1</v>
          </cell>
          <cell r="J1257" t="str">
            <v>C.4.3.3.5</v>
          </cell>
          <cell r="K1257" t="str">
            <v>Urgencia</v>
          </cell>
          <cell r="L1257">
            <v>1</v>
          </cell>
          <cell r="M1257">
            <v>46006</v>
          </cell>
          <cell r="N1257">
            <v>46007</v>
          </cell>
          <cell r="O1257">
            <v>1</v>
          </cell>
          <cell r="P1257">
            <v>46008</v>
          </cell>
          <cell r="Q1257">
            <v>1</v>
          </cell>
          <cell r="R1257" t="str">
            <v>NA</v>
          </cell>
          <cell r="S1257">
            <v>5</v>
          </cell>
        </row>
        <row r="1258">
          <cell r="B1258" t="str">
            <v>MNC</v>
          </cell>
          <cell r="C1258" t="str">
            <v>HSLB14798</v>
          </cell>
          <cell r="D1258">
            <v>204012</v>
          </cell>
          <cell r="E1258" t="str">
            <v>Silla Visita</v>
          </cell>
          <cell r="F1258" t="str">
            <v>NO</v>
          </cell>
          <cell r="G1258" t="str">
            <v>NO</v>
          </cell>
          <cell r="H1258" t="str">
            <v>SALA DE OBSERVACIONES (ADULTO)</v>
          </cell>
          <cell r="I1258">
            <v>7</v>
          </cell>
          <cell r="J1258" t="str">
            <v>C.4.3.4</v>
          </cell>
          <cell r="K1258" t="str">
            <v>Urgencia</v>
          </cell>
          <cell r="L1258">
            <v>1</v>
          </cell>
          <cell r="M1258">
            <v>46006</v>
          </cell>
          <cell r="N1258">
            <v>46007</v>
          </cell>
          <cell r="O1258">
            <v>1</v>
          </cell>
          <cell r="P1258">
            <v>46008</v>
          </cell>
          <cell r="Q1258">
            <v>1</v>
          </cell>
          <cell r="R1258" t="str">
            <v>NA</v>
          </cell>
          <cell r="S1258">
            <v>5</v>
          </cell>
        </row>
        <row r="1259">
          <cell r="B1259" t="str">
            <v>MNC</v>
          </cell>
          <cell r="C1259" t="str">
            <v>HSLB15341</v>
          </cell>
          <cell r="D1259">
            <v>204012</v>
          </cell>
          <cell r="E1259" t="str">
            <v>Silla Visita</v>
          </cell>
          <cell r="F1259" t="str">
            <v>NO</v>
          </cell>
          <cell r="G1259" t="str">
            <v>NO</v>
          </cell>
          <cell r="H1259" t="str">
            <v xml:space="preserve">SALA DE PROCEDIMIENTO </v>
          </cell>
          <cell r="I1259">
            <v>1</v>
          </cell>
          <cell r="J1259" t="str">
            <v>C.4.3.5.1</v>
          </cell>
          <cell r="K1259" t="str">
            <v>Urgencia</v>
          </cell>
          <cell r="L1259">
            <v>1</v>
          </cell>
          <cell r="M1259">
            <v>46006</v>
          </cell>
          <cell r="N1259">
            <v>46007</v>
          </cell>
          <cell r="O1259">
            <v>1</v>
          </cell>
          <cell r="P1259">
            <v>46008</v>
          </cell>
          <cell r="Q1259">
            <v>1</v>
          </cell>
          <cell r="R1259" t="str">
            <v>NA</v>
          </cell>
          <cell r="S1259">
            <v>5</v>
          </cell>
        </row>
        <row r="1260">
          <cell r="B1260" t="str">
            <v>MNC</v>
          </cell>
          <cell r="C1260" t="str">
            <v>HSLB15343</v>
          </cell>
          <cell r="D1260">
            <v>204012</v>
          </cell>
          <cell r="E1260" t="str">
            <v>Silla Visita</v>
          </cell>
          <cell r="F1260" t="str">
            <v>NO</v>
          </cell>
          <cell r="G1260" t="str">
            <v>NO</v>
          </cell>
          <cell r="H1260" t="str">
            <v>SALA DE PROCEDIMIENTO</v>
          </cell>
          <cell r="I1260">
            <v>1</v>
          </cell>
          <cell r="J1260" t="str">
            <v>C.4.3.5.2</v>
          </cell>
          <cell r="K1260" t="str">
            <v>Urgencia</v>
          </cell>
          <cell r="L1260">
            <v>1</v>
          </cell>
          <cell r="M1260">
            <v>46006</v>
          </cell>
          <cell r="N1260">
            <v>46007</v>
          </cell>
          <cell r="O1260">
            <v>1</v>
          </cell>
          <cell r="P1260">
            <v>46008</v>
          </cell>
          <cell r="Q1260">
            <v>1</v>
          </cell>
          <cell r="R1260" t="str">
            <v>NA</v>
          </cell>
          <cell r="S1260">
            <v>5</v>
          </cell>
        </row>
        <row r="1261">
          <cell r="B1261" t="str">
            <v>MNC</v>
          </cell>
          <cell r="C1261" t="str">
            <v>HSLB14799</v>
          </cell>
          <cell r="D1261">
            <v>204012</v>
          </cell>
          <cell r="E1261" t="str">
            <v>Silla Visita</v>
          </cell>
          <cell r="F1261" t="str">
            <v>NO</v>
          </cell>
          <cell r="G1261" t="str">
            <v>NO</v>
          </cell>
          <cell r="H1261" t="str">
            <v>SALA TRATAMIENTOS TRANSITORIO</v>
          </cell>
          <cell r="I1261">
            <v>9</v>
          </cell>
          <cell r="J1261" t="str">
            <v>C.4.3.6</v>
          </cell>
          <cell r="K1261" t="str">
            <v>Urgencia</v>
          </cell>
          <cell r="L1261">
            <v>1</v>
          </cell>
          <cell r="M1261">
            <v>46006</v>
          </cell>
          <cell r="N1261">
            <v>46007</v>
          </cell>
          <cell r="O1261">
            <v>1</v>
          </cell>
          <cell r="P1261">
            <v>46008</v>
          </cell>
          <cell r="Q1261">
            <v>1</v>
          </cell>
          <cell r="R1261" t="str">
            <v>NA</v>
          </cell>
          <cell r="S1261">
            <v>5</v>
          </cell>
        </row>
        <row r="1262">
          <cell r="B1262" t="str">
            <v>MNC</v>
          </cell>
          <cell r="C1262" t="str">
            <v>HSLB14358</v>
          </cell>
          <cell r="D1262">
            <v>204006</v>
          </cell>
          <cell r="E1262" t="str">
            <v>Silla Ergonómica</v>
          </cell>
          <cell r="F1262" t="str">
            <v>NO</v>
          </cell>
          <cell r="G1262" t="str">
            <v>NO</v>
          </cell>
          <cell r="H1262" t="str">
            <v>ESTACIÓN DE ENFERMERÍA</v>
          </cell>
          <cell r="I1262">
            <v>6</v>
          </cell>
          <cell r="J1262" t="str">
            <v>C.4.3.8</v>
          </cell>
          <cell r="K1262" t="str">
            <v>Urgencia</v>
          </cell>
          <cell r="L1262">
            <v>1</v>
          </cell>
          <cell r="M1262">
            <v>46006</v>
          </cell>
          <cell r="N1262">
            <v>46007</v>
          </cell>
          <cell r="O1262">
            <v>1</v>
          </cell>
          <cell r="P1262">
            <v>46008</v>
          </cell>
          <cell r="Q1262">
            <v>1</v>
          </cell>
          <cell r="R1262" t="str">
            <v>NA</v>
          </cell>
          <cell r="S1262">
            <v>5</v>
          </cell>
        </row>
        <row r="1263">
          <cell r="B1263" t="str">
            <v>MNC</v>
          </cell>
          <cell r="C1263" t="str">
            <v>HSLB14800</v>
          </cell>
          <cell r="D1263">
            <v>204012</v>
          </cell>
          <cell r="E1263" t="str">
            <v>Silla Visita</v>
          </cell>
          <cell r="F1263" t="str">
            <v>NO</v>
          </cell>
          <cell r="G1263" t="str">
            <v>NO</v>
          </cell>
          <cell r="H1263" t="str">
            <v>SELECTOR DE DEMANDA (infantil)</v>
          </cell>
          <cell r="I1263">
            <v>2</v>
          </cell>
          <cell r="J1263" t="str">
            <v>C.4.4.1</v>
          </cell>
          <cell r="K1263" t="str">
            <v>Urgencia</v>
          </cell>
          <cell r="L1263">
            <v>1</v>
          </cell>
          <cell r="M1263">
            <v>46006</v>
          </cell>
          <cell r="N1263">
            <v>46007</v>
          </cell>
          <cell r="O1263">
            <v>1</v>
          </cell>
          <cell r="P1263">
            <v>46008</v>
          </cell>
          <cell r="Q1263">
            <v>1</v>
          </cell>
          <cell r="R1263" t="str">
            <v>NA</v>
          </cell>
          <cell r="S1263">
            <v>5</v>
          </cell>
        </row>
        <row r="1264">
          <cell r="B1264" t="str">
            <v>MNC</v>
          </cell>
          <cell r="C1264" t="str">
            <v>HSLB15148</v>
          </cell>
          <cell r="D1264">
            <v>204017</v>
          </cell>
          <cell r="E1264" t="str">
            <v>Tarima</v>
          </cell>
          <cell r="F1264" t="str">
            <v>NO</v>
          </cell>
          <cell r="G1264" t="str">
            <v>NO</v>
          </cell>
          <cell r="H1264" t="str">
            <v>BOX REANIMACIÓN INFANTIL</v>
          </cell>
          <cell r="I1264">
            <v>1</v>
          </cell>
          <cell r="J1264" t="str">
            <v>C.4.4.12</v>
          </cell>
          <cell r="K1264" t="str">
            <v>Urgencia</v>
          </cell>
          <cell r="L1264">
            <v>1</v>
          </cell>
          <cell r="M1264">
            <v>46006</v>
          </cell>
          <cell r="N1264">
            <v>46007</v>
          </cell>
          <cell r="O1264">
            <v>1</v>
          </cell>
          <cell r="P1264">
            <v>46008</v>
          </cell>
          <cell r="Q1264">
            <v>1</v>
          </cell>
          <cell r="R1264" t="str">
            <v>NA</v>
          </cell>
          <cell r="S1264">
            <v>5</v>
          </cell>
        </row>
        <row r="1265">
          <cell r="B1265" t="str">
            <v>MNC</v>
          </cell>
          <cell r="C1265" t="str">
            <v>HSLB14801</v>
          </cell>
          <cell r="D1265">
            <v>204012</v>
          </cell>
          <cell r="E1265" t="str">
            <v>Silla Visita</v>
          </cell>
          <cell r="F1265" t="str">
            <v>NO</v>
          </cell>
          <cell r="G1265" t="str">
            <v>NO</v>
          </cell>
          <cell r="H1265" t="str">
            <v>BOX URGENCIA (infantil)</v>
          </cell>
          <cell r="I1265">
            <v>1</v>
          </cell>
          <cell r="J1265" t="str">
            <v>C.4.4.3.1</v>
          </cell>
          <cell r="K1265" t="str">
            <v>Urgencia</v>
          </cell>
          <cell r="L1265">
            <v>1</v>
          </cell>
          <cell r="M1265">
            <v>46006</v>
          </cell>
          <cell r="N1265">
            <v>46007</v>
          </cell>
          <cell r="O1265">
            <v>1</v>
          </cell>
          <cell r="P1265">
            <v>46008</v>
          </cell>
          <cell r="Q1265">
            <v>1</v>
          </cell>
          <cell r="R1265" t="str">
            <v>NA</v>
          </cell>
          <cell r="S1265">
            <v>5</v>
          </cell>
        </row>
        <row r="1266">
          <cell r="B1266" t="str">
            <v>MNC</v>
          </cell>
          <cell r="C1266" t="str">
            <v>HSLB14802</v>
          </cell>
          <cell r="D1266">
            <v>204012</v>
          </cell>
          <cell r="E1266" t="str">
            <v>Silla Visita</v>
          </cell>
          <cell r="F1266" t="str">
            <v>NO</v>
          </cell>
          <cell r="G1266" t="str">
            <v>NO</v>
          </cell>
          <cell r="H1266" t="str">
            <v>BOX URGENCIA (infantil)</v>
          </cell>
          <cell r="I1266">
            <v>1</v>
          </cell>
          <cell r="J1266" t="str">
            <v>C.4.4.3.2</v>
          </cell>
          <cell r="K1266" t="str">
            <v>Urgencia</v>
          </cell>
          <cell r="L1266">
            <v>1</v>
          </cell>
          <cell r="M1266">
            <v>46006</v>
          </cell>
          <cell r="N1266">
            <v>46007</v>
          </cell>
          <cell r="O1266">
            <v>1</v>
          </cell>
          <cell r="P1266">
            <v>46008</v>
          </cell>
          <cell r="Q1266">
            <v>1</v>
          </cell>
          <cell r="R1266" t="str">
            <v>NA</v>
          </cell>
          <cell r="S1266">
            <v>5</v>
          </cell>
        </row>
        <row r="1267">
          <cell r="B1267" t="str">
            <v>MNC</v>
          </cell>
          <cell r="C1267" t="str">
            <v>HSLB14803</v>
          </cell>
          <cell r="D1267">
            <v>204012</v>
          </cell>
          <cell r="E1267" t="str">
            <v>Silla Visita</v>
          </cell>
          <cell r="F1267" t="str">
            <v>NO</v>
          </cell>
          <cell r="G1267" t="str">
            <v>NO</v>
          </cell>
          <cell r="H1267" t="str">
            <v>SALA OBSERVACIÓN (INFANTIL)</v>
          </cell>
          <cell r="I1267">
            <v>2</v>
          </cell>
          <cell r="J1267" t="str">
            <v>C.4.4.4</v>
          </cell>
          <cell r="K1267" t="str">
            <v>Urgencia</v>
          </cell>
          <cell r="L1267">
            <v>1</v>
          </cell>
          <cell r="M1267">
            <v>46006</v>
          </cell>
          <cell r="N1267">
            <v>46007</v>
          </cell>
          <cell r="O1267">
            <v>1</v>
          </cell>
          <cell r="P1267">
            <v>46008</v>
          </cell>
          <cell r="Q1267">
            <v>1</v>
          </cell>
          <cell r="R1267" t="str">
            <v>NA</v>
          </cell>
          <cell r="S1267">
            <v>5</v>
          </cell>
        </row>
        <row r="1268">
          <cell r="B1268" t="str">
            <v>MNC</v>
          </cell>
          <cell r="C1268" t="str">
            <v>HSLB15349</v>
          </cell>
          <cell r="D1268">
            <v>204012</v>
          </cell>
          <cell r="E1268" t="str">
            <v>Silla Visita</v>
          </cell>
          <cell r="F1268" t="str">
            <v>NO</v>
          </cell>
          <cell r="G1268" t="str">
            <v>NO</v>
          </cell>
          <cell r="H1268" t="str">
            <v>SALA DE PROCEDIMIENTO (infantil)</v>
          </cell>
          <cell r="I1268">
            <v>1</v>
          </cell>
          <cell r="J1268" t="str">
            <v>C.4.4.5</v>
          </cell>
          <cell r="K1268" t="str">
            <v>Urgencia</v>
          </cell>
          <cell r="L1268">
            <v>1</v>
          </cell>
          <cell r="M1268">
            <v>46006</v>
          </cell>
          <cell r="N1268">
            <v>46007</v>
          </cell>
          <cell r="O1268">
            <v>1</v>
          </cell>
          <cell r="P1268">
            <v>46008</v>
          </cell>
          <cell r="Q1268">
            <v>1</v>
          </cell>
          <cell r="R1268" t="str">
            <v>NA</v>
          </cell>
          <cell r="S1268">
            <v>5</v>
          </cell>
        </row>
        <row r="1269">
          <cell r="B1269" t="str">
            <v>MNC</v>
          </cell>
          <cell r="C1269" t="str">
            <v>HSLB14804</v>
          </cell>
          <cell r="D1269">
            <v>204012</v>
          </cell>
          <cell r="E1269" t="str">
            <v>Silla Visita</v>
          </cell>
          <cell r="F1269" t="str">
            <v>NO</v>
          </cell>
          <cell r="G1269" t="str">
            <v>SI</v>
          </cell>
          <cell r="H1269" t="str">
            <v>SALA DE TRATAMIENTOS TRANSITORIOS</v>
          </cell>
          <cell r="I1269">
            <v>4</v>
          </cell>
          <cell r="J1269" t="str">
            <v>C.4.4.6</v>
          </cell>
          <cell r="K1269" t="str">
            <v>Urgencia</v>
          </cell>
          <cell r="L1269">
            <v>1</v>
          </cell>
          <cell r="M1269">
            <v>46006</v>
          </cell>
          <cell r="N1269">
            <v>46007</v>
          </cell>
          <cell r="O1269">
            <v>1</v>
          </cell>
          <cell r="P1269">
            <v>46008</v>
          </cell>
          <cell r="Q1269">
            <v>1</v>
          </cell>
          <cell r="R1269" t="str">
            <v>NA</v>
          </cell>
          <cell r="S1269">
            <v>5</v>
          </cell>
        </row>
        <row r="1270">
          <cell r="B1270" t="str">
            <v>MNC</v>
          </cell>
          <cell r="C1270" t="str">
            <v>HSLB14359</v>
          </cell>
          <cell r="D1270">
            <v>204006</v>
          </cell>
          <cell r="E1270" t="str">
            <v>Silla Ergonómica</v>
          </cell>
          <cell r="F1270" t="str">
            <v>NO</v>
          </cell>
          <cell r="G1270" t="str">
            <v>NO</v>
          </cell>
          <cell r="H1270" t="str">
            <v>ESTACIÓN DE ENFERMERÍA</v>
          </cell>
          <cell r="I1270">
            <v>3</v>
          </cell>
          <cell r="J1270" t="str">
            <v>C.4.4.8</v>
          </cell>
          <cell r="K1270" t="str">
            <v>Urgencia</v>
          </cell>
          <cell r="L1270">
            <v>1</v>
          </cell>
          <cell r="M1270">
            <v>46006</v>
          </cell>
          <cell r="N1270">
            <v>46007</v>
          </cell>
          <cell r="O1270">
            <v>1</v>
          </cell>
          <cell r="P1270">
            <v>46008</v>
          </cell>
          <cell r="Q1270">
            <v>1</v>
          </cell>
          <cell r="R1270" t="str">
            <v>NA</v>
          </cell>
          <cell r="S1270">
            <v>5</v>
          </cell>
        </row>
        <row r="1271">
          <cell r="B1271" t="str">
            <v>MNC</v>
          </cell>
          <cell r="C1271" t="str">
            <v>HSLB14564</v>
          </cell>
          <cell r="D1271">
            <v>204006</v>
          </cell>
          <cell r="E1271" t="str">
            <v>Silla Ergonómica</v>
          </cell>
          <cell r="F1271" t="str">
            <v>NO</v>
          </cell>
          <cell r="G1271" t="str">
            <v>NO</v>
          </cell>
          <cell r="H1271" t="str">
            <v>SALA TELEMEDICINA</v>
          </cell>
          <cell r="I1271">
            <v>1</v>
          </cell>
          <cell r="J1271" t="str">
            <v>C.4.5.1.1</v>
          </cell>
          <cell r="K1271" t="str">
            <v>Urgencia</v>
          </cell>
          <cell r="L1271">
            <v>1</v>
          </cell>
          <cell r="M1271">
            <v>46006</v>
          </cell>
          <cell r="N1271">
            <v>46007</v>
          </cell>
          <cell r="O1271">
            <v>1</v>
          </cell>
          <cell r="P1271">
            <v>46008</v>
          </cell>
          <cell r="Q1271">
            <v>1</v>
          </cell>
          <cell r="R1271" t="str">
            <v>NA</v>
          </cell>
          <cell r="S1271">
            <v>5</v>
          </cell>
        </row>
        <row r="1272">
          <cell r="B1272" t="str">
            <v>MNC</v>
          </cell>
          <cell r="C1272" t="str">
            <v>HSLB14955</v>
          </cell>
          <cell r="D1272">
            <v>204012</v>
          </cell>
          <cell r="E1272" t="str">
            <v>Silla Visita</v>
          </cell>
          <cell r="F1272" t="str">
            <v>NO</v>
          </cell>
          <cell r="G1272" t="str">
            <v>NO</v>
          </cell>
          <cell r="H1272" t="str">
            <v>SALA TELEMEDICINA</v>
          </cell>
          <cell r="I1272">
            <v>1</v>
          </cell>
          <cell r="J1272" t="str">
            <v>C.4.5.1.1</v>
          </cell>
          <cell r="K1272" t="str">
            <v>Urgencia</v>
          </cell>
          <cell r="L1272">
            <v>1</v>
          </cell>
          <cell r="M1272">
            <v>46006</v>
          </cell>
          <cell r="N1272">
            <v>46007</v>
          </cell>
          <cell r="O1272">
            <v>1</v>
          </cell>
          <cell r="P1272">
            <v>46008</v>
          </cell>
          <cell r="Q1272">
            <v>1</v>
          </cell>
          <cell r="R1272" t="str">
            <v>NA</v>
          </cell>
          <cell r="S1272">
            <v>5</v>
          </cell>
        </row>
        <row r="1273">
          <cell r="B1273" t="str">
            <v>MNC</v>
          </cell>
          <cell r="C1273" t="str">
            <v>HSLB14565</v>
          </cell>
          <cell r="D1273">
            <v>204006</v>
          </cell>
          <cell r="E1273" t="str">
            <v>Silla Ergonómica</v>
          </cell>
          <cell r="F1273" t="str">
            <v>NO</v>
          </cell>
          <cell r="G1273" t="str">
            <v>NO</v>
          </cell>
          <cell r="H1273" t="str">
            <v>SALA TELEMEDICINA</v>
          </cell>
          <cell r="I1273">
            <v>1</v>
          </cell>
          <cell r="J1273" t="str">
            <v>C.4.5.1.2</v>
          </cell>
          <cell r="K1273" t="str">
            <v>Urgencia</v>
          </cell>
          <cell r="L1273">
            <v>1</v>
          </cell>
          <cell r="M1273">
            <v>46006</v>
          </cell>
          <cell r="N1273">
            <v>46007</v>
          </cell>
          <cell r="O1273">
            <v>1</v>
          </cell>
          <cell r="P1273">
            <v>46008</v>
          </cell>
          <cell r="Q1273">
            <v>1</v>
          </cell>
          <cell r="R1273" t="str">
            <v>NA</v>
          </cell>
          <cell r="S1273">
            <v>5</v>
          </cell>
        </row>
        <row r="1274">
          <cell r="B1274" t="str">
            <v>MNC</v>
          </cell>
          <cell r="C1274" t="str">
            <v>HSLB14956</v>
          </cell>
          <cell r="D1274">
            <v>204012</v>
          </cell>
          <cell r="E1274" t="str">
            <v>Silla Visita</v>
          </cell>
          <cell r="F1274" t="str">
            <v>NO</v>
          </cell>
          <cell r="G1274" t="str">
            <v>NO</v>
          </cell>
          <cell r="H1274" t="str">
            <v>SALA TELEMEDICINA</v>
          </cell>
          <cell r="I1274">
            <v>1</v>
          </cell>
          <cell r="J1274" t="str">
            <v>C.4.5.1.2</v>
          </cell>
          <cell r="K1274" t="str">
            <v>Urgencia</v>
          </cell>
          <cell r="L1274">
            <v>1</v>
          </cell>
          <cell r="M1274">
            <v>46006</v>
          </cell>
          <cell r="N1274">
            <v>46007</v>
          </cell>
          <cell r="O1274">
            <v>1</v>
          </cell>
          <cell r="P1274">
            <v>46008</v>
          </cell>
          <cell r="Q1274">
            <v>1</v>
          </cell>
          <cell r="R1274" t="str">
            <v>NA</v>
          </cell>
          <cell r="S1274">
            <v>5</v>
          </cell>
        </row>
        <row r="1275">
          <cell r="B1275" t="str">
            <v>MNC</v>
          </cell>
          <cell r="C1275" t="str">
            <v>HSLB14577</v>
          </cell>
          <cell r="D1275">
            <v>204009</v>
          </cell>
          <cell r="E1275" t="str">
            <v>Silla Párvulo</v>
          </cell>
          <cell r="F1275" t="str">
            <v>NO</v>
          </cell>
          <cell r="G1275" t="str">
            <v>NO</v>
          </cell>
          <cell r="H1275" t="str">
            <v>SALA DE ESPERA ACOGIDA</v>
          </cell>
          <cell r="I1275">
            <v>2</v>
          </cell>
          <cell r="J1275" t="str">
            <v>C.4.5.14</v>
          </cell>
          <cell r="K1275" t="str">
            <v>Urgencia</v>
          </cell>
          <cell r="L1275">
            <v>1</v>
          </cell>
          <cell r="M1275">
            <v>46006</v>
          </cell>
          <cell r="N1275">
            <v>46007</v>
          </cell>
          <cell r="O1275">
            <v>1</v>
          </cell>
          <cell r="P1275">
            <v>46008</v>
          </cell>
          <cell r="Q1275">
            <v>1</v>
          </cell>
          <cell r="R1275" t="str">
            <v>NA</v>
          </cell>
          <cell r="S1275">
            <v>5</v>
          </cell>
        </row>
        <row r="1276">
          <cell r="B1276" t="str">
            <v>MNC</v>
          </cell>
          <cell r="C1276" t="str">
            <v>HSLB15017</v>
          </cell>
          <cell r="D1276">
            <v>204014</v>
          </cell>
          <cell r="E1276" t="str">
            <v>Sillón 2 Cuerpo</v>
          </cell>
          <cell r="F1276" t="str">
            <v>NO</v>
          </cell>
          <cell r="G1276" t="str">
            <v>NO</v>
          </cell>
          <cell r="H1276" t="str">
            <v>SALA DE ESPERA ACOGIDA</v>
          </cell>
          <cell r="I1276">
            <v>1</v>
          </cell>
          <cell r="J1276" t="str">
            <v>C.4.5.14</v>
          </cell>
          <cell r="K1276" t="str">
            <v>Urgencia</v>
          </cell>
          <cell r="L1276">
            <v>1</v>
          </cell>
          <cell r="M1276">
            <v>46006</v>
          </cell>
          <cell r="N1276">
            <v>46007</v>
          </cell>
          <cell r="O1276">
            <v>1</v>
          </cell>
          <cell r="P1276">
            <v>46008</v>
          </cell>
          <cell r="Q1276">
            <v>1</v>
          </cell>
          <cell r="R1276" t="str">
            <v>NA</v>
          </cell>
          <cell r="S1276">
            <v>5</v>
          </cell>
        </row>
        <row r="1277">
          <cell r="B1277" t="str">
            <v>MNC</v>
          </cell>
          <cell r="C1277" t="str">
            <v>HSLB14360</v>
          </cell>
          <cell r="D1277">
            <v>204006</v>
          </cell>
          <cell r="E1277" t="str">
            <v>Silla Ergonómica</v>
          </cell>
          <cell r="F1277" t="str">
            <v>NO</v>
          </cell>
          <cell r="G1277" t="str">
            <v>NO</v>
          </cell>
          <cell r="H1277" t="str">
            <v>SALA ENTREVISTA ACOGIDA</v>
          </cell>
          <cell r="I1277">
            <v>1</v>
          </cell>
          <cell r="J1277" t="str">
            <v>C.4.5.15</v>
          </cell>
          <cell r="K1277" t="str">
            <v>Urgencia</v>
          </cell>
          <cell r="L1277">
            <v>1</v>
          </cell>
          <cell r="M1277">
            <v>46006</v>
          </cell>
          <cell r="N1277">
            <v>46007</v>
          </cell>
          <cell r="O1277">
            <v>1</v>
          </cell>
          <cell r="P1277">
            <v>46008</v>
          </cell>
          <cell r="Q1277">
            <v>1</v>
          </cell>
          <cell r="R1277" t="str">
            <v>NA</v>
          </cell>
          <cell r="S1277">
            <v>5</v>
          </cell>
        </row>
        <row r="1278">
          <cell r="B1278" t="str">
            <v>MNC</v>
          </cell>
          <cell r="C1278" t="str">
            <v>HSLB14805</v>
          </cell>
          <cell r="D1278">
            <v>204012</v>
          </cell>
          <cell r="E1278" t="str">
            <v>Silla Visita</v>
          </cell>
          <cell r="F1278" t="str">
            <v>NO</v>
          </cell>
          <cell r="G1278" t="str">
            <v>NO</v>
          </cell>
          <cell r="H1278" t="str">
            <v>SALA ENTREVISTA ACOGIDA</v>
          </cell>
          <cell r="I1278">
            <v>2</v>
          </cell>
          <cell r="J1278" t="str">
            <v>C.4.5.15</v>
          </cell>
          <cell r="K1278" t="str">
            <v>Urgencia</v>
          </cell>
          <cell r="L1278">
            <v>1</v>
          </cell>
          <cell r="M1278">
            <v>46006</v>
          </cell>
          <cell r="N1278">
            <v>46007</v>
          </cell>
          <cell r="O1278">
            <v>1</v>
          </cell>
          <cell r="P1278">
            <v>46008</v>
          </cell>
          <cell r="Q1278">
            <v>1</v>
          </cell>
          <cell r="R1278" t="str">
            <v>NA</v>
          </cell>
          <cell r="S1278">
            <v>5</v>
          </cell>
        </row>
        <row r="1279">
          <cell r="B1279" t="str">
            <v>MNC</v>
          </cell>
          <cell r="C1279" t="str">
            <v>HSLB14972</v>
          </cell>
          <cell r="D1279">
            <v>204013</v>
          </cell>
          <cell r="E1279" t="str">
            <v>Sillón 1 Cuerpo</v>
          </cell>
          <cell r="F1279" t="str">
            <v>NO</v>
          </cell>
          <cell r="G1279" t="str">
            <v>NO</v>
          </cell>
          <cell r="H1279" t="str">
            <v>SALA ENTREVISTA ACOGIDA</v>
          </cell>
          <cell r="I1279">
            <v>1</v>
          </cell>
          <cell r="J1279" t="str">
            <v>C.4.5.15</v>
          </cell>
          <cell r="K1279" t="str">
            <v>Urgencia</v>
          </cell>
          <cell r="L1279">
            <v>1</v>
          </cell>
          <cell r="M1279">
            <v>46006</v>
          </cell>
          <cell r="N1279">
            <v>46007</v>
          </cell>
          <cell r="O1279">
            <v>1</v>
          </cell>
          <cell r="P1279">
            <v>46008</v>
          </cell>
          <cell r="Q1279">
            <v>1</v>
          </cell>
          <cell r="R1279" t="str">
            <v>NA</v>
          </cell>
          <cell r="S1279">
            <v>5</v>
          </cell>
        </row>
        <row r="1280">
          <cell r="B1280" t="str">
            <v>MNC</v>
          </cell>
          <cell r="C1280" t="str">
            <v>HSLB15352</v>
          </cell>
          <cell r="D1280">
            <v>204006</v>
          </cell>
          <cell r="E1280" t="str">
            <v>Silla Ergonómica</v>
          </cell>
          <cell r="F1280" t="str">
            <v>NO</v>
          </cell>
          <cell r="G1280" t="str">
            <v>NO</v>
          </cell>
          <cell r="H1280" t="str">
            <v>BOX AT. ACOGIDA C/BAÑO Y DUCHA</v>
          </cell>
          <cell r="I1280">
            <v>1</v>
          </cell>
          <cell r="J1280" t="str">
            <v>C.4.5.16</v>
          </cell>
          <cell r="K1280" t="str">
            <v>Urgencia</v>
          </cell>
          <cell r="L1280">
            <v>1</v>
          </cell>
          <cell r="M1280">
            <v>46006</v>
          </cell>
          <cell r="N1280">
            <v>46007</v>
          </cell>
          <cell r="O1280">
            <v>1</v>
          </cell>
          <cell r="P1280">
            <v>46008</v>
          </cell>
          <cell r="Q1280">
            <v>1</v>
          </cell>
          <cell r="R1280" t="str">
            <v>NA</v>
          </cell>
          <cell r="S1280">
            <v>5</v>
          </cell>
        </row>
        <row r="1281">
          <cell r="B1281" t="str">
            <v>MNC</v>
          </cell>
          <cell r="C1281" t="str">
            <v>HSLB15353</v>
          </cell>
          <cell r="D1281">
            <v>204012</v>
          </cell>
          <cell r="E1281" t="str">
            <v>Silla Visita</v>
          </cell>
          <cell r="F1281" t="str">
            <v>NO</v>
          </cell>
          <cell r="G1281" t="str">
            <v>NO</v>
          </cell>
          <cell r="H1281" t="str">
            <v>BOX AT. ACOGIDA C/BAÑO Y DUCHA</v>
          </cell>
          <cell r="I1281">
            <v>2</v>
          </cell>
          <cell r="J1281" t="str">
            <v>C.4.5.16</v>
          </cell>
          <cell r="K1281" t="str">
            <v>Urgencia</v>
          </cell>
          <cell r="L1281">
            <v>1</v>
          </cell>
          <cell r="M1281">
            <v>46006</v>
          </cell>
          <cell r="N1281">
            <v>46007</v>
          </cell>
          <cell r="O1281">
            <v>1</v>
          </cell>
          <cell r="P1281">
            <v>46008</v>
          </cell>
          <cell r="Q1281">
            <v>1</v>
          </cell>
          <cell r="R1281" t="str">
            <v>NA</v>
          </cell>
          <cell r="S1281">
            <v>5</v>
          </cell>
        </row>
        <row r="1282">
          <cell r="B1282" t="str">
            <v>MNC</v>
          </cell>
          <cell r="C1282" t="str">
            <v>HSLB15354</v>
          </cell>
          <cell r="D1282">
            <v>204012</v>
          </cell>
          <cell r="E1282" t="str">
            <v>Silla Visita</v>
          </cell>
          <cell r="F1282" t="str">
            <v>NO</v>
          </cell>
          <cell r="G1282" t="str">
            <v>NO</v>
          </cell>
          <cell r="H1282" t="str">
            <v>SALA YESO</v>
          </cell>
          <cell r="I1282">
            <v>1</v>
          </cell>
          <cell r="J1282" t="str">
            <v>C.4.5.4</v>
          </cell>
          <cell r="K1282" t="str">
            <v>Urgencia</v>
          </cell>
          <cell r="L1282">
            <v>1</v>
          </cell>
          <cell r="M1282">
            <v>46006</v>
          </cell>
          <cell r="N1282">
            <v>46007</v>
          </cell>
          <cell r="O1282">
            <v>1</v>
          </cell>
          <cell r="P1282">
            <v>46008</v>
          </cell>
          <cell r="Q1282">
            <v>1</v>
          </cell>
          <cell r="R1282" t="str">
            <v>NA</v>
          </cell>
          <cell r="S1282">
            <v>5</v>
          </cell>
        </row>
        <row r="1283">
          <cell r="B1283" t="str">
            <v>MNC</v>
          </cell>
          <cell r="C1283" t="str">
            <v>HSLB15123</v>
          </cell>
          <cell r="D1283">
            <v>204015</v>
          </cell>
          <cell r="E1283" t="str">
            <v>Sillón Bergere</v>
          </cell>
          <cell r="F1283" t="str">
            <v>NO</v>
          </cell>
          <cell r="G1283" t="str">
            <v>NO</v>
          </cell>
          <cell r="H1283" t="str">
            <v>RESIDENCIA MÉDICA C/BAÑO</v>
          </cell>
          <cell r="I1283">
            <v>1</v>
          </cell>
          <cell r="J1283" t="str">
            <v>C.4.6.1.1</v>
          </cell>
          <cell r="K1283" t="str">
            <v>Urgencia</v>
          </cell>
          <cell r="L1283">
            <v>1</v>
          </cell>
          <cell r="M1283">
            <v>46006</v>
          </cell>
          <cell r="N1283">
            <v>46007</v>
          </cell>
          <cell r="O1283">
            <v>1</v>
          </cell>
          <cell r="P1283">
            <v>46008</v>
          </cell>
          <cell r="Q1283">
            <v>1</v>
          </cell>
          <cell r="R1283" t="str">
            <v>NA</v>
          </cell>
          <cell r="S1283">
            <v>5</v>
          </cell>
        </row>
        <row r="1284">
          <cell r="B1284" t="str">
            <v>MNC</v>
          </cell>
          <cell r="C1284" t="str">
            <v>HSLB15124</v>
          </cell>
          <cell r="D1284">
            <v>204015</v>
          </cell>
          <cell r="E1284" t="str">
            <v>Sillón Bergere</v>
          </cell>
          <cell r="F1284" t="str">
            <v>NO</v>
          </cell>
          <cell r="G1284" t="str">
            <v>NO</v>
          </cell>
          <cell r="H1284" t="str">
            <v>RESIDENCIA MÉDICA C/BAÑO</v>
          </cell>
          <cell r="I1284">
            <v>1</v>
          </cell>
          <cell r="J1284" t="str">
            <v>C.4.6.1.2</v>
          </cell>
          <cell r="K1284" t="str">
            <v>Urgencia</v>
          </cell>
          <cell r="L1284">
            <v>1</v>
          </cell>
          <cell r="M1284">
            <v>46006</v>
          </cell>
          <cell r="N1284">
            <v>46007</v>
          </cell>
          <cell r="O1284">
            <v>1</v>
          </cell>
          <cell r="P1284">
            <v>46008</v>
          </cell>
          <cell r="Q1284">
            <v>1</v>
          </cell>
          <cell r="R1284" t="str">
            <v>NA</v>
          </cell>
          <cell r="S1284">
            <v>5</v>
          </cell>
        </row>
        <row r="1285">
          <cell r="B1285" t="str">
            <v>MNC</v>
          </cell>
          <cell r="C1285" t="str">
            <v>HSLB15125</v>
          </cell>
          <cell r="D1285">
            <v>204015</v>
          </cell>
          <cell r="E1285" t="str">
            <v>Sillón Bergere</v>
          </cell>
          <cell r="F1285" t="str">
            <v>NO</v>
          </cell>
          <cell r="G1285" t="str">
            <v>NO</v>
          </cell>
          <cell r="H1285" t="str">
            <v>RESIDENCIA MÉDICA C/BAÑO</v>
          </cell>
          <cell r="I1285">
            <v>1</v>
          </cell>
          <cell r="J1285" t="str">
            <v>C.4.6.1.3</v>
          </cell>
          <cell r="K1285" t="str">
            <v>Urgencia</v>
          </cell>
          <cell r="L1285">
            <v>1</v>
          </cell>
          <cell r="M1285">
            <v>46006</v>
          </cell>
          <cell r="N1285">
            <v>46007</v>
          </cell>
          <cell r="O1285">
            <v>1</v>
          </cell>
          <cell r="P1285">
            <v>46008</v>
          </cell>
          <cell r="Q1285">
            <v>1</v>
          </cell>
          <cell r="R1285" t="str">
            <v>NA</v>
          </cell>
          <cell r="S1285">
            <v>5</v>
          </cell>
        </row>
        <row r="1286">
          <cell r="B1286" t="str">
            <v>MNC</v>
          </cell>
          <cell r="C1286" t="str">
            <v>HSLB15126</v>
          </cell>
          <cell r="D1286">
            <v>204015</v>
          </cell>
          <cell r="E1286" t="str">
            <v>Sillón Bergere</v>
          </cell>
          <cell r="F1286" t="str">
            <v>NO</v>
          </cell>
          <cell r="G1286" t="str">
            <v>NO</v>
          </cell>
          <cell r="H1286" t="str">
            <v>RESIDENCIA MÉDICA C/BAÑO</v>
          </cell>
          <cell r="I1286">
            <v>1</v>
          </cell>
          <cell r="J1286" t="str">
            <v>C.4.6.1.4</v>
          </cell>
          <cell r="K1286" t="str">
            <v>Urgencia</v>
          </cell>
          <cell r="L1286">
            <v>1</v>
          </cell>
          <cell r="M1286">
            <v>46006</v>
          </cell>
          <cell r="N1286">
            <v>46007</v>
          </cell>
          <cell r="O1286">
            <v>1</v>
          </cell>
          <cell r="P1286">
            <v>46008</v>
          </cell>
          <cell r="Q1286">
            <v>1</v>
          </cell>
          <cell r="R1286" t="str">
            <v>NA</v>
          </cell>
          <cell r="S1286">
            <v>5</v>
          </cell>
        </row>
        <row r="1287">
          <cell r="B1287" t="str">
            <v>MNC</v>
          </cell>
          <cell r="C1287" t="str">
            <v>HSLB15127</v>
          </cell>
          <cell r="D1287">
            <v>204015</v>
          </cell>
          <cell r="E1287" t="str">
            <v>Sillón Bergere</v>
          </cell>
          <cell r="F1287" t="str">
            <v>NO</v>
          </cell>
          <cell r="G1287" t="str">
            <v>NO</v>
          </cell>
          <cell r="H1287" t="str">
            <v>RESIDENCIA MÉDICA C/BAÑO</v>
          </cell>
          <cell r="I1287">
            <v>1</v>
          </cell>
          <cell r="J1287" t="str">
            <v>C.4.6.1.5</v>
          </cell>
          <cell r="K1287" t="str">
            <v>Urgencia</v>
          </cell>
          <cell r="L1287">
            <v>1</v>
          </cell>
          <cell r="M1287">
            <v>46006</v>
          </cell>
          <cell r="N1287">
            <v>46007</v>
          </cell>
          <cell r="O1287">
            <v>1</v>
          </cell>
          <cell r="P1287">
            <v>46008</v>
          </cell>
          <cell r="Q1287">
            <v>1</v>
          </cell>
          <cell r="R1287" t="str">
            <v>NA</v>
          </cell>
          <cell r="S1287">
            <v>5</v>
          </cell>
        </row>
        <row r="1288">
          <cell r="B1288" t="str">
            <v>MNC</v>
          </cell>
          <cell r="C1288" t="str">
            <v>HSLB14602</v>
          </cell>
          <cell r="D1288">
            <v>204010</v>
          </cell>
          <cell r="E1288" t="str">
            <v>Silla tipo Casino</v>
          </cell>
          <cell r="F1288" t="str">
            <v>NO</v>
          </cell>
          <cell r="G1288" t="str">
            <v>NO</v>
          </cell>
          <cell r="H1288" t="str">
            <v>ESTAR PERSONAL C/ KITCHENETTE</v>
          </cell>
          <cell r="I1288">
            <v>4</v>
          </cell>
          <cell r="J1288" t="str">
            <v>C.4.6.2.1</v>
          </cell>
          <cell r="K1288" t="str">
            <v>Urgencia</v>
          </cell>
          <cell r="L1288">
            <v>1</v>
          </cell>
          <cell r="M1288">
            <v>46006</v>
          </cell>
          <cell r="N1288">
            <v>46007</v>
          </cell>
          <cell r="O1288">
            <v>1</v>
          </cell>
          <cell r="P1288">
            <v>46008</v>
          </cell>
          <cell r="Q1288">
            <v>1</v>
          </cell>
          <cell r="R1288" t="str">
            <v>NA</v>
          </cell>
          <cell r="S1288">
            <v>5</v>
          </cell>
        </row>
        <row r="1289">
          <cell r="B1289" t="str">
            <v>MNC</v>
          </cell>
          <cell r="C1289" t="str">
            <v>HSLB15018</v>
          </cell>
          <cell r="D1289">
            <v>204014</v>
          </cell>
          <cell r="E1289" t="str">
            <v>Sillón 2 Cuerpo</v>
          </cell>
          <cell r="F1289" t="str">
            <v>NO</v>
          </cell>
          <cell r="G1289" t="str">
            <v>NO</v>
          </cell>
          <cell r="H1289" t="str">
            <v>ESTAR PERSONAL C/ KITCHENETTE</v>
          </cell>
          <cell r="I1289">
            <v>1</v>
          </cell>
          <cell r="J1289" t="str">
            <v>C.4.6.2.1</v>
          </cell>
          <cell r="K1289" t="str">
            <v>Urgencia</v>
          </cell>
          <cell r="L1289">
            <v>1</v>
          </cell>
          <cell r="M1289">
            <v>46006</v>
          </cell>
          <cell r="N1289">
            <v>46007</v>
          </cell>
          <cell r="O1289">
            <v>1</v>
          </cell>
          <cell r="P1289">
            <v>46008</v>
          </cell>
          <cell r="Q1289">
            <v>1</v>
          </cell>
          <cell r="R1289" t="str">
            <v>NA</v>
          </cell>
          <cell r="S1289">
            <v>5</v>
          </cell>
        </row>
        <row r="1290">
          <cell r="B1290" t="str">
            <v>MNC</v>
          </cell>
          <cell r="C1290" t="str">
            <v>HSLB14603</v>
          </cell>
          <cell r="D1290">
            <v>204010</v>
          </cell>
          <cell r="E1290" t="str">
            <v>Silla tipo Casino</v>
          </cell>
          <cell r="F1290" t="str">
            <v>NO</v>
          </cell>
          <cell r="G1290" t="str">
            <v>NO</v>
          </cell>
          <cell r="H1290" t="str">
            <v>ESTAR PERSONAL C/ KITCHENETTE</v>
          </cell>
          <cell r="I1290">
            <v>4</v>
          </cell>
          <cell r="J1290" t="str">
            <v>C.4.6.2.2</v>
          </cell>
          <cell r="K1290" t="str">
            <v>Urgencia</v>
          </cell>
          <cell r="L1290">
            <v>1</v>
          </cell>
          <cell r="M1290">
            <v>46006</v>
          </cell>
          <cell r="N1290">
            <v>46007</v>
          </cell>
          <cell r="O1290">
            <v>1</v>
          </cell>
          <cell r="P1290">
            <v>46008</v>
          </cell>
          <cell r="Q1290">
            <v>1</v>
          </cell>
          <cell r="R1290" t="str">
            <v>NA</v>
          </cell>
          <cell r="S1290">
            <v>5</v>
          </cell>
        </row>
        <row r="1291">
          <cell r="B1291" t="str">
            <v>MNC</v>
          </cell>
          <cell r="C1291" t="str">
            <v>HSLB15019</v>
          </cell>
          <cell r="D1291">
            <v>204014</v>
          </cell>
          <cell r="E1291" t="str">
            <v>Sillón 2 Cuerpo</v>
          </cell>
          <cell r="F1291" t="str">
            <v>NO</v>
          </cell>
          <cell r="G1291" t="str">
            <v>NO</v>
          </cell>
          <cell r="H1291" t="str">
            <v>ESTAR PERSONAL C/ KITCHENETTE</v>
          </cell>
          <cell r="I1291">
            <v>1</v>
          </cell>
          <cell r="J1291" t="str">
            <v>C.4.6.2.2</v>
          </cell>
          <cell r="K1291" t="str">
            <v>Urgencia</v>
          </cell>
          <cell r="L1291">
            <v>1</v>
          </cell>
          <cell r="M1291">
            <v>46006</v>
          </cell>
          <cell r="N1291">
            <v>46007</v>
          </cell>
          <cell r="O1291">
            <v>1</v>
          </cell>
          <cell r="P1291">
            <v>46008</v>
          </cell>
          <cell r="Q1291">
            <v>1</v>
          </cell>
          <cell r="R1291" t="str">
            <v>NA</v>
          </cell>
          <cell r="S1291">
            <v>5</v>
          </cell>
        </row>
        <row r="1292">
          <cell r="B1292" t="str">
            <v>MNC</v>
          </cell>
          <cell r="C1292" t="str">
            <v>HSLB14604</v>
          </cell>
          <cell r="D1292">
            <v>204010</v>
          </cell>
          <cell r="E1292" t="str">
            <v>Silla tipo Casino</v>
          </cell>
          <cell r="F1292" t="str">
            <v>NO</v>
          </cell>
          <cell r="G1292" t="str">
            <v>NO</v>
          </cell>
          <cell r="H1292" t="str">
            <v>ESTAR PERSONAL C/ KITCHENETTE</v>
          </cell>
          <cell r="I1292">
            <v>4</v>
          </cell>
          <cell r="J1292" t="str">
            <v>C.4.6.2.3</v>
          </cell>
          <cell r="K1292" t="str">
            <v>Urgencia</v>
          </cell>
          <cell r="L1292">
            <v>1</v>
          </cell>
          <cell r="M1292">
            <v>46006</v>
          </cell>
          <cell r="N1292">
            <v>46007</v>
          </cell>
          <cell r="O1292">
            <v>1</v>
          </cell>
          <cell r="P1292">
            <v>46008</v>
          </cell>
          <cell r="Q1292">
            <v>1</v>
          </cell>
          <cell r="R1292" t="str">
            <v>NA</v>
          </cell>
          <cell r="S1292">
            <v>5</v>
          </cell>
        </row>
        <row r="1293">
          <cell r="B1293" t="str">
            <v>MNC</v>
          </cell>
          <cell r="C1293" t="str">
            <v>HSLB15020</v>
          </cell>
          <cell r="D1293">
            <v>204014</v>
          </cell>
          <cell r="E1293" t="str">
            <v>Sillón 2 Cuerpo</v>
          </cell>
          <cell r="F1293" t="str">
            <v>NO</v>
          </cell>
          <cell r="G1293" t="str">
            <v>NO</v>
          </cell>
          <cell r="H1293" t="str">
            <v>ESTAR PERSONAL C/ KITCHENETTE</v>
          </cell>
          <cell r="I1293">
            <v>1</v>
          </cell>
          <cell r="J1293" t="str">
            <v>C.4.6.2.3</v>
          </cell>
          <cell r="K1293" t="str">
            <v>Urgencia</v>
          </cell>
          <cell r="L1293">
            <v>1</v>
          </cell>
          <cell r="M1293">
            <v>46006</v>
          </cell>
          <cell r="N1293">
            <v>46007</v>
          </cell>
          <cell r="O1293">
            <v>1</v>
          </cell>
          <cell r="P1293">
            <v>46008</v>
          </cell>
          <cell r="Q1293">
            <v>1</v>
          </cell>
          <cell r="R1293" t="str">
            <v>NA</v>
          </cell>
          <cell r="S1293">
            <v>5</v>
          </cell>
        </row>
        <row r="1294">
          <cell r="B1294" t="str">
            <v>MNC</v>
          </cell>
          <cell r="C1294" t="str">
            <v>HSLB14621</v>
          </cell>
          <cell r="D1294">
            <v>204010</v>
          </cell>
          <cell r="E1294" t="str">
            <v>Silla tipo Casino</v>
          </cell>
          <cell r="F1294" t="str">
            <v>NO</v>
          </cell>
          <cell r="G1294" t="str">
            <v>NO</v>
          </cell>
          <cell r="H1294" t="str">
            <v>ESTAR PERSONAL C/ KITCHENETTE</v>
          </cell>
          <cell r="I1294">
            <v>4</v>
          </cell>
          <cell r="J1294" t="str">
            <v>C.4.6.2.4</v>
          </cell>
          <cell r="K1294" t="str">
            <v>Urgencia</v>
          </cell>
          <cell r="L1294">
            <v>1</v>
          </cell>
          <cell r="M1294">
            <v>46006</v>
          </cell>
          <cell r="N1294">
            <v>46007</v>
          </cell>
          <cell r="O1294">
            <v>1</v>
          </cell>
          <cell r="P1294">
            <v>46008</v>
          </cell>
          <cell r="Q1294">
            <v>1</v>
          </cell>
          <cell r="R1294" t="str">
            <v>NA</v>
          </cell>
          <cell r="S1294">
            <v>5</v>
          </cell>
        </row>
        <row r="1295">
          <cell r="B1295" t="str">
            <v>MNC</v>
          </cell>
          <cell r="C1295" t="str">
            <v>HSLB15041</v>
          </cell>
          <cell r="D1295">
            <v>204014</v>
          </cell>
          <cell r="E1295" t="str">
            <v>Sillón 2 Cuerpo</v>
          </cell>
          <cell r="F1295" t="str">
            <v>NO</v>
          </cell>
          <cell r="G1295" t="str">
            <v>NO</v>
          </cell>
          <cell r="H1295" t="str">
            <v>ESTAR PERSONAL C/ KITCHENETTE</v>
          </cell>
          <cell r="I1295">
            <v>1</v>
          </cell>
          <cell r="J1295" t="str">
            <v>C.4.6.2.4</v>
          </cell>
          <cell r="K1295" t="str">
            <v>Urgencia</v>
          </cell>
          <cell r="L1295">
            <v>1</v>
          </cell>
          <cell r="M1295">
            <v>46006</v>
          </cell>
          <cell r="N1295">
            <v>46007</v>
          </cell>
          <cell r="O1295">
            <v>1</v>
          </cell>
          <cell r="P1295">
            <v>46008</v>
          </cell>
          <cell r="Q1295">
            <v>1</v>
          </cell>
          <cell r="R1295" t="str">
            <v>NA</v>
          </cell>
          <cell r="S1295">
            <v>5</v>
          </cell>
        </row>
        <row r="1296">
          <cell r="B1296" t="str">
            <v>MNC</v>
          </cell>
          <cell r="C1296" t="str">
            <v>HSLB14622</v>
          </cell>
          <cell r="D1296">
            <v>204010</v>
          </cell>
          <cell r="E1296" t="str">
            <v>Silla tipo Casino</v>
          </cell>
          <cell r="F1296" t="str">
            <v>NO</v>
          </cell>
          <cell r="G1296" t="str">
            <v>NO</v>
          </cell>
          <cell r="H1296" t="str">
            <v>ESTAR PERSONAL C/ KITCHENETTE</v>
          </cell>
          <cell r="I1296">
            <v>4</v>
          </cell>
          <cell r="J1296" t="str">
            <v>C.4.6.2.5</v>
          </cell>
          <cell r="K1296" t="str">
            <v>Urgencia</v>
          </cell>
          <cell r="L1296">
            <v>1</v>
          </cell>
          <cell r="M1296">
            <v>46006</v>
          </cell>
          <cell r="N1296">
            <v>46007</v>
          </cell>
          <cell r="O1296">
            <v>1</v>
          </cell>
          <cell r="P1296">
            <v>46008</v>
          </cell>
          <cell r="Q1296">
            <v>1</v>
          </cell>
          <cell r="R1296" t="str">
            <v>NA</v>
          </cell>
          <cell r="S1296">
            <v>5</v>
          </cell>
        </row>
        <row r="1297">
          <cell r="B1297" t="str">
            <v>MNC</v>
          </cell>
          <cell r="C1297" t="str">
            <v>HSLB15042</v>
          </cell>
          <cell r="D1297">
            <v>204014</v>
          </cell>
          <cell r="E1297" t="str">
            <v>Sillón 2 Cuerpo</v>
          </cell>
          <cell r="F1297" t="str">
            <v>NO</v>
          </cell>
          <cell r="G1297" t="str">
            <v>NO</v>
          </cell>
          <cell r="H1297" t="str">
            <v>ESTAR PERSONAL C/ KITCHENETTE</v>
          </cell>
          <cell r="I1297">
            <v>1</v>
          </cell>
          <cell r="J1297" t="str">
            <v>C.4.6.2.5</v>
          </cell>
          <cell r="K1297" t="str">
            <v>Urgencia</v>
          </cell>
          <cell r="L1297">
            <v>1</v>
          </cell>
          <cell r="M1297">
            <v>46006</v>
          </cell>
          <cell r="N1297">
            <v>46007</v>
          </cell>
          <cell r="O1297">
            <v>1</v>
          </cell>
          <cell r="P1297">
            <v>46008</v>
          </cell>
          <cell r="Q1297">
            <v>1</v>
          </cell>
          <cell r="R1297" t="str">
            <v>NA</v>
          </cell>
          <cell r="S1297">
            <v>5</v>
          </cell>
        </row>
        <row r="1298">
          <cell r="B1298" t="str">
            <v>MNC</v>
          </cell>
          <cell r="C1298" t="str">
            <v>HSLB14806</v>
          </cell>
          <cell r="D1298">
            <v>204012</v>
          </cell>
          <cell r="E1298" t="str">
            <v>Silla Visita</v>
          </cell>
          <cell r="F1298" t="str">
            <v>NO</v>
          </cell>
          <cell r="G1298" t="str">
            <v>NO</v>
          </cell>
          <cell r="H1298" t="str">
            <v>SALA DE REUNIONES</v>
          </cell>
          <cell r="I1298">
            <v>14</v>
          </cell>
          <cell r="J1298" t="str">
            <v>C.4.6.4</v>
          </cell>
          <cell r="K1298" t="str">
            <v>Urgencia</v>
          </cell>
          <cell r="L1298">
            <v>1</v>
          </cell>
          <cell r="M1298">
            <v>46006</v>
          </cell>
          <cell r="N1298">
            <v>46007</v>
          </cell>
          <cell r="O1298">
            <v>1</v>
          </cell>
          <cell r="P1298">
            <v>46008</v>
          </cell>
          <cell r="Q1298">
            <v>1</v>
          </cell>
          <cell r="R1298" t="str">
            <v>NA</v>
          </cell>
          <cell r="S1298">
            <v>5</v>
          </cell>
        </row>
        <row r="1299">
          <cell r="B1299" t="str">
            <v>MNC</v>
          </cell>
          <cell r="C1299" t="str">
            <v>HSLB15356</v>
          </cell>
          <cell r="D1299">
            <v>204002</v>
          </cell>
          <cell r="E1299" t="str">
            <v>Banca Madera</v>
          </cell>
          <cell r="F1299" t="str">
            <v>NO</v>
          </cell>
          <cell r="G1299" t="str">
            <v>NO</v>
          </cell>
          <cell r="H1299" t="str">
            <v>CASILLEROS</v>
          </cell>
          <cell r="I1299">
            <v>1</v>
          </cell>
          <cell r="J1299" t="str">
            <v>C.4.6.7.1</v>
          </cell>
          <cell r="K1299" t="str">
            <v>Urgencia</v>
          </cell>
          <cell r="L1299">
            <v>1</v>
          </cell>
          <cell r="M1299">
            <v>46006</v>
          </cell>
          <cell r="N1299">
            <v>46007</v>
          </cell>
          <cell r="O1299">
            <v>1</v>
          </cell>
          <cell r="P1299">
            <v>46008</v>
          </cell>
          <cell r="Q1299">
            <v>1</v>
          </cell>
          <cell r="R1299" t="str">
            <v>NA</v>
          </cell>
          <cell r="S1299">
            <v>5</v>
          </cell>
        </row>
        <row r="1300">
          <cell r="B1300" t="str">
            <v>MNC</v>
          </cell>
          <cell r="C1300" t="str">
            <v>HSLB15357</v>
          </cell>
          <cell r="D1300">
            <v>204002</v>
          </cell>
          <cell r="E1300" t="str">
            <v>Banca Madera</v>
          </cell>
          <cell r="F1300" t="str">
            <v>NO</v>
          </cell>
          <cell r="G1300" t="str">
            <v>NO</v>
          </cell>
          <cell r="H1300" t="str">
            <v>CASILLEROS</v>
          </cell>
          <cell r="I1300">
            <v>1</v>
          </cell>
          <cell r="J1300" t="str">
            <v>C.4.6.7.2</v>
          </cell>
          <cell r="K1300" t="str">
            <v>Urgencia</v>
          </cell>
          <cell r="L1300">
            <v>1</v>
          </cell>
          <cell r="M1300">
            <v>46006</v>
          </cell>
          <cell r="N1300">
            <v>46007</v>
          </cell>
          <cell r="O1300">
            <v>1</v>
          </cell>
          <cell r="P1300">
            <v>46008</v>
          </cell>
          <cell r="Q1300">
            <v>1</v>
          </cell>
          <cell r="R1300" t="str">
            <v>NA</v>
          </cell>
          <cell r="S1300">
            <v>5</v>
          </cell>
        </row>
        <row r="1301">
          <cell r="B1301" t="str">
            <v>MNC</v>
          </cell>
          <cell r="C1301" t="str">
            <v>HSLB15358</v>
          </cell>
          <cell r="D1301">
            <v>204020</v>
          </cell>
          <cell r="E1301" t="str">
            <v>Silla Butaca Espera 3 Cuerpos</v>
          </cell>
          <cell r="F1301" t="str">
            <v>NO</v>
          </cell>
          <cell r="G1301" t="str">
            <v>NO</v>
          </cell>
          <cell r="H1301" t="str">
            <v xml:space="preserve">SALA DE ESPERA </v>
          </cell>
          <cell r="I1301">
            <v>9</v>
          </cell>
          <cell r="J1301" t="str">
            <v>C.5.1.1</v>
          </cell>
          <cell r="K1301" t="str">
            <v>Consultas medicas generales</v>
          </cell>
          <cell r="L1301">
            <v>1</v>
          </cell>
          <cell r="M1301">
            <v>46028</v>
          </cell>
          <cell r="N1301">
            <v>46029</v>
          </cell>
          <cell r="O1301">
            <v>2</v>
          </cell>
          <cell r="P1301">
            <v>46031</v>
          </cell>
          <cell r="Q1301">
            <v>1</v>
          </cell>
          <cell r="R1301" t="str">
            <v>NA</v>
          </cell>
          <cell r="S1301">
            <v>5</v>
          </cell>
        </row>
        <row r="1302">
          <cell r="B1302" t="str">
            <v>MNC</v>
          </cell>
          <cell r="C1302" t="str">
            <v>HSLB14362</v>
          </cell>
          <cell r="D1302">
            <v>204006</v>
          </cell>
          <cell r="E1302" t="str">
            <v>Silla Ergonómica</v>
          </cell>
          <cell r="F1302" t="str">
            <v>NO</v>
          </cell>
          <cell r="G1302" t="str">
            <v>NO</v>
          </cell>
          <cell r="H1302" t="str">
            <v>MÓDULO DE TRABAJO SOME ADMISIÓN</v>
          </cell>
          <cell r="I1302">
            <v>1</v>
          </cell>
          <cell r="J1302" t="str">
            <v>C.5.1.3</v>
          </cell>
          <cell r="K1302" t="str">
            <v>Consultas medicas generales</v>
          </cell>
          <cell r="L1302">
            <v>1</v>
          </cell>
          <cell r="M1302">
            <v>46028</v>
          </cell>
          <cell r="N1302">
            <v>46029</v>
          </cell>
          <cell r="O1302">
            <v>2</v>
          </cell>
          <cell r="P1302">
            <v>46031</v>
          </cell>
          <cell r="Q1302">
            <v>1</v>
          </cell>
          <cell r="R1302" t="str">
            <v>NA</v>
          </cell>
          <cell r="S1302">
            <v>5</v>
          </cell>
        </row>
        <row r="1303">
          <cell r="B1303" t="str">
            <v>MNC</v>
          </cell>
          <cell r="C1303" t="str">
            <v>HSLB14808</v>
          </cell>
          <cell r="D1303">
            <v>204012</v>
          </cell>
          <cell r="E1303" t="str">
            <v>Silla Visita</v>
          </cell>
          <cell r="F1303" t="str">
            <v>NO</v>
          </cell>
          <cell r="G1303" t="str">
            <v>NO</v>
          </cell>
          <cell r="H1303" t="str">
            <v>MÓDULO DE TRABAJO SOME ADMISIÓN</v>
          </cell>
          <cell r="I1303">
            <v>2</v>
          </cell>
          <cell r="J1303" t="str">
            <v>C.5.1.3</v>
          </cell>
          <cell r="K1303" t="str">
            <v>Consultas medicas generales</v>
          </cell>
          <cell r="L1303">
            <v>1</v>
          </cell>
          <cell r="M1303">
            <v>46028</v>
          </cell>
          <cell r="N1303">
            <v>46029</v>
          </cell>
          <cell r="O1303">
            <v>2</v>
          </cell>
          <cell r="P1303">
            <v>46031</v>
          </cell>
          <cell r="Q1303">
            <v>1</v>
          </cell>
          <cell r="R1303" t="str">
            <v>NA</v>
          </cell>
          <cell r="S1303">
            <v>5</v>
          </cell>
        </row>
        <row r="1304">
          <cell r="B1304" t="str">
            <v>MNC</v>
          </cell>
          <cell r="C1304" t="str">
            <v>HSLB14363</v>
          </cell>
          <cell r="D1304">
            <v>204006</v>
          </cell>
          <cell r="E1304" t="str">
            <v>Silla Ergonómica</v>
          </cell>
          <cell r="F1304" t="str">
            <v>NO</v>
          </cell>
          <cell r="G1304" t="str">
            <v>NO</v>
          </cell>
          <cell r="H1304" t="str">
            <v>MÓDULO DE TRABAJO SOME RECAUDACIÓN</v>
          </cell>
          <cell r="I1304">
            <v>1</v>
          </cell>
          <cell r="J1304" t="str">
            <v>C.5.1.4</v>
          </cell>
          <cell r="K1304" t="str">
            <v>Consultas medicas generales</v>
          </cell>
          <cell r="L1304">
            <v>1</v>
          </cell>
          <cell r="M1304">
            <v>46028</v>
          </cell>
          <cell r="N1304">
            <v>46029</v>
          </cell>
          <cell r="O1304">
            <v>2</v>
          </cell>
          <cell r="P1304">
            <v>46031</v>
          </cell>
          <cell r="Q1304">
            <v>1</v>
          </cell>
          <cell r="R1304" t="str">
            <v>NA</v>
          </cell>
          <cell r="S1304">
            <v>5</v>
          </cell>
        </row>
        <row r="1305">
          <cell r="B1305" t="str">
            <v>MNC</v>
          </cell>
          <cell r="C1305" t="str">
            <v>HSLB14809</v>
          </cell>
          <cell r="D1305">
            <v>204012</v>
          </cell>
          <cell r="E1305" t="str">
            <v>Silla Visita</v>
          </cell>
          <cell r="F1305" t="str">
            <v>NO</v>
          </cell>
          <cell r="G1305" t="str">
            <v>NO</v>
          </cell>
          <cell r="H1305" t="str">
            <v>MÓDULO DE TRABAJO SOME RECAUDACIÓN</v>
          </cell>
          <cell r="I1305">
            <v>2</v>
          </cell>
          <cell r="J1305" t="str">
            <v>C.5.1.4</v>
          </cell>
          <cell r="K1305" t="str">
            <v>Consultas medicas generales</v>
          </cell>
          <cell r="L1305">
            <v>1</v>
          </cell>
          <cell r="M1305">
            <v>46028</v>
          </cell>
          <cell r="N1305">
            <v>46029</v>
          </cell>
          <cell r="O1305">
            <v>2</v>
          </cell>
          <cell r="P1305">
            <v>46031</v>
          </cell>
          <cell r="Q1305">
            <v>1</v>
          </cell>
          <cell r="R1305" t="str">
            <v>NA</v>
          </cell>
          <cell r="S1305">
            <v>5</v>
          </cell>
        </row>
        <row r="1306">
          <cell r="B1306" t="str">
            <v>MNC</v>
          </cell>
          <cell r="C1306" t="str">
            <v>HSLB15359</v>
          </cell>
          <cell r="D1306">
            <v>204002</v>
          </cell>
          <cell r="E1306" t="str">
            <v>Banca Madera</v>
          </cell>
          <cell r="F1306" t="str">
            <v>NO</v>
          </cell>
          <cell r="G1306" t="str">
            <v>NO</v>
          </cell>
          <cell r="H1306" t="str">
            <v>VESTIDORES FUNCIONARIOS (MUJERES)</v>
          </cell>
          <cell r="I1306">
            <v>2</v>
          </cell>
          <cell r="J1306" t="str">
            <v>C.5.11.1</v>
          </cell>
          <cell r="K1306" t="str">
            <v>Vestuario</v>
          </cell>
          <cell r="L1306">
            <v>1</v>
          </cell>
          <cell r="M1306">
            <v>46037</v>
          </cell>
          <cell r="N1306">
            <v>46038</v>
          </cell>
          <cell r="O1306">
            <v>1</v>
          </cell>
          <cell r="P1306">
            <v>46041</v>
          </cell>
          <cell r="Q1306">
            <v>1</v>
          </cell>
          <cell r="R1306" t="str">
            <v>NA</v>
          </cell>
          <cell r="S1306">
            <v>5</v>
          </cell>
        </row>
        <row r="1307">
          <cell r="B1307" t="str">
            <v>MNC</v>
          </cell>
          <cell r="C1307" t="str">
            <v>HSLB15360</v>
          </cell>
          <cell r="D1307">
            <v>204002</v>
          </cell>
          <cell r="E1307" t="str">
            <v>Banca Madera</v>
          </cell>
          <cell r="F1307" t="str">
            <v>NO</v>
          </cell>
          <cell r="G1307" t="str">
            <v>NO</v>
          </cell>
          <cell r="H1307" t="str">
            <v>VESTIDORES FUNCIONARIOS (MUJERES)</v>
          </cell>
          <cell r="I1307">
            <v>9</v>
          </cell>
          <cell r="J1307" t="str">
            <v>C.5.11.1</v>
          </cell>
          <cell r="K1307" t="str">
            <v>Vestuario</v>
          </cell>
          <cell r="L1307">
            <v>1</v>
          </cell>
          <cell r="M1307">
            <v>46037</v>
          </cell>
          <cell r="N1307">
            <v>46038</v>
          </cell>
          <cell r="O1307">
            <v>1</v>
          </cell>
          <cell r="P1307">
            <v>46041</v>
          </cell>
          <cell r="Q1307">
            <v>1</v>
          </cell>
          <cell r="R1307" t="str">
            <v>NA</v>
          </cell>
          <cell r="S1307">
            <v>5</v>
          </cell>
        </row>
        <row r="1308">
          <cell r="B1308" t="str">
            <v>MNC</v>
          </cell>
          <cell r="C1308" t="str">
            <v>HSLB15361</v>
          </cell>
          <cell r="D1308">
            <v>204002</v>
          </cell>
          <cell r="E1308" t="str">
            <v>Banca Madera</v>
          </cell>
          <cell r="F1308" t="str">
            <v>NO</v>
          </cell>
          <cell r="G1308" t="str">
            <v>NO</v>
          </cell>
          <cell r="H1308" t="str">
            <v>DUCHAS FUNCIONARIOS (mujeres)</v>
          </cell>
          <cell r="I1308">
            <v>11</v>
          </cell>
          <cell r="J1308" t="str">
            <v>C.5.11.3</v>
          </cell>
          <cell r="K1308" t="str">
            <v>Vestuario</v>
          </cell>
          <cell r="L1308">
            <v>1</v>
          </cell>
          <cell r="M1308">
            <v>46037</v>
          </cell>
          <cell r="N1308">
            <v>46038</v>
          </cell>
          <cell r="O1308">
            <v>1</v>
          </cell>
          <cell r="P1308">
            <v>46041</v>
          </cell>
          <cell r="Q1308">
            <v>1</v>
          </cell>
          <cell r="R1308" t="str">
            <v>NA</v>
          </cell>
          <cell r="S1308">
            <v>5</v>
          </cell>
        </row>
        <row r="1309">
          <cell r="B1309" t="str">
            <v>MNC</v>
          </cell>
          <cell r="C1309" t="str">
            <v>HSLB15362</v>
          </cell>
          <cell r="D1309">
            <v>204002</v>
          </cell>
          <cell r="E1309" t="str">
            <v>Banca Madera</v>
          </cell>
          <cell r="F1309" t="str">
            <v>NO</v>
          </cell>
          <cell r="G1309" t="str">
            <v>NO</v>
          </cell>
          <cell r="H1309" t="str">
            <v>SALA LOCKERS FUNCIONARIOS (mujeres)</v>
          </cell>
          <cell r="I1309">
            <v>1</v>
          </cell>
          <cell r="J1309" t="str">
            <v>C.5.11.4</v>
          </cell>
          <cell r="K1309" t="str">
            <v>Vestuario</v>
          </cell>
          <cell r="L1309">
            <v>1</v>
          </cell>
          <cell r="M1309">
            <v>46037</v>
          </cell>
          <cell r="N1309">
            <v>46038</v>
          </cell>
          <cell r="O1309">
            <v>1</v>
          </cell>
          <cell r="P1309">
            <v>46041</v>
          </cell>
          <cell r="Q1309">
            <v>1</v>
          </cell>
          <cell r="R1309" t="str">
            <v>NA</v>
          </cell>
          <cell r="S1309">
            <v>5</v>
          </cell>
        </row>
        <row r="1310">
          <cell r="B1310" t="str">
            <v>MNC</v>
          </cell>
          <cell r="C1310" t="str">
            <v>HSLB15363</v>
          </cell>
          <cell r="D1310">
            <v>204002</v>
          </cell>
          <cell r="E1310" t="str">
            <v>Banca Madera</v>
          </cell>
          <cell r="F1310" t="str">
            <v>NO</v>
          </cell>
          <cell r="G1310" t="str">
            <v>NO</v>
          </cell>
          <cell r="H1310" t="str">
            <v>SALA LOCKERS FUNCIONARIOS (mujeres)</v>
          </cell>
          <cell r="I1310">
            <v>4</v>
          </cell>
          <cell r="J1310" t="str">
            <v>C.5.11.4</v>
          </cell>
          <cell r="K1310" t="str">
            <v>Vestuario</v>
          </cell>
          <cell r="L1310">
            <v>1</v>
          </cell>
          <cell r="M1310">
            <v>46037</v>
          </cell>
          <cell r="N1310">
            <v>46038</v>
          </cell>
          <cell r="O1310">
            <v>1</v>
          </cell>
          <cell r="P1310">
            <v>46041</v>
          </cell>
          <cell r="Q1310">
            <v>1</v>
          </cell>
          <cell r="R1310" t="str">
            <v>NA</v>
          </cell>
          <cell r="S1310">
            <v>5</v>
          </cell>
        </row>
        <row r="1311">
          <cell r="B1311" t="str">
            <v>MNC</v>
          </cell>
          <cell r="C1311" t="str">
            <v>HSLB15364</v>
          </cell>
          <cell r="D1311">
            <v>204002</v>
          </cell>
          <cell r="E1311" t="str">
            <v>Banca Madera</v>
          </cell>
          <cell r="F1311" t="str">
            <v>NO</v>
          </cell>
          <cell r="G1311" t="str">
            <v>NO</v>
          </cell>
          <cell r="H1311" t="str">
            <v>SALA LOCKERS FUNCIONARIOS (hombres)</v>
          </cell>
          <cell r="I1311">
            <v>6</v>
          </cell>
          <cell r="J1311" t="str">
            <v>C.5.11.5</v>
          </cell>
          <cell r="K1311" t="str">
            <v>Vestuario</v>
          </cell>
          <cell r="L1311">
            <v>1</v>
          </cell>
          <cell r="M1311">
            <v>46037</v>
          </cell>
          <cell r="N1311">
            <v>46038</v>
          </cell>
          <cell r="O1311">
            <v>1</v>
          </cell>
          <cell r="P1311">
            <v>46041</v>
          </cell>
          <cell r="Q1311">
            <v>1</v>
          </cell>
          <cell r="R1311" t="str">
            <v>NA</v>
          </cell>
          <cell r="S1311">
            <v>5</v>
          </cell>
        </row>
        <row r="1312">
          <cell r="B1312" t="str">
            <v>MNC</v>
          </cell>
          <cell r="C1312" t="str">
            <v>HSLB15365</v>
          </cell>
          <cell r="D1312">
            <v>204002</v>
          </cell>
          <cell r="E1312" t="str">
            <v>Banca Madera</v>
          </cell>
          <cell r="F1312" t="str">
            <v>NO</v>
          </cell>
          <cell r="G1312" t="str">
            <v>NO</v>
          </cell>
          <cell r="H1312" t="str">
            <v>DUCHAS FUNCIONARIOS (hombres)</v>
          </cell>
          <cell r="I1312">
            <v>6</v>
          </cell>
          <cell r="J1312" t="str">
            <v>C.5.11.7</v>
          </cell>
          <cell r="K1312" t="str">
            <v>Vestuario</v>
          </cell>
          <cell r="L1312">
            <v>1</v>
          </cell>
          <cell r="M1312">
            <v>46037</v>
          </cell>
          <cell r="N1312">
            <v>46038</v>
          </cell>
          <cell r="O1312">
            <v>1</v>
          </cell>
          <cell r="P1312">
            <v>46041</v>
          </cell>
          <cell r="Q1312">
            <v>1</v>
          </cell>
          <cell r="R1312" t="str">
            <v>NA</v>
          </cell>
          <cell r="S1312">
            <v>5</v>
          </cell>
        </row>
        <row r="1313">
          <cell r="B1313" t="str">
            <v>MNC</v>
          </cell>
          <cell r="C1313" t="str">
            <v>HSLB15366</v>
          </cell>
          <cell r="D1313">
            <v>204002</v>
          </cell>
          <cell r="E1313" t="str">
            <v>Banca Madera</v>
          </cell>
          <cell r="F1313" t="str">
            <v>NO</v>
          </cell>
          <cell r="G1313" t="str">
            <v>NO</v>
          </cell>
          <cell r="H1313" t="str">
            <v>SALA LOCKERS FUNCIONARIOS (hombres)</v>
          </cell>
          <cell r="I1313">
            <v>2</v>
          </cell>
          <cell r="J1313" t="str">
            <v>C.5.11.8</v>
          </cell>
          <cell r="K1313" t="str">
            <v>Vestuario</v>
          </cell>
          <cell r="L1313">
            <v>1</v>
          </cell>
          <cell r="M1313">
            <v>46037</v>
          </cell>
          <cell r="N1313">
            <v>46038</v>
          </cell>
          <cell r="O1313">
            <v>1</v>
          </cell>
          <cell r="P1313">
            <v>46041</v>
          </cell>
          <cell r="Q1313">
            <v>1</v>
          </cell>
          <cell r="R1313" t="str">
            <v>NA</v>
          </cell>
          <cell r="S1313">
            <v>5</v>
          </cell>
        </row>
        <row r="1314">
          <cell r="B1314" t="str">
            <v>MNC</v>
          </cell>
          <cell r="C1314" t="str">
            <v>HSLB14385</v>
          </cell>
          <cell r="D1314">
            <v>204006</v>
          </cell>
          <cell r="E1314" t="str">
            <v>Silla Ergonómica</v>
          </cell>
          <cell r="F1314" t="str">
            <v>NO</v>
          </cell>
          <cell r="G1314" t="str">
            <v>NO</v>
          </cell>
          <cell r="H1314" t="str">
            <v>MESÓN C/ARCHIVO Y FOTOCOPIADORA</v>
          </cell>
          <cell r="I1314">
            <v>1</v>
          </cell>
          <cell r="J1314" t="str">
            <v>C.5.3.1</v>
          </cell>
          <cell r="K1314" t="str">
            <v>Imagenología</v>
          </cell>
          <cell r="L1314">
            <v>1</v>
          </cell>
          <cell r="M1314">
            <v>46008</v>
          </cell>
          <cell r="N1314">
            <v>46009</v>
          </cell>
          <cell r="O1314">
            <v>1</v>
          </cell>
          <cell r="P1314">
            <v>46010</v>
          </cell>
          <cell r="Q1314">
            <v>1</v>
          </cell>
          <cell r="R1314" t="str">
            <v>NA</v>
          </cell>
          <cell r="S1314">
            <v>5</v>
          </cell>
        </row>
        <row r="1315">
          <cell r="B1315" t="str">
            <v>MNC</v>
          </cell>
          <cell r="C1315" t="str">
            <v>HSLB14386</v>
          </cell>
          <cell r="D1315">
            <v>204006</v>
          </cell>
          <cell r="E1315" t="str">
            <v>Silla Ergonómica</v>
          </cell>
          <cell r="F1315" t="str">
            <v>NO</v>
          </cell>
          <cell r="G1315" t="str">
            <v>NO</v>
          </cell>
          <cell r="H1315" t="str">
            <v>SECRETARIA C/ARCHIVO, FOTOCOP.</v>
          </cell>
          <cell r="I1315">
            <v>1</v>
          </cell>
          <cell r="J1315" t="str">
            <v>C.5.3.12</v>
          </cell>
          <cell r="K1315" t="str">
            <v>Imagenología</v>
          </cell>
          <cell r="L1315">
            <v>1</v>
          </cell>
          <cell r="M1315">
            <v>46008</v>
          </cell>
          <cell r="N1315">
            <v>46009</v>
          </cell>
          <cell r="O1315">
            <v>1</v>
          </cell>
          <cell r="P1315">
            <v>46010</v>
          </cell>
          <cell r="Q1315">
            <v>1</v>
          </cell>
          <cell r="R1315" t="str">
            <v>NA</v>
          </cell>
          <cell r="S1315">
            <v>5</v>
          </cell>
        </row>
        <row r="1316">
          <cell r="B1316" t="str">
            <v>MNC</v>
          </cell>
          <cell r="C1316" t="str">
            <v>HSLB14824</v>
          </cell>
          <cell r="D1316">
            <v>204012</v>
          </cell>
          <cell r="E1316" t="str">
            <v>Silla Visita</v>
          </cell>
          <cell r="F1316" t="str">
            <v>NO</v>
          </cell>
          <cell r="G1316" t="str">
            <v>NO</v>
          </cell>
          <cell r="H1316" t="str">
            <v>SECRETARIA C/ARCHIVO, FOTOCOP.</v>
          </cell>
          <cell r="I1316">
            <v>2</v>
          </cell>
          <cell r="J1316" t="str">
            <v>C.5.3.12</v>
          </cell>
          <cell r="K1316" t="str">
            <v>Imagenología</v>
          </cell>
          <cell r="L1316">
            <v>1</v>
          </cell>
          <cell r="M1316">
            <v>46008</v>
          </cell>
          <cell r="N1316">
            <v>46009</v>
          </cell>
          <cell r="O1316">
            <v>1</v>
          </cell>
          <cell r="P1316">
            <v>46010</v>
          </cell>
          <cell r="Q1316">
            <v>1</v>
          </cell>
          <cell r="R1316" t="str">
            <v>NA</v>
          </cell>
          <cell r="S1316">
            <v>5</v>
          </cell>
        </row>
        <row r="1317">
          <cell r="B1317" t="str">
            <v>MNC</v>
          </cell>
          <cell r="C1317" t="str">
            <v>HSLB14387</v>
          </cell>
          <cell r="D1317">
            <v>204006</v>
          </cell>
          <cell r="E1317" t="str">
            <v>Silla Ergonómica</v>
          </cell>
          <cell r="F1317" t="str">
            <v>NO</v>
          </cell>
          <cell r="G1317" t="str">
            <v>NO</v>
          </cell>
          <cell r="H1317" t="str">
            <v>OFICINA JEFE IMAGENOLOGÍA</v>
          </cell>
          <cell r="I1317">
            <v>1</v>
          </cell>
          <cell r="J1317" t="str">
            <v>C.5.3.13</v>
          </cell>
          <cell r="K1317" t="str">
            <v>Imagenología</v>
          </cell>
          <cell r="L1317">
            <v>1</v>
          </cell>
          <cell r="M1317">
            <v>46008</v>
          </cell>
          <cell r="N1317">
            <v>46009</v>
          </cell>
          <cell r="O1317">
            <v>1</v>
          </cell>
          <cell r="P1317">
            <v>46010</v>
          </cell>
          <cell r="Q1317">
            <v>1</v>
          </cell>
          <cell r="R1317" t="str">
            <v>NA</v>
          </cell>
          <cell r="S1317">
            <v>5</v>
          </cell>
        </row>
        <row r="1318">
          <cell r="B1318" t="str">
            <v>MNC</v>
          </cell>
          <cell r="C1318" t="str">
            <v>HSLB14825</v>
          </cell>
          <cell r="D1318">
            <v>204012</v>
          </cell>
          <cell r="E1318" t="str">
            <v>Silla Visita</v>
          </cell>
          <cell r="F1318" t="str">
            <v>NO</v>
          </cell>
          <cell r="G1318" t="str">
            <v>NO</v>
          </cell>
          <cell r="H1318" t="str">
            <v>OFICINA JEFE IMAGENOLOGÍA</v>
          </cell>
          <cell r="I1318">
            <v>2</v>
          </cell>
          <cell r="J1318" t="str">
            <v>C.5.3.13</v>
          </cell>
          <cell r="K1318" t="str">
            <v>Imagenología</v>
          </cell>
          <cell r="L1318">
            <v>1</v>
          </cell>
          <cell r="M1318">
            <v>46008</v>
          </cell>
          <cell r="N1318">
            <v>46009</v>
          </cell>
          <cell r="O1318">
            <v>1</v>
          </cell>
          <cell r="P1318">
            <v>46010</v>
          </cell>
          <cell r="Q1318">
            <v>1</v>
          </cell>
          <cell r="R1318" t="str">
            <v>NA</v>
          </cell>
          <cell r="S1318">
            <v>5</v>
          </cell>
        </row>
        <row r="1319">
          <cell r="B1319" t="str">
            <v>MNC</v>
          </cell>
          <cell r="C1319" t="str">
            <v>HSLB14388</v>
          </cell>
          <cell r="D1319">
            <v>204006</v>
          </cell>
          <cell r="E1319" t="str">
            <v>Silla Ergonómica</v>
          </cell>
          <cell r="F1319" t="str">
            <v>NO</v>
          </cell>
          <cell r="G1319" t="str">
            <v>NO</v>
          </cell>
          <cell r="H1319" t="str">
            <v>COORDINADOR IMAGENOLOGÍA</v>
          </cell>
          <cell r="I1319">
            <v>1</v>
          </cell>
          <cell r="J1319" t="str">
            <v>C.5.3.14</v>
          </cell>
          <cell r="K1319" t="str">
            <v>Imagenología</v>
          </cell>
          <cell r="L1319">
            <v>1</v>
          </cell>
          <cell r="M1319">
            <v>46008</v>
          </cell>
          <cell r="N1319">
            <v>46009</v>
          </cell>
          <cell r="O1319">
            <v>1</v>
          </cell>
          <cell r="P1319">
            <v>46010</v>
          </cell>
          <cell r="Q1319">
            <v>1</v>
          </cell>
          <cell r="R1319" t="str">
            <v>NA</v>
          </cell>
          <cell r="S1319">
            <v>5</v>
          </cell>
        </row>
        <row r="1320">
          <cell r="B1320" t="str">
            <v>MNC</v>
          </cell>
          <cell r="C1320" t="str">
            <v>HSLB14826</v>
          </cell>
          <cell r="D1320">
            <v>204012</v>
          </cell>
          <cell r="E1320" t="str">
            <v>Silla Visita</v>
          </cell>
          <cell r="F1320" t="str">
            <v>NO</v>
          </cell>
          <cell r="G1320" t="str">
            <v>NO</v>
          </cell>
          <cell r="H1320" t="str">
            <v>COORDINADOR IMAGENOLOGÍA</v>
          </cell>
          <cell r="I1320">
            <v>2</v>
          </cell>
          <cell r="J1320" t="str">
            <v>C.5.3.14</v>
          </cell>
          <cell r="K1320" t="str">
            <v>Imagenología</v>
          </cell>
          <cell r="L1320">
            <v>1</v>
          </cell>
          <cell r="M1320">
            <v>46008</v>
          </cell>
          <cell r="N1320">
            <v>46009</v>
          </cell>
          <cell r="O1320">
            <v>1</v>
          </cell>
          <cell r="P1320">
            <v>46010</v>
          </cell>
          <cell r="Q1320">
            <v>1</v>
          </cell>
          <cell r="R1320" t="str">
            <v>NA</v>
          </cell>
          <cell r="S1320">
            <v>5</v>
          </cell>
        </row>
        <row r="1321">
          <cell r="B1321" t="str">
            <v>MNC</v>
          </cell>
          <cell r="C1321" t="str">
            <v>HSLB14389</v>
          </cell>
          <cell r="D1321">
            <v>204006</v>
          </cell>
          <cell r="E1321" t="str">
            <v>Silla Ergonómica</v>
          </cell>
          <cell r="F1321" t="str">
            <v>NO</v>
          </cell>
          <cell r="G1321" t="str">
            <v>SI</v>
          </cell>
          <cell r="H1321" t="str">
            <v>MÓDULO DE TRABAJO (INFORMES)</v>
          </cell>
          <cell r="I1321">
            <v>6</v>
          </cell>
          <cell r="J1321" t="str">
            <v>C.5.3.15</v>
          </cell>
          <cell r="K1321" t="str">
            <v>Imagenología</v>
          </cell>
          <cell r="L1321">
            <v>1</v>
          </cell>
          <cell r="M1321">
            <v>46003</v>
          </cell>
          <cell r="N1321">
            <v>46006</v>
          </cell>
          <cell r="O1321">
            <v>1</v>
          </cell>
          <cell r="P1321">
            <v>46007</v>
          </cell>
          <cell r="Q1321">
            <v>1</v>
          </cell>
          <cell r="R1321" t="str">
            <v>NA</v>
          </cell>
          <cell r="S1321">
            <v>5</v>
          </cell>
        </row>
        <row r="1322">
          <cell r="B1322" t="str">
            <v>MNC</v>
          </cell>
          <cell r="C1322" t="str">
            <v>HSLB14390</v>
          </cell>
          <cell r="D1322">
            <v>204006</v>
          </cell>
          <cell r="E1322" t="str">
            <v>Silla Ergonómica</v>
          </cell>
          <cell r="F1322" t="str">
            <v>NO</v>
          </cell>
          <cell r="G1322" t="str">
            <v>NO</v>
          </cell>
          <cell r="H1322" t="str">
            <v>SALA DE INFORMES Y DIAGNÓSTICO A DISTANCIA + IMPRESIÓN</v>
          </cell>
          <cell r="I1322">
            <v>3</v>
          </cell>
          <cell r="J1322" t="str">
            <v>C.5.3.16</v>
          </cell>
          <cell r="K1322" t="str">
            <v>Imagenología</v>
          </cell>
          <cell r="L1322">
            <v>1</v>
          </cell>
          <cell r="M1322">
            <v>46008</v>
          </cell>
          <cell r="N1322">
            <v>46009</v>
          </cell>
          <cell r="O1322">
            <v>1</v>
          </cell>
          <cell r="P1322">
            <v>46010</v>
          </cell>
          <cell r="Q1322">
            <v>1</v>
          </cell>
          <cell r="R1322" t="str">
            <v>NA</v>
          </cell>
          <cell r="S1322">
            <v>5</v>
          </cell>
        </row>
        <row r="1323">
          <cell r="B1323" t="str">
            <v>MNC</v>
          </cell>
          <cell r="C1323" t="str">
            <v>HSLB14606</v>
          </cell>
          <cell r="D1323">
            <v>204010</v>
          </cell>
          <cell r="E1323" t="str">
            <v>Silla tipo Casino</v>
          </cell>
          <cell r="F1323" t="str">
            <v>NO</v>
          </cell>
          <cell r="G1323" t="str">
            <v>NO</v>
          </cell>
          <cell r="H1323" t="str">
            <v>ESTAR PERSONAL C/ KITCHENETTE</v>
          </cell>
          <cell r="I1323">
            <v>4</v>
          </cell>
          <cell r="J1323" t="str">
            <v>C.5.3.17</v>
          </cell>
          <cell r="K1323" t="str">
            <v>Imagenología</v>
          </cell>
          <cell r="L1323">
            <v>1</v>
          </cell>
          <cell r="M1323">
            <v>46008</v>
          </cell>
          <cell r="N1323">
            <v>46009</v>
          </cell>
          <cell r="O1323">
            <v>1</v>
          </cell>
          <cell r="P1323">
            <v>46010</v>
          </cell>
          <cell r="Q1323">
            <v>1</v>
          </cell>
          <cell r="R1323" t="str">
            <v>NA</v>
          </cell>
          <cell r="S1323">
            <v>5</v>
          </cell>
        </row>
        <row r="1324">
          <cell r="B1324" t="str">
            <v>MNC</v>
          </cell>
          <cell r="C1324" t="str">
            <v>HSLB15022</v>
          </cell>
          <cell r="D1324">
            <v>204014</v>
          </cell>
          <cell r="E1324" t="str">
            <v>Sillón 2 Cuerpo</v>
          </cell>
          <cell r="F1324" t="str">
            <v>NO</v>
          </cell>
          <cell r="G1324" t="str">
            <v>NO</v>
          </cell>
          <cell r="H1324" t="str">
            <v>ESTAR PERSONAL C/ KITCHENETTE</v>
          </cell>
          <cell r="I1324">
            <v>1</v>
          </cell>
          <cell r="J1324" t="str">
            <v>C.5.3.17</v>
          </cell>
          <cell r="K1324" t="str">
            <v>Imagenología</v>
          </cell>
          <cell r="L1324">
            <v>1</v>
          </cell>
          <cell r="M1324">
            <v>46008</v>
          </cell>
          <cell r="N1324">
            <v>46009</v>
          </cell>
          <cell r="O1324">
            <v>1</v>
          </cell>
          <cell r="P1324">
            <v>46010</v>
          </cell>
          <cell r="Q1324">
            <v>1</v>
          </cell>
          <cell r="R1324" t="str">
            <v>NA</v>
          </cell>
          <cell r="S1324">
            <v>5</v>
          </cell>
        </row>
        <row r="1325">
          <cell r="B1325" t="str">
            <v>MNC</v>
          </cell>
          <cell r="C1325" t="str">
            <v>HSLB15373</v>
          </cell>
          <cell r="D1325">
            <v>204020</v>
          </cell>
          <cell r="E1325" t="str">
            <v>Silla Butaca Espera 3 Cuerpos</v>
          </cell>
          <cell r="F1325" t="str">
            <v>NO</v>
          </cell>
          <cell r="G1325" t="str">
            <v>NO</v>
          </cell>
          <cell r="H1325" t="str">
            <v>SALA DE ESPERA</v>
          </cell>
          <cell r="I1325">
            <v>13</v>
          </cell>
          <cell r="J1325" t="str">
            <v>C.5.3.2</v>
          </cell>
          <cell r="K1325" t="str">
            <v>Imagenología</v>
          </cell>
          <cell r="L1325">
            <v>1</v>
          </cell>
          <cell r="M1325">
            <v>46008</v>
          </cell>
          <cell r="N1325">
            <v>46009</v>
          </cell>
          <cell r="O1325">
            <v>1</v>
          </cell>
          <cell r="P1325">
            <v>46010</v>
          </cell>
          <cell r="Q1325">
            <v>1</v>
          </cell>
          <cell r="R1325" t="str">
            <v>NA</v>
          </cell>
          <cell r="S1325">
            <v>5</v>
          </cell>
        </row>
        <row r="1326">
          <cell r="B1326" t="str">
            <v>MNC</v>
          </cell>
          <cell r="C1326" t="str">
            <v>HSLB14148</v>
          </cell>
          <cell r="D1326">
            <v>204002</v>
          </cell>
          <cell r="E1326" t="str">
            <v>Banca Madera</v>
          </cell>
          <cell r="F1326" t="str">
            <v>NO</v>
          </cell>
          <cell r="G1326" t="str">
            <v>NO</v>
          </cell>
          <cell r="H1326" t="str">
            <v>RADIOLOGÍA DIGITAL OSTEOPULMONAR(RX) (SALA EQUIPO/COMANDO/2VESTIDOR)</v>
          </cell>
          <cell r="I1326">
            <v>2</v>
          </cell>
          <cell r="J1326" t="str">
            <v>C.5.3.5.1</v>
          </cell>
          <cell r="K1326" t="str">
            <v>Imagenología</v>
          </cell>
          <cell r="L1326">
            <v>1</v>
          </cell>
          <cell r="M1326">
            <v>46008</v>
          </cell>
          <cell r="N1326">
            <v>46009</v>
          </cell>
          <cell r="O1326">
            <v>1</v>
          </cell>
          <cell r="P1326">
            <v>46010</v>
          </cell>
          <cell r="Q1326">
            <v>1</v>
          </cell>
          <cell r="R1326" t="str">
            <v>NA</v>
          </cell>
          <cell r="S1326">
            <v>5</v>
          </cell>
        </row>
        <row r="1327">
          <cell r="B1327" t="str">
            <v>MNC</v>
          </cell>
          <cell r="C1327" t="str">
            <v>HSLB14391</v>
          </cell>
          <cell r="D1327">
            <v>204006</v>
          </cell>
          <cell r="E1327" t="str">
            <v>Silla Ergonómica</v>
          </cell>
          <cell r="F1327" t="str">
            <v>NO</v>
          </cell>
          <cell r="G1327" t="str">
            <v>NO</v>
          </cell>
          <cell r="H1327" t="str">
            <v>RADIOLOGÍA DIGITAL OSTEOPULMONAR(RX) (SALA EQUIPO/COMANDO/2VESTIDOR)</v>
          </cell>
          <cell r="I1327">
            <v>1</v>
          </cell>
          <cell r="J1327" t="str">
            <v>C.5.3.5.1</v>
          </cell>
          <cell r="K1327" t="str">
            <v>Imagenología</v>
          </cell>
          <cell r="L1327">
            <v>1</v>
          </cell>
          <cell r="M1327">
            <v>46008</v>
          </cell>
          <cell r="N1327">
            <v>46009</v>
          </cell>
          <cell r="O1327">
            <v>1</v>
          </cell>
          <cell r="P1327">
            <v>46010</v>
          </cell>
          <cell r="Q1327">
            <v>1</v>
          </cell>
          <cell r="R1327" t="str">
            <v>NA</v>
          </cell>
          <cell r="S1327">
            <v>5</v>
          </cell>
        </row>
        <row r="1328">
          <cell r="B1328" t="str">
            <v>MNC</v>
          </cell>
          <cell r="C1328" t="str">
            <v>HSLB14149</v>
          </cell>
          <cell r="D1328">
            <v>204002</v>
          </cell>
          <cell r="E1328" t="str">
            <v>Banca Madera</v>
          </cell>
          <cell r="F1328" t="str">
            <v>NO</v>
          </cell>
          <cell r="G1328" t="str">
            <v>NO</v>
          </cell>
          <cell r="H1328" t="str">
            <v>RADIOLOGÍA DIGITAL OSTEOPULMONAR (RX) (SALA EQUIPO/COMANDO/2VESTIDOR)</v>
          </cell>
          <cell r="I1328">
            <v>2</v>
          </cell>
          <cell r="J1328" t="str">
            <v>C.5.3.5.2</v>
          </cell>
          <cell r="K1328" t="str">
            <v>Imagenología</v>
          </cell>
          <cell r="L1328">
            <v>1</v>
          </cell>
          <cell r="M1328">
            <v>46008</v>
          </cell>
          <cell r="N1328">
            <v>46009</v>
          </cell>
          <cell r="O1328">
            <v>1</v>
          </cell>
          <cell r="P1328">
            <v>46010</v>
          </cell>
          <cell r="Q1328">
            <v>1</v>
          </cell>
          <cell r="R1328" t="str">
            <v>NA</v>
          </cell>
          <cell r="S1328">
            <v>5</v>
          </cell>
        </row>
        <row r="1329">
          <cell r="B1329" t="str">
            <v>MNC</v>
          </cell>
          <cell r="C1329" t="str">
            <v>HSLB14392</v>
          </cell>
          <cell r="D1329">
            <v>204006</v>
          </cell>
          <cell r="E1329" t="str">
            <v>Silla Ergonómica</v>
          </cell>
          <cell r="F1329" t="str">
            <v>NO</v>
          </cell>
          <cell r="G1329" t="str">
            <v>NO</v>
          </cell>
          <cell r="H1329" t="str">
            <v>RADIOLOGÍA DIGITAL OSTEOPULMONAR (RX) (SALA EQUIPO/COMANDO/2VESTIDOR)</v>
          </cell>
          <cell r="I1329">
            <v>1</v>
          </cell>
          <cell r="J1329" t="str">
            <v>C.5.3.5.2</v>
          </cell>
          <cell r="K1329" t="str">
            <v>Imagenología</v>
          </cell>
          <cell r="L1329">
            <v>1</v>
          </cell>
          <cell r="M1329">
            <v>46008</v>
          </cell>
          <cell r="N1329">
            <v>46009</v>
          </cell>
          <cell r="O1329">
            <v>1</v>
          </cell>
          <cell r="P1329">
            <v>46010</v>
          </cell>
          <cell r="Q1329">
            <v>1</v>
          </cell>
          <cell r="R1329" t="str">
            <v>NA</v>
          </cell>
          <cell r="S1329">
            <v>5</v>
          </cell>
        </row>
        <row r="1330">
          <cell r="B1330" t="str">
            <v>MNC</v>
          </cell>
          <cell r="C1330" t="str">
            <v>HSLB14150</v>
          </cell>
          <cell r="D1330">
            <v>204002</v>
          </cell>
          <cell r="E1330" t="str">
            <v>Banca Madera</v>
          </cell>
          <cell r="F1330" t="str">
            <v>NO</v>
          </cell>
          <cell r="G1330" t="str">
            <v>NO</v>
          </cell>
          <cell r="H1330" t="str">
            <v>RADIOLOGÍA DIGITAL OSTEOPULMONAR(RX) (SALA EQUIPO/COMANDO/2VESTIDOR)</v>
          </cell>
          <cell r="I1330">
            <v>2</v>
          </cell>
          <cell r="J1330" t="str">
            <v>C.5.3.5.3</v>
          </cell>
          <cell r="K1330" t="str">
            <v>Imagenología</v>
          </cell>
          <cell r="L1330">
            <v>1</v>
          </cell>
          <cell r="M1330">
            <v>46008</v>
          </cell>
          <cell r="N1330">
            <v>46009</v>
          </cell>
          <cell r="O1330">
            <v>1</v>
          </cell>
          <cell r="P1330">
            <v>46010</v>
          </cell>
          <cell r="Q1330">
            <v>1</v>
          </cell>
          <cell r="R1330" t="str">
            <v>NA</v>
          </cell>
          <cell r="S1330">
            <v>5</v>
          </cell>
        </row>
        <row r="1331">
          <cell r="B1331" t="str">
            <v>MNC</v>
          </cell>
          <cell r="C1331" t="str">
            <v>HSLB14393</v>
          </cell>
          <cell r="D1331">
            <v>204006</v>
          </cell>
          <cell r="E1331" t="str">
            <v>Silla Ergonómica</v>
          </cell>
          <cell r="F1331" t="str">
            <v>NO</v>
          </cell>
          <cell r="G1331" t="str">
            <v>NO</v>
          </cell>
          <cell r="H1331" t="str">
            <v>RADIOLOGÍA DIGITAL OSTEOPULMONAR(RX) (SALA EQUIPO/COMANDO/2VESTIDOR)</v>
          </cell>
          <cell r="I1331">
            <v>1</v>
          </cell>
          <cell r="J1331" t="str">
            <v>C.5.3.5.3</v>
          </cell>
          <cell r="K1331" t="str">
            <v>Imagenología</v>
          </cell>
          <cell r="L1331">
            <v>1</v>
          </cell>
          <cell r="M1331">
            <v>46008</v>
          </cell>
          <cell r="N1331">
            <v>46009</v>
          </cell>
          <cell r="O1331">
            <v>1</v>
          </cell>
          <cell r="P1331">
            <v>46010</v>
          </cell>
          <cell r="Q1331">
            <v>1</v>
          </cell>
          <cell r="R1331" t="str">
            <v>NA</v>
          </cell>
          <cell r="S1331">
            <v>5</v>
          </cell>
        </row>
        <row r="1332">
          <cell r="B1332" t="str">
            <v>MNC</v>
          </cell>
          <cell r="C1332" t="str">
            <v>HSLB14151</v>
          </cell>
          <cell r="D1332">
            <v>204002</v>
          </cell>
          <cell r="E1332" t="str">
            <v>Banca Madera</v>
          </cell>
          <cell r="F1332" t="str">
            <v>NO</v>
          </cell>
          <cell r="G1332" t="str">
            <v>NO</v>
          </cell>
          <cell r="H1332" t="str">
            <v>SALA MAMÓGRAFO</v>
          </cell>
          <cell r="I1332">
            <v>2</v>
          </cell>
          <cell r="J1332" t="str">
            <v>C.5.3.6</v>
          </cell>
          <cell r="K1332" t="str">
            <v>Imagenología</v>
          </cell>
          <cell r="L1332">
            <v>1</v>
          </cell>
          <cell r="M1332">
            <v>46008</v>
          </cell>
          <cell r="N1332">
            <v>46009</v>
          </cell>
          <cell r="O1332">
            <v>1</v>
          </cell>
          <cell r="P1332">
            <v>46010</v>
          </cell>
          <cell r="Q1332">
            <v>1</v>
          </cell>
          <cell r="R1332" t="str">
            <v>NA</v>
          </cell>
          <cell r="S1332">
            <v>5</v>
          </cell>
        </row>
        <row r="1333">
          <cell r="B1333" t="str">
            <v>MNC</v>
          </cell>
          <cell r="C1333" t="str">
            <v>HSLB14827</v>
          </cell>
          <cell r="D1333">
            <v>204012</v>
          </cell>
          <cell r="E1333" t="str">
            <v>Silla Visita</v>
          </cell>
          <cell r="F1333" t="str">
            <v>NO</v>
          </cell>
          <cell r="G1333" t="str">
            <v>NO</v>
          </cell>
          <cell r="H1333" t="str">
            <v>SALA MAMÓGRAFO</v>
          </cell>
          <cell r="I1333">
            <v>2</v>
          </cell>
          <cell r="J1333" t="str">
            <v>C.5.3.6</v>
          </cell>
          <cell r="K1333" t="str">
            <v>Imagenología</v>
          </cell>
          <cell r="L1333">
            <v>1</v>
          </cell>
          <cell r="M1333">
            <v>46008</v>
          </cell>
          <cell r="N1333">
            <v>46009</v>
          </cell>
          <cell r="O1333">
            <v>1</v>
          </cell>
          <cell r="P1333">
            <v>46010</v>
          </cell>
          <cell r="Q1333">
            <v>1</v>
          </cell>
          <cell r="R1333" t="str">
            <v>NA</v>
          </cell>
          <cell r="S1333">
            <v>5</v>
          </cell>
        </row>
        <row r="1334">
          <cell r="B1334" t="str">
            <v>MNC</v>
          </cell>
          <cell r="C1334" t="str">
            <v>HSLB14152</v>
          </cell>
          <cell r="D1334">
            <v>204002</v>
          </cell>
          <cell r="E1334" t="str">
            <v>Banca Madera</v>
          </cell>
          <cell r="F1334" t="str">
            <v>NO</v>
          </cell>
          <cell r="G1334" t="str">
            <v>NO</v>
          </cell>
          <cell r="H1334" t="str">
            <v>SALA TOMOGRAFO AXIAL COMPUTARIZADO (PREPARACIÓN/EQUIPO/COMANDO/VESTIDOR)</v>
          </cell>
          <cell r="I1334">
            <v>2</v>
          </cell>
          <cell r="J1334" t="str">
            <v>C.5.3.7</v>
          </cell>
          <cell r="K1334" t="str">
            <v>Imagenología</v>
          </cell>
          <cell r="L1334">
            <v>1</v>
          </cell>
          <cell r="M1334">
            <v>46008</v>
          </cell>
          <cell r="N1334">
            <v>46009</v>
          </cell>
          <cell r="O1334">
            <v>1</v>
          </cell>
          <cell r="P1334">
            <v>46010</v>
          </cell>
          <cell r="Q1334">
            <v>1</v>
          </cell>
          <cell r="R1334" t="str">
            <v>NA</v>
          </cell>
          <cell r="S1334">
            <v>5</v>
          </cell>
        </row>
        <row r="1335">
          <cell r="B1335" t="str">
            <v>MNC</v>
          </cell>
          <cell r="C1335" t="str">
            <v>HSLB14394</v>
          </cell>
          <cell r="D1335">
            <v>204006</v>
          </cell>
          <cell r="E1335" t="str">
            <v>Silla Ergonómica</v>
          </cell>
          <cell r="F1335" t="str">
            <v>NO</v>
          </cell>
          <cell r="G1335" t="str">
            <v>NO</v>
          </cell>
          <cell r="H1335" t="str">
            <v>SALA TOMOGRAFO AXIAL COMPUTARIZADO (PREPARACIÓN/EQUIPO/COMANDO/VESTIDOR)</v>
          </cell>
          <cell r="I1335">
            <v>2</v>
          </cell>
          <cell r="J1335" t="str">
            <v>C.5.3.7</v>
          </cell>
          <cell r="K1335" t="str">
            <v>Imagenología</v>
          </cell>
          <cell r="L1335">
            <v>1</v>
          </cell>
          <cell r="M1335">
            <v>46008</v>
          </cell>
          <cell r="N1335">
            <v>46009</v>
          </cell>
          <cell r="O1335">
            <v>1</v>
          </cell>
          <cell r="P1335">
            <v>46010</v>
          </cell>
          <cell r="Q1335">
            <v>1</v>
          </cell>
          <cell r="R1335" t="str">
            <v>NA</v>
          </cell>
          <cell r="S1335">
            <v>5</v>
          </cell>
        </row>
        <row r="1336">
          <cell r="B1336" t="str">
            <v>MNC</v>
          </cell>
          <cell r="C1336" t="str">
            <v>HSLB14153</v>
          </cell>
          <cell r="D1336">
            <v>204002</v>
          </cell>
          <cell r="E1336" t="str">
            <v>Banca Madera</v>
          </cell>
          <cell r="F1336" t="str">
            <v>NO</v>
          </cell>
          <cell r="G1336" t="str">
            <v>NO</v>
          </cell>
          <cell r="H1336" t="str">
            <v>SALA ECOTOMOGRAFO GINECO-OBSTETRICO (EQUIPO/VESTIDOR)</v>
          </cell>
          <cell r="I1336">
            <v>2</v>
          </cell>
          <cell r="J1336" t="str">
            <v>C.5.3.8</v>
          </cell>
          <cell r="K1336" t="str">
            <v>Imagenología</v>
          </cell>
          <cell r="L1336">
            <v>1</v>
          </cell>
          <cell r="M1336">
            <v>46008</v>
          </cell>
          <cell r="N1336">
            <v>46009</v>
          </cell>
          <cell r="O1336">
            <v>1</v>
          </cell>
          <cell r="P1336">
            <v>46010</v>
          </cell>
          <cell r="Q1336">
            <v>1</v>
          </cell>
          <cell r="R1336" t="str">
            <v>NA</v>
          </cell>
          <cell r="S1336">
            <v>5</v>
          </cell>
        </row>
        <row r="1337">
          <cell r="B1337" t="str">
            <v>MNC</v>
          </cell>
          <cell r="C1337" t="str">
            <v>HSLB14395</v>
          </cell>
          <cell r="D1337">
            <v>204006</v>
          </cell>
          <cell r="E1337" t="str">
            <v>Silla Ergonómica</v>
          </cell>
          <cell r="F1337" t="str">
            <v>NO</v>
          </cell>
          <cell r="G1337" t="str">
            <v>NO</v>
          </cell>
          <cell r="H1337" t="str">
            <v>SALA ECOTOMOGRAFO GINECO-OBSTETRICO (EQUIPO/VESTIDOR)</v>
          </cell>
          <cell r="I1337">
            <v>1</v>
          </cell>
          <cell r="J1337" t="str">
            <v>C.5.3.8</v>
          </cell>
          <cell r="K1337" t="str">
            <v>Imagenología</v>
          </cell>
          <cell r="L1337">
            <v>1</v>
          </cell>
          <cell r="M1337">
            <v>46008</v>
          </cell>
          <cell r="N1337">
            <v>46009</v>
          </cell>
          <cell r="O1337">
            <v>1</v>
          </cell>
          <cell r="P1337">
            <v>46010</v>
          </cell>
          <cell r="Q1337">
            <v>1</v>
          </cell>
          <cell r="R1337" t="str">
            <v>NA</v>
          </cell>
          <cell r="S1337">
            <v>5</v>
          </cell>
        </row>
        <row r="1338">
          <cell r="B1338" t="str">
            <v>MNC</v>
          </cell>
          <cell r="C1338" t="str">
            <v>HSLB15374</v>
          </cell>
          <cell r="D1338">
            <v>204012</v>
          </cell>
          <cell r="E1338" t="str">
            <v>Silla Visita</v>
          </cell>
          <cell r="F1338" t="str">
            <v>NO</v>
          </cell>
          <cell r="G1338" t="str">
            <v>NO</v>
          </cell>
          <cell r="H1338" t="str">
            <v>SALA ECOTOMOGRAFO GINECO-OBSTETRICO (EQUIPO/VESTIDOR)</v>
          </cell>
          <cell r="I1338">
            <v>1</v>
          </cell>
          <cell r="J1338" t="str">
            <v>C.5.3.8</v>
          </cell>
          <cell r="K1338" t="str">
            <v>Imagenología</v>
          </cell>
          <cell r="L1338">
            <v>1</v>
          </cell>
          <cell r="M1338">
            <v>46008</v>
          </cell>
          <cell r="N1338">
            <v>46009</v>
          </cell>
          <cell r="O1338">
            <v>1</v>
          </cell>
          <cell r="P1338">
            <v>46010</v>
          </cell>
          <cell r="Q1338">
            <v>1</v>
          </cell>
          <cell r="R1338" t="str">
            <v>NA</v>
          </cell>
          <cell r="S1338">
            <v>5</v>
          </cell>
        </row>
        <row r="1339">
          <cell r="B1339" t="str">
            <v>MNC</v>
          </cell>
          <cell r="C1339" t="str">
            <v>HSLB14154</v>
          </cell>
          <cell r="D1339">
            <v>204002</v>
          </cell>
          <cell r="E1339" t="str">
            <v>Banca Madera</v>
          </cell>
          <cell r="F1339" t="str">
            <v>NO</v>
          </cell>
          <cell r="G1339" t="str">
            <v>NO</v>
          </cell>
          <cell r="H1339" t="str">
            <v>SALA ECOTOMOGRAFO INDIFERENCIADO (EQUIPO/VESTIDOR)</v>
          </cell>
          <cell r="I1339">
            <v>2</v>
          </cell>
          <cell r="J1339" t="str">
            <v>C.5.3.9.1</v>
          </cell>
          <cell r="K1339" t="str">
            <v>Imagenología</v>
          </cell>
          <cell r="L1339">
            <v>1</v>
          </cell>
          <cell r="M1339">
            <v>46008</v>
          </cell>
          <cell r="N1339">
            <v>46009</v>
          </cell>
          <cell r="O1339">
            <v>1</v>
          </cell>
          <cell r="P1339">
            <v>46010</v>
          </cell>
          <cell r="Q1339">
            <v>1</v>
          </cell>
          <cell r="R1339" t="str">
            <v>NA</v>
          </cell>
          <cell r="S1339">
            <v>5</v>
          </cell>
        </row>
        <row r="1340">
          <cell r="B1340" t="str">
            <v>MNC</v>
          </cell>
          <cell r="C1340" t="str">
            <v>HSLB14396</v>
          </cell>
          <cell r="D1340">
            <v>204006</v>
          </cell>
          <cell r="E1340" t="str">
            <v>Silla Ergonómica</v>
          </cell>
          <cell r="F1340" t="str">
            <v>NO</v>
          </cell>
          <cell r="G1340" t="str">
            <v>NO</v>
          </cell>
          <cell r="H1340" t="str">
            <v>SALA ECOTOMOGRAFO INDIFERENCIADO (EQUIPO/VESTIDOR)</v>
          </cell>
          <cell r="I1340">
            <v>1</v>
          </cell>
          <cell r="J1340" t="str">
            <v>C.5.3.9.1</v>
          </cell>
          <cell r="K1340" t="str">
            <v>Imagenología</v>
          </cell>
          <cell r="L1340">
            <v>1</v>
          </cell>
          <cell r="M1340">
            <v>46008</v>
          </cell>
          <cell r="N1340">
            <v>46009</v>
          </cell>
          <cell r="O1340">
            <v>1</v>
          </cell>
          <cell r="P1340">
            <v>46010</v>
          </cell>
          <cell r="Q1340">
            <v>1</v>
          </cell>
          <cell r="R1340" t="str">
            <v>NA</v>
          </cell>
          <cell r="S1340">
            <v>5</v>
          </cell>
        </row>
        <row r="1341">
          <cell r="B1341" t="str">
            <v>MNC</v>
          </cell>
          <cell r="C1341" t="str">
            <v>HSLB15375</v>
          </cell>
          <cell r="D1341">
            <v>204012</v>
          </cell>
          <cell r="E1341" t="str">
            <v>Silla Visita</v>
          </cell>
          <cell r="F1341" t="str">
            <v>NO</v>
          </cell>
          <cell r="G1341" t="str">
            <v>NO</v>
          </cell>
          <cell r="H1341" t="str">
            <v>SALA ECOTOMOGRAFO INDIFERENCIADO (EQUIPO/VESTIDOR)</v>
          </cell>
          <cell r="I1341">
            <v>1</v>
          </cell>
          <cell r="J1341" t="str">
            <v>C.5.3.9.1</v>
          </cell>
          <cell r="K1341" t="str">
            <v>Imagenología</v>
          </cell>
          <cell r="L1341">
            <v>1</v>
          </cell>
          <cell r="M1341">
            <v>46008</v>
          </cell>
          <cell r="N1341">
            <v>46009</v>
          </cell>
          <cell r="O1341">
            <v>1</v>
          </cell>
          <cell r="P1341">
            <v>46010</v>
          </cell>
          <cell r="Q1341">
            <v>1</v>
          </cell>
          <cell r="R1341" t="str">
            <v>NA</v>
          </cell>
          <cell r="S1341">
            <v>5</v>
          </cell>
        </row>
        <row r="1342">
          <cell r="B1342" t="str">
            <v>MNC</v>
          </cell>
          <cell r="C1342" t="str">
            <v>HSLB14155</v>
          </cell>
          <cell r="D1342">
            <v>204002</v>
          </cell>
          <cell r="E1342" t="str">
            <v>Banca Madera</v>
          </cell>
          <cell r="F1342" t="str">
            <v>NO</v>
          </cell>
          <cell r="G1342" t="str">
            <v>NO</v>
          </cell>
          <cell r="H1342" t="str">
            <v>SALA ECOTOMOGRAFO INDIFERENCIADO (EQUIPO/VESTIDOR)</v>
          </cell>
          <cell r="I1342">
            <v>2</v>
          </cell>
          <cell r="J1342" t="str">
            <v>C.5.3.9.2</v>
          </cell>
          <cell r="K1342" t="str">
            <v>Imagenología</v>
          </cell>
          <cell r="L1342">
            <v>1</v>
          </cell>
          <cell r="M1342">
            <v>46008</v>
          </cell>
          <cell r="N1342">
            <v>46009</v>
          </cell>
          <cell r="O1342">
            <v>1</v>
          </cell>
          <cell r="P1342">
            <v>46010</v>
          </cell>
          <cell r="Q1342">
            <v>1</v>
          </cell>
          <cell r="R1342" t="str">
            <v>NA</v>
          </cell>
          <cell r="S1342">
            <v>5</v>
          </cell>
        </row>
        <row r="1343">
          <cell r="B1343" t="str">
            <v>MNC</v>
          </cell>
          <cell r="C1343" t="str">
            <v>HSLB14397</v>
          </cell>
          <cell r="D1343">
            <v>204006</v>
          </cell>
          <cell r="E1343" t="str">
            <v>Silla Ergonómica</v>
          </cell>
          <cell r="F1343" t="str">
            <v>NO</v>
          </cell>
          <cell r="G1343" t="str">
            <v>NO</v>
          </cell>
          <cell r="H1343" t="str">
            <v>SALA ECOTOMOGRAFO INDIFERENCIADO (EQUIPO/VESTIDOR)</v>
          </cell>
          <cell r="I1343">
            <v>1</v>
          </cell>
          <cell r="J1343" t="str">
            <v>C.5.3.9.2</v>
          </cell>
          <cell r="K1343" t="str">
            <v>Imagenología</v>
          </cell>
          <cell r="L1343">
            <v>1</v>
          </cell>
          <cell r="M1343">
            <v>46008</v>
          </cell>
          <cell r="N1343">
            <v>46009</v>
          </cell>
          <cell r="O1343">
            <v>1</v>
          </cell>
          <cell r="P1343">
            <v>46010</v>
          </cell>
          <cell r="Q1343">
            <v>1</v>
          </cell>
          <cell r="R1343" t="str">
            <v>NA</v>
          </cell>
          <cell r="S1343">
            <v>5</v>
          </cell>
        </row>
        <row r="1344">
          <cell r="B1344" t="str">
            <v>MNC</v>
          </cell>
          <cell r="C1344" t="str">
            <v>HSLB15376</v>
          </cell>
          <cell r="D1344">
            <v>204012</v>
          </cell>
          <cell r="E1344" t="str">
            <v>Silla Visita</v>
          </cell>
          <cell r="F1344" t="str">
            <v>NO</v>
          </cell>
          <cell r="G1344" t="str">
            <v>NO</v>
          </cell>
          <cell r="H1344" t="str">
            <v>SALA ECOTOMOGRAFO INDIFERENCIADO (EQUIPO/VESTIDOR)</v>
          </cell>
          <cell r="I1344">
            <v>1</v>
          </cell>
          <cell r="J1344" t="str">
            <v>C.5.3.9.2</v>
          </cell>
          <cell r="K1344" t="str">
            <v>Imagenología</v>
          </cell>
          <cell r="L1344">
            <v>1</v>
          </cell>
          <cell r="M1344">
            <v>46008</v>
          </cell>
          <cell r="N1344">
            <v>46009</v>
          </cell>
          <cell r="O1344">
            <v>1</v>
          </cell>
          <cell r="P1344">
            <v>46010</v>
          </cell>
          <cell r="Q1344">
            <v>1</v>
          </cell>
          <cell r="R1344" t="str">
            <v>NA</v>
          </cell>
          <cell r="S1344">
            <v>5</v>
          </cell>
        </row>
        <row r="1345">
          <cell r="B1345" t="str">
            <v>MNC</v>
          </cell>
          <cell r="C1345" t="str">
            <v>HSLB14424</v>
          </cell>
          <cell r="D1345">
            <v>204006</v>
          </cell>
          <cell r="E1345" t="str">
            <v>Silla Ergonómica</v>
          </cell>
          <cell r="F1345" t="str">
            <v>NO</v>
          </cell>
          <cell r="G1345" t="str">
            <v>NO</v>
          </cell>
          <cell r="H1345" t="str">
            <v>MESÓN C/ARCHIVO Y FOTOCOPIADORA</v>
          </cell>
          <cell r="I1345">
            <v>1</v>
          </cell>
          <cell r="J1345" t="str">
            <v>C.5.7.1</v>
          </cell>
          <cell r="K1345" t="str">
            <v>Med física y rehabilitación</v>
          </cell>
          <cell r="L1345">
            <v>1</v>
          </cell>
          <cell r="M1345">
            <v>46017</v>
          </cell>
          <cell r="N1345">
            <v>46020</v>
          </cell>
          <cell r="O1345">
            <v>2</v>
          </cell>
          <cell r="P1345">
            <v>46022</v>
          </cell>
          <cell r="Q1345">
            <v>1</v>
          </cell>
          <cell r="R1345" t="str">
            <v>NA</v>
          </cell>
          <cell r="S1345">
            <v>5</v>
          </cell>
        </row>
        <row r="1346">
          <cell r="B1346" t="str">
            <v>MNC</v>
          </cell>
          <cell r="C1346" t="str">
            <v>HSLB15404</v>
          </cell>
          <cell r="D1346">
            <v>204012</v>
          </cell>
          <cell r="E1346" t="str">
            <v>Silla Visita</v>
          </cell>
          <cell r="F1346" t="str">
            <v>NO</v>
          </cell>
          <cell r="G1346" t="str">
            <v>NO</v>
          </cell>
          <cell r="H1346" t="str">
            <v>SALA KINESOTERÁPIA CUBICULO ONDA CORTA</v>
          </cell>
          <cell r="I1346">
            <v>1</v>
          </cell>
          <cell r="J1346" t="str">
            <v>C.5.7.11</v>
          </cell>
          <cell r="K1346" t="str">
            <v>Med física y rehabilitación</v>
          </cell>
          <cell r="L1346">
            <v>1</v>
          </cell>
          <cell r="M1346">
            <v>46017</v>
          </cell>
          <cell r="N1346">
            <v>46020</v>
          </cell>
          <cell r="O1346">
            <v>2</v>
          </cell>
          <cell r="P1346">
            <v>46022</v>
          </cell>
          <cell r="Q1346">
            <v>1</v>
          </cell>
          <cell r="R1346" t="str">
            <v>NA</v>
          </cell>
          <cell r="S1346">
            <v>5</v>
          </cell>
        </row>
        <row r="1347">
          <cell r="B1347" t="str">
            <v>MNC</v>
          </cell>
          <cell r="C1347" t="str">
            <v>HSLB15405</v>
          </cell>
          <cell r="D1347">
            <v>204012</v>
          </cell>
          <cell r="E1347" t="str">
            <v>Silla Visita</v>
          </cell>
          <cell r="F1347" t="str">
            <v>NO</v>
          </cell>
          <cell r="G1347" t="str">
            <v>NO</v>
          </cell>
          <cell r="H1347" t="str">
            <v>SALA KINESOTERÁPIA CUBICULO ULTRASONIDO</v>
          </cell>
          <cell r="I1347">
            <v>1</v>
          </cell>
          <cell r="J1347" t="str">
            <v>C.5.7.12</v>
          </cell>
          <cell r="K1347" t="str">
            <v>Med física y rehabilitación</v>
          </cell>
          <cell r="L1347">
            <v>1</v>
          </cell>
          <cell r="M1347">
            <v>46017</v>
          </cell>
          <cell r="N1347">
            <v>46020</v>
          </cell>
          <cell r="O1347">
            <v>2</v>
          </cell>
          <cell r="P1347">
            <v>46022</v>
          </cell>
          <cell r="Q1347">
            <v>1</v>
          </cell>
          <cell r="R1347" t="str">
            <v>NA</v>
          </cell>
          <cell r="S1347">
            <v>5</v>
          </cell>
        </row>
        <row r="1348">
          <cell r="B1348" t="str">
            <v>MNC</v>
          </cell>
          <cell r="C1348" t="str">
            <v>HSLB15406</v>
          </cell>
          <cell r="D1348">
            <v>204012</v>
          </cell>
          <cell r="E1348" t="str">
            <v>Silla Visita</v>
          </cell>
          <cell r="F1348" t="str">
            <v>NO</v>
          </cell>
          <cell r="G1348" t="str">
            <v>NO</v>
          </cell>
          <cell r="H1348" t="str">
            <v>SALA KINESOTERÁPIA ( CUBICULO ELECTRO-CRIOTERÁPIA)</v>
          </cell>
          <cell r="I1348">
            <v>1</v>
          </cell>
          <cell r="J1348" t="str">
            <v>C.5.7.13</v>
          </cell>
          <cell r="K1348" t="str">
            <v>Med física y rehabilitación</v>
          </cell>
          <cell r="L1348">
            <v>1</v>
          </cell>
          <cell r="M1348">
            <v>46017</v>
          </cell>
          <cell r="N1348">
            <v>46020</v>
          </cell>
          <cell r="O1348">
            <v>2</v>
          </cell>
          <cell r="P1348">
            <v>46022</v>
          </cell>
          <cell r="Q1348">
            <v>1</v>
          </cell>
          <cell r="R1348" t="str">
            <v>NA</v>
          </cell>
          <cell r="S1348">
            <v>5</v>
          </cell>
        </row>
        <row r="1349">
          <cell r="B1349" t="str">
            <v>MNC</v>
          </cell>
          <cell r="C1349" t="str">
            <v>HSLB14162</v>
          </cell>
          <cell r="D1349">
            <v>204004</v>
          </cell>
          <cell r="E1349" t="str">
            <v>Silla Apilable de Base Ancha</v>
          </cell>
          <cell r="F1349" t="str">
            <v>NO</v>
          </cell>
          <cell r="G1349" t="str">
            <v>NO</v>
          </cell>
          <cell r="H1349" t="str">
            <v>GIMNASIO PEDIATRICO</v>
          </cell>
          <cell r="I1349">
            <v>10</v>
          </cell>
          <cell r="J1349" t="str">
            <v>C.5.7.15</v>
          </cell>
          <cell r="K1349" t="str">
            <v>Med física y rehabilitación</v>
          </cell>
          <cell r="L1349">
            <v>1</v>
          </cell>
          <cell r="M1349">
            <v>46017</v>
          </cell>
          <cell r="N1349">
            <v>46020</v>
          </cell>
          <cell r="O1349">
            <v>2</v>
          </cell>
          <cell r="P1349">
            <v>46022</v>
          </cell>
          <cell r="Q1349">
            <v>1</v>
          </cell>
          <cell r="R1349" t="str">
            <v>NA</v>
          </cell>
          <cell r="S1349">
            <v>5</v>
          </cell>
        </row>
        <row r="1350">
          <cell r="B1350" t="str">
            <v>MNC</v>
          </cell>
          <cell r="C1350" t="str">
            <v>HSLB14578</v>
          </cell>
          <cell r="D1350">
            <v>204009</v>
          </cell>
          <cell r="E1350" t="str">
            <v>Silla Párvulo</v>
          </cell>
          <cell r="F1350" t="str">
            <v>NO</v>
          </cell>
          <cell r="G1350" t="str">
            <v>NO</v>
          </cell>
          <cell r="H1350" t="str">
            <v>GIMNASIO PEDIATRICO</v>
          </cell>
          <cell r="I1350">
            <v>1</v>
          </cell>
          <cell r="J1350" t="str">
            <v>C.5.7.15</v>
          </cell>
          <cell r="K1350" t="str">
            <v>Med física y rehabilitación</v>
          </cell>
          <cell r="L1350">
            <v>1</v>
          </cell>
          <cell r="M1350">
            <v>46017</v>
          </cell>
          <cell r="N1350">
            <v>46020</v>
          </cell>
          <cell r="O1350">
            <v>2</v>
          </cell>
          <cell r="P1350">
            <v>46022</v>
          </cell>
          <cell r="Q1350">
            <v>1</v>
          </cell>
          <cell r="R1350" t="str">
            <v>NA</v>
          </cell>
          <cell r="S1350">
            <v>5</v>
          </cell>
        </row>
        <row r="1351">
          <cell r="B1351" t="str">
            <v>MNC</v>
          </cell>
          <cell r="C1351" t="str">
            <v>HSLB15407</v>
          </cell>
          <cell r="D1351">
            <v>204002</v>
          </cell>
          <cell r="E1351" t="str">
            <v>Banca Madera</v>
          </cell>
          <cell r="F1351" t="str">
            <v>NO</v>
          </cell>
          <cell r="G1351" t="str">
            <v>NO</v>
          </cell>
          <cell r="H1351" t="str">
            <v>VESTIDOR ADULTOS</v>
          </cell>
          <cell r="I1351">
            <v>1</v>
          </cell>
          <cell r="J1351" t="str">
            <v>C.5.7.17.1</v>
          </cell>
          <cell r="K1351" t="str">
            <v>Med física y rehabilitación</v>
          </cell>
          <cell r="L1351">
            <v>1</v>
          </cell>
          <cell r="M1351">
            <v>46017</v>
          </cell>
          <cell r="N1351">
            <v>46020</v>
          </cell>
          <cell r="O1351">
            <v>2</v>
          </cell>
          <cell r="P1351">
            <v>46022</v>
          </cell>
          <cell r="Q1351">
            <v>1</v>
          </cell>
          <cell r="R1351" t="str">
            <v>NA</v>
          </cell>
          <cell r="S1351">
            <v>5</v>
          </cell>
        </row>
        <row r="1352">
          <cell r="B1352" t="str">
            <v>MNC</v>
          </cell>
          <cell r="C1352" t="str">
            <v>HSLB15408</v>
          </cell>
          <cell r="D1352">
            <v>204002</v>
          </cell>
          <cell r="E1352" t="str">
            <v>Banca Madera</v>
          </cell>
          <cell r="F1352" t="str">
            <v>NO</v>
          </cell>
          <cell r="G1352" t="str">
            <v>NO</v>
          </cell>
          <cell r="H1352" t="str">
            <v>VESTIDORES INFANTIL(3)</v>
          </cell>
          <cell r="I1352">
            <v>1</v>
          </cell>
          <cell r="J1352" t="str">
            <v>C.5.7.17.3</v>
          </cell>
          <cell r="K1352" t="str">
            <v>Med física y rehabilitación</v>
          </cell>
          <cell r="L1352">
            <v>1</v>
          </cell>
          <cell r="M1352">
            <v>46017</v>
          </cell>
          <cell r="N1352">
            <v>46020</v>
          </cell>
          <cell r="O1352">
            <v>2</v>
          </cell>
          <cell r="P1352">
            <v>46022</v>
          </cell>
          <cell r="Q1352">
            <v>1</v>
          </cell>
          <cell r="R1352" t="str">
            <v>NA</v>
          </cell>
          <cell r="S1352">
            <v>5</v>
          </cell>
        </row>
        <row r="1353">
          <cell r="B1353" t="str">
            <v>MNC</v>
          </cell>
          <cell r="C1353" t="str">
            <v>HSLB14425</v>
          </cell>
          <cell r="D1353">
            <v>204006</v>
          </cell>
          <cell r="E1353" t="str">
            <v>Silla Ergonómica</v>
          </cell>
          <cell r="F1353" t="str">
            <v>NO</v>
          </cell>
          <cell r="G1353" t="str">
            <v>NO</v>
          </cell>
          <cell r="H1353" t="str">
            <v>SALA DE TERAPIA GRUPAL (12 MAX)</v>
          </cell>
          <cell r="I1353">
            <v>1</v>
          </cell>
          <cell r="J1353" t="str">
            <v>C.5.7.18</v>
          </cell>
          <cell r="K1353" t="str">
            <v>Med física y rehabilitación</v>
          </cell>
          <cell r="L1353">
            <v>1</v>
          </cell>
          <cell r="M1353">
            <v>46017</v>
          </cell>
          <cell r="N1353">
            <v>46020</v>
          </cell>
          <cell r="O1353">
            <v>2</v>
          </cell>
          <cell r="P1353">
            <v>46022</v>
          </cell>
          <cell r="Q1353">
            <v>1</v>
          </cell>
          <cell r="R1353" t="str">
            <v>NA</v>
          </cell>
          <cell r="S1353">
            <v>5</v>
          </cell>
        </row>
        <row r="1354">
          <cell r="B1354" t="str">
            <v>MNC</v>
          </cell>
          <cell r="C1354" t="str">
            <v>HSLB14837</v>
          </cell>
          <cell r="D1354">
            <v>204012</v>
          </cell>
          <cell r="E1354" t="str">
            <v>Silla Visita</v>
          </cell>
          <cell r="F1354" t="str">
            <v>NO</v>
          </cell>
          <cell r="G1354" t="str">
            <v>NO</v>
          </cell>
          <cell r="H1354" t="str">
            <v>SALA DE TERAPIA GRUPAL (12 MAX)</v>
          </cell>
          <cell r="I1354">
            <v>12</v>
          </cell>
          <cell r="J1354" t="str">
            <v>C.5.7.18</v>
          </cell>
          <cell r="K1354" t="str">
            <v>Med física y rehabilitación</v>
          </cell>
          <cell r="L1354">
            <v>1</v>
          </cell>
          <cell r="M1354">
            <v>46017</v>
          </cell>
          <cell r="N1354">
            <v>46020</v>
          </cell>
          <cell r="O1354">
            <v>2</v>
          </cell>
          <cell r="P1354">
            <v>46022</v>
          </cell>
          <cell r="Q1354">
            <v>1</v>
          </cell>
          <cell r="R1354" t="str">
            <v>NA</v>
          </cell>
          <cell r="S1354">
            <v>5</v>
          </cell>
        </row>
        <row r="1355">
          <cell r="B1355" t="str">
            <v>MNC</v>
          </cell>
          <cell r="C1355" t="str">
            <v>HSLB14426</v>
          </cell>
          <cell r="D1355">
            <v>204006</v>
          </cell>
          <cell r="E1355" t="str">
            <v>Silla Ergonómica</v>
          </cell>
          <cell r="F1355" t="str">
            <v>NO</v>
          </cell>
          <cell r="G1355" t="str">
            <v>NO</v>
          </cell>
          <cell r="H1355" t="str">
            <v>SALA TERÁPIA OCUP. ADULTO E INFANTIL</v>
          </cell>
          <cell r="I1355">
            <v>3</v>
          </cell>
          <cell r="J1355" t="str">
            <v>C.5.7.19</v>
          </cell>
          <cell r="K1355" t="str">
            <v>Med física y rehabilitación</v>
          </cell>
          <cell r="L1355">
            <v>1</v>
          </cell>
          <cell r="M1355">
            <v>46017</v>
          </cell>
          <cell r="N1355">
            <v>46020</v>
          </cell>
          <cell r="O1355">
            <v>2</v>
          </cell>
          <cell r="P1355">
            <v>46022</v>
          </cell>
          <cell r="Q1355">
            <v>1</v>
          </cell>
          <cell r="R1355" t="str">
            <v>NA</v>
          </cell>
          <cell r="S1355">
            <v>5</v>
          </cell>
        </row>
        <row r="1356">
          <cell r="B1356" t="str">
            <v>MNC</v>
          </cell>
          <cell r="C1356" t="str">
            <v>HSLB14838</v>
          </cell>
          <cell r="D1356">
            <v>204012</v>
          </cell>
          <cell r="E1356" t="str">
            <v>Silla Visita</v>
          </cell>
          <cell r="F1356" t="str">
            <v>NO</v>
          </cell>
          <cell r="G1356" t="str">
            <v>NO</v>
          </cell>
          <cell r="H1356" t="str">
            <v>SALA TERÁPIA OCUP. ADULTO E INFANTIL</v>
          </cell>
          <cell r="I1356">
            <v>12</v>
          </cell>
          <cell r="J1356" t="str">
            <v>C.5.7.19</v>
          </cell>
          <cell r="K1356" t="str">
            <v>Med física y rehabilitación</v>
          </cell>
          <cell r="L1356">
            <v>1</v>
          </cell>
          <cell r="M1356">
            <v>46017</v>
          </cell>
          <cell r="N1356">
            <v>46020</v>
          </cell>
          <cell r="O1356">
            <v>2</v>
          </cell>
          <cell r="P1356">
            <v>46022</v>
          </cell>
          <cell r="Q1356">
            <v>1</v>
          </cell>
          <cell r="R1356" t="str">
            <v>NA</v>
          </cell>
          <cell r="S1356">
            <v>5</v>
          </cell>
        </row>
        <row r="1357">
          <cell r="B1357" t="str">
            <v>MNC</v>
          </cell>
          <cell r="C1357" t="str">
            <v>HSLB15409</v>
          </cell>
          <cell r="D1357">
            <v>204020</v>
          </cell>
          <cell r="E1357" t="str">
            <v>Silla Butaca Espera 3 Cuerpos</v>
          </cell>
          <cell r="F1357" t="str">
            <v>NO</v>
          </cell>
          <cell r="G1357" t="str">
            <v>NO</v>
          </cell>
          <cell r="H1357" t="str">
            <v>SALA DE ESPERA</v>
          </cell>
          <cell r="I1357">
            <v>8</v>
          </cell>
          <cell r="J1357" t="str">
            <v>C.5.7.2</v>
          </cell>
          <cell r="K1357" t="str">
            <v>Med física y rehabilitación</v>
          </cell>
          <cell r="L1357">
            <v>1</v>
          </cell>
          <cell r="M1357">
            <v>46017</v>
          </cell>
          <cell r="N1357">
            <v>46020</v>
          </cell>
          <cell r="O1357">
            <v>2</v>
          </cell>
          <cell r="P1357">
            <v>46022</v>
          </cell>
          <cell r="Q1357">
            <v>1</v>
          </cell>
          <cell r="R1357" t="str">
            <v>NA</v>
          </cell>
          <cell r="S1357">
            <v>5</v>
          </cell>
        </row>
        <row r="1358">
          <cell r="B1358" t="str">
            <v>MNC</v>
          </cell>
          <cell r="C1358" t="str">
            <v>HSLB14611</v>
          </cell>
          <cell r="D1358">
            <v>204010</v>
          </cell>
          <cell r="E1358" t="str">
            <v>Silla tipo Casino</v>
          </cell>
          <cell r="F1358" t="str">
            <v>NO</v>
          </cell>
          <cell r="G1358" t="str">
            <v>NO</v>
          </cell>
          <cell r="H1358" t="str">
            <v>SALA DE ACTIVDAD DE LA VIDA DIARIA C/BAÑO DE INSTRUCCIÓN</v>
          </cell>
          <cell r="I1358">
            <v>6</v>
          </cell>
          <cell r="J1358" t="str">
            <v>C.5.7.20</v>
          </cell>
          <cell r="K1358" t="str">
            <v>Med física y rehabilitación</v>
          </cell>
          <cell r="L1358">
            <v>1</v>
          </cell>
          <cell r="M1358">
            <v>46017</v>
          </cell>
          <cell r="N1358">
            <v>46020</v>
          </cell>
          <cell r="O1358">
            <v>2</v>
          </cell>
          <cell r="P1358">
            <v>46022</v>
          </cell>
          <cell r="Q1358">
            <v>1</v>
          </cell>
          <cell r="R1358" t="str">
            <v>NA</v>
          </cell>
          <cell r="S1358">
            <v>5</v>
          </cell>
        </row>
        <row r="1359">
          <cell r="B1359" t="str">
            <v>MNC</v>
          </cell>
          <cell r="C1359" t="str">
            <v>HSLB15027</v>
          </cell>
          <cell r="D1359">
            <v>204014</v>
          </cell>
          <cell r="E1359" t="str">
            <v>Sillón 2 Cuerpo</v>
          </cell>
          <cell r="F1359" t="str">
            <v>NO</v>
          </cell>
          <cell r="G1359" t="str">
            <v>NO</v>
          </cell>
          <cell r="H1359" t="str">
            <v>SALA DE ACTIVDAD DE LA VIDA DIARIA C/BAÑO DE INSTRUCCIÓN</v>
          </cell>
          <cell r="I1359">
            <v>1</v>
          </cell>
          <cell r="J1359" t="str">
            <v>C.5.7.20</v>
          </cell>
          <cell r="K1359" t="str">
            <v>Med física y rehabilitación</v>
          </cell>
          <cell r="L1359">
            <v>1</v>
          </cell>
          <cell r="M1359">
            <v>46017</v>
          </cell>
          <cell r="N1359">
            <v>46020</v>
          </cell>
          <cell r="O1359">
            <v>2</v>
          </cell>
          <cell r="P1359">
            <v>46022</v>
          </cell>
          <cell r="Q1359">
            <v>1</v>
          </cell>
          <cell r="R1359" t="str">
            <v>NA</v>
          </cell>
          <cell r="S1359">
            <v>5</v>
          </cell>
        </row>
        <row r="1360">
          <cell r="B1360" t="str">
            <v>MNC</v>
          </cell>
          <cell r="C1360" t="str">
            <v>HSLB14427</v>
          </cell>
          <cell r="D1360">
            <v>204006</v>
          </cell>
          <cell r="E1360" t="str">
            <v>Silla Ergonómica</v>
          </cell>
          <cell r="F1360" t="str">
            <v>NO</v>
          </cell>
          <cell r="G1360" t="str">
            <v>NO</v>
          </cell>
          <cell r="H1360" t="str">
            <v>OFICINA JEFE REHABILITACIÓN</v>
          </cell>
          <cell r="I1360">
            <v>1</v>
          </cell>
          <cell r="J1360" t="str">
            <v>C.5.7.21</v>
          </cell>
          <cell r="K1360" t="str">
            <v>Med física y rehabilitación</v>
          </cell>
          <cell r="L1360">
            <v>1</v>
          </cell>
          <cell r="M1360">
            <v>46017</v>
          </cell>
          <cell r="N1360">
            <v>46020</v>
          </cell>
          <cell r="O1360">
            <v>2</v>
          </cell>
          <cell r="P1360">
            <v>46022</v>
          </cell>
          <cell r="Q1360">
            <v>1</v>
          </cell>
          <cell r="R1360" t="str">
            <v>NA</v>
          </cell>
          <cell r="S1360">
            <v>5</v>
          </cell>
        </row>
        <row r="1361">
          <cell r="B1361" t="str">
            <v>MNC</v>
          </cell>
          <cell r="C1361" t="str">
            <v>HSLB14839</v>
          </cell>
          <cell r="D1361">
            <v>204012</v>
          </cell>
          <cell r="E1361" t="str">
            <v>Silla Visita</v>
          </cell>
          <cell r="F1361" t="str">
            <v>NO</v>
          </cell>
          <cell r="G1361" t="str">
            <v>NO</v>
          </cell>
          <cell r="H1361" t="str">
            <v>OFICINA JEFE REHABILITACIÓN</v>
          </cell>
          <cell r="I1361">
            <v>2</v>
          </cell>
          <cell r="J1361" t="str">
            <v>C.5.7.21</v>
          </cell>
          <cell r="K1361" t="str">
            <v>Med física y rehabilitación</v>
          </cell>
          <cell r="L1361">
            <v>1</v>
          </cell>
          <cell r="M1361">
            <v>46017</v>
          </cell>
          <cell r="N1361">
            <v>46020</v>
          </cell>
          <cell r="O1361">
            <v>2</v>
          </cell>
          <cell r="P1361">
            <v>46022</v>
          </cell>
          <cell r="Q1361">
            <v>1</v>
          </cell>
          <cell r="R1361" t="str">
            <v>NA</v>
          </cell>
          <cell r="S1361">
            <v>5</v>
          </cell>
        </row>
        <row r="1362">
          <cell r="B1362" t="str">
            <v>MNC</v>
          </cell>
          <cell r="C1362" t="str">
            <v>HSLB14428</v>
          </cell>
          <cell r="D1362">
            <v>204006</v>
          </cell>
          <cell r="E1362" t="str">
            <v>Silla Ergonómica</v>
          </cell>
          <cell r="F1362" t="str">
            <v>NO</v>
          </cell>
          <cell r="G1362" t="str">
            <v>NO</v>
          </cell>
          <cell r="H1362" t="str">
            <v>OFICINA JEFE COORDINADOR</v>
          </cell>
          <cell r="I1362">
            <v>1</v>
          </cell>
          <cell r="J1362" t="str">
            <v>C.5.7.22</v>
          </cell>
          <cell r="K1362" t="str">
            <v>Med física y rehabilitación</v>
          </cell>
          <cell r="L1362">
            <v>1</v>
          </cell>
          <cell r="M1362">
            <v>46017</v>
          </cell>
          <cell r="N1362">
            <v>46020</v>
          </cell>
          <cell r="O1362">
            <v>2</v>
          </cell>
          <cell r="P1362">
            <v>46022</v>
          </cell>
          <cell r="Q1362">
            <v>1</v>
          </cell>
          <cell r="R1362" t="str">
            <v>NA</v>
          </cell>
          <cell r="S1362">
            <v>5</v>
          </cell>
        </row>
        <row r="1363">
          <cell r="B1363" t="str">
            <v>MNC</v>
          </cell>
          <cell r="C1363" t="str">
            <v>HSLB14840</v>
          </cell>
          <cell r="D1363">
            <v>204012</v>
          </cell>
          <cell r="E1363" t="str">
            <v>Silla Visita</v>
          </cell>
          <cell r="F1363" t="str">
            <v>NO</v>
          </cell>
          <cell r="G1363" t="str">
            <v>NO</v>
          </cell>
          <cell r="H1363" t="str">
            <v>OFICINA JEFE COORDINADOR</v>
          </cell>
          <cell r="I1363">
            <v>2</v>
          </cell>
          <cell r="J1363" t="str">
            <v>C.5.7.22</v>
          </cell>
          <cell r="K1363" t="str">
            <v>Med física y rehabilitación</v>
          </cell>
          <cell r="L1363">
            <v>1</v>
          </cell>
          <cell r="M1363">
            <v>46017</v>
          </cell>
          <cell r="N1363">
            <v>46020</v>
          </cell>
          <cell r="O1363">
            <v>2</v>
          </cell>
          <cell r="P1363">
            <v>46022</v>
          </cell>
          <cell r="Q1363">
            <v>1</v>
          </cell>
          <cell r="R1363" t="str">
            <v>NA</v>
          </cell>
          <cell r="S1363">
            <v>5</v>
          </cell>
        </row>
        <row r="1364">
          <cell r="B1364" t="str">
            <v>MNC</v>
          </cell>
          <cell r="C1364" t="str">
            <v>HSLB14841</v>
          </cell>
          <cell r="D1364">
            <v>204012</v>
          </cell>
          <cell r="E1364" t="str">
            <v>Silla Visita</v>
          </cell>
          <cell r="F1364" t="str">
            <v>NO</v>
          </cell>
          <cell r="G1364" t="str">
            <v>NO</v>
          </cell>
          <cell r="H1364" t="str">
            <v>SALA MULTIUSO</v>
          </cell>
          <cell r="I1364">
            <v>6</v>
          </cell>
          <cell r="J1364" t="str">
            <v>C.5.7.23</v>
          </cell>
          <cell r="K1364" t="str">
            <v>Med física y rehabilitación</v>
          </cell>
          <cell r="L1364">
            <v>1</v>
          </cell>
          <cell r="M1364">
            <v>46017</v>
          </cell>
          <cell r="N1364">
            <v>46020</v>
          </cell>
          <cell r="O1364">
            <v>2</v>
          </cell>
          <cell r="P1364">
            <v>46022</v>
          </cell>
          <cell r="Q1364">
            <v>1</v>
          </cell>
          <cell r="R1364" t="str">
            <v>NA</v>
          </cell>
          <cell r="S1364">
            <v>5</v>
          </cell>
        </row>
        <row r="1365">
          <cell r="B1365" t="str">
            <v>MNC</v>
          </cell>
          <cell r="C1365" t="str">
            <v>HSLB15028</v>
          </cell>
          <cell r="D1365">
            <v>204014</v>
          </cell>
          <cell r="E1365" t="str">
            <v>Sillón 2 Cuerpo</v>
          </cell>
          <cell r="F1365" t="str">
            <v>NO</v>
          </cell>
          <cell r="G1365" t="str">
            <v>NO</v>
          </cell>
          <cell r="H1365" t="str">
            <v>SALA MULTIUSO</v>
          </cell>
          <cell r="I1365">
            <v>1</v>
          </cell>
          <cell r="J1365" t="str">
            <v>C.5.7.23</v>
          </cell>
          <cell r="K1365" t="str">
            <v>Med física y rehabilitación</v>
          </cell>
          <cell r="L1365">
            <v>1</v>
          </cell>
          <cell r="M1365">
            <v>46017</v>
          </cell>
          <cell r="N1365">
            <v>46020</v>
          </cell>
          <cell r="O1365">
            <v>2</v>
          </cell>
          <cell r="P1365">
            <v>46022</v>
          </cell>
          <cell r="Q1365">
            <v>1</v>
          </cell>
          <cell r="R1365" t="str">
            <v>NA</v>
          </cell>
          <cell r="S1365">
            <v>5</v>
          </cell>
        </row>
        <row r="1366">
          <cell r="B1366" t="str">
            <v>MNC</v>
          </cell>
          <cell r="C1366" t="str">
            <v>HSLB14842</v>
          </cell>
          <cell r="D1366">
            <v>204012</v>
          </cell>
          <cell r="E1366" t="str">
            <v>Silla Visita</v>
          </cell>
          <cell r="F1366" t="str">
            <v>NO</v>
          </cell>
          <cell r="G1366" t="str">
            <v>NO</v>
          </cell>
          <cell r="H1366" t="str">
            <v>BODEGA DE EQUIPAMIENTO</v>
          </cell>
          <cell r="I1366">
            <v>15</v>
          </cell>
          <cell r="J1366" t="str">
            <v>C.5.7.31</v>
          </cell>
          <cell r="K1366" t="str">
            <v>Med física y rehabilitación</v>
          </cell>
          <cell r="L1366">
            <v>1</v>
          </cell>
          <cell r="M1366">
            <v>46017</v>
          </cell>
          <cell r="N1366">
            <v>46020</v>
          </cell>
          <cell r="O1366">
            <v>2</v>
          </cell>
          <cell r="P1366">
            <v>46022</v>
          </cell>
          <cell r="Q1366">
            <v>1</v>
          </cell>
          <cell r="R1366" t="str">
            <v>NA</v>
          </cell>
          <cell r="S1366">
            <v>5</v>
          </cell>
        </row>
        <row r="1367">
          <cell r="B1367" t="str">
            <v>MNC</v>
          </cell>
          <cell r="C1367" t="str">
            <v>HSLB14429</v>
          </cell>
          <cell r="D1367">
            <v>204006</v>
          </cell>
          <cell r="E1367" t="str">
            <v>Silla Ergonómica</v>
          </cell>
          <cell r="F1367" t="str">
            <v>NO</v>
          </cell>
          <cell r="G1367" t="str">
            <v>NO</v>
          </cell>
          <cell r="H1367" t="str">
            <v>BOX KINESIOLOGO(1)</v>
          </cell>
          <cell r="I1367">
            <v>1</v>
          </cell>
          <cell r="J1367" t="str">
            <v>C.5.7.4.1</v>
          </cell>
          <cell r="K1367" t="str">
            <v>Med física y rehabilitación</v>
          </cell>
          <cell r="L1367">
            <v>1</v>
          </cell>
          <cell r="M1367">
            <v>46017</v>
          </cell>
          <cell r="N1367">
            <v>46020</v>
          </cell>
          <cell r="O1367">
            <v>2</v>
          </cell>
          <cell r="P1367">
            <v>46022</v>
          </cell>
          <cell r="Q1367">
            <v>1</v>
          </cell>
          <cell r="R1367" t="str">
            <v>NA</v>
          </cell>
          <cell r="S1367">
            <v>5</v>
          </cell>
        </row>
        <row r="1368">
          <cell r="B1368" t="str">
            <v>MNC</v>
          </cell>
          <cell r="C1368" t="str">
            <v>HSLB14843</v>
          </cell>
          <cell r="D1368">
            <v>204012</v>
          </cell>
          <cell r="E1368" t="str">
            <v>Silla Visita</v>
          </cell>
          <cell r="F1368" t="str">
            <v>NO</v>
          </cell>
          <cell r="G1368" t="str">
            <v>NO</v>
          </cell>
          <cell r="H1368" t="str">
            <v>BOX KINESIOLOGO(1)</v>
          </cell>
          <cell r="I1368">
            <v>2</v>
          </cell>
          <cell r="J1368" t="str">
            <v>C.5.7.4.1</v>
          </cell>
          <cell r="K1368" t="str">
            <v>Med física y rehabilitación</v>
          </cell>
          <cell r="L1368">
            <v>1</v>
          </cell>
          <cell r="M1368">
            <v>46017</v>
          </cell>
          <cell r="N1368">
            <v>46020</v>
          </cell>
          <cell r="O1368">
            <v>2</v>
          </cell>
          <cell r="P1368">
            <v>46022</v>
          </cell>
          <cell r="Q1368">
            <v>1</v>
          </cell>
          <cell r="R1368" t="str">
            <v>NA</v>
          </cell>
          <cell r="S1368">
            <v>5</v>
          </cell>
        </row>
        <row r="1369">
          <cell r="B1369" t="str">
            <v>MNC</v>
          </cell>
          <cell r="C1369" t="str">
            <v>HSLB14430</v>
          </cell>
          <cell r="D1369">
            <v>204006</v>
          </cell>
          <cell r="E1369" t="str">
            <v>Silla Ergonómica</v>
          </cell>
          <cell r="F1369" t="str">
            <v>NO</v>
          </cell>
          <cell r="G1369" t="str">
            <v>NO</v>
          </cell>
          <cell r="H1369" t="str">
            <v>BOX PSICOLOGO / A. SOCIAL</v>
          </cell>
          <cell r="I1369">
            <v>1</v>
          </cell>
          <cell r="J1369" t="str">
            <v>C.5.7.4.2</v>
          </cell>
          <cell r="K1369" t="str">
            <v>Med física y rehabilitación</v>
          </cell>
          <cell r="L1369">
            <v>1</v>
          </cell>
          <cell r="M1369">
            <v>46017</v>
          </cell>
          <cell r="N1369">
            <v>46020</v>
          </cell>
          <cell r="O1369">
            <v>2</v>
          </cell>
          <cell r="P1369">
            <v>46022</v>
          </cell>
          <cell r="Q1369">
            <v>1</v>
          </cell>
          <cell r="R1369" t="str">
            <v>NA</v>
          </cell>
          <cell r="S1369">
            <v>5</v>
          </cell>
        </row>
        <row r="1370">
          <cell r="B1370" t="str">
            <v>MNC</v>
          </cell>
          <cell r="C1370" t="str">
            <v>HSLB14844</v>
          </cell>
          <cell r="D1370">
            <v>204012</v>
          </cell>
          <cell r="E1370" t="str">
            <v>Silla Visita</v>
          </cell>
          <cell r="F1370" t="str">
            <v>NO</v>
          </cell>
          <cell r="G1370" t="str">
            <v>NO</v>
          </cell>
          <cell r="H1370" t="str">
            <v>BOX PSICOLOGO / A. SOCIAL</v>
          </cell>
          <cell r="I1370">
            <v>2</v>
          </cell>
          <cell r="J1370" t="str">
            <v>C.5.7.4.2</v>
          </cell>
          <cell r="K1370" t="str">
            <v>Med física y rehabilitación</v>
          </cell>
          <cell r="L1370">
            <v>1</v>
          </cell>
          <cell r="M1370">
            <v>46017</v>
          </cell>
          <cell r="N1370">
            <v>46020</v>
          </cell>
          <cell r="O1370">
            <v>2</v>
          </cell>
          <cell r="P1370">
            <v>46022</v>
          </cell>
          <cell r="Q1370">
            <v>1</v>
          </cell>
          <cell r="R1370" t="str">
            <v>NA</v>
          </cell>
          <cell r="S1370">
            <v>5</v>
          </cell>
        </row>
        <row r="1371">
          <cell r="B1371" t="str">
            <v>MNC</v>
          </cell>
          <cell r="C1371" t="str">
            <v>HSLB14973</v>
          </cell>
          <cell r="D1371">
            <v>204013</v>
          </cell>
          <cell r="E1371" t="str">
            <v>Sillón 1 Cuerpo</v>
          </cell>
          <cell r="F1371" t="str">
            <v>NO</v>
          </cell>
          <cell r="G1371" t="str">
            <v>NO</v>
          </cell>
          <cell r="H1371" t="str">
            <v>BOX PSICOLOGO / A. SOCIAL</v>
          </cell>
          <cell r="I1371">
            <v>1</v>
          </cell>
          <cell r="J1371" t="str">
            <v>C.5.7.4.2</v>
          </cell>
          <cell r="K1371" t="str">
            <v>Med física y rehabilitación</v>
          </cell>
          <cell r="L1371">
            <v>1</v>
          </cell>
          <cell r="M1371">
            <v>46017</v>
          </cell>
          <cell r="N1371">
            <v>46020</v>
          </cell>
          <cell r="O1371">
            <v>2</v>
          </cell>
          <cell r="P1371">
            <v>46022</v>
          </cell>
          <cell r="Q1371">
            <v>1</v>
          </cell>
          <cell r="R1371" t="str">
            <v>NA</v>
          </cell>
          <cell r="S1371">
            <v>5</v>
          </cell>
        </row>
        <row r="1372">
          <cell r="B1372" t="str">
            <v>MNC</v>
          </cell>
          <cell r="C1372" t="str">
            <v>HSLB15029</v>
          </cell>
          <cell r="D1372">
            <v>204014</v>
          </cell>
          <cell r="E1372" t="str">
            <v>Sillón 2 Cuerpo</v>
          </cell>
          <cell r="F1372" t="str">
            <v>NO</v>
          </cell>
          <cell r="G1372" t="str">
            <v>NO</v>
          </cell>
          <cell r="H1372" t="str">
            <v>BOX PSICOLOGO / A. SOCIAL</v>
          </cell>
          <cell r="I1372">
            <v>1</v>
          </cell>
          <cell r="J1372" t="str">
            <v>C.5.7.4.2</v>
          </cell>
          <cell r="K1372" t="str">
            <v>Med física y rehabilitación</v>
          </cell>
          <cell r="L1372">
            <v>1</v>
          </cell>
          <cell r="M1372">
            <v>46017</v>
          </cell>
          <cell r="N1372">
            <v>46020</v>
          </cell>
          <cell r="O1372">
            <v>2</v>
          </cell>
          <cell r="P1372">
            <v>46022</v>
          </cell>
          <cell r="Q1372">
            <v>1</v>
          </cell>
          <cell r="R1372" t="str">
            <v>NA</v>
          </cell>
          <cell r="S1372">
            <v>5</v>
          </cell>
        </row>
        <row r="1373">
          <cell r="B1373" t="str">
            <v>MNC</v>
          </cell>
          <cell r="C1373" t="str">
            <v>HSLB14431</v>
          </cell>
          <cell r="D1373">
            <v>204006</v>
          </cell>
          <cell r="E1373" t="str">
            <v>Silla Ergonómica</v>
          </cell>
          <cell r="F1373" t="str">
            <v>NO</v>
          </cell>
          <cell r="G1373" t="str">
            <v>NO</v>
          </cell>
          <cell r="H1373" t="str">
            <v>BOX INDIFERENCIADO (FONOAUDIO Y TERAPIA OCU)(1)</v>
          </cell>
          <cell r="I1373">
            <v>1</v>
          </cell>
          <cell r="J1373" t="str">
            <v>C.5.7.5.1</v>
          </cell>
          <cell r="K1373" t="str">
            <v>Med física y rehabilitación</v>
          </cell>
          <cell r="L1373">
            <v>1</v>
          </cell>
          <cell r="M1373">
            <v>46017</v>
          </cell>
          <cell r="N1373">
            <v>46020</v>
          </cell>
          <cell r="O1373">
            <v>2</v>
          </cell>
          <cell r="P1373">
            <v>46022</v>
          </cell>
          <cell r="Q1373">
            <v>1</v>
          </cell>
          <cell r="R1373" t="str">
            <v>NA</v>
          </cell>
          <cell r="S1373">
            <v>5</v>
          </cell>
        </row>
        <row r="1374">
          <cell r="B1374" t="str">
            <v>MNC</v>
          </cell>
          <cell r="C1374" t="str">
            <v>HSLB14845</v>
          </cell>
          <cell r="D1374">
            <v>204012</v>
          </cell>
          <cell r="E1374" t="str">
            <v>Silla Visita</v>
          </cell>
          <cell r="F1374" t="str">
            <v>NO</v>
          </cell>
          <cell r="G1374" t="str">
            <v>NO</v>
          </cell>
          <cell r="H1374" t="str">
            <v>BOX INDIFERENCIADO (FONOAUDIO Y TERAPIA OCU)(1)</v>
          </cell>
          <cell r="I1374">
            <v>2</v>
          </cell>
          <cell r="J1374" t="str">
            <v>C.5.7.5.1</v>
          </cell>
          <cell r="K1374" t="str">
            <v>Med física y rehabilitación</v>
          </cell>
          <cell r="L1374">
            <v>1</v>
          </cell>
          <cell r="M1374">
            <v>46017</v>
          </cell>
          <cell r="N1374">
            <v>46020</v>
          </cell>
          <cell r="O1374">
            <v>2</v>
          </cell>
          <cell r="P1374">
            <v>46022</v>
          </cell>
          <cell r="Q1374">
            <v>1</v>
          </cell>
          <cell r="R1374" t="str">
            <v>NA</v>
          </cell>
          <cell r="S1374">
            <v>5</v>
          </cell>
        </row>
        <row r="1375">
          <cell r="B1375" t="str">
            <v>MNC</v>
          </cell>
          <cell r="C1375" t="str">
            <v>HSLB14432</v>
          </cell>
          <cell r="D1375">
            <v>204006</v>
          </cell>
          <cell r="E1375" t="str">
            <v>Silla Ergonómica</v>
          </cell>
          <cell r="F1375" t="str">
            <v>NO</v>
          </cell>
          <cell r="G1375" t="str">
            <v>NO</v>
          </cell>
          <cell r="H1375" t="str">
            <v>BOX INDIFERENCIADO (FONOAUDIO Y TERAPIA OCU)(2)</v>
          </cell>
          <cell r="I1375">
            <v>1</v>
          </cell>
          <cell r="J1375" t="str">
            <v>C.5.7.5.2</v>
          </cell>
          <cell r="K1375" t="str">
            <v>Med física y rehabilitación</v>
          </cell>
          <cell r="L1375">
            <v>1</v>
          </cell>
          <cell r="M1375">
            <v>46017</v>
          </cell>
          <cell r="N1375">
            <v>46020</v>
          </cell>
          <cell r="O1375">
            <v>2</v>
          </cell>
          <cell r="P1375">
            <v>46022</v>
          </cell>
          <cell r="Q1375">
            <v>1</v>
          </cell>
          <cell r="R1375" t="str">
            <v>NA</v>
          </cell>
          <cell r="S1375">
            <v>5</v>
          </cell>
        </row>
        <row r="1376">
          <cell r="B1376" t="str">
            <v>MNC</v>
          </cell>
          <cell r="C1376" t="str">
            <v>HSLB14846</v>
          </cell>
          <cell r="D1376">
            <v>204012</v>
          </cell>
          <cell r="E1376" t="str">
            <v>Silla Visita</v>
          </cell>
          <cell r="F1376" t="str">
            <v>NO</v>
          </cell>
          <cell r="G1376" t="str">
            <v>NO</v>
          </cell>
          <cell r="H1376" t="str">
            <v>BOX INDIFERENCIADO (FONOAUDIO Y TERAPIA OCU)(2)</v>
          </cell>
          <cell r="I1376">
            <v>2</v>
          </cell>
          <cell r="J1376" t="str">
            <v>C.5.7.5.2</v>
          </cell>
          <cell r="K1376" t="str">
            <v>Med física y rehabilitación</v>
          </cell>
          <cell r="L1376">
            <v>1</v>
          </cell>
          <cell r="M1376">
            <v>46017</v>
          </cell>
          <cell r="N1376">
            <v>46020</v>
          </cell>
          <cell r="O1376">
            <v>2</v>
          </cell>
          <cell r="P1376">
            <v>46022</v>
          </cell>
          <cell r="Q1376">
            <v>1</v>
          </cell>
          <cell r="R1376" t="str">
            <v>NA</v>
          </cell>
          <cell r="S1376">
            <v>5</v>
          </cell>
        </row>
        <row r="1377">
          <cell r="B1377" t="str">
            <v>MNC</v>
          </cell>
          <cell r="C1377" t="str">
            <v>HSLB14433</v>
          </cell>
          <cell r="D1377">
            <v>204006</v>
          </cell>
          <cell r="E1377" t="str">
            <v>Silla Ergonómica</v>
          </cell>
          <cell r="F1377" t="str">
            <v>NO</v>
          </cell>
          <cell r="G1377" t="str">
            <v>NO</v>
          </cell>
          <cell r="H1377" t="str">
            <v>BOX FONOAUDIO PEDIATRICO</v>
          </cell>
          <cell r="I1377">
            <v>1</v>
          </cell>
          <cell r="J1377" t="str">
            <v>C.5.7.5.2.1</v>
          </cell>
          <cell r="K1377" t="str">
            <v>Med física y rehabilitación</v>
          </cell>
          <cell r="L1377">
            <v>1</v>
          </cell>
          <cell r="M1377">
            <v>46017</v>
          </cell>
          <cell r="N1377">
            <v>46020</v>
          </cell>
          <cell r="O1377">
            <v>2</v>
          </cell>
          <cell r="P1377">
            <v>46022</v>
          </cell>
          <cell r="Q1377">
            <v>1</v>
          </cell>
          <cell r="R1377" t="str">
            <v>NA</v>
          </cell>
          <cell r="S1377">
            <v>5</v>
          </cell>
        </row>
        <row r="1378">
          <cell r="B1378" t="str">
            <v>MNC</v>
          </cell>
          <cell r="C1378" t="str">
            <v>HSLB14579</v>
          </cell>
          <cell r="D1378">
            <v>204009</v>
          </cell>
          <cell r="E1378" t="str">
            <v>Silla Párvulo</v>
          </cell>
          <cell r="F1378" t="str">
            <v>NO</v>
          </cell>
          <cell r="G1378" t="str">
            <v>NO</v>
          </cell>
          <cell r="H1378" t="str">
            <v>BOX FONOAUDIO PEDIATRICO</v>
          </cell>
          <cell r="I1378">
            <v>2</v>
          </cell>
          <cell r="J1378" t="str">
            <v>C.5.7.5.2.1</v>
          </cell>
          <cell r="K1378" t="str">
            <v>Med física y rehabilitación</v>
          </cell>
          <cell r="L1378">
            <v>1</v>
          </cell>
          <cell r="M1378">
            <v>46017</v>
          </cell>
          <cell r="N1378">
            <v>46020</v>
          </cell>
          <cell r="O1378">
            <v>2</v>
          </cell>
          <cell r="P1378">
            <v>46022</v>
          </cell>
          <cell r="Q1378">
            <v>1</v>
          </cell>
          <cell r="R1378" t="str">
            <v>NA</v>
          </cell>
          <cell r="S1378">
            <v>5</v>
          </cell>
        </row>
        <row r="1379">
          <cell r="B1379" t="str">
            <v>MNC</v>
          </cell>
          <cell r="C1379" t="str">
            <v>HSLB14847</v>
          </cell>
          <cell r="D1379">
            <v>204012</v>
          </cell>
          <cell r="E1379" t="str">
            <v>Silla Visita</v>
          </cell>
          <cell r="F1379" t="str">
            <v>NO</v>
          </cell>
          <cell r="G1379" t="str">
            <v>NO</v>
          </cell>
          <cell r="H1379" t="str">
            <v>BOX FONOAUDIO PEDIATRICO</v>
          </cell>
          <cell r="I1379">
            <v>2</v>
          </cell>
          <cell r="J1379" t="str">
            <v>C.5.7.5.2.1</v>
          </cell>
          <cell r="K1379" t="str">
            <v>Med física y rehabilitación</v>
          </cell>
          <cell r="L1379">
            <v>1</v>
          </cell>
          <cell r="M1379">
            <v>46017</v>
          </cell>
          <cell r="N1379">
            <v>46020</v>
          </cell>
          <cell r="O1379">
            <v>2</v>
          </cell>
          <cell r="P1379">
            <v>46022</v>
          </cell>
          <cell r="Q1379">
            <v>1</v>
          </cell>
          <cell r="R1379" t="str">
            <v>NA</v>
          </cell>
          <cell r="S1379">
            <v>5</v>
          </cell>
        </row>
        <row r="1380">
          <cell r="B1380" t="str">
            <v>MNC</v>
          </cell>
          <cell r="C1380" t="str">
            <v>HSLB14434</v>
          </cell>
          <cell r="D1380">
            <v>204006</v>
          </cell>
          <cell r="E1380" t="str">
            <v>Silla Ergonómica</v>
          </cell>
          <cell r="F1380" t="str">
            <v>NO</v>
          </cell>
          <cell r="G1380" t="str">
            <v>NO</v>
          </cell>
          <cell r="H1380" t="str">
            <v>SALA PREPARACIÓN DE PACIENTES</v>
          </cell>
          <cell r="I1380">
            <v>1</v>
          </cell>
          <cell r="J1380" t="str">
            <v>C.5.7.6</v>
          </cell>
          <cell r="K1380" t="str">
            <v>Med física y rehabilitación</v>
          </cell>
          <cell r="L1380">
            <v>1</v>
          </cell>
          <cell r="M1380">
            <v>46017</v>
          </cell>
          <cell r="N1380">
            <v>46020</v>
          </cell>
          <cell r="O1380">
            <v>2</v>
          </cell>
          <cell r="P1380">
            <v>46022</v>
          </cell>
          <cell r="Q1380">
            <v>1</v>
          </cell>
          <cell r="R1380" t="str">
            <v>NA</v>
          </cell>
          <cell r="S1380">
            <v>5</v>
          </cell>
        </row>
        <row r="1381">
          <cell r="B1381" t="str">
            <v>MNC</v>
          </cell>
          <cell r="C1381" t="str">
            <v>HSLB14848</v>
          </cell>
          <cell r="D1381">
            <v>204012</v>
          </cell>
          <cell r="E1381" t="str">
            <v>Silla Visita</v>
          </cell>
          <cell r="F1381" t="str">
            <v>NO</v>
          </cell>
          <cell r="G1381" t="str">
            <v>NO</v>
          </cell>
          <cell r="H1381" t="str">
            <v>SALA PREPARACIÓN DE PACIENTES</v>
          </cell>
          <cell r="I1381">
            <v>2</v>
          </cell>
          <cell r="J1381" t="str">
            <v>C.5.7.6</v>
          </cell>
          <cell r="K1381" t="str">
            <v>Med física y rehabilitación</v>
          </cell>
          <cell r="L1381">
            <v>1</v>
          </cell>
          <cell r="M1381">
            <v>46017</v>
          </cell>
          <cell r="N1381">
            <v>46020</v>
          </cell>
          <cell r="O1381">
            <v>2</v>
          </cell>
          <cell r="P1381">
            <v>46022</v>
          </cell>
          <cell r="Q1381">
            <v>1</v>
          </cell>
          <cell r="R1381" t="str">
            <v>NA</v>
          </cell>
          <cell r="S1381">
            <v>5</v>
          </cell>
        </row>
        <row r="1382">
          <cell r="B1382" t="str">
            <v>MNC</v>
          </cell>
          <cell r="C1382" t="str">
            <v>HSLB14435</v>
          </cell>
          <cell r="D1382">
            <v>204006</v>
          </cell>
          <cell r="E1382" t="str">
            <v>Silla Ergonómica</v>
          </cell>
          <cell r="F1382" t="str">
            <v>NO</v>
          </cell>
          <cell r="G1382" t="str">
            <v>NO</v>
          </cell>
          <cell r="H1382" t="str">
            <v>SALA PROCEDIMIENTOS C/BAÑO</v>
          </cell>
          <cell r="I1382">
            <v>1</v>
          </cell>
          <cell r="J1382" t="str">
            <v>C.5.7.6.1</v>
          </cell>
          <cell r="K1382" t="str">
            <v>Med física y rehabilitación</v>
          </cell>
          <cell r="L1382">
            <v>1</v>
          </cell>
          <cell r="M1382">
            <v>46017</v>
          </cell>
          <cell r="N1382">
            <v>46020</v>
          </cell>
          <cell r="O1382">
            <v>2</v>
          </cell>
          <cell r="P1382">
            <v>46022</v>
          </cell>
          <cell r="Q1382">
            <v>1</v>
          </cell>
          <cell r="R1382" t="str">
            <v>NA</v>
          </cell>
          <cell r="S1382">
            <v>5</v>
          </cell>
        </row>
        <row r="1383">
          <cell r="B1383" t="str">
            <v>MNC</v>
          </cell>
          <cell r="C1383" t="str">
            <v>HSLB14849</v>
          </cell>
          <cell r="D1383">
            <v>204012</v>
          </cell>
          <cell r="E1383" t="str">
            <v>Silla Visita</v>
          </cell>
          <cell r="F1383" t="str">
            <v>NO</v>
          </cell>
          <cell r="G1383" t="str">
            <v>NO</v>
          </cell>
          <cell r="H1383" t="str">
            <v>SALA PROCEDIMIENTOS C/BAÑO</v>
          </cell>
          <cell r="I1383">
            <v>2</v>
          </cell>
          <cell r="J1383" t="str">
            <v>C.5.7.6.1</v>
          </cell>
          <cell r="K1383" t="str">
            <v>Med física y rehabilitación</v>
          </cell>
          <cell r="L1383">
            <v>1</v>
          </cell>
          <cell r="M1383">
            <v>46017</v>
          </cell>
          <cell r="N1383">
            <v>46020</v>
          </cell>
          <cell r="O1383">
            <v>2</v>
          </cell>
          <cell r="P1383">
            <v>46022</v>
          </cell>
          <cell r="Q1383">
            <v>1</v>
          </cell>
          <cell r="R1383" t="str">
            <v>NA</v>
          </cell>
          <cell r="S1383">
            <v>5</v>
          </cell>
        </row>
        <row r="1384">
          <cell r="B1384" t="str">
            <v>MNC</v>
          </cell>
          <cell r="C1384" t="str">
            <v>HSLB15411</v>
          </cell>
          <cell r="D1384">
            <v>204012</v>
          </cell>
          <cell r="E1384" t="str">
            <v>Silla Visita</v>
          </cell>
          <cell r="F1384" t="str">
            <v>NO</v>
          </cell>
          <cell r="G1384" t="str">
            <v>NO</v>
          </cell>
          <cell r="H1384" t="str">
            <v>SALA KINESOTERÁPIA CUBICULO BAÑO PARAFINA</v>
          </cell>
          <cell r="I1384">
            <v>1</v>
          </cell>
          <cell r="J1384" t="str">
            <v>C.5.7.9</v>
          </cell>
          <cell r="K1384" t="str">
            <v>Med física y rehabilitación</v>
          </cell>
          <cell r="L1384">
            <v>1</v>
          </cell>
          <cell r="M1384">
            <v>46017</v>
          </cell>
          <cell r="N1384">
            <v>46020</v>
          </cell>
          <cell r="O1384">
            <v>2</v>
          </cell>
          <cell r="P1384">
            <v>46022</v>
          </cell>
          <cell r="Q1384">
            <v>1</v>
          </cell>
          <cell r="R1384" t="str">
            <v>NA</v>
          </cell>
          <cell r="S1384">
            <v>5</v>
          </cell>
        </row>
        <row r="1385">
          <cell r="B1385" t="str">
            <v>MNC</v>
          </cell>
          <cell r="C1385" t="str">
            <v>HSLB14974</v>
          </cell>
          <cell r="D1385">
            <v>204013</v>
          </cell>
          <cell r="E1385" t="str">
            <v>Sillón 1 Cuerpo</v>
          </cell>
          <cell r="F1385" t="str">
            <v>NO</v>
          </cell>
          <cell r="G1385" t="str">
            <v>NO</v>
          </cell>
          <cell r="H1385" t="str">
            <v>ESPACIO PARA DEUDOS</v>
          </cell>
          <cell r="I1385">
            <v>2</v>
          </cell>
          <cell r="J1385" t="str">
            <v>C.5.9.2</v>
          </cell>
          <cell r="K1385" t="str">
            <v>Morgue</v>
          </cell>
          <cell r="L1385">
            <v>1</v>
          </cell>
          <cell r="M1385">
            <v>46049</v>
          </cell>
          <cell r="N1385">
            <v>46050</v>
          </cell>
          <cell r="O1385">
            <v>1</v>
          </cell>
          <cell r="P1385">
            <v>46051</v>
          </cell>
          <cell r="Q1385">
            <v>1</v>
          </cell>
          <cell r="R1385" t="str">
            <v>NA</v>
          </cell>
          <cell r="S1385">
            <v>5</v>
          </cell>
        </row>
        <row r="1386">
          <cell r="B1386" t="str">
            <v>MNC</v>
          </cell>
          <cell r="C1386" t="str">
            <v>HSLB15032</v>
          </cell>
          <cell r="D1386">
            <v>204014</v>
          </cell>
          <cell r="E1386" t="str">
            <v>Sillón 2 Cuerpo</v>
          </cell>
          <cell r="F1386" t="str">
            <v>NO</v>
          </cell>
          <cell r="G1386" t="str">
            <v>NO</v>
          </cell>
          <cell r="H1386" t="str">
            <v>ESPACIO PARA DEUDOS</v>
          </cell>
          <cell r="I1386">
            <v>1</v>
          </cell>
          <cell r="J1386" t="str">
            <v>C.5.9.2</v>
          </cell>
          <cell r="K1386" t="str">
            <v>Morgue</v>
          </cell>
          <cell r="L1386">
            <v>1</v>
          </cell>
          <cell r="M1386">
            <v>46049</v>
          </cell>
          <cell r="N1386">
            <v>46050</v>
          </cell>
          <cell r="O1386">
            <v>1</v>
          </cell>
          <cell r="P1386">
            <v>46051</v>
          </cell>
          <cell r="Q1386">
            <v>1</v>
          </cell>
          <cell r="R1386" t="str">
            <v>NA</v>
          </cell>
          <cell r="S1386">
            <v>5</v>
          </cell>
        </row>
        <row r="1387">
          <cell r="B1387" t="str">
            <v>MNC</v>
          </cell>
          <cell r="C1387" t="str">
            <v>HSLB14445</v>
          </cell>
          <cell r="D1387">
            <v>204006</v>
          </cell>
          <cell r="E1387" t="str">
            <v>Silla Ergonómica</v>
          </cell>
          <cell r="F1387" t="str">
            <v>NO</v>
          </cell>
          <cell r="G1387" t="str">
            <v>NO</v>
          </cell>
          <cell r="H1387" t="str">
            <v>MESÓN RECEPCIÓN DE REGISTRO DE INFORMES</v>
          </cell>
          <cell r="I1387">
            <v>1</v>
          </cell>
          <cell r="J1387" t="str">
            <v>C.5.9.5</v>
          </cell>
          <cell r="K1387" t="str">
            <v>Morgue</v>
          </cell>
          <cell r="L1387">
            <v>1</v>
          </cell>
          <cell r="M1387">
            <v>46049</v>
          </cell>
          <cell r="N1387">
            <v>46050</v>
          </cell>
          <cell r="O1387">
            <v>1</v>
          </cell>
          <cell r="P1387">
            <v>46051</v>
          </cell>
          <cell r="Q1387">
            <v>1</v>
          </cell>
          <cell r="R1387" t="str">
            <v>NA</v>
          </cell>
          <cell r="S1387">
            <v>5</v>
          </cell>
        </row>
        <row r="1388">
          <cell r="B1388" t="str">
            <v>MNC</v>
          </cell>
          <cell r="C1388" t="str">
            <v>HSLB14856</v>
          </cell>
          <cell r="D1388">
            <v>204012</v>
          </cell>
          <cell r="E1388" t="str">
            <v>Silla Visita</v>
          </cell>
          <cell r="F1388" t="str">
            <v>NO</v>
          </cell>
          <cell r="G1388" t="str">
            <v>NO</v>
          </cell>
          <cell r="H1388" t="str">
            <v>MESÓN RECEPCIÓN DE REGISTRO DE INFORMES</v>
          </cell>
          <cell r="I1388">
            <v>2</v>
          </cell>
          <cell r="J1388" t="str">
            <v>C.5.9.5</v>
          </cell>
          <cell r="K1388" t="str">
            <v>Morgue</v>
          </cell>
          <cell r="L1388">
            <v>1</v>
          </cell>
          <cell r="M1388">
            <v>46049</v>
          </cell>
          <cell r="N1388">
            <v>46050</v>
          </cell>
          <cell r="O1388">
            <v>1</v>
          </cell>
          <cell r="P1388">
            <v>46051</v>
          </cell>
          <cell r="Q1388">
            <v>1</v>
          </cell>
          <cell r="R1388" t="str">
            <v>NA</v>
          </cell>
          <cell r="S1388">
            <v>5</v>
          </cell>
        </row>
        <row r="1389">
          <cell r="B1389" t="str">
            <v>MNC</v>
          </cell>
          <cell r="C1389" t="str">
            <v>HSLB15421</v>
          </cell>
          <cell r="D1389">
            <v>204006</v>
          </cell>
          <cell r="E1389" t="str">
            <v>Silla Ergonómica</v>
          </cell>
          <cell r="F1389" t="str">
            <v>NO</v>
          </cell>
          <cell r="G1389" t="str">
            <v>NO</v>
          </cell>
          <cell r="H1389" t="str">
            <v>VESTIDOR Y ENTREGA FAMILIARES</v>
          </cell>
          <cell r="I1389">
            <v>1</v>
          </cell>
          <cell r="J1389" t="str">
            <v>C.5.9.7</v>
          </cell>
          <cell r="K1389" t="str">
            <v>Morgue</v>
          </cell>
          <cell r="L1389">
            <v>1</v>
          </cell>
          <cell r="M1389">
            <v>46049</v>
          </cell>
          <cell r="N1389">
            <v>46050</v>
          </cell>
          <cell r="O1389">
            <v>1</v>
          </cell>
          <cell r="P1389">
            <v>46051</v>
          </cell>
          <cell r="Q1389">
            <v>1</v>
          </cell>
          <cell r="R1389" t="str">
            <v>NA</v>
          </cell>
          <cell r="S1389">
            <v>5</v>
          </cell>
        </row>
        <row r="1390">
          <cell r="B1390" t="str">
            <v>MNC</v>
          </cell>
          <cell r="C1390" t="str">
            <v>HSLB14446</v>
          </cell>
          <cell r="D1390">
            <v>204006</v>
          </cell>
          <cell r="E1390" t="str">
            <v>Silla Ergonómica</v>
          </cell>
          <cell r="F1390" t="str">
            <v>NO</v>
          </cell>
          <cell r="G1390" t="str">
            <v>NO</v>
          </cell>
          <cell r="H1390" t="str">
            <v>OFICINA JEFE SOME</v>
          </cell>
          <cell r="I1390">
            <v>1</v>
          </cell>
          <cell r="J1390" t="str">
            <v>D.1.1.1.1</v>
          </cell>
          <cell r="K1390" t="str">
            <v>Consultas medicas generales</v>
          </cell>
          <cell r="L1390">
            <v>1</v>
          </cell>
          <cell r="M1390">
            <v>46028</v>
          </cell>
          <cell r="N1390">
            <v>46029</v>
          </cell>
          <cell r="O1390">
            <v>2</v>
          </cell>
          <cell r="P1390">
            <v>46031</v>
          </cell>
          <cell r="Q1390">
            <v>1</v>
          </cell>
          <cell r="R1390" t="str">
            <v>NA</v>
          </cell>
          <cell r="S1390">
            <v>5</v>
          </cell>
        </row>
        <row r="1391">
          <cell r="B1391" t="str">
            <v>MNC</v>
          </cell>
          <cell r="C1391" t="str">
            <v>HSLB14857</v>
          </cell>
          <cell r="D1391">
            <v>204012</v>
          </cell>
          <cell r="E1391" t="str">
            <v>Silla Visita</v>
          </cell>
          <cell r="F1391" t="str">
            <v>NO</v>
          </cell>
          <cell r="G1391" t="str">
            <v>NO</v>
          </cell>
          <cell r="H1391" t="str">
            <v>OFICINA JEFE SOME</v>
          </cell>
          <cell r="I1391">
            <v>4</v>
          </cell>
          <cell r="J1391" t="str">
            <v>D.1.1.1.1</v>
          </cell>
          <cell r="K1391" t="str">
            <v>Consultas medicas generales</v>
          </cell>
          <cell r="L1391">
            <v>1</v>
          </cell>
          <cell r="M1391">
            <v>46028</v>
          </cell>
          <cell r="N1391">
            <v>46029</v>
          </cell>
          <cell r="O1391">
            <v>2</v>
          </cell>
          <cell r="P1391">
            <v>46031</v>
          </cell>
          <cell r="Q1391">
            <v>1</v>
          </cell>
          <cell r="R1391" t="str">
            <v>NA</v>
          </cell>
          <cell r="S1391">
            <v>5</v>
          </cell>
        </row>
        <row r="1392">
          <cell r="B1392" t="str">
            <v>MNC</v>
          </cell>
          <cell r="C1392" t="str">
            <v>HSLB14447</v>
          </cell>
          <cell r="D1392">
            <v>204006</v>
          </cell>
          <cell r="E1392" t="str">
            <v>Silla Ergonómica</v>
          </cell>
          <cell r="F1392" t="str">
            <v>NO</v>
          </cell>
          <cell r="G1392" t="str">
            <v>NO</v>
          </cell>
          <cell r="H1392" t="str">
            <v>SECRETARIA C/ARCH. Y FOTO</v>
          </cell>
          <cell r="I1392">
            <v>1</v>
          </cell>
          <cell r="J1392" t="str">
            <v>D.1.1.1.2</v>
          </cell>
          <cell r="K1392" t="str">
            <v>Consultas medicas generales</v>
          </cell>
          <cell r="L1392">
            <v>1</v>
          </cell>
          <cell r="M1392">
            <v>46028</v>
          </cell>
          <cell r="N1392">
            <v>46029</v>
          </cell>
          <cell r="O1392">
            <v>2</v>
          </cell>
          <cell r="P1392">
            <v>46031</v>
          </cell>
          <cell r="Q1392">
            <v>1</v>
          </cell>
          <cell r="R1392" t="str">
            <v>NA</v>
          </cell>
          <cell r="S1392">
            <v>5</v>
          </cell>
        </row>
        <row r="1393">
          <cell r="B1393" t="str">
            <v>MNC</v>
          </cell>
          <cell r="C1393" t="str">
            <v>HSLB14858</v>
          </cell>
          <cell r="D1393">
            <v>204012</v>
          </cell>
          <cell r="E1393" t="str">
            <v>Silla Visita</v>
          </cell>
          <cell r="F1393" t="str">
            <v>NO</v>
          </cell>
          <cell r="G1393" t="str">
            <v>NO</v>
          </cell>
          <cell r="H1393" t="str">
            <v>SECRETARIA C/ARCH. Y FOTO</v>
          </cell>
          <cell r="I1393">
            <v>2</v>
          </cell>
          <cell r="J1393" t="str">
            <v>D.1.1.1.2</v>
          </cell>
          <cell r="K1393" t="str">
            <v>Consultas medicas generales</v>
          </cell>
          <cell r="L1393">
            <v>1</v>
          </cell>
          <cell r="M1393">
            <v>46028</v>
          </cell>
          <cell r="N1393">
            <v>46029</v>
          </cell>
          <cell r="O1393">
            <v>2</v>
          </cell>
          <cell r="P1393">
            <v>46031</v>
          </cell>
          <cell r="Q1393">
            <v>1</v>
          </cell>
          <cell r="R1393" t="str">
            <v>NA</v>
          </cell>
          <cell r="S1393">
            <v>5</v>
          </cell>
        </row>
        <row r="1394">
          <cell r="B1394" t="str">
            <v>MNC</v>
          </cell>
          <cell r="C1394" t="str">
            <v>HSLB14448</v>
          </cell>
          <cell r="D1394">
            <v>204006</v>
          </cell>
          <cell r="E1394" t="str">
            <v>Silla Ergonómica</v>
          </cell>
          <cell r="F1394" t="str">
            <v>NO</v>
          </cell>
          <cell r="G1394" t="str">
            <v>NO</v>
          </cell>
          <cell r="H1394" t="str">
            <v>MODULOS DE TRABAJO (OPERADOR TELEFONICO)</v>
          </cell>
          <cell r="I1394">
            <v>2</v>
          </cell>
          <cell r="J1394" t="str">
            <v>D.1.1.1.3</v>
          </cell>
          <cell r="K1394" t="str">
            <v>Consultas medicas generales</v>
          </cell>
          <cell r="L1394">
            <v>1</v>
          </cell>
          <cell r="M1394">
            <v>46028</v>
          </cell>
          <cell r="N1394">
            <v>46029</v>
          </cell>
          <cell r="O1394">
            <v>2</v>
          </cell>
          <cell r="P1394">
            <v>46031</v>
          </cell>
          <cell r="Q1394">
            <v>1</v>
          </cell>
          <cell r="R1394" t="str">
            <v>NA</v>
          </cell>
          <cell r="S1394">
            <v>5</v>
          </cell>
        </row>
        <row r="1395">
          <cell r="B1395" t="str">
            <v>MNC</v>
          </cell>
          <cell r="C1395" t="str">
            <v>HSLB14463</v>
          </cell>
          <cell r="D1395">
            <v>204006</v>
          </cell>
          <cell r="E1395" t="str">
            <v>Silla Ergonómica</v>
          </cell>
          <cell r="F1395" t="str">
            <v>NO</v>
          </cell>
          <cell r="G1395" t="str">
            <v>NO</v>
          </cell>
          <cell r="H1395" t="str">
            <v>COORDINADOR GENERAL RS</v>
          </cell>
          <cell r="I1395">
            <v>1</v>
          </cell>
          <cell r="J1395" t="str">
            <v>D.2.2.2.6</v>
          </cell>
          <cell r="K1395" t="str">
            <v>Consultas medicas generales</v>
          </cell>
          <cell r="L1395">
            <v>1</v>
          </cell>
          <cell r="M1395">
            <v>46028</v>
          </cell>
          <cell r="N1395">
            <v>46029</v>
          </cell>
          <cell r="O1395">
            <v>2</v>
          </cell>
          <cell r="P1395">
            <v>46031</v>
          </cell>
          <cell r="Q1395">
            <v>1</v>
          </cell>
          <cell r="R1395" t="str">
            <v>NA</v>
          </cell>
          <cell r="S1395">
            <v>5</v>
          </cell>
        </row>
        <row r="1396">
          <cell r="B1396" t="str">
            <v>MNC</v>
          </cell>
          <cell r="C1396" t="str">
            <v>HSLB14869</v>
          </cell>
          <cell r="D1396">
            <v>204012</v>
          </cell>
          <cell r="E1396" t="str">
            <v>Silla Visita</v>
          </cell>
          <cell r="F1396" t="str">
            <v>NO</v>
          </cell>
          <cell r="G1396" t="str">
            <v>NO</v>
          </cell>
          <cell r="H1396" t="str">
            <v>COORDINADOR GENERAL RS</v>
          </cell>
          <cell r="I1396">
            <v>2</v>
          </cell>
          <cell r="J1396" t="str">
            <v>D.2.2.2.6</v>
          </cell>
          <cell r="K1396" t="str">
            <v>Consultas medicas generales</v>
          </cell>
          <cell r="L1396">
            <v>1</v>
          </cell>
          <cell r="M1396">
            <v>46028</v>
          </cell>
          <cell r="N1396">
            <v>46029</v>
          </cell>
          <cell r="O1396">
            <v>2</v>
          </cell>
          <cell r="P1396">
            <v>46031</v>
          </cell>
          <cell r="Q1396">
            <v>1</v>
          </cell>
          <cell r="R1396" t="str">
            <v>NA</v>
          </cell>
          <cell r="S1396">
            <v>5</v>
          </cell>
        </row>
        <row r="1397">
          <cell r="B1397" t="str">
            <v>MNC</v>
          </cell>
          <cell r="C1397" t="str">
            <v>HSLB15426</v>
          </cell>
          <cell r="D1397">
            <v>204002</v>
          </cell>
          <cell r="E1397" t="str">
            <v>Banca Madera</v>
          </cell>
          <cell r="F1397" t="str">
            <v>NO</v>
          </cell>
          <cell r="G1397" t="str">
            <v>NO</v>
          </cell>
          <cell r="H1397" t="str">
            <v>VESTIDOR C/DUCHA Y LOCKERS</v>
          </cell>
          <cell r="I1397">
            <v>1</v>
          </cell>
          <cell r="J1397" t="str">
            <v>D.2.2.3.1.1</v>
          </cell>
          <cell r="K1397" t="str">
            <v>Urgencia</v>
          </cell>
          <cell r="L1397">
            <v>1</v>
          </cell>
          <cell r="M1397">
            <v>46006</v>
          </cell>
          <cell r="N1397">
            <v>46007</v>
          </cell>
          <cell r="O1397">
            <v>1</v>
          </cell>
          <cell r="P1397">
            <v>46008</v>
          </cell>
          <cell r="Q1397">
            <v>1</v>
          </cell>
          <cell r="R1397" t="str">
            <v>NA</v>
          </cell>
          <cell r="S1397">
            <v>5</v>
          </cell>
        </row>
        <row r="1398">
          <cell r="B1398" t="str">
            <v>MNC</v>
          </cell>
          <cell r="C1398" t="str">
            <v>HSLB15427</v>
          </cell>
          <cell r="D1398">
            <v>204002</v>
          </cell>
          <cell r="E1398" t="str">
            <v>Banca Madera</v>
          </cell>
          <cell r="F1398" t="str">
            <v>NO</v>
          </cell>
          <cell r="G1398" t="str">
            <v>NO</v>
          </cell>
          <cell r="H1398" t="str">
            <v>VESTIDOR C/DUCHA Y LOCKERS</v>
          </cell>
          <cell r="I1398">
            <v>1</v>
          </cell>
          <cell r="J1398" t="str">
            <v>D.2.2.3.1.2</v>
          </cell>
          <cell r="K1398" t="str">
            <v>Urgencia</v>
          </cell>
          <cell r="L1398">
            <v>1</v>
          </cell>
          <cell r="M1398">
            <v>46006</v>
          </cell>
          <cell r="N1398">
            <v>46007</v>
          </cell>
          <cell r="O1398">
            <v>1</v>
          </cell>
          <cell r="P1398">
            <v>46008</v>
          </cell>
          <cell r="Q1398">
            <v>1</v>
          </cell>
          <cell r="R1398" t="str">
            <v>NA</v>
          </cell>
          <cell r="S1398">
            <v>5</v>
          </cell>
        </row>
        <row r="1399">
          <cell r="B1399" t="str">
            <v>MNC</v>
          </cell>
          <cell r="C1399" t="str">
            <v>HSLB14614</v>
          </cell>
          <cell r="D1399">
            <v>204010</v>
          </cell>
          <cell r="E1399" t="str">
            <v>Silla tipo Casino</v>
          </cell>
          <cell r="F1399" t="str">
            <v>NO</v>
          </cell>
          <cell r="G1399" t="str">
            <v>NO</v>
          </cell>
          <cell r="H1399" t="str">
            <v>ESTAR PERSONAL C/ KITCHENETTE</v>
          </cell>
          <cell r="I1399">
            <v>4</v>
          </cell>
          <cell r="J1399" t="str">
            <v>D.2.2.3.2</v>
          </cell>
          <cell r="K1399" t="str">
            <v>Urgencia</v>
          </cell>
          <cell r="L1399">
            <v>1</v>
          </cell>
          <cell r="M1399">
            <v>46006</v>
          </cell>
          <cell r="N1399">
            <v>46007</v>
          </cell>
          <cell r="O1399">
            <v>1</v>
          </cell>
          <cell r="P1399">
            <v>46008</v>
          </cell>
          <cell r="Q1399">
            <v>1</v>
          </cell>
          <cell r="R1399" t="str">
            <v>NA</v>
          </cell>
          <cell r="S1399">
            <v>5</v>
          </cell>
        </row>
        <row r="1400">
          <cell r="B1400" t="str">
            <v>MNC</v>
          </cell>
          <cell r="C1400" t="str">
            <v>HSLB15033</v>
          </cell>
          <cell r="D1400">
            <v>204014</v>
          </cell>
          <cell r="E1400" t="str">
            <v>Sillón 2 Cuerpo</v>
          </cell>
          <cell r="F1400" t="str">
            <v>NO</v>
          </cell>
          <cell r="G1400" t="str">
            <v>NO</v>
          </cell>
          <cell r="H1400" t="str">
            <v>ESTAR PERSONAL C/ KITCHENETTE</v>
          </cell>
          <cell r="I1400">
            <v>1</v>
          </cell>
          <cell r="J1400" t="str">
            <v>D.2.2.3.2</v>
          </cell>
          <cell r="K1400" t="str">
            <v>Urgencia</v>
          </cell>
          <cell r="L1400">
            <v>1</v>
          </cell>
          <cell r="M1400">
            <v>46006</v>
          </cell>
          <cell r="N1400">
            <v>46007</v>
          </cell>
          <cell r="O1400">
            <v>1</v>
          </cell>
          <cell r="P1400">
            <v>46008</v>
          </cell>
          <cell r="Q1400">
            <v>1</v>
          </cell>
          <cell r="R1400" t="str">
            <v>NA</v>
          </cell>
          <cell r="S1400">
            <v>5</v>
          </cell>
        </row>
        <row r="1401">
          <cell r="B1401" t="str">
            <v>MNC</v>
          </cell>
          <cell r="C1401" t="str">
            <v>HSLB14464</v>
          </cell>
          <cell r="D1401">
            <v>204006</v>
          </cell>
          <cell r="E1401" t="str">
            <v>Silla Ergonómica</v>
          </cell>
          <cell r="F1401" t="str">
            <v>NO</v>
          </cell>
          <cell r="G1401" t="str">
            <v>NO</v>
          </cell>
          <cell r="H1401" t="str">
            <v>MÓDULOS DE TRABAJO (operadores telefónicos)</v>
          </cell>
          <cell r="I1401">
            <v>2</v>
          </cell>
          <cell r="J1401" t="str">
            <v>D.2.2.4.1</v>
          </cell>
          <cell r="K1401" t="str">
            <v>Consultas medicas generales</v>
          </cell>
          <cell r="L1401">
            <v>1</v>
          </cell>
          <cell r="M1401">
            <v>46028</v>
          </cell>
          <cell r="N1401">
            <v>46029</v>
          </cell>
          <cell r="O1401">
            <v>2</v>
          </cell>
          <cell r="P1401">
            <v>46031</v>
          </cell>
          <cell r="Q1401">
            <v>1</v>
          </cell>
          <cell r="R1401" t="str">
            <v>NA</v>
          </cell>
          <cell r="S1401">
            <v>5</v>
          </cell>
        </row>
        <row r="1402">
          <cell r="B1402" t="str">
            <v>MNC</v>
          </cell>
          <cell r="C1402" t="str">
            <v>HSLB14615</v>
          </cell>
          <cell r="D1402">
            <v>204010</v>
          </cell>
          <cell r="E1402" t="str">
            <v>Silla tipo Casino</v>
          </cell>
          <cell r="F1402" t="str">
            <v>NO</v>
          </cell>
          <cell r="G1402" t="str">
            <v>NO</v>
          </cell>
          <cell r="H1402" t="str">
            <v>ESTAR PERSONAL C/ KITCHENETTE</v>
          </cell>
          <cell r="I1402">
            <v>4</v>
          </cell>
          <cell r="J1402" t="str">
            <v>D.2.2.4.3</v>
          </cell>
          <cell r="K1402" t="str">
            <v>Consultas medicas generales</v>
          </cell>
          <cell r="L1402">
            <v>1</v>
          </cell>
          <cell r="M1402">
            <v>46028</v>
          </cell>
          <cell r="N1402">
            <v>46029</v>
          </cell>
          <cell r="O1402">
            <v>2</v>
          </cell>
          <cell r="P1402">
            <v>46031</v>
          </cell>
          <cell r="Q1402">
            <v>1</v>
          </cell>
          <cell r="R1402" t="str">
            <v>NA</v>
          </cell>
          <cell r="S1402">
            <v>5</v>
          </cell>
        </row>
        <row r="1403">
          <cell r="B1403" t="str">
            <v>MNC</v>
          </cell>
          <cell r="C1403" t="str">
            <v>HSLB15034</v>
          </cell>
          <cell r="D1403">
            <v>204014</v>
          </cell>
          <cell r="E1403" t="str">
            <v>Sillón 2 Cuerpo</v>
          </cell>
          <cell r="F1403" t="str">
            <v>NO</v>
          </cell>
          <cell r="G1403" t="str">
            <v>NO</v>
          </cell>
          <cell r="H1403" t="str">
            <v>ESTAR PERSONAL C/ KITCHENETTE</v>
          </cell>
          <cell r="I1403">
            <v>1</v>
          </cell>
          <cell r="J1403" t="str">
            <v>D.2.2.4.3</v>
          </cell>
          <cell r="K1403" t="str">
            <v>Consultas medicas generales</v>
          </cell>
          <cell r="L1403">
            <v>1</v>
          </cell>
          <cell r="M1403">
            <v>46028</v>
          </cell>
          <cell r="N1403">
            <v>46029</v>
          </cell>
          <cell r="O1403">
            <v>2</v>
          </cell>
          <cell r="P1403">
            <v>46031</v>
          </cell>
          <cell r="Q1403">
            <v>1</v>
          </cell>
          <cell r="R1403" t="str">
            <v>NA</v>
          </cell>
          <cell r="S1403">
            <v>5</v>
          </cell>
        </row>
        <row r="1404">
          <cell r="B1404" t="str">
            <v>MNC</v>
          </cell>
          <cell r="C1404" t="str">
            <v>HSLB14465</v>
          </cell>
          <cell r="D1404">
            <v>204006</v>
          </cell>
          <cell r="E1404" t="str">
            <v>Silla Ergonómica</v>
          </cell>
          <cell r="F1404" t="str">
            <v>NO</v>
          </cell>
          <cell r="G1404" t="str">
            <v>NO</v>
          </cell>
          <cell r="H1404" t="str">
            <v>OFICINA COORDINADOR ROPERÍA</v>
          </cell>
          <cell r="I1404">
            <v>1</v>
          </cell>
          <cell r="J1404" t="str">
            <v>D.2.2.5.1</v>
          </cell>
          <cell r="K1404" t="str">
            <v>Lavandería</v>
          </cell>
          <cell r="L1404">
            <v>1</v>
          </cell>
          <cell r="M1404">
            <v>46037</v>
          </cell>
          <cell r="N1404">
            <v>46038</v>
          </cell>
          <cell r="O1404">
            <v>1</v>
          </cell>
          <cell r="P1404">
            <v>46041</v>
          </cell>
          <cell r="Q1404">
            <v>1</v>
          </cell>
          <cell r="R1404" t="str">
            <v>NA</v>
          </cell>
          <cell r="S1404">
            <v>5</v>
          </cell>
        </row>
        <row r="1405">
          <cell r="B1405" t="str">
            <v>MNC</v>
          </cell>
          <cell r="C1405" t="str">
            <v>HSLB14870</v>
          </cell>
          <cell r="D1405">
            <v>204012</v>
          </cell>
          <cell r="E1405" t="str">
            <v>Silla Visita</v>
          </cell>
          <cell r="F1405" t="str">
            <v>NO</v>
          </cell>
          <cell r="G1405" t="str">
            <v>NO</v>
          </cell>
          <cell r="H1405" t="str">
            <v>OFICINA COORDINADOR ROPERÍA</v>
          </cell>
          <cell r="I1405">
            <v>2</v>
          </cell>
          <cell r="J1405" t="str">
            <v>D.2.2.5.1</v>
          </cell>
          <cell r="K1405" t="str">
            <v>Lavandería</v>
          </cell>
          <cell r="L1405">
            <v>1</v>
          </cell>
          <cell r="M1405">
            <v>46037</v>
          </cell>
          <cell r="N1405">
            <v>46038</v>
          </cell>
          <cell r="O1405">
            <v>1</v>
          </cell>
          <cell r="P1405">
            <v>46041</v>
          </cell>
          <cell r="Q1405">
            <v>1</v>
          </cell>
          <cell r="R1405" t="str">
            <v>NA</v>
          </cell>
          <cell r="S1405">
            <v>5</v>
          </cell>
        </row>
        <row r="1406">
          <cell r="B1406" t="str">
            <v>MNC</v>
          </cell>
          <cell r="C1406" t="str">
            <v>HSLB15428</v>
          </cell>
          <cell r="D1406">
            <v>204002</v>
          </cell>
          <cell r="E1406" t="str">
            <v>Banca Madera</v>
          </cell>
          <cell r="F1406" t="str">
            <v>NO</v>
          </cell>
          <cell r="G1406" t="str">
            <v>NO</v>
          </cell>
          <cell r="H1406" t="str">
            <v xml:space="preserve">ÁREA DESCONTAMINACIÓN </v>
          </cell>
          <cell r="I1406">
            <v>1</v>
          </cell>
          <cell r="J1406" t="str">
            <v>D.2.2.5.12</v>
          </cell>
          <cell r="K1406" t="str">
            <v>Lavandería</v>
          </cell>
          <cell r="L1406">
            <v>1</v>
          </cell>
          <cell r="M1406">
            <v>46037</v>
          </cell>
          <cell r="N1406">
            <v>46038</v>
          </cell>
          <cell r="O1406">
            <v>1</v>
          </cell>
          <cell r="P1406">
            <v>46041</v>
          </cell>
          <cell r="Q1406">
            <v>1</v>
          </cell>
          <cell r="R1406" t="str">
            <v>NA</v>
          </cell>
          <cell r="S1406">
            <v>5</v>
          </cell>
        </row>
        <row r="1407">
          <cell r="B1407" t="str">
            <v>MNC</v>
          </cell>
          <cell r="C1407" t="str">
            <v>HSLB14466</v>
          </cell>
          <cell r="D1407">
            <v>204006</v>
          </cell>
          <cell r="E1407" t="str">
            <v>Silla Ergonómica</v>
          </cell>
          <cell r="F1407" t="str">
            <v>NO</v>
          </cell>
          <cell r="G1407" t="str">
            <v>NO</v>
          </cell>
          <cell r="H1407" t="str">
            <v>RECEPCIÓN Y REGISTRO</v>
          </cell>
          <cell r="I1407">
            <v>1</v>
          </cell>
          <cell r="J1407" t="str">
            <v>D.2.2.5.13</v>
          </cell>
          <cell r="K1407" t="str">
            <v>Lavandería</v>
          </cell>
          <cell r="L1407">
            <v>1</v>
          </cell>
          <cell r="M1407">
            <v>46037</v>
          </cell>
          <cell r="N1407">
            <v>46038</v>
          </cell>
          <cell r="O1407">
            <v>1</v>
          </cell>
          <cell r="P1407">
            <v>46041</v>
          </cell>
          <cell r="Q1407">
            <v>1</v>
          </cell>
          <cell r="R1407" t="str">
            <v>NA</v>
          </cell>
          <cell r="S1407">
            <v>5</v>
          </cell>
        </row>
        <row r="1408">
          <cell r="B1408" t="str">
            <v>MNC</v>
          </cell>
          <cell r="C1408" t="str">
            <v>HSLB14871</v>
          </cell>
          <cell r="D1408">
            <v>204006</v>
          </cell>
          <cell r="E1408" t="str">
            <v>Silla Ergonómica</v>
          </cell>
          <cell r="F1408" t="str">
            <v>NO</v>
          </cell>
          <cell r="G1408" t="str">
            <v>NO</v>
          </cell>
          <cell r="H1408" t="str">
            <v>ZONA DE COSTURA Y REMIENDO</v>
          </cell>
          <cell r="I1408">
            <v>1</v>
          </cell>
          <cell r="J1408" t="str">
            <v>D.2.2.5.14</v>
          </cell>
          <cell r="K1408" t="str">
            <v>Lavandería</v>
          </cell>
          <cell r="L1408">
            <v>1</v>
          </cell>
          <cell r="M1408">
            <v>46037</v>
          </cell>
          <cell r="N1408">
            <v>46038</v>
          </cell>
          <cell r="O1408">
            <v>1</v>
          </cell>
          <cell r="P1408">
            <v>46041</v>
          </cell>
          <cell r="Q1408">
            <v>1</v>
          </cell>
          <cell r="R1408" t="str">
            <v>NA</v>
          </cell>
          <cell r="S1408">
            <v>5</v>
          </cell>
        </row>
        <row r="1409">
          <cell r="B1409" t="str">
            <v>MNC</v>
          </cell>
          <cell r="C1409" t="str">
            <v>HSLB14467</v>
          </cell>
          <cell r="D1409">
            <v>204006</v>
          </cell>
          <cell r="E1409" t="str">
            <v>Silla Ergonómica</v>
          </cell>
          <cell r="F1409" t="str">
            <v>NO</v>
          </cell>
          <cell r="G1409" t="str">
            <v>NO</v>
          </cell>
          <cell r="H1409" t="str">
            <v>ENTREGA DE ROPA</v>
          </cell>
          <cell r="I1409">
            <v>1</v>
          </cell>
          <cell r="J1409" t="str">
            <v>D.2.2.5.19</v>
          </cell>
          <cell r="K1409" t="str">
            <v>Lavandería</v>
          </cell>
          <cell r="L1409">
            <v>1</v>
          </cell>
          <cell r="M1409">
            <v>46037</v>
          </cell>
          <cell r="N1409">
            <v>46038</v>
          </cell>
          <cell r="O1409">
            <v>1</v>
          </cell>
          <cell r="P1409">
            <v>46041</v>
          </cell>
          <cell r="Q1409">
            <v>1</v>
          </cell>
          <cell r="R1409" t="str">
            <v>NA</v>
          </cell>
          <cell r="S1409">
            <v>5</v>
          </cell>
        </row>
        <row r="1410">
          <cell r="B1410" t="str">
            <v>MNC</v>
          </cell>
          <cell r="C1410" t="str">
            <v>HSLB15429</v>
          </cell>
          <cell r="D1410">
            <v>204006</v>
          </cell>
          <cell r="E1410" t="str">
            <v>Silla Ergonómica</v>
          </cell>
          <cell r="F1410" t="str">
            <v>NO</v>
          </cell>
          <cell r="G1410" t="str">
            <v>SI</v>
          </cell>
          <cell r="H1410" t="str">
            <v>PREPARACIÓN DE CARROS</v>
          </cell>
          <cell r="I1410">
            <v>1</v>
          </cell>
          <cell r="J1410" t="str">
            <v>D.2.2.5.20</v>
          </cell>
          <cell r="K1410" t="str">
            <v>Lavandería</v>
          </cell>
          <cell r="L1410">
            <v>1</v>
          </cell>
          <cell r="M1410">
            <v>46003</v>
          </cell>
          <cell r="N1410">
            <v>46006</v>
          </cell>
          <cell r="O1410">
            <v>1</v>
          </cell>
          <cell r="P1410">
            <v>46007</v>
          </cell>
          <cell r="Q1410">
            <v>1</v>
          </cell>
          <cell r="R1410" t="str">
            <v>NA</v>
          </cell>
          <cell r="S1410">
            <v>5</v>
          </cell>
        </row>
        <row r="1411">
          <cell r="B1411" t="str">
            <v>MNC</v>
          </cell>
          <cell r="C1411" t="str">
            <v>HSLB14468</v>
          </cell>
          <cell r="D1411">
            <v>204006</v>
          </cell>
          <cell r="E1411" t="str">
            <v>Silla Ergonómica</v>
          </cell>
          <cell r="F1411" t="str">
            <v>NO</v>
          </cell>
          <cell r="G1411" t="str">
            <v>NO</v>
          </cell>
          <cell r="H1411" t="str">
            <v>PUNTO DE RECEPCIÓN Y REGISTRO</v>
          </cell>
          <cell r="I1411">
            <v>1</v>
          </cell>
          <cell r="J1411" t="str">
            <v>D.2.2.5.8</v>
          </cell>
          <cell r="K1411" t="str">
            <v>Lavandería</v>
          </cell>
          <cell r="L1411">
            <v>1</v>
          </cell>
          <cell r="M1411">
            <v>46037</v>
          </cell>
          <cell r="N1411">
            <v>46038</v>
          </cell>
          <cell r="O1411">
            <v>1</v>
          </cell>
          <cell r="P1411">
            <v>46041</v>
          </cell>
          <cell r="Q1411">
            <v>1</v>
          </cell>
          <cell r="R1411" t="str">
            <v>NA</v>
          </cell>
          <cell r="S1411">
            <v>5</v>
          </cell>
        </row>
        <row r="1412">
          <cell r="B1412" t="str">
            <v>MNC</v>
          </cell>
          <cell r="C1412" t="str">
            <v>HSLB14469</v>
          </cell>
          <cell r="D1412">
            <v>204006</v>
          </cell>
          <cell r="E1412" t="str">
            <v>Silla Ergonómica</v>
          </cell>
          <cell r="F1412" t="str">
            <v>NO</v>
          </cell>
          <cell r="G1412" t="str">
            <v>NO</v>
          </cell>
          <cell r="H1412" t="str">
            <v>COORDINADOR SERVICIOS EXTERNALIZADOS</v>
          </cell>
          <cell r="I1412">
            <v>1</v>
          </cell>
          <cell r="J1412" t="str">
            <v>D.2.2.6.1</v>
          </cell>
          <cell r="K1412" t="str">
            <v>Consultas medicas generales</v>
          </cell>
          <cell r="L1412">
            <v>1</v>
          </cell>
          <cell r="M1412">
            <v>46028</v>
          </cell>
          <cell r="N1412">
            <v>46029</v>
          </cell>
          <cell r="O1412">
            <v>2</v>
          </cell>
          <cell r="P1412">
            <v>46031</v>
          </cell>
          <cell r="Q1412">
            <v>1</v>
          </cell>
          <cell r="R1412" t="str">
            <v>NA</v>
          </cell>
          <cell r="S1412">
            <v>5</v>
          </cell>
        </row>
        <row r="1413">
          <cell r="B1413" t="str">
            <v>MNC</v>
          </cell>
          <cell r="C1413" t="str">
            <v>HSLB14872</v>
          </cell>
          <cell r="D1413">
            <v>204012</v>
          </cell>
          <cell r="E1413" t="str">
            <v>Silla Visita</v>
          </cell>
          <cell r="F1413" t="str">
            <v>NO</v>
          </cell>
          <cell r="G1413" t="str">
            <v>NO</v>
          </cell>
          <cell r="H1413" t="str">
            <v>COORDINADOR SERVICIOS EXTERNALIZADOS</v>
          </cell>
          <cell r="I1413">
            <v>2</v>
          </cell>
          <cell r="J1413" t="str">
            <v>D.2.2.6.1</v>
          </cell>
          <cell r="K1413" t="str">
            <v>Consultas medicas generales</v>
          </cell>
          <cell r="L1413">
            <v>1</v>
          </cell>
          <cell r="M1413">
            <v>46028</v>
          </cell>
          <cell r="N1413">
            <v>46029</v>
          </cell>
          <cell r="O1413">
            <v>2</v>
          </cell>
          <cell r="P1413">
            <v>46031</v>
          </cell>
          <cell r="Q1413">
            <v>1</v>
          </cell>
          <cell r="R1413" t="str">
            <v>NA</v>
          </cell>
          <cell r="S1413">
            <v>5</v>
          </cell>
        </row>
        <row r="1414">
          <cell r="B1414" t="str">
            <v>MNC</v>
          </cell>
          <cell r="C1414" t="str">
            <v>HSLB14470</v>
          </cell>
          <cell r="D1414">
            <v>204006</v>
          </cell>
          <cell r="E1414" t="str">
            <v>Silla Ergonómica</v>
          </cell>
          <cell r="F1414" t="str">
            <v>NO</v>
          </cell>
          <cell r="G1414" t="str">
            <v>NO</v>
          </cell>
          <cell r="H1414" t="str">
            <v>PORTERÍA c/BAÑO (1)</v>
          </cell>
          <cell r="I1414">
            <v>1</v>
          </cell>
          <cell r="J1414" t="str">
            <v>D.2.2.6.12.1</v>
          </cell>
          <cell r="K1414" t="str">
            <v>Exterior portería</v>
          </cell>
          <cell r="L1414">
            <v>1</v>
          </cell>
          <cell r="M1414">
            <v>46037</v>
          </cell>
          <cell r="N1414">
            <v>46038</v>
          </cell>
          <cell r="O1414">
            <v>1</v>
          </cell>
          <cell r="P1414">
            <v>46041</v>
          </cell>
          <cell r="Q1414">
            <v>1</v>
          </cell>
          <cell r="R1414" t="str">
            <v>NA</v>
          </cell>
          <cell r="S1414">
            <v>5</v>
          </cell>
        </row>
        <row r="1415">
          <cell r="B1415" t="str">
            <v>MNC</v>
          </cell>
          <cell r="C1415" t="str">
            <v>HSLB14471</v>
          </cell>
          <cell r="D1415">
            <v>204006</v>
          </cell>
          <cell r="E1415" t="str">
            <v>Silla Ergonómica</v>
          </cell>
          <cell r="F1415" t="str">
            <v>NO</v>
          </cell>
          <cell r="G1415" t="str">
            <v>NO</v>
          </cell>
          <cell r="H1415" t="str">
            <v>PORTERÍA c/BAÑO (2)</v>
          </cell>
          <cell r="I1415">
            <v>1</v>
          </cell>
          <cell r="J1415" t="str">
            <v>D.2.2.6.12.2</v>
          </cell>
          <cell r="K1415" t="str">
            <v>Exterior portería</v>
          </cell>
          <cell r="L1415">
            <v>1</v>
          </cell>
          <cell r="M1415">
            <v>46037</v>
          </cell>
          <cell r="N1415">
            <v>46038</v>
          </cell>
          <cell r="O1415">
            <v>1</v>
          </cell>
          <cell r="P1415">
            <v>46041</v>
          </cell>
          <cell r="Q1415">
            <v>1</v>
          </cell>
          <cell r="R1415" t="str">
            <v>NA</v>
          </cell>
          <cell r="S1415">
            <v>5</v>
          </cell>
        </row>
        <row r="1416">
          <cell r="B1416" t="str">
            <v>MNC</v>
          </cell>
          <cell r="C1416" t="str">
            <v>HSLB14472</v>
          </cell>
          <cell r="D1416">
            <v>204006</v>
          </cell>
          <cell r="E1416" t="str">
            <v>Silla Ergonómica</v>
          </cell>
          <cell r="F1416" t="str">
            <v>NO</v>
          </cell>
          <cell r="G1416" t="str">
            <v>NO</v>
          </cell>
          <cell r="H1416" t="str">
            <v>PORTERÍA c/BAÑO (3)</v>
          </cell>
          <cell r="I1416">
            <v>1</v>
          </cell>
          <cell r="J1416" t="str">
            <v>D.2.2.6.12.3</v>
          </cell>
          <cell r="K1416" t="str">
            <v>Exterior portería</v>
          </cell>
          <cell r="L1416">
            <v>1</v>
          </cell>
          <cell r="M1416">
            <v>46037</v>
          </cell>
          <cell r="N1416">
            <v>46038</v>
          </cell>
          <cell r="O1416">
            <v>1</v>
          </cell>
          <cell r="P1416">
            <v>46041</v>
          </cell>
          <cell r="Q1416">
            <v>1</v>
          </cell>
          <cell r="R1416" t="str">
            <v>NA</v>
          </cell>
          <cell r="S1416">
            <v>5</v>
          </cell>
        </row>
        <row r="1417">
          <cell r="B1417" t="str">
            <v>MNC</v>
          </cell>
          <cell r="C1417" t="str">
            <v>HSLB14473</v>
          </cell>
          <cell r="D1417">
            <v>204006</v>
          </cell>
          <cell r="E1417" t="str">
            <v>Silla Ergonómica</v>
          </cell>
          <cell r="F1417" t="str">
            <v>NO</v>
          </cell>
          <cell r="G1417" t="str">
            <v>NO</v>
          </cell>
          <cell r="H1417" t="str">
            <v>PORTERÍA c/BAÑO (4)</v>
          </cell>
          <cell r="I1417">
            <v>1</v>
          </cell>
          <cell r="J1417" t="str">
            <v>D.2.2.6.12.4</v>
          </cell>
          <cell r="K1417" t="str">
            <v>Exterior portería</v>
          </cell>
          <cell r="L1417">
            <v>1</v>
          </cell>
          <cell r="M1417">
            <v>46037</v>
          </cell>
          <cell r="N1417">
            <v>46038</v>
          </cell>
          <cell r="O1417">
            <v>1</v>
          </cell>
          <cell r="P1417">
            <v>46041</v>
          </cell>
          <cell r="Q1417">
            <v>1</v>
          </cell>
          <cell r="R1417" t="str">
            <v>NA</v>
          </cell>
          <cell r="S1417">
            <v>5</v>
          </cell>
        </row>
        <row r="1418">
          <cell r="B1418" t="str">
            <v>MNC</v>
          </cell>
          <cell r="C1418" t="str">
            <v>HSLB14474</v>
          </cell>
          <cell r="D1418">
            <v>204006</v>
          </cell>
          <cell r="E1418" t="str">
            <v>Silla Ergonómica</v>
          </cell>
          <cell r="F1418" t="str">
            <v>NO</v>
          </cell>
          <cell r="G1418" t="str">
            <v>NO</v>
          </cell>
          <cell r="H1418" t="str">
            <v>PORTERÍA c/BAÑO (5)</v>
          </cell>
          <cell r="I1418">
            <v>1</v>
          </cell>
          <cell r="J1418" t="str">
            <v>D.2.2.6.12.5</v>
          </cell>
          <cell r="K1418" t="str">
            <v>Exterior portería</v>
          </cell>
          <cell r="L1418">
            <v>1</v>
          </cell>
          <cell r="M1418">
            <v>46037</v>
          </cell>
          <cell r="N1418">
            <v>46038</v>
          </cell>
          <cell r="O1418">
            <v>1</v>
          </cell>
          <cell r="P1418">
            <v>46041</v>
          </cell>
          <cell r="Q1418">
            <v>1</v>
          </cell>
          <cell r="R1418" t="str">
            <v>NA</v>
          </cell>
          <cell r="S1418">
            <v>5</v>
          </cell>
        </row>
        <row r="1419">
          <cell r="B1419" t="str">
            <v>MNC</v>
          </cell>
          <cell r="C1419" t="str">
            <v>HSLB14475</v>
          </cell>
          <cell r="D1419">
            <v>204006</v>
          </cell>
          <cell r="E1419" t="str">
            <v>Silla Ergonómica</v>
          </cell>
          <cell r="F1419" t="str">
            <v>NO</v>
          </cell>
          <cell r="G1419" t="str">
            <v>NO</v>
          </cell>
          <cell r="H1419" t="str">
            <v>PORTERÍA c/BAÑO (6)</v>
          </cell>
          <cell r="I1419">
            <v>1</v>
          </cell>
          <cell r="J1419" t="str">
            <v>D.2.2.6.12.6</v>
          </cell>
          <cell r="K1419" t="str">
            <v>Exterior portería</v>
          </cell>
          <cell r="L1419">
            <v>1</v>
          </cell>
          <cell r="M1419">
            <v>46037</v>
          </cell>
          <cell r="N1419">
            <v>46038</v>
          </cell>
          <cell r="O1419">
            <v>1</v>
          </cell>
          <cell r="P1419">
            <v>46041</v>
          </cell>
          <cell r="Q1419">
            <v>1</v>
          </cell>
          <cell r="R1419" t="str">
            <v>NA</v>
          </cell>
          <cell r="S1419">
            <v>5</v>
          </cell>
        </row>
        <row r="1420">
          <cell r="B1420" t="str">
            <v>MNC</v>
          </cell>
          <cell r="C1420" t="str">
            <v>HSLB14476</v>
          </cell>
          <cell r="D1420">
            <v>204006</v>
          </cell>
          <cell r="E1420" t="str">
            <v>Silla Ergonómica</v>
          </cell>
          <cell r="F1420" t="str">
            <v>NO</v>
          </cell>
          <cell r="G1420" t="str">
            <v>NO</v>
          </cell>
          <cell r="H1420" t="str">
            <v>MONITOREO VIGILANCIA</v>
          </cell>
          <cell r="I1420">
            <v>2</v>
          </cell>
          <cell r="J1420" t="str">
            <v>D.2.2.6.13</v>
          </cell>
          <cell r="K1420" t="str">
            <v>Consultas medicas generales</v>
          </cell>
          <cell r="L1420">
            <v>1</v>
          </cell>
          <cell r="M1420">
            <v>46028</v>
          </cell>
          <cell r="N1420">
            <v>46029</v>
          </cell>
          <cell r="O1420">
            <v>2</v>
          </cell>
          <cell r="P1420">
            <v>46031</v>
          </cell>
          <cell r="Q1420">
            <v>1</v>
          </cell>
          <cell r="R1420" t="str">
            <v>NA</v>
          </cell>
          <cell r="S1420">
            <v>5</v>
          </cell>
        </row>
        <row r="1421">
          <cell r="B1421" t="str">
            <v>MNC</v>
          </cell>
          <cell r="C1421" t="str">
            <v>HSLB15430</v>
          </cell>
          <cell r="D1421">
            <v>204002</v>
          </cell>
          <cell r="E1421" t="str">
            <v>Banca Madera</v>
          </cell>
          <cell r="F1421" t="str">
            <v>NO</v>
          </cell>
          <cell r="G1421" t="str">
            <v>NO</v>
          </cell>
          <cell r="H1421" t="str">
            <v>CASILLEROS</v>
          </cell>
          <cell r="I1421">
            <v>1</v>
          </cell>
          <cell r="J1421" t="str">
            <v>D.2.2.6.4.1</v>
          </cell>
          <cell r="K1421" t="str">
            <v>Consultas medicas generales</v>
          </cell>
          <cell r="L1421">
            <v>1</v>
          </cell>
          <cell r="M1421">
            <v>46028</v>
          </cell>
          <cell r="N1421">
            <v>46029</v>
          </cell>
          <cell r="O1421">
            <v>2</v>
          </cell>
          <cell r="P1421">
            <v>46031</v>
          </cell>
          <cell r="Q1421">
            <v>1</v>
          </cell>
          <cell r="R1421" t="str">
            <v>NA</v>
          </cell>
          <cell r="S1421">
            <v>5</v>
          </cell>
        </row>
        <row r="1422">
          <cell r="B1422" t="str">
            <v>MNC</v>
          </cell>
          <cell r="C1422" t="str">
            <v>HSLB15431</v>
          </cell>
          <cell r="D1422">
            <v>204002</v>
          </cell>
          <cell r="E1422" t="str">
            <v>Banca Madera</v>
          </cell>
          <cell r="F1422" t="str">
            <v>NO</v>
          </cell>
          <cell r="G1422" t="str">
            <v>NO</v>
          </cell>
          <cell r="H1422" t="str">
            <v>CASILLEROS</v>
          </cell>
          <cell r="I1422">
            <v>1</v>
          </cell>
          <cell r="J1422" t="str">
            <v>D.2.2.6.4.2</v>
          </cell>
          <cell r="K1422" t="str">
            <v>Consultas medicas generales</v>
          </cell>
          <cell r="L1422">
            <v>1</v>
          </cell>
          <cell r="M1422">
            <v>46028</v>
          </cell>
          <cell r="N1422">
            <v>46029</v>
          </cell>
          <cell r="O1422">
            <v>2</v>
          </cell>
          <cell r="P1422">
            <v>46031</v>
          </cell>
          <cell r="Q1422">
            <v>1</v>
          </cell>
          <cell r="R1422" t="str">
            <v>NA</v>
          </cell>
          <cell r="S1422">
            <v>5</v>
          </cell>
        </row>
        <row r="1423">
          <cell r="B1423" t="str">
            <v>MNC</v>
          </cell>
          <cell r="C1423" t="str">
            <v>HSLB14616</v>
          </cell>
          <cell r="D1423">
            <v>204010</v>
          </cell>
          <cell r="E1423" t="str">
            <v>Silla tipo Casino</v>
          </cell>
          <cell r="F1423" t="str">
            <v>NO</v>
          </cell>
          <cell r="G1423" t="str">
            <v>NO</v>
          </cell>
          <cell r="H1423" t="str">
            <v>ESTAR PERSONAL C/ KITCHENETTE</v>
          </cell>
          <cell r="I1423">
            <v>4</v>
          </cell>
          <cell r="J1423" t="str">
            <v>D.2.2.6.7</v>
          </cell>
          <cell r="K1423" t="str">
            <v>Consultas medicas generales</v>
          </cell>
          <cell r="L1423">
            <v>1</v>
          </cell>
          <cell r="M1423">
            <v>46028</v>
          </cell>
          <cell r="N1423">
            <v>46029</v>
          </cell>
          <cell r="O1423">
            <v>2</v>
          </cell>
          <cell r="P1423">
            <v>46031</v>
          </cell>
          <cell r="Q1423">
            <v>1</v>
          </cell>
          <cell r="R1423" t="str">
            <v>NA</v>
          </cell>
          <cell r="S1423">
            <v>5</v>
          </cell>
        </row>
        <row r="1424">
          <cell r="B1424" t="str">
            <v>MNC</v>
          </cell>
          <cell r="C1424" t="str">
            <v>HSLB15035</v>
          </cell>
          <cell r="D1424">
            <v>204014</v>
          </cell>
          <cell r="E1424" t="str">
            <v>Sillón 2 Cuerpo</v>
          </cell>
          <cell r="F1424" t="str">
            <v>NO</v>
          </cell>
          <cell r="G1424" t="str">
            <v>NO</v>
          </cell>
          <cell r="H1424" t="str">
            <v>ESTAR PERSONAL C/ KITCHENETTE</v>
          </cell>
          <cell r="I1424">
            <v>1</v>
          </cell>
          <cell r="J1424" t="str">
            <v>D.2.2.6.7</v>
          </cell>
          <cell r="K1424" t="str">
            <v>Consultas medicas generales</v>
          </cell>
          <cell r="L1424">
            <v>1</v>
          </cell>
          <cell r="M1424">
            <v>46028</v>
          </cell>
          <cell r="N1424">
            <v>46029</v>
          </cell>
          <cell r="O1424">
            <v>2</v>
          </cell>
          <cell r="P1424">
            <v>46031</v>
          </cell>
          <cell r="Q1424">
            <v>1</v>
          </cell>
          <cell r="R1424" t="str">
            <v>NA</v>
          </cell>
          <cell r="S1424">
            <v>5</v>
          </cell>
        </row>
        <row r="1425">
          <cell r="B1425" t="str">
            <v>MNC</v>
          </cell>
          <cell r="C1425" t="str">
            <v>HSLB14482</v>
          </cell>
          <cell r="D1425">
            <v>204006</v>
          </cell>
          <cell r="E1425" t="str">
            <v>Silla Ergonómica</v>
          </cell>
          <cell r="F1425" t="str">
            <v>NO</v>
          </cell>
          <cell r="G1425" t="str">
            <v>NO</v>
          </cell>
          <cell r="H1425" t="str">
            <v>COORDINADOR EQUIPOS INDUSTRIALES</v>
          </cell>
          <cell r="I1425">
            <v>1</v>
          </cell>
          <cell r="J1425" t="str">
            <v>D.2.4.1.1</v>
          </cell>
          <cell r="K1425" t="str">
            <v>Mantenimiento</v>
          </cell>
          <cell r="L1425">
            <v>1</v>
          </cell>
          <cell r="M1425">
            <v>46037</v>
          </cell>
          <cell r="N1425">
            <v>46038</v>
          </cell>
          <cell r="O1425">
            <v>1</v>
          </cell>
          <cell r="P1425">
            <v>46041</v>
          </cell>
          <cell r="Q1425">
            <v>1</v>
          </cell>
          <cell r="R1425" t="str">
            <v>NA</v>
          </cell>
          <cell r="S1425">
            <v>5</v>
          </cell>
        </row>
        <row r="1426">
          <cell r="B1426" t="str">
            <v>MNC</v>
          </cell>
          <cell r="C1426" t="str">
            <v>HSLB14876</v>
          </cell>
          <cell r="D1426">
            <v>204012</v>
          </cell>
          <cell r="E1426" t="str">
            <v>Silla Visita</v>
          </cell>
          <cell r="F1426" t="str">
            <v>NO</v>
          </cell>
          <cell r="G1426" t="str">
            <v>NO</v>
          </cell>
          <cell r="H1426" t="str">
            <v>COORDINADOR EQUIPOS INDUSTRIALES</v>
          </cell>
          <cell r="I1426">
            <v>2</v>
          </cell>
          <cell r="J1426" t="str">
            <v>D.2.4.1.1</v>
          </cell>
          <cell r="K1426" t="str">
            <v>Mantenimiento</v>
          </cell>
          <cell r="L1426">
            <v>1</v>
          </cell>
          <cell r="M1426">
            <v>46037</v>
          </cell>
          <cell r="N1426">
            <v>46038</v>
          </cell>
          <cell r="O1426">
            <v>1</v>
          </cell>
          <cell r="P1426">
            <v>46041</v>
          </cell>
          <cell r="Q1426">
            <v>1</v>
          </cell>
          <cell r="R1426" t="str">
            <v>NA</v>
          </cell>
          <cell r="S1426">
            <v>5</v>
          </cell>
        </row>
        <row r="1427">
          <cell r="B1427" t="str">
            <v>MNC</v>
          </cell>
          <cell r="C1427" t="str">
            <v>HSLB14483</v>
          </cell>
          <cell r="D1427">
            <v>204006</v>
          </cell>
          <cell r="E1427" t="str">
            <v>Silla Ergonómica</v>
          </cell>
          <cell r="F1427" t="str">
            <v>NO</v>
          </cell>
          <cell r="G1427" t="str">
            <v>NO</v>
          </cell>
          <cell r="H1427" t="str">
            <v>SECRETARÍA EQUIPOS INDUSTRIALES</v>
          </cell>
          <cell r="I1427">
            <v>1</v>
          </cell>
          <cell r="J1427" t="str">
            <v>D.2.4.1.2</v>
          </cell>
          <cell r="K1427" t="str">
            <v>Mantenimiento</v>
          </cell>
          <cell r="L1427">
            <v>1</v>
          </cell>
          <cell r="M1427">
            <v>46037</v>
          </cell>
          <cell r="N1427">
            <v>46038</v>
          </cell>
          <cell r="O1427">
            <v>1</v>
          </cell>
          <cell r="P1427">
            <v>46041</v>
          </cell>
          <cell r="Q1427">
            <v>1</v>
          </cell>
          <cell r="R1427" t="str">
            <v>NA</v>
          </cell>
          <cell r="S1427">
            <v>5</v>
          </cell>
        </row>
        <row r="1428">
          <cell r="B1428" t="str">
            <v>MNC</v>
          </cell>
          <cell r="C1428" t="str">
            <v>HSLB14877</v>
          </cell>
          <cell r="D1428">
            <v>204012</v>
          </cell>
          <cell r="E1428" t="str">
            <v>Silla Visita</v>
          </cell>
          <cell r="F1428" t="str">
            <v>NO</v>
          </cell>
          <cell r="G1428" t="str">
            <v>NO</v>
          </cell>
          <cell r="H1428" t="str">
            <v>SECRETARÍA EQUIPOS INDUSTRIALES</v>
          </cell>
          <cell r="I1428">
            <v>2</v>
          </cell>
          <cell r="J1428" t="str">
            <v>D.2.4.1.2</v>
          </cell>
          <cell r="K1428" t="str">
            <v>Mantenimiento</v>
          </cell>
          <cell r="L1428">
            <v>1</v>
          </cell>
          <cell r="M1428">
            <v>46037</v>
          </cell>
          <cell r="N1428">
            <v>46038</v>
          </cell>
          <cell r="O1428">
            <v>1</v>
          </cell>
          <cell r="P1428">
            <v>46041</v>
          </cell>
          <cell r="Q1428">
            <v>1</v>
          </cell>
          <cell r="R1428" t="str">
            <v>NA</v>
          </cell>
          <cell r="S1428">
            <v>5</v>
          </cell>
        </row>
        <row r="1429">
          <cell r="B1429" t="str">
            <v>MNC</v>
          </cell>
          <cell r="C1429" t="str">
            <v>HSLB14484</v>
          </cell>
          <cell r="D1429">
            <v>204006</v>
          </cell>
          <cell r="E1429" t="str">
            <v>Silla Ergonómica</v>
          </cell>
          <cell r="F1429" t="str">
            <v>NO</v>
          </cell>
          <cell r="G1429" t="str">
            <v>NO</v>
          </cell>
          <cell r="H1429" t="str">
            <v>TALLER DE ELECTRÓNICA Y ELECTRICIDAD</v>
          </cell>
          <cell r="I1429">
            <v>1</v>
          </cell>
          <cell r="J1429" t="str">
            <v>D.2.4.2.1</v>
          </cell>
          <cell r="K1429" t="str">
            <v>Mantenimiento</v>
          </cell>
          <cell r="L1429">
            <v>1</v>
          </cell>
          <cell r="M1429">
            <v>46037</v>
          </cell>
          <cell r="N1429">
            <v>46038</v>
          </cell>
          <cell r="O1429">
            <v>1</v>
          </cell>
          <cell r="P1429">
            <v>46041</v>
          </cell>
          <cell r="Q1429">
            <v>1</v>
          </cell>
          <cell r="R1429" t="str">
            <v>NA</v>
          </cell>
          <cell r="S1429">
            <v>5</v>
          </cell>
        </row>
        <row r="1430">
          <cell r="B1430" t="str">
            <v>MNC</v>
          </cell>
          <cell r="C1430" t="str">
            <v>HSLB14485</v>
          </cell>
          <cell r="D1430">
            <v>204006</v>
          </cell>
          <cell r="E1430" t="str">
            <v>Silla Ergonómica</v>
          </cell>
          <cell r="F1430" t="str">
            <v>NO</v>
          </cell>
          <cell r="G1430" t="str">
            <v>NO</v>
          </cell>
          <cell r="H1430" t="str">
            <v>TALLER DE MANTENIMIENTO Y GASFITERIA</v>
          </cell>
          <cell r="I1430">
            <v>1</v>
          </cell>
          <cell r="J1430" t="str">
            <v>D.2.4.2.2</v>
          </cell>
          <cell r="K1430" t="str">
            <v>Mantenimiento</v>
          </cell>
          <cell r="L1430">
            <v>1</v>
          </cell>
          <cell r="M1430">
            <v>46037</v>
          </cell>
          <cell r="N1430">
            <v>46038</v>
          </cell>
          <cell r="O1430">
            <v>1</v>
          </cell>
          <cell r="P1430">
            <v>46041</v>
          </cell>
          <cell r="Q1430">
            <v>1</v>
          </cell>
          <cell r="R1430" t="str">
            <v>NA</v>
          </cell>
          <cell r="S1430">
            <v>5</v>
          </cell>
        </row>
        <row r="1431">
          <cell r="B1431" t="str">
            <v>MNC</v>
          </cell>
          <cell r="C1431" t="str">
            <v>HSLB14486</v>
          </cell>
          <cell r="D1431">
            <v>204006</v>
          </cell>
          <cell r="E1431" t="str">
            <v>Silla Ergonómica</v>
          </cell>
          <cell r="F1431" t="str">
            <v>NO</v>
          </cell>
          <cell r="G1431" t="str">
            <v>NO</v>
          </cell>
          <cell r="H1431" t="str">
            <v>TALLER DE MANTENIMIENTO INFRAESTRUCTURA</v>
          </cell>
          <cell r="I1431">
            <v>1</v>
          </cell>
          <cell r="J1431" t="str">
            <v>D.2.4.2.3</v>
          </cell>
          <cell r="K1431" t="str">
            <v>Mantenimiento</v>
          </cell>
          <cell r="L1431">
            <v>1</v>
          </cell>
          <cell r="M1431">
            <v>46037</v>
          </cell>
          <cell r="N1431">
            <v>46038</v>
          </cell>
          <cell r="O1431">
            <v>1</v>
          </cell>
          <cell r="P1431">
            <v>46041</v>
          </cell>
          <cell r="Q1431">
            <v>1</v>
          </cell>
          <cell r="R1431" t="str">
            <v>NA</v>
          </cell>
          <cell r="S1431">
            <v>5</v>
          </cell>
        </row>
        <row r="1432">
          <cell r="B1432" t="str">
            <v>MNC</v>
          </cell>
          <cell r="C1432" t="str">
            <v>HSLB14487</v>
          </cell>
          <cell r="D1432">
            <v>204006</v>
          </cell>
          <cell r="E1432" t="str">
            <v>Silla Ergonómica</v>
          </cell>
          <cell r="F1432" t="str">
            <v>NO</v>
          </cell>
          <cell r="G1432" t="str">
            <v>NO</v>
          </cell>
          <cell r="H1432" t="str">
            <v>TALLER DE MANTENIMIENTO RECINTOS TÉCNICOS</v>
          </cell>
          <cell r="I1432">
            <v>1</v>
          </cell>
          <cell r="J1432" t="str">
            <v>D.2.4.2.4</v>
          </cell>
          <cell r="K1432" t="str">
            <v>Mantenimiento</v>
          </cell>
          <cell r="L1432">
            <v>1</v>
          </cell>
          <cell r="M1432">
            <v>46037</v>
          </cell>
          <cell r="N1432">
            <v>46038</v>
          </cell>
          <cell r="O1432">
            <v>1</v>
          </cell>
          <cell r="P1432">
            <v>46041</v>
          </cell>
          <cell r="Q1432">
            <v>1</v>
          </cell>
          <cell r="R1432" t="str">
            <v>NA</v>
          </cell>
          <cell r="S1432">
            <v>5</v>
          </cell>
        </row>
        <row r="1433">
          <cell r="B1433" t="str">
            <v>MNC</v>
          </cell>
          <cell r="C1433" t="str">
            <v>HSLB14488</v>
          </cell>
          <cell r="D1433">
            <v>204006</v>
          </cell>
          <cell r="E1433" t="str">
            <v>Silla Ergonómica</v>
          </cell>
          <cell r="F1433" t="str">
            <v>NO</v>
          </cell>
          <cell r="G1433" t="str">
            <v>NO</v>
          </cell>
          <cell r="H1433" t="str">
            <v>MODULO DE TRABAJO</v>
          </cell>
          <cell r="I1433">
            <v>2</v>
          </cell>
          <cell r="J1433" t="str">
            <v>D.2.4.3.1</v>
          </cell>
          <cell r="K1433" t="str">
            <v>Mantenimiento</v>
          </cell>
          <cell r="L1433">
            <v>1</v>
          </cell>
          <cell r="M1433">
            <v>46037</v>
          </cell>
          <cell r="N1433">
            <v>46038</v>
          </cell>
          <cell r="O1433">
            <v>1</v>
          </cell>
          <cell r="P1433">
            <v>46041</v>
          </cell>
          <cell r="Q1433">
            <v>1</v>
          </cell>
          <cell r="R1433" t="str">
            <v>NA</v>
          </cell>
          <cell r="S1433">
            <v>5</v>
          </cell>
        </row>
        <row r="1434">
          <cell r="B1434" t="str">
            <v>MNC</v>
          </cell>
          <cell r="C1434" t="str">
            <v>HSLB14878</v>
          </cell>
          <cell r="D1434">
            <v>204012</v>
          </cell>
          <cell r="E1434" t="str">
            <v>Silla Visita</v>
          </cell>
          <cell r="F1434" t="str">
            <v>NO</v>
          </cell>
          <cell r="G1434" t="str">
            <v>NO</v>
          </cell>
          <cell r="H1434" t="str">
            <v>MODULO DE TRABAJO</v>
          </cell>
          <cell r="I1434">
            <v>2</v>
          </cell>
          <cell r="J1434" t="str">
            <v>D.2.4.3.1</v>
          </cell>
          <cell r="K1434" t="str">
            <v>Mantenimiento</v>
          </cell>
          <cell r="L1434">
            <v>1</v>
          </cell>
          <cell r="M1434">
            <v>46037</v>
          </cell>
          <cell r="N1434">
            <v>46038</v>
          </cell>
          <cell r="O1434">
            <v>1</v>
          </cell>
          <cell r="P1434">
            <v>46041</v>
          </cell>
          <cell r="Q1434">
            <v>1</v>
          </cell>
          <cell r="R1434" t="str">
            <v>NA</v>
          </cell>
          <cell r="S1434">
            <v>5</v>
          </cell>
        </row>
        <row r="1435">
          <cell r="B1435" t="str">
            <v>MNC</v>
          </cell>
          <cell r="C1435" t="str">
            <v>HSLB14489</v>
          </cell>
          <cell r="D1435">
            <v>204006</v>
          </cell>
          <cell r="E1435" t="str">
            <v>Silla Ergonómica</v>
          </cell>
          <cell r="F1435" t="str">
            <v>NO</v>
          </cell>
          <cell r="G1435" t="str">
            <v>NO</v>
          </cell>
          <cell r="H1435" t="str">
            <v xml:space="preserve">SALA CONTROL CENTRALIZADO </v>
          </cell>
          <cell r="I1435">
            <v>2</v>
          </cell>
          <cell r="J1435" t="str">
            <v>D.2.4.3.2</v>
          </cell>
          <cell r="K1435" t="str">
            <v>Mantenimiento</v>
          </cell>
          <cell r="L1435">
            <v>1</v>
          </cell>
          <cell r="M1435">
            <v>46037</v>
          </cell>
          <cell r="N1435">
            <v>46038</v>
          </cell>
          <cell r="O1435">
            <v>1</v>
          </cell>
          <cell r="P1435">
            <v>46041</v>
          </cell>
          <cell r="Q1435">
            <v>1</v>
          </cell>
          <cell r="R1435" t="str">
            <v>NA</v>
          </cell>
          <cell r="S1435">
            <v>5</v>
          </cell>
        </row>
        <row r="1436">
          <cell r="B1436" t="str">
            <v>MNC</v>
          </cell>
          <cell r="C1436" t="str">
            <v>HSLB14617</v>
          </cell>
          <cell r="D1436">
            <v>204010</v>
          </cell>
          <cell r="E1436" t="str">
            <v>Silla tipo Casino</v>
          </cell>
          <cell r="F1436" t="str">
            <v>NO</v>
          </cell>
          <cell r="G1436" t="str">
            <v>NO</v>
          </cell>
          <cell r="H1436" t="str">
            <v>ESTAR PERSONAL C/ KITCHENETTE</v>
          </cell>
          <cell r="I1436">
            <v>4</v>
          </cell>
          <cell r="J1436" t="str">
            <v>D.2.4.4.4</v>
          </cell>
          <cell r="K1436" t="str">
            <v>Mantenimiento</v>
          </cell>
          <cell r="L1436">
            <v>1</v>
          </cell>
          <cell r="M1436">
            <v>46037</v>
          </cell>
          <cell r="N1436">
            <v>46038</v>
          </cell>
          <cell r="O1436">
            <v>1</v>
          </cell>
          <cell r="P1436">
            <v>46041</v>
          </cell>
          <cell r="Q1436">
            <v>1</v>
          </cell>
          <cell r="R1436" t="str">
            <v>NA</v>
          </cell>
          <cell r="S1436">
            <v>5</v>
          </cell>
        </row>
        <row r="1437">
          <cell r="B1437" t="str">
            <v>MNC</v>
          </cell>
          <cell r="C1437" t="str">
            <v>HSLB15036</v>
          </cell>
          <cell r="D1437">
            <v>204014</v>
          </cell>
          <cell r="E1437" t="str">
            <v>Sillón 2 Cuerpo</v>
          </cell>
          <cell r="F1437" t="str">
            <v>NO</v>
          </cell>
          <cell r="G1437" t="str">
            <v>NO</v>
          </cell>
          <cell r="H1437" t="str">
            <v>ESTAR PERSONAL C/ KITCHENETTE</v>
          </cell>
          <cell r="I1437">
            <v>1</v>
          </cell>
          <cell r="J1437" t="str">
            <v>D.2.4.4.4</v>
          </cell>
          <cell r="K1437" t="str">
            <v>Mantenimiento</v>
          </cell>
          <cell r="L1437">
            <v>1</v>
          </cell>
          <cell r="M1437">
            <v>46037</v>
          </cell>
          <cell r="N1437">
            <v>46038</v>
          </cell>
          <cell r="O1437">
            <v>1</v>
          </cell>
          <cell r="P1437">
            <v>46041</v>
          </cell>
          <cell r="Q1437">
            <v>1</v>
          </cell>
          <cell r="R1437" t="str">
            <v>NA</v>
          </cell>
          <cell r="S1437">
            <v>5</v>
          </cell>
        </row>
        <row r="1438">
          <cell r="B1438" t="str">
            <v>MNC</v>
          </cell>
          <cell r="C1438" t="str">
            <v>HSLB14508</v>
          </cell>
          <cell r="D1438">
            <v>204006</v>
          </cell>
          <cell r="E1438" t="str">
            <v>Silla Ergonómica</v>
          </cell>
          <cell r="F1438" t="str">
            <v>NO</v>
          </cell>
          <cell r="G1438" t="str">
            <v>NO</v>
          </cell>
          <cell r="H1438" t="str">
            <v>COORDINADOR BODEGA</v>
          </cell>
          <cell r="I1438">
            <v>1</v>
          </cell>
          <cell r="J1438" t="str">
            <v>D.3.3.3.1</v>
          </cell>
          <cell r="K1438" t="str">
            <v>Abastecimiento</v>
          </cell>
          <cell r="L1438">
            <v>1</v>
          </cell>
          <cell r="M1438">
            <v>46035</v>
          </cell>
          <cell r="N1438">
            <v>46036</v>
          </cell>
          <cell r="O1438">
            <v>1</v>
          </cell>
          <cell r="P1438">
            <v>46037</v>
          </cell>
          <cell r="Q1438">
            <v>1</v>
          </cell>
          <cell r="R1438" t="str">
            <v>NA</v>
          </cell>
          <cell r="S1438">
            <v>5</v>
          </cell>
        </row>
        <row r="1439">
          <cell r="B1439" t="str">
            <v>MNC</v>
          </cell>
          <cell r="C1439" t="str">
            <v>HSLB14897</v>
          </cell>
          <cell r="D1439">
            <v>204012</v>
          </cell>
          <cell r="E1439" t="str">
            <v>Silla Visita</v>
          </cell>
          <cell r="F1439" t="str">
            <v>NO</v>
          </cell>
          <cell r="G1439" t="str">
            <v>NO</v>
          </cell>
          <cell r="H1439" t="str">
            <v>COORDINADOR BODEGA</v>
          </cell>
          <cell r="I1439">
            <v>2</v>
          </cell>
          <cell r="J1439" t="str">
            <v>D.3.3.3.1</v>
          </cell>
          <cell r="K1439" t="str">
            <v>Abastecimiento</v>
          </cell>
          <cell r="L1439">
            <v>1</v>
          </cell>
          <cell r="M1439">
            <v>46035</v>
          </cell>
          <cell r="N1439">
            <v>46036</v>
          </cell>
          <cell r="O1439">
            <v>1</v>
          </cell>
          <cell r="P1439">
            <v>46037</v>
          </cell>
          <cell r="Q1439">
            <v>1</v>
          </cell>
          <cell r="R1439" t="str">
            <v>NA</v>
          </cell>
          <cell r="S1439">
            <v>5</v>
          </cell>
        </row>
        <row r="1440">
          <cell r="B1440" t="str">
            <v>MNC</v>
          </cell>
          <cell r="C1440" t="str">
            <v>HSLB14898</v>
          </cell>
          <cell r="D1440">
            <v>204010</v>
          </cell>
          <cell r="E1440" t="str">
            <v>Silla tipo Casino</v>
          </cell>
          <cell r="F1440" t="str">
            <v>NO</v>
          </cell>
          <cell r="G1440" t="str">
            <v>NO</v>
          </cell>
          <cell r="H1440" t="str">
            <v>ESTAR PERSONAL C/ KITCHENETTE</v>
          </cell>
          <cell r="I1440">
            <v>4</v>
          </cell>
          <cell r="J1440" t="str">
            <v>D.3.3.3.10</v>
          </cell>
          <cell r="K1440" t="str">
            <v>Abastecimiento</v>
          </cell>
          <cell r="L1440">
            <v>1</v>
          </cell>
          <cell r="M1440">
            <v>46035</v>
          </cell>
          <cell r="N1440">
            <v>46036</v>
          </cell>
          <cell r="O1440">
            <v>1</v>
          </cell>
          <cell r="P1440">
            <v>46037</v>
          </cell>
          <cell r="Q1440">
            <v>1</v>
          </cell>
          <cell r="R1440" t="str">
            <v>NA</v>
          </cell>
          <cell r="S1440">
            <v>5</v>
          </cell>
        </row>
        <row r="1441">
          <cell r="B1441" t="str">
            <v>MNC</v>
          </cell>
          <cell r="C1441" t="str">
            <v>HSLB14975</v>
          </cell>
          <cell r="D1441">
            <v>204013</v>
          </cell>
          <cell r="E1441" t="str">
            <v>Sillón 1 Cuerpo</v>
          </cell>
          <cell r="F1441" t="str">
            <v>NO</v>
          </cell>
          <cell r="G1441" t="str">
            <v>NO</v>
          </cell>
          <cell r="H1441" t="str">
            <v>ESTAR PERSONAL C/ KITCHENETTE</v>
          </cell>
          <cell r="I1441">
            <v>1</v>
          </cell>
          <cell r="J1441" t="str">
            <v>D.3.3.3.10</v>
          </cell>
          <cell r="K1441" t="str">
            <v>Abastecimiento</v>
          </cell>
          <cell r="L1441">
            <v>1</v>
          </cell>
          <cell r="M1441">
            <v>46035</v>
          </cell>
          <cell r="N1441">
            <v>46036</v>
          </cell>
          <cell r="O1441">
            <v>1</v>
          </cell>
          <cell r="P1441">
            <v>46037</v>
          </cell>
          <cell r="Q1441">
            <v>1</v>
          </cell>
          <cell r="R1441" t="str">
            <v>NA</v>
          </cell>
          <cell r="S1441">
            <v>5</v>
          </cell>
        </row>
        <row r="1442">
          <cell r="B1442" t="str">
            <v>MNC</v>
          </cell>
          <cell r="C1442" t="str">
            <v>HSLB14509</v>
          </cell>
          <cell r="D1442">
            <v>204006</v>
          </cell>
          <cell r="E1442" t="str">
            <v>Silla Ergonómica</v>
          </cell>
          <cell r="F1442" t="str">
            <v>NO</v>
          </cell>
          <cell r="G1442" t="str">
            <v>NO</v>
          </cell>
          <cell r="H1442" t="str">
            <v>ÁREA REGISTRO BODEGA GENERAL</v>
          </cell>
          <cell r="I1442">
            <v>1</v>
          </cell>
          <cell r="J1442" t="str">
            <v>D.3.3.3.11</v>
          </cell>
          <cell r="K1442" t="str">
            <v>Abastecimiento</v>
          </cell>
          <cell r="L1442">
            <v>1</v>
          </cell>
          <cell r="M1442">
            <v>46035</v>
          </cell>
          <cell r="N1442">
            <v>46036</v>
          </cell>
          <cell r="O1442">
            <v>1</v>
          </cell>
          <cell r="P1442">
            <v>46037</v>
          </cell>
          <cell r="Q1442">
            <v>1</v>
          </cell>
          <cell r="R1442" t="str">
            <v>NA</v>
          </cell>
          <cell r="S1442">
            <v>5</v>
          </cell>
        </row>
        <row r="1443">
          <cell r="B1443" t="str">
            <v>MNC</v>
          </cell>
          <cell r="C1443" t="str">
            <v>HSLB14899</v>
          </cell>
          <cell r="D1443">
            <v>204012</v>
          </cell>
          <cell r="E1443" t="str">
            <v>Silla Visita</v>
          </cell>
          <cell r="F1443" t="str">
            <v>NO</v>
          </cell>
          <cell r="G1443" t="str">
            <v>NO</v>
          </cell>
          <cell r="H1443" t="str">
            <v>ÁREA REGISTRO BODEGA GENERAL</v>
          </cell>
          <cell r="I1443">
            <v>2</v>
          </cell>
          <cell r="J1443" t="str">
            <v>D.3.3.3.11</v>
          </cell>
          <cell r="K1443" t="str">
            <v>Abastecimiento</v>
          </cell>
          <cell r="L1443">
            <v>1</v>
          </cell>
          <cell r="M1443">
            <v>46035</v>
          </cell>
          <cell r="N1443">
            <v>46036</v>
          </cell>
          <cell r="O1443">
            <v>1</v>
          </cell>
          <cell r="P1443">
            <v>46037</v>
          </cell>
          <cell r="Q1443">
            <v>1</v>
          </cell>
          <cell r="R1443" t="str">
            <v>NA</v>
          </cell>
          <cell r="S1443">
            <v>5</v>
          </cell>
        </row>
        <row r="1444">
          <cell r="B1444" t="str">
            <v>MNC</v>
          </cell>
          <cell r="C1444" t="str">
            <v>HSLB14510</v>
          </cell>
          <cell r="D1444">
            <v>204006</v>
          </cell>
          <cell r="E1444" t="str">
            <v>Silla Ergonómica</v>
          </cell>
          <cell r="F1444" t="str">
            <v>NO</v>
          </cell>
          <cell r="G1444" t="str">
            <v>NO</v>
          </cell>
          <cell r="H1444" t="str">
            <v>MESÓN DE RECEPCIÓN C/ARCHIVO Y FOTOCOPIADORA</v>
          </cell>
          <cell r="I1444">
            <v>1</v>
          </cell>
          <cell r="J1444" t="str">
            <v>D.3.3.3.2</v>
          </cell>
          <cell r="K1444" t="str">
            <v>Abastecimiento</v>
          </cell>
          <cell r="L1444">
            <v>1</v>
          </cell>
          <cell r="M1444">
            <v>46035</v>
          </cell>
          <cell r="N1444">
            <v>46036</v>
          </cell>
          <cell r="O1444">
            <v>1</v>
          </cell>
          <cell r="P1444">
            <v>46037</v>
          </cell>
          <cell r="Q1444">
            <v>1</v>
          </cell>
          <cell r="R1444" t="str">
            <v>NA</v>
          </cell>
          <cell r="S1444">
            <v>5</v>
          </cell>
        </row>
        <row r="1445">
          <cell r="B1445" t="str">
            <v>MNC</v>
          </cell>
          <cell r="C1445" t="str">
            <v>HSLB15437</v>
          </cell>
          <cell r="D1445">
            <v>204012</v>
          </cell>
          <cell r="E1445" t="str">
            <v>Silla Visita</v>
          </cell>
          <cell r="F1445" t="str">
            <v>NO</v>
          </cell>
          <cell r="G1445" t="str">
            <v>NO</v>
          </cell>
          <cell r="H1445" t="str">
            <v>MESÓN DE RECEPCIÓN C/ARCHIVO Y FOTOCOPIADORA</v>
          </cell>
          <cell r="I1445">
            <v>2</v>
          </cell>
          <cell r="J1445" t="str">
            <v>D.3.3.3.2</v>
          </cell>
          <cell r="K1445" t="str">
            <v>Abastecimiento</v>
          </cell>
          <cell r="L1445">
            <v>1</v>
          </cell>
          <cell r="M1445">
            <v>46035</v>
          </cell>
          <cell r="N1445">
            <v>46036</v>
          </cell>
          <cell r="O1445">
            <v>1</v>
          </cell>
          <cell r="P1445">
            <v>46037</v>
          </cell>
          <cell r="Q1445">
            <v>1</v>
          </cell>
          <cell r="R1445" t="str">
            <v>NA</v>
          </cell>
          <cell r="S1445">
            <v>5</v>
          </cell>
        </row>
        <row r="1446">
          <cell r="B1446" t="str">
            <v>MNC</v>
          </cell>
          <cell r="C1446" t="str">
            <v>HSLB14511</v>
          </cell>
          <cell r="D1446">
            <v>204006</v>
          </cell>
          <cell r="E1446" t="str">
            <v>Silla Ergonómica</v>
          </cell>
          <cell r="F1446" t="str">
            <v>NO</v>
          </cell>
          <cell r="G1446" t="str">
            <v>NO</v>
          </cell>
          <cell r="H1446" t="str">
            <v>ÁREA REGISTRO BODEGA FARMACIA E INSUMOS</v>
          </cell>
          <cell r="I1446">
            <v>1</v>
          </cell>
          <cell r="J1446" t="str">
            <v>D.3.3.3.22</v>
          </cell>
          <cell r="K1446" t="str">
            <v>Abastecimiento</v>
          </cell>
          <cell r="L1446">
            <v>1</v>
          </cell>
          <cell r="M1446">
            <v>46035</v>
          </cell>
          <cell r="N1446">
            <v>46036</v>
          </cell>
          <cell r="O1446">
            <v>1</v>
          </cell>
          <cell r="P1446">
            <v>46037</v>
          </cell>
          <cell r="Q1446">
            <v>1</v>
          </cell>
          <cell r="R1446" t="str">
            <v>NA</v>
          </cell>
          <cell r="S1446">
            <v>5</v>
          </cell>
        </row>
        <row r="1447">
          <cell r="B1447" t="str">
            <v>MNC</v>
          </cell>
          <cell r="C1447" t="str">
            <v>HSLB14900</v>
          </cell>
          <cell r="D1447">
            <v>204012</v>
          </cell>
          <cell r="E1447" t="str">
            <v>Silla Visita</v>
          </cell>
          <cell r="F1447" t="str">
            <v>NO</v>
          </cell>
          <cell r="G1447" t="str">
            <v>NO</v>
          </cell>
          <cell r="H1447" t="str">
            <v>ÁREA REGISTRO BODEGA FARMACIA E INSUMOS</v>
          </cell>
          <cell r="I1447">
            <v>2</v>
          </cell>
          <cell r="J1447" t="str">
            <v>D.3.3.3.22</v>
          </cell>
          <cell r="K1447" t="str">
            <v>Abastecimiento</v>
          </cell>
          <cell r="L1447">
            <v>1</v>
          </cell>
          <cell r="M1447">
            <v>46035</v>
          </cell>
          <cell r="N1447">
            <v>46036</v>
          </cell>
          <cell r="O1447">
            <v>1</v>
          </cell>
          <cell r="P1447">
            <v>46037</v>
          </cell>
          <cell r="Q1447">
            <v>1</v>
          </cell>
          <cell r="R1447" t="str">
            <v>NA</v>
          </cell>
          <cell r="S1447">
            <v>5</v>
          </cell>
        </row>
        <row r="1448">
          <cell r="B1448" t="str">
            <v>MNC</v>
          </cell>
          <cell r="C1448" t="str">
            <v>HSLB15438</v>
          </cell>
          <cell r="D1448">
            <v>204006</v>
          </cell>
          <cell r="E1448" t="str">
            <v>Silla Ergonómica</v>
          </cell>
          <cell r="F1448" t="str">
            <v>NO</v>
          </cell>
          <cell r="G1448" t="str">
            <v>SI</v>
          </cell>
          <cell r="H1448" t="str">
            <v>BODEGA MEDICAMENTOS</v>
          </cell>
          <cell r="I1448">
            <v>1</v>
          </cell>
          <cell r="J1448" t="str">
            <v>D.3.3.3.23</v>
          </cell>
          <cell r="K1448" t="str">
            <v>Abastecimiento</v>
          </cell>
          <cell r="L1448">
            <v>1</v>
          </cell>
          <cell r="M1448">
            <v>46003</v>
          </cell>
          <cell r="N1448">
            <v>46006</v>
          </cell>
          <cell r="O1448">
            <v>1</v>
          </cell>
          <cell r="P1448">
            <v>46007</v>
          </cell>
          <cell r="Q1448">
            <v>1</v>
          </cell>
          <cell r="R1448" t="str">
            <v>NA</v>
          </cell>
          <cell r="S1448">
            <v>5</v>
          </cell>
        </row>
        <row r="1449">
          <cell r="B1449" t="str">
            <v>MNC</v>
          </cell>
          <cell r="C1449" t="str">
            <v>HSLB15439</v>
          </cell>
          <cell r="D1449">
            <v>204006</v>
          </cell>
          <cell r="E1449" t="str">
            <v>Silla Ergonómica</v>
          </cell>
          <cell r="F1449" t="str">
            <v>NO</v>
          </cell>
          <cell r="G1449" t="str">
            <v>NO</v>
          </cell>
          <cell r="H1449" t="str">
            <v>BODEGA DE SUEROS</v>
          </cell>
          <cell r="I1449">
            <v>1</v>
          </cell>
          <cell r="J1449" t="str">
            <v>D.3.3.3.25</v>
          </cell>
          <cell r="K1449" t="str">
            <v>Abastecimiento</v>
          </cell>
          <cell r="L1449">
            <v>1</v>
          </cell>
          <cell r="M1449">
            <v>46035</v>
          </cell>
          <cell r="N1449">
            <v>46036</v>
          </cell>
          <cell r="O1449">
            <v>1</v>
          </cell>
          <cell r="P1449">
            <v>46037</v>
          </cell>
          <cell r="Q1449">
            <v>1</v>
          </cell>
          <cell r="R1449" t="str">
            <v>NA</v>
          </cell>
          <cell r="S1449">
            <v>5</v>
          </cell>
        </row>
        <row r="1450">
          <cell r="B1450" t="str">
            <v>MNC</v>
          </cell>
          <cell r="C1450" t="str">
            <v>HSLB15441</v>
          </cell>
          <cell r="D1450">
            <v>204006</v>
          </cell>
          <cell r="E1450" t="str">
            <v>Silla Ergonómica</v>
          </cell>
          <cell r="F1450" t="str">
            <v>NO</v>
          </cell>
          <cell r="G1450" t="str">
            <v>NO</v>
          </cell>
          <cell r="H1450" t="str">
            <v>BODEGA MATERIAL ESTERIL</v>
          </cell>
          <cell r="I1450">
            <v>1</v>
          </cell>
          <cell r="J1450" t="str">
            <v>D.3.3.3.27</v>
          </cell>
          <cell r="K1450" t="str">
            <v>Abastecimiento</v>
          </cell>
          <cell r="L1450">
            <v>1</v>
          </cell>
          <cell r="M1450">
            <v>46035</v>
          </cell>
          <cell r="N1450">
            <v>46036</v>
          </cell>
          <cell r="O1450">
            <v>1</v>
          </cell>
          <cell r="P1450">
            <v>46037</v>
          </cell>
          <cell r="Q1450">
            <v>1</v>
          </cell>
          <cell r="R1450" t="str">
            <v>NA</v>
          </cell>
          <cell r="S1450">
            <v>5</v>
          </cell>
        </row>
        <row r="1451">
          <cell r="B1451" t="str">
            <v>MNC</v>
          </cell>
          <cell r="C1451" t="str">
            <v>HSLB14512</v>
          </cell>
          <cell r="D1451">
            <v>204006</v>
          </cell>
          <cell r="E1451" t="str">
            <v>Silla Ergonómica</v>
          </cell>
          <cell r="F1451" t="str">
            <v>NO</v>
          </cell>
          <cell r="G1451" t="str">
            <v>NO</v>
          </cell>
          <cell r="H1451" t="str">
            <v>ÁREA MESÓN</v>
          </cell>
          <cell r="I1451">
            <v>1</v>
          </cell>
          <cell r="J1451" t="str">
            <v>D.3.3.3.3</v>
          </cell>
          <cell r="K1451" t="str">
            <v>Abastecimiento</v>
          </cell>
          <cell r="L1451">
            <v>1</v>
          </cell>
          <cell r="M1451">
            <v>46035</v>
          </cell>
          <cell r="N1451">
            <v>46036</v>
          </cell>
          <cell r="O1451">
            <v>1</v>
          </cell>
          <cell r="P1451">
            <v>46037</v>
          </cell>
          <cell r="Q1451">
            <v>1</v>
          </cell>
          <cell r="R1451" t="str">
            <v>NA</v>
          </cell>
          <cell r="S1451">
            <v>5</v>
          </cell>
        </row>
        <row r="1452">
          <cell r="B1452" t="str">
            <v>MNC</v>
          </cell>
          <cell r="C1452" t="str">
            <v>HSLB15443</v>
          </cell>
          <cell r="D1452">
            <v>204002</v>
          </cell>
          <cell r="E1452" t="str">
            <v>Banca Madera</v>
          </cell>
          <cell r="F1452" t="str">
            <v>NO</v>
          </cell>
          <cell r="G1452" t="str">
            <v>NO</v>
          </cell>
          <cell r="H1452" t="str">
            <v>VESTIDOR C/DUCHA Y LOCKERS</v>
          </cell>
          <cell r="I1452">
            <v>1</v>
          </cell>
          <cell r="J1452" t="str">
            <v>D.3.3.3.34.1</v>
          </cell>
          <cell r="K1452" t="str">
            <v>Abastecimiento</v>
          </cell>
          <cell r="L1452">
            <v>1</v>
          </cell>
          <cell r="M1452">
            <v>46035</v>
          </cell>
          <cell r="N1452">
            <v>46036</v>
          </cell>
          <cell r="O1452">
            <v>1</v>
          </cell>
          <cell r="P1452">
            <v>46037</v>
          </cell>
          <cell r="Q1452">
            <v>1</v>
          </cell>
          <cell r="R1452" t="str">
            <v>NA</v>
          </cell>
          <cell r="S1452">
            <v>5</v>
          </cell>
        </row>
        <row r="1453">
          <cell r="B1453" t="str">
            <v>MNC</v>
          </cell>
          <cell r="C1453" t="str">
            <v>HSLB15444</v>
          </cell>
          <cell r="D1453">
            <v>204002</v>
          </cell>
          <cell r="E1453" t="str">
            <v>Banca Madera</v>
          </cell>
          <cell r="F1453" t="str">
            <v>NO</v>
          </cell>
          <cell r="G1453" t="str">
            <v>NO</v>
          </cell>
          <cell r="H1453" t="str">
            <v>VESTIDOR C/DUCHA Y LOCKERS</v>
          </cell>
          <cell r="I1453">
            <v>1</v>
          </cell>
          <cell r="J1453" t="str">
            <v>D.3.3.3.34.2</v>
          </cell>
          <cell r="K1453" t="str">
            <v>Abastecimiento</v>
          </cell>
          <cell r="L1453">
            <v>1</v>
          </cell>
          <cell r="M1453">
            <v>46035</v>
          </cell>
          <cell r="N1453">
            <v>46036</v>
          </cell>
          <cell r="O1453">
            <v>1</v>
          </cell>
          <cell r="P1453">
            <v>46037</v>
          </cell>
          <cell r="Q1453">
            <v>1</v>
          </cell>
          <cell r="R1453" t="str">
            <v>NA</v>
          </cell>
          <cell r="S1453">
            <v>5</v>
          </cell>
        </row>
        <row r="1454">
          <cell r="B1454" t="str">
            <v>MNC</v>
          </cell>
          <cell r="C1454" t="str">
            <v>HSLB15454</v>
          </cell>
          <cell r="D1454">
            <v>204002</v>
          </cell>
          <cell r="E1454" t="str">
            <v>Banca Madera</v>
          </cell>
          <cell r="F1454" t="str">
            <v>NO</v>
          </cell>
          <cell r="G1454" t="str">
            <v>NO</v>
          </cell>
          <cell r="H1454" t="str">
            <v>VESTIDOR C/DUCHA Y LOCKERS</v>
          </cell>
          <cell r="I1454">
            <v>2</v>
          </cell>
          <cell r="J1454" t="str">
            <v>H.1.11.1</v>
          </cell>
          <cell r="K1454" t="str">
            <v>Urgencia</v>
          </cell>
          <cell r="L1454">
            <v>1</v>
          </cell>
          <cell r="M1454">
            <v>46006</v>
          </cell>
          <cell r="N1454">
            <v>46007</v>
          </cell>
          <cell r="O1454">
            <v>1</v>
          </cell>
          <cell r="P1454">
            <v>46008</v>
          </cell>
          <cell r="Q1454">
            <v>1</v>
          </cell>
          <cell r="R1454" t="str">
            <v>NA</v>
          </cell>
          <cell r="S1454">
            <v>5</v>
          </cell>
        </row>
        <row r="1455">
          <cell r="B1455" t="str">
            <v>MNC</v>
          </cell>
          <cell r="C1455" t="str">
            <v>HSLB15455</v>
          </cell>
          <cell r="D1455">
            <v>204002</v>
          </cell>
          <cell r="E1455" t="str">
            <v>Banca Madera</v>
          </cell>
          <cell r="F1455" t="str">
            <v>NO</v>
          </cell>
          <cell r="G1455" t="str">
            <v>NO</v>
          </cell>
          <cell r="H1455" t="str">
            <v>VESTIDOR C/DUCHA Y LOCKERS</v>
          </cell>
          <cell r="I1455">
            <v>2</v>
          </cell>
          <cell r="J1455" t="str">
            <v>H.1.11.3</v>
          </cell>
          <cell r="K1455" t="str">
            <v>Urgencia</v>
          </cell>
          <cell r="L1455">
            <v>1</v>
          </cell>
          <cell r="M1455">
            <v>46006</v>
          </cell>
          <cell r="N1455">
            <v>46007</v>
          </cell>
          <cell r="O1455">
            <v>1</v>
          </cell>
          <cell r="P1455">
            <v>46008</v>
          </cell>
          <cell r="Q1455">
            <v>1</v>
          </cell>
          <cell r="R1455" t="str">
            <v>NA</v>
          </cell>
          <cell r="S1455">
            <v>5</v>
          </cell>
        </row>
        <row r="1456">
          <cell r="B1456" t="str">
            <v>MNC</v>
          </cell>
          <cell r="C1456" t="str">
            <v>HSLB14937</v>
          </cell>
          <cell r="D1456">
            <v>204012</v>
          </cell>
          <cell r="E1456" t="str">
            <v>Silla Visita</v>
          </cell>
          <cell r="F1456" t="str">
            <v>NO</v>
          </cell>
          <cell r="G1456" t="str">
            <v>NO</v>
          </cell>
          <cell r="H1456" t="str">
            <v>SALA MULTIUSO CON KITCHENETTE</v>
          </cell>
          <cell r="I1456">
            <v>8</v>
          </cell>
          <cell r="J1456" t="str">
            <v>H.1.2</v>
          </cell>
          <cell r="K1456" t="str">
            <v>Urgencia</v>
          </cell>
          <cell r="L1456">
            <v>1</v>
          </cell>
          <cell r="M1456">
            <v>46006</v>
          </cell>
          <cell r="N1456">
            <v>46007</v>
          </cell>
          <cell r="O1456">
            <v>1</v>
          </cell>
          <cell r="P1456">
            <v>46008</v>
          </cell>
          <cell r="Q1456">
            <v>1</v>
          </cell>
          <cell r="R1456" t="str">
            <v>NA</v>
          </cell>
          <cell r="S1456">
            <v>5</v>
          </cell>
        </row>
        <row r="1457">
          <cell r="B1457" t="str">
            <v>MNC</v>
          </cell>
          <cell r="C1457" t="str">
            <v>HSLB14938</v>
          </cell>
          <cell r="D1457">
            <v>204012</v>
          </cell>
          <cell r="E1457" t="str">
            <v>Silla Visita</v>
          </cell>
          <cell r="F1457" t="str">
            <v>NO</v>
          </cell>
          <cell r="G1457" t="str">
            <v>NO</v>
          </cell>
          <cell r="H1457" t="str">
            <v>ESTAR PERSONAL</v>
          </cell>
          <cell r="I1457">
            <v>4</v>
          </cell>
          <cell r="J1457" t="str">
            <v>H.1.3</v>
          </cell>
          <cell r="K1457" t="str">
            <v>Urgencia</v>
          </cell>
          <cell r="L1457">
            <v>1</v>
          </cell>
          <cell r="M1457">
            <v>46006</v>
          </cell>
          <cell r="N1457">
            <v>46007</v>
          </cell>
          <cell r="O1457">
            <v>1</v>
          </cell>
          <cell r="P1457">
            <v>46008</v>
          </cell>
          <cell r="Q1457">
            <v>1</v>
          </cell>
          <cell r="R1457" t="str">
            <v>NA</v>
          </cell>
          <cell r="S1457">
            <v>5</v>
          </cell>
        </row>
        <row r="1458">
          <cell r="B1458" t="str">
            <v>MNC</v>
          </cell>
          <cell r="C1458" t="str">
            <v>HSLB15037</v>
          </cell>
          <cell r="D1458">
            <v>204014</v>
          </cell>
          <cell r="E1458" t="str">
            <v>Sillón 2 Cuerpo</v>
          </cell>
          <cell r="F1458" t="str">
            <v>NO</v>
          </cell>
          <cell r="G1458" t="str">
            <v>NO</v>
          </cell>
          <cell r="H1458" t="str">
            <v>ESTAR PERSONAL</v>
          </cell>
          <cell r="I1458">
            <v>1</v>
          </cell>
          <cell r="J1458" t="str">
            <v>H.1.3</v>
          </cell>
          <cell r="K1458" t="str">
            <v>Urgencia</v>
          </cell>
          <cell r="L1458">
            <v>1</v>
          </cell>
          <cell r="M1458">
            <v>46006</v>
          </cell>
          <cell r="N1458">
            <v>46007</v>
          </cell>
          <cell r="O1458">
            <v>1</v>
          </cell>
          <cell r="P1458">
            <v>46008</v>
          </cell>
          <cell r="Q1458">
            <v>1</v>
          </cell>
          <cell r="R1458" t="str">
            <v>NA</v>
          </cell>
          <cell r="S1458">
            <v>5</v>
          </cell>
        </row>
        <row r="1459">
          <cell r="B1459" t="str">
            <v>MNC</v>
          </cell>
          <cell r="C1459" t="str">
            <v>HSLB15458</v>
          </cell>
          <cell r="D1459">
            <v>204006</v>
          </cell>
          <cell r="E1459" t="str">
            <v>Silla Ergonómica</v>
          </cell>
          <cell r="F1459" t="str">
            <v>NO</v>
          </cell>
          <cell r="G1459" t="str">
            <v>NO</v>
          </cell>
          <cell r="H1459" t="str">
            <v>OFICINA MULTIUSO</v>
          </cell>
          <cell r="I1459">
            <v>1</v>
          </cell>
          <cell r="J1459" t="str">
            <v>H.1.3.1</v>
          </cell>
          <cell r="K1459" t="str">
            <v>Urgencia</v>
          </cell>
          <cell r="L1459">
            <v>1</v>
          </cell>
          <cell r="M1459">
            <v>46006</v>
          </cell>
          <cell r="N1459">
            <v>46007</v>
          </cell>
          <cell r="O1459">
            <v>1</v>
          </cell>
          <cell r="P1459">
            <v>46008</v>
          </cell>
          <cell r="Q1459">
            <v>1</v>
          </cell>
          <cell r="R1459" t="str">
            <v>NA</v>
          </cell>
          <cell r="S1459">
            <v>5</v>
          </cell>
        </row>
        <row r="1460">
          <cell r="B1460" t="str">
            <v>MNC</v>
          </cell>
          <cell r="C1460" t="str">
            <v>HSLB15459</v>
          </cell>
          <cell r="D1460">
            <v>204012</v>
          </cell>
          <cell r="E1460" t="str">
            <v>Silla Visita</v>
          </cell>
          <cell r="F1460" t="str">
            <v>NO</v>
          </cell>
          <cell r="G1460" t="str">
            <v>NO</v>
          </cell>
          <cell r="H1460" t="str">
            <v>OFICINA MULTIUSO</v>
          </cell>
          <cell r="I1460">
            <v>2</v>
          </cell>
          <cell r="J1460" t="str">
            <v>H.1.3.1</v>
          </cell>
          <cell r="K1460" t="str">
            <v>Urgencia</v>
          </cell>
          <cell r="L1460">
            <v>1</v>
          </cell>
          <cell r="M1460">
            <v>46006</v>
          </cell>
          <cell r="N1460">
            <v>46007</v>
          </cell>
          <cell r="O1460">
            <v>1</v>
          </cell>
          <cell r="P1460">
            <v>46008</v>
          </cell>
          <cell r="Q1460">
            <v>1</v>
          </cell>
          <cell r="R1460" t="str">
            <v>NA</v>
          </cell>
          <cell r="S1460">
            <v>5</v>
          </cell>
        </row>
        <row r="1461">
          <cell r="B1461" t="str">
            <v>MNC</v>
          </cell>
          <cell r="C1461" t="str">
            <v>HSLB14939</v>
          </cell>
          <cell r="D1461">
            <v>204012</v>
          </cell>
          <cell r="E1461" t="str">
            <v>Silla Visita</v>
          </cell>
          <cell r="F1461" t="str">
            <v>NO</v>
          </cell>
          <cell r="G1461" t="str">
            <v>NO</v>
          </cell>
          <cell r="H1461" t="str">
            <v>SALA DE REUNIONES</v>
          </cell>
          <cell r="I1461">
            <v>8</v>
          </cell>
          <cell r="J1461" t="str">
            <v>H.1.5</v>
          </cell>
          <cell r="K1461" t="str">
            <v>Urgencia</v>
          </cell>
          <cell r="L1461">
            <v>1</v>
          </cell>
          <cell r="M1461">
            <v>46006</v>
          </cell>
          <cell r="N1461">
            <v>46007</v>
          </cell>
          <cell r="O1461">
            <v>1</v>
          </cell>
          <cell r="P1461">
            <v>46008</v>
          </cell>
          <cell r="Q1461">
            <v>1</v>
          </cell>
          <cell r="R1461" t="str">
            <v>NA</v>
          </cell>
          <cell r="S1461">
            <v>5</v>
          </cell>
        </row>
        <row r="1462">
          <cell r="B1462" t="str">
            <v>MNC</v>
          </cell>
          <cell r="C1462" t="str">
            <v>HSLB14156</v>
          </cell>
          <cell r="D1462">
            <v>204003</v>
          </cell>
          <cell r="E1462" t="str">
            <v>Silla Adulto</v>
          </cell>
          <cell r="F1462" t="str">
            <v>NO</v>
          </cell>
          <cell r="G1462" t="str">
            <v>NO</v>
          </cell>
          <cell r="H1462" t="str">
            <v>NIVEL MEDIO MENOR</v>
          </cell>
          <cell r="I1462">
            <v>2</v>
          </cell>
          <cell r="J1462" t="str">
            <v>H.2.11.1</v>
          </cell>
          <cell r="K1462" t="str">
            <v>Sala Cuna</v>
          </cell>
          <cell r="L1462">
            <v>1</v>
          </cell>
          <cell r="M1462">
            <v>46041</v>
          </cell>
          <cell r="N1462">
            <v>46042</v>
          </cell>
          <cell r="O1462">
            <v>2</v>
          </cell>
          <cell r="P1462">
            <v>46044</v>
          </cell>
          <cell r="Q1462">
            <v>1</v>
          </cell>
          <cell r="R1462" t="str">
            <v>NA</v>
          </cell>
          <cell r="S1462">
            <v>5</v>
          </cell>
        </row>
        <row r="1463">
          <cell r="B1463" t="str">
            <v>MNC</v>
          </cell>
          <cell r="C1463" t="str">
            <v>HSLB14580</v>
          </cell>
          <cell r="D1463">
            <v>204009</v>
          </cell>
          <cell r="E1463" t="str">
            <v>Silla Párvulo</v>
          </cell>
          <cell r="F1463" t="str">
            <v>NO</v>
          </cell>
          <cell r="G1463" t="str">
            <v>NO</v>
          </cell>
          <cell r="H1463" t="str">
            <v>NIVEL MEDIO MENOR</v>
          </cell>
          <cell r="I1463">
            <v>14</v>
          </cell>
          <cell r="J1463" t="str">
            <v>H.2.11.1</v>
          </cell>
          <cell r="K1463" t="str">
            <v>Sala Cuna</v>
          </cell>
          <cell r="L1463">
            <v>1</v>
          </cell>
          <cell r="M1463">
            <v>46041</v>
          </cell>
          <cell r="N1463">
            <v>46042</v>
          </cell>
          <cell r="O1463">
            <v>2</v>
          </cell>
          <cell r="P1463">
            <v>46044</v>
          </cell>
          <cell r="Q1463">
            <v>1</v>
          </cell>
          <cell r="R1463" t="str">
            <v>NA</v>
          </cell>
          <cell r="S1463">
            <v>5</v>
          </cell>
        </row>
        <row r="1464">
          <cell r="B1464" t="str">
            <v>MNC</v>
          </cell>
          <cell r="C1464" t="str">
            <v>HSLB14157</v>
          </cell>
          <cell r="D1464">
            <v>204003</v>
          </cell>
          <cell r="E1464" t="str">
            <v>Silla Adulto</v>
          </cell>
          <cell r="F1464" t="str">
            <v>NO</v>
          </cell>
          <cell r="G1464" t="str">
            <v>SI</v>
          </cell>
          <cell r="H1464" t="str">
            <v>NIVEL MEDIO MAYOR</v>
          </cell>
          <cell r="I1464">
            <v>2</v>
          </cell>
          <cell r="J1464" t="str">
            <v>H.2.11.2</v>
          </cell>
          <cell r="K1464" t="str">
            <v>Sala Cuna</v>
          </cell>
          <cell r="L1464">
            <v>1</v>
          </cell>
          <cell r="M1464">
            <v>46003</v>
          </cell>
          <cell r="N1464">
            <v>46006</v>
          </cell>
          <cell r="O1464">
            <v>2</v>
          </cell>
          <cell r="P1464">
            <v>46008</v>
          </cell>
          <cell r="Q1464">
            <v>1</v>
          </cell>
          <cell r="R1464" t="str">
            <v>NA</v>
          </cell>
          <cell r="S1464">
            <v>5</v>
          </cell>
        </row>
        <row r="1465">
          <cell r="B1465" t="str">
            <v>MNC</v>
          </cell>
          <cell r="C1465" t="str">
            <v>HSLB14581</v>
          </cell>
          <cell r="D1465">
            <v>204009</v>
          </cell>
          <cell r="E1465" t="str">
            <v>Silla Párvulo</v>
          </cell>
          <cell r="F1465" t="str">
            <v>NO</v>
          </cell>
          <cell r="G1465" t="str">
            <v>SI</v>
          </cell>
          <cell r="H1465" t="str">
            <v>NIVEL MEDIO MAYOR</v>
          </cell>
          <cell r="I1465">
            <v>14</v>
          </cell>
          <cell r="J1465" t="str">
            <v>H.2.11.2</v>
          </cell>
          <cell r="K1465" t="str">
            <v>Sala Cuna</v>
          </cell>
          <cell r="L1465">
            <v>1</v>
          </cell>
          <cell r="M1465">
            <v>46003</v>
          </cell>
          <cell r="N1465">
            <v>46006</v>
          </cell>
          <cell r="O1465">
            <v>2</v>
          </cell>
          <cell r="P1465">
            <v>46008</v>
          </cell>
          <cell r="Q1465">
            <v>1</v>
          </cell>
          <cell r="R1465" t="str">
            <v>NA</v>
          </cell>
          <cell r="S1465">
            <v>5</v>
          </cell>
        </row>
        <row r="1466">
          <cell r="B1466" t="str">
            <v>MNC</v>
          </cell>
          <cell r="C1466" t="str">
            <v>HSLB14146</v>
          </cell>
          <cell r="D1466">
            <v>204001</v>
          </cell>
          <cell r="E1466" t="str">
            <v xml:space="preserve">Banca </v>
          </cell>
          <cell r="F1466" t="str">
            <v>NO</v>
          </cell>
          <cell r="G1466" t="str">
            <v>NO</v>
          </cell>
          <cell r="H1466" t="str">
            <v>SALA DE EXPANSION NIVEL MEDIO</v>
          </cell>
          <cell r="I1466">
            <v>2</v>
          </cell>
          <cell r="J1466" t="str">
            <v>H.2.12</v>
          </cell>
          <cell r="K1466" t="str">
            <v>Sala Cuna</v>
          </cell>
          <cell r="L1466">
            <v>1</v>
          </cell>
          <cell r="M1466">
            <v>46041</v>
          </cell>
          <cell r="N1466">
            <v>46042</v>
          </cell>
          <cell r="O1466">
            <v>2</v>
          </cell>
          <cell r="P1466">
            <v>46044</v>
          </cell>
          <cell r="Q1466">
            <v>1</v>
          </cell>
          <cell r="R1466" t="str">
            <v>NA</v>
          </cell>
          <cell r="S1466">
            <v>5</v>
          </cell>
        </row>
        <row r="1467">
          <cell r="B1467" t="str">
            <v>MNC</v>
          </cell>
          <cell r="C1467" t="str">
            <v>HSLB14158</v>
          </cell>
          <cell r="D1467">
            <v>204003</v>
          </cell>
          <cell r="E1467" t="str">
            <v>Silla Adulto</v>
          </cell>
          <cell r="F1467" t="str">
            <v>NO</v>
          </cell>
          <cell r="G1467" t="str">
            <v>NO</v>
          </cell>
          <cell r="H1467" t="str">
            <v>SALA DE EXPANSION NIVEL MEDIO</v>
          </cell>
          <cell r="I1467">
            <v>5</v>
          </cell>
          <cell r="J1467" t="str">
            <v>H.2.12</v>
          </cell>
          <cell r="K1467" t="str">
            <v>Sala Cuna</v>
          </cell>
          <cell r="L1467">
            <v>1</v>
          </cell>
          <cell r="M1467">
            <v>46041</v>
          </cell>
          <cell r="N1467">
            <v>46042</v>
          </cell>
          <cell r="O1467">
            <v>2</v>
          </cell>
          <cell r="P1467">
            <v>46044</v>
          </cell>
          <cell r="Q1467">
            <v>1</v>
          </cell>
          <cell r="R1467" t="str">
            <v>NA</v>
          </cell>
          <cell r="S1467">
            <v>5</v>
          </cell>
        </row>
        <row r="1468">
          <cell r="B1468" t="str">
            <v>MNC</v>
          </cell>
          <cell r="C1468" t="str">
            <v>HSLB15468</v>
          </cell>
          <cell r="D1468">
            <v>204001</v>
          </cell>
          <cell r="E1468" t="str">
            <v>Banca Madera</v>
          </cell>
          <cell r="F1468" t="str">
            <v>NO</v>
          </cell>
          <cell r="G1468" t="str">
            <v>NO</v>
          </cell>
          <cell r="H1468" t="str">
            <v>BAÑO FUNCIONARIOS C/VESTIDOR</v>
          </cell>
          <cell r="I1468">
            <v>1</v>
          </cell>
          <cell r="J1468" t="str">
            <v>H.2.25</v>
          </cell>
          <cell r="K1468" t="str">
            <v>Sala Cuna</v>
          </cell>
          <cell r="L1468">
            <v>1</v>
          </cell>
          <cell r="M1468">
            <v>46041</v>
          </cell>
          <cell r="N1468">
            <v>46042</v>
          </cell>
          <cell r="O1468">
            <v>2</v>
          </cell>
          <cell r="P1468">
            <v>46044</v>
          </cell>
          <cell r="Q1468">
            <v>1</v>
          </cell>
          <cell r="R1468" t="str">
            <v>NA</v>
          </cell>
          <cell r="S1468">
            <v>5</v>
          </cell>
        </row>
        <row r="1469">
          <cell r="B1469" t="str">
            <v>MNC</v>
          </cell>
          <cell r="C1469" t="str">
            <v>HSLB14542</v>
          </cell>
          <cell r="D1469">
            <v>204006</v>
          </cell>
          <cell r="E1469" t="str">
            <v>Silla Ergonómica</v>
          </cell>
          <cell r="F1469" t="str">
            <v>NO</v>
          </cell>
          <cell r="G1469" t="str">
            <v>NO</v>
          </cell>
          <cell r="H1469" t="str">
            <v>OFICINA DIRECTORA</v>
          </cell>
          <cell r="I1469">
            <v>1</v>
          </cell>
          <cell r="J1469" t="str">
            <v>H.2.3</v>
          </cell>
          <cell r="K1469" t="str">
            <v>Sala Cuna</v>
          </cell>
          <cell r="L1469">
            <v>1</v>
          </cell>
          <cell r="M1469">
            <v>46041</v>
          </cell>
          <cell r="N1469">
            <v>46042</v>
          </cell>
          <cell r="O1469">
            <v>2</v>
          </cell>
          <cell r="P1469">
            <v>46044</v>
          </cell>
          <cell r="Q1469">
            <v>1</v>
          </cell>
          <cell r="R1469" t="str">
            <v>NA</v>
          </cell>
          <cell r="S1469">
            <v>5</v>
          </cell>
        </row>
        <row r="1470">
          <cell r="B1470" t="str">
            <v>MNC</v>
          </cell>
          <cell r="C1470" t="str">
            <v>HSLB14940</v>
          </cell>
          <cell r="D1470">
            <v>204012</v>
          </cell>
          <cell r="E1470" t="str">
            <v>Silla Visita</v>
          </cell>
          <cell r="F1470" t="str">
            <v>NO</v>
          </cell>
          <cell r="G1470" t="str">
            <v>NO</v>
          </cell>
          <cell r="H1470" t="str">
            <v>OFICINA DIRECTORA</v>
          </cell>
          <cell r="I1470">
            <v>2</v>
          </cell>
          <cell r="J1470" t="str">
            <v>H.2.3</v>
          </cell>
          <cell r="K1470" t="str">
            <v>Sala Cuna</v>
          </cell>
          <cell r="L1470">
            <v>1</v>
          </cell>
          <cell r="M1470">
            <v>46041</v>
          </cell>
          <cell r="N1470">
            <v>46042</v>
          </cell>
          <cell r="O1470">
            <v>2</v>
          </cell>
          <cell r="P1470">
            <v>46044</v>
          </cell>
          <cell r="Q1470">
            <v>1</v>
          </cell>
          <cell r="R1470" t="str">
            <v>NA</v>
          </cell>
          <cell r="S1470">
            <v>5</v>
          </cell>
        </row>
        <row r="1471">
          <cell r="B1471" t="str">
            <v>MNC</v>
          </cell>
          <cell r="C1471" t="str">
            <v>HSLB14543</v>
          </cell>
          <cell r="D1471">
            <v>204006</v>
          </cell>
          <cell r="E1471" t="str">
            <v>Silla Ergonómica</v>
          </cell>
          <cell r="F1471" t="str">
            <v>NO</v>
          </cell>
          <cell r="G1471" t="str">
            <v>NO</v>
          </cell>
          <cell r="H1471" t="str">
            <v>OFICINA 2 EDUCADORAS</v>
          </cell>
          <cell r="I1471">
            <v>2</v>
          </cell>
          <cell r="J1471" t="str">
            <v>H.2.4</v>
          </cell>
          <cell r="K1471" t="str">
            <v>Sala Cuna</v>
          </cell>
          <cell r="L1471">
            <v>1</v>
          </cell>
          <cell r="M1471">
            <v>46041</v>
          </cell>
          <cell r="N1471">
            <v>46042</v>
          </cell>
          <cell r="O1471">
            <v>2</v>
          </cell>
          <cell r="P1471">
            <v>46044</v>
          </cell>
          <cell r="Q1471">
            <v>1</v>
          </cell>
          <cell r="R1471" t="str">
            <v>NA</v>
          </cell>
          <cell r="S1471">
            <v>5</v>
          </cell>
        </row>
        <row r="1472">
          <cell r="B1472" t="str">
            <v>MNC</v>
          </cell>
          <cell r="C1472" t="str">
            <v>HSLB14941</v>
          </cell>
          <cell r="D1472">
            <v>204012</v>
          </cell>
          <cell r="E1472" t="str">
            <v>Silla Visita</v>
          </cell>
          <cell r="F1472" t="str">
            <v>NO</v>
          </cell>
          <cell r="G1472" t="str">
            <v>NO</v>
          </cell>
          <cell r="H1472" t="str">
            <v>OFICINA 2 EDUCADORAS</v>
          </cell>
          <cell r="I1472">
            <v>2</v>
          </cell>
          <cell r="J1472" t="str">
            <v>H.2.4</v>
          </cell>
          <cell r="K1472" t="str">
            <v>Sala Cuna</v>
          </cell>
          <cell r="L1472">
            <v>1</v>
          </cell>
          <cell r="M1472">
            <v>46041</v>
          </cell>
          <cell r="N1472">
            <v>46042</v>
          </cell>
          <cell r="O1472">
            <v>2</v>
          </cell>
          <cell r="P1472">
            <v>46044</v>
          </cell>
          <cell r="Q1472">
            <v>1</v>
          </cell>
          <cell r="R1472" t="str">
            <v>NA</v>
          </cell>
          <cell r="S1472">
            <v>5</v>
          </cell>
        </row>
        <row r="1473">
          <cell r="B1473" t="str">
            <v>MNC</v>
          </cell>
          <cell r="C1473" t="str">
            <v>HSLB14977</v>
          </cell>
          <cell r="D1473">
            <v>204013</v>
          </cell>
          <cell r="E1473" t="str">
            <v>Sillón 1 Cuerpo</v>
          </cell>
          <cell r="F1473" t="str">
            <v>NO</v>
          </cell>
          <cell r="G1473" t="str">
            <v>NO</v>
          </cell>
          <cell r="H1473" t="str">
            <v>SALA AMAMANTAMIENTO</v>
          </cell>
          <cell r="I1473">
            <v>2</v>
          </cell>
          <cell r="J1473" t="str">
            <v>H.2.5</v>
          </cell>
          <cell r="K1473" t="str">
            <v>Sala Cuna</v>
          </cell>
          <cell r="L1473">
            <v>1</v>
          </cell>
          <cell r="M1473">
            <v>46041</v>
          </cell>
          <cell r="N1473">
            <v>46042</v>
          </cell>
          <cell r="O1473">
            <v>2</v>
          </cell>
          <cell r="P1473">
            <v>46044</v>
          </cell>
          <cell r="Q1473">
            <v>1</v>
          </cell>
          <cell r="R1473" t="str">
            <v>NA</v>
          </cell>
          <cell r="S1473">
            <v>5</v>
          </cell>
        </row>
        <row r="1474">
          <cell r="B1474" t="str">
            <v>MNC</v>
          </cell>
          <cell r="C1474" t="str">
            <v>HSLB15038</v>
          </cell>
          <cell r="D1474">
            <v>204014</v>
          </cell>
          <cell r="E1474" t="str">
            <v>Sillón 2 Cuerpo</v>
          </cell>
          <cell r="F1474" t="str">
            <v>NO</v>
          </cell>
          <cell r="G1474" t="str">
            <v>NO</v>
          </cell>
          <cell r="H1474" t="str">
            <v xml:space="preserve">SALA </v>
          </cell>
          <cell r="I1474">
            <v>0</v>
          </cell>
          <cell r="J1474" t="str">
            <v>H.2.5</v>
          </cell>
          <cell r="K1474" t="str">
            <v>Sala Cuna</v>
          </cell>
          <cell r="L1474">
            <v>1</v>
          </cell>
          <cell r="M1474">
            <v>46041</v>
          </cell>
          <cell r="N1474">
            <v>46042</v>
          </cell>
          <cell r="O1474">
            <v>2</v>
          </cell>
          <cell r="P1474">
            <v>46044</v>
          </cell>
          <cell r="Q1474">
            <v>1</v>
          </cell>
          <cell r="R1474" t="str">
            <v>NA</v>
          </cell>
          <cell r="S1474">
            <v>5</v>
          </cell>
        </row>
        <row r="1475">
          <cell r="B1475" t="str">
            <v>MNC</v>
          </cell>
          <cell r="C1475" t="str">
            <v>HSLB14544</v>
          </cell>
          <cell r="D1475">
            <v>204006</v>
          </cell>
          <cell r="E1475" t="str">
            <v>Silla Ergonómica</v>
          </cell>
          <cell r="F1475" t="str">
            <v>NO</v>
          </cell>
          <cell r="G1475" t="str">
            <v>NO</v>
          </cell>
          <cell r="H1475" t="str">
            <v>SALA CONTROL SALUD</v>
          </cell>
          <cell r="I1475">
            <v>1</v>
          </cell>
          <cell r="J1475" t="str">
            <v>H.2.6</v>
          </cell>
          <cell r="K1475" t="str">
            <v>Sala Cuna</v>
          </cell>
          <cell r="L1475">
            <v>1</v>
          </cell>
          <cell r="M1475">
            <v>46041</v>
          </cell>
          <cell r="N1475">
            <v>46042</v>
          </cell>
          <cell r="O1475">
            <v>2</v>
          </cell>
          <cell r="P1475">
            <v>46044</v>
          </cell>
          <cell r="Q1475">
            <v>1</v>
          </cell>
          <cell r="R1475" t="str">
            <v>NA</v>
          </cell>
          <cell r="S1475">
            <v>5</v>
          </cell>
        </row>
        <row r="1476">
          <cell r="B1476" t="str">
            <v>MNC</v>
          </cell>
          <cell r="C1476" t="str">
            <v>HSLB14942</v>
          </cell>
          <cell r="D1476">
            <v>204012</v>
          </cell>
          <cell r="E1476" t="str">
            <v>Silla Visita</v>
          </cell>
          <cell r="F1476" t="str">
            <v>NO</v>
          </cell>
          <cell r="G1476" t="str">
            <v>NO</v>
          </cell>
          <cell r="H1476" t="str">
            <v>SALA CONTROL SALUD</v>
          </cell>
          <cell r="I1476">
            <v>2</v>
          </cell>
          <cell r="J1476" t="str">
            <v>H.2.6</v>
          </cell>
          <cell r="K1476" t="str">
            <v>Sala Cuna</v>
          </cell>
          <cell r="L1476">
            <v>1</v>
          </cell>
          <cell r="M1476">
            <v>46041</v>
          </cell>
          <cell r="N1476">
            <v>46042</v>
          </cell>
          <cell r="O1476">
            <v>2</v>
          </cell>
          <cell r="P1476">
            <v>46044</v>
          </cell>
          <cell r="Q1476">
            <v>1</v>
          </cell>
          <cell r="R1476" t="str">
            <v>NA</v>
          </cell>
          <cell r="S1476">
            <v>5</v>
          </cell>
        </row>
        <row r="1477">
          <cell r="B1477" t="str">
            <v>MNC</v>
          </cell>
          <cell r="C1477" t="str">
            <v>HSLB14943</v>
          </cell>
          <cell r="D1477">
            <v>204012</v>
          </cell>
          <cell r="E1477" t="str">
            <v>Silla Visita</v>
          </cell>
          <cell r="F1477" t="str">
            <v>NO</v>
          </cell>
          <cell r="G1477" t="str">
            <v>NO</v>
          </cell>
          <cell r="H1477" t="str">
            <v>SALA MULTIUSO 1</v>
          </cell>
          <cell r="I1477">
            <v>6</v>
          </cell>
          <cell r="J1477" t="str">
            <v>H.2.7</v>
          </cell>
          <cell r="K1477" t="str">
            <v>Sala Cuna</v>
          </cell>
          <cell r="L1477">
            <v>1</v>
          </cell>
          <cell r="M1477">
            <v>46041</v>
          </cell>
          <cell r="N1477">
            <v>46042</v>
          </cell>
          <cell r="O1477">
            <v>2</v>
          </cell>
          <cell r="P1477">
            <v>46044</v>
          </cell>
          <cell r="Q1477">
            <v>1</v>
          </cell>
          <cell r="R1477" t="str">
            <v>NA</v>
          </cell>
          <cell r="S1477">
            <v>5</v>
          </cell>
        </row>
        <row r="1478">
          <cell r="B1478" t="str">
            <v>MNC</v>
          </cell>
          <cell r="C1478" t="str">
            <v>HSLB14978</v>
          </cell>
          <cell r="D1478">
            <v>204013</v>
          </cell>
          <cell r="E1478" t="str">
            <v>Sillón 1 Cuerpo</v>
          </cell>
          <cell r="F1478" t="str">
            <v>NO</v>
          </cell>
          <cell r="G1478" t="str">
            <v>NO</v>
          </cell>
          <cell r="H1478" t="str">
            <v>SALA MULTIUSO 1</v>
          </cell>
          <cell r="I1478">
            <v>1</v>
          </cell>
          <cell r="J1478" t="str">
            <v>H.2.7</v>
          </cell>
          <cell r="K1478" t="str">
            <v>Sala Cuna</v>
          </cell>
          <cell r="L1478">
            <v>1</v>
          </cell>
          <cell r="M1478">
            <v>46041</v>
          </cell>
          <cell r="N1478">
            <v>46042</v>
          </cell>
          <cell r="O1478">
            <v>2</v>
          </cell>
          <cell r="P1478">
            <v>46044</v>
          </cell>
          <cell r="Q1478">
            <v>1</v>
          </cell>
          <cell r="R1478" t="str">
            <v>NA</v>
          </cell>
          <cell r="S1478">
            <v>5</v>
          </cell>
        </row>
        <row r="1479">
          <cell r="B1479" t="str">
            <v>MNC</v>
          </cell>
          <cell r="C1479" t="str">
            <v>HSLB15039</v>
          </cell>
          <cell r="D1479">
            <v>204014</v>
          </cell>
          <cell r="E1479" t="str">
            <v>Sillón 2 Cuerpo</v>
          </cell>
          <cell r="F1479" t="str">
            <v>NO</v>
          </cell>
          <cell r="G1479" t="str">
            <v>NO</v>
          </cell>
          <cell r="H1479" t="str">
            <v>SALA MULTIUSO 1</v>
          </cell>
          <cell r="I1479">
            <v>1</v>
          </cell>
          <cell r="J1479" t="str">
            <v>H.2.7</v>
          </cell>
          <cell r="K1479" t="str">
            <v>Sala Cuna</v>
          </cell>
          <cell r="L1479">
            <v>1</v>
          </cell>
          <cell r="M1479">
            <v>46041</v>
          </cell>
          <cell r="N1479">
            <v>46042</v>
          </cell>
          <cell r="O1479">
            <v>2</v>
          </cell>
          <cell r="P1479">
            <v>46044</v>
          </cell>
          <cell r="Q1479">
            <v>1</v>
          </cell>
          <cell r="R1479" t="str">
            <v>NA</v>
          </cell>
          <cell r="S1479">
            <v>5</v>
          </cell>
        </row>
        <row r="1480">
          <cell r="B1480" t="str">
            <v>MNC</v>
          </cell>
          <cell r="C1480" t="str">
            <v>HSLB14159</v>
          </cell>
          <cell r="D1480">
            <v>204003</v>
          </cell>
          <cell r="E1480" t="str">
            <v>Silla Adulto</v>
          </cell>
          <cell r="F1480" t="str">
            <v>NO</v>
          </cell>
          <cell r="G1480" t="str">
            <v>SI</v>
          </cell>
          <cell r="H1480" t="str">
            <v>NIVEL SALA CUNA 1</v>
          </cell>
          <cell r="I1480">
            <v>2</v>
          </cell>
          <cell r="J1480" t="str">
            <v>H.2.8.1</v>
          </cell>
          <cell r="K1480" t="str">
            <v>Sala Cuna</v>
          </cell>
          <cell r="L1480">
            <v>1</v>
          </cell>
          <cell r="M1480">
            <v>46003</v>
          </cell>
          <cell r="N1480">
            <v>46006</v>
          </cell>
          <cell r="O1480">
            <v>2</v>
          </cell>
          <cell r="P1480">
            <v>46008</v>
          </cell>
          <cell r="Q1480">
            <v>1</v>
          </cell>
          <cell r="R1480" t="str">
            <v>NA</v>
          </cell>
          <cell r="S1480">
            <v>5</v>
          </cell>
        </row>
        <row r="1481">
          <cell r="B1481" t="str">
            <v>MNC</v>
          </cell>
          <cell r="C1481" t="str">
            <v>HSLB14163</v>
          </cell>
          <cell r="D1481">
            <v>204005</v>
          </cell>
          <cell r="E1481" t="str">
            <v>Silla Bacinica</v>
          </cell>
          <cell r="F1481" t="str">
            <v>NO</v>
          </cell>
          <cell r="G1481" t="str">
            <v>SI</v>
          </cell>
          <cell r="H1481" t="str">
            <v>NIVEL SALA CUNA 1</v>
          </cell>
          <cell r="I1481">
            <v>2</v>
          </cell>
          <cell r="J1481" t="str">
            <v>H.2.8.1</v>
          </cell>
          <cell r="K1481" t="str">
            <v>Sala Cuna</v>
          </cell>
          <cell r="L1481">
            <v>1</v>
          </cell>
          <cell r="M1481">
            <v>46003</v>
          </cell>
          <cell r="N1481">
            <v>46006</v>
          </cell>
          <cell r="O1481">
            <v>2</v>
          </cell>
          <cell r="P1481">
            <v>46008</v>
          </cell>
          <cell r="Q1481">
            <v>1</v>
          </cell>
          <cell r="R1481" t="str">
            <v>NA</v>
          </cell>
          <cell r="S1481">
            <v>5</v>
          </cell>
        </row>
        <row r="1482">
          <cell r="B1482" t="str">
            <v>MNC</v>
          </cell>
          <cell r="C1482" t="str">
            <v>HSLB14566</v>
          </cell>
          <cell r="D1482">
            <v>204007</v>
          </cell>
          <cell r="E1482" t="str">
            <v>Silla Lactante</v>
          </cell>
          <cell r="F1482" t="str">
            <v>NO</v>
          </cell>
          <cell r="G1482" t="str">
            <v>SI</v>
          </cell>
          <cell r="H1482" t="str">
            <v>NIVEL SALA CUNA 1</v>
          </cell>
          <cell r="I1482">
            <v>9</v>
          </cell>
          <cell r="J1482" t="str">
            <v>H.2.8.1</v>
          </cell>
          <cell r="K1482" t="str">
            <v>Sala Cuna</v>
          </cell>
          <cell r="L1482">
            <v>1</v>
          </cell>
          <cell r="M1482">
            <v>46003</v>
          </cell>
          <cell r="N1482">
            <v>46006</v>
          </cell>
          <cell r="O1482">
            <v>2</v>
          </cell>
          <cell r="P1482">
            <v>46008</v>
          </cell>
          <cell r="Q1482">
            <v>1</v>
          </cell>
          <cell r="R1482" t="str">
            <v>NA</v>
          </cell>
          <cell r="S1482">
            <v>5</v>
          </cell>
        </row>
        <row r="1483">
          <cell r="B1483" t="str">
            <v>MNC</v>
          </cell>
          <cell r="C1483" t="str">
            <v>HSLB14568</v>
          </cell>
          <cell r="D1483">
            <v>204008</v>
          </cell>
          <cell r="E1483" t="str">
            <v>Silla Nido</v>
          </cell>
          <cell r="F1483" t="str">
            <v>NO</v>
          </cell>
          <cell r="G1483" t="str">
            <v>SI</v>
          </cell>
          <cell r="H1483" t="str">
            <v>NIVEL SALA CUNA 1</v>
          </cell>
          <cell r="I1483">
            <v>4</v>
          </cell>
          <cell r="J1483" t="str">
            <v>H.2.8.1</v>
          </cell>
          <cell r="K1483" t="str">
            <v>Sala Cuna</v>
          </cell>
          <cell r="L1483">
            <v>1</v>
          </cell>
          <cell r="M1483">
            <v>46003</v>
          </cell>
          <cell r="N1483">
            <v>46006</v>
          </cell>
          <cell r="O1483">
            <v>2</v>
          </cell>
          <cell r="P1483">
            <v>46008</v>
          </cell>
          <cell r="Q1483">
            <v>1</v>
          </cell>
          <cell r="R1483" t="str">
            <v>NA</v>
          </cell>
          <cell r="S1483">
            <v>5</v>
          </cell>
        </row>
        <row r="1484">
          <cell r="B1484" t="str">
            <v>MNC</v>
          </cell>
          <cell r="C1484" t="str">
            <v>HSLB15470</v>
          </cell>
          <cell r="D1484">
            <v>204019</v>
          </cell>
          <cell r="E1484" t="str">
            <v>Silla de Apoyo Hora de Ingesta</v>
          </cell>
          <cell r="F1484" t="str">
            <v>NO</v>
          </cell>
          <cell r="G1484" t="str">
            <v>SI</v>
          </cell>
          <cell r="H1484" t="str">
            <v>NIVEL SALA CUNA 1</v>
          </cell>
          <cell r="I1484">
            <v>5</v>
          </cell>
          <cell r="J1484" t="str">
            <v>H.2.8.1</v>
          </cell>
          <cell r="K1484" t="str">
            <v>Sala Cuna</v>
          </cell>
          <cell r="L1484">
            <v>1</v>
          </cell>
          <cell r="M1484">
            <v>46003</v>
          </cell>
          <cell r="N1484">
            <v>46006</v>
          </cell>
          <cell r="O1484">
            <v>2</v>
          </cell>
          <cell r="P1484">
            <v>46008</v>
          </cell>
          <cell r="Q1484">
            <v>1</v>
          </cell>
          <cell r="R1484" t="str">
            <v>NA</v>
          </cell>
          <cell r="S1484">
            <v>5</v>
          </cell>
        </row>
        <row r="1485">
          <cell r="B1485" t="str">
            <v>MNC</v>
          </cell>
          <cell r="C1485" t="str">
            <v>HSLB14160</v>
          </cell>
          <cell r="D1485">
            <v>204003</v>
          </cell>
          <cell r="E1485" t="str">
            <v>Silla Adulto</v>
          </cell>
          <cell r="F1485" t="str">
            <v>NO</v>
          </cell>
          <cell r="G1485" t="str">
            <v>NO</v>
          </cell>
          <cell r="H1485" t="str">
            <v>NIVEL SALA CUNA 2</v>
          </cell>
          <cell r="I1485">
            <v>2</v>
          </cell>
          <cell r="J1485" t="str">
            <v>H.2.8.2</v>
          </cell>
          <cell r="K1485" t="str">
            <v>Sala Cuna</v>
          </cell>
          <cell r="L1485">
            <v>1</v>
          </cell>
          <cell r="M1485">
            <v>46041</v>
          </cell>
          <cell r="N1485">
            <v>46042</v>
          </cell>
          <cell r="O1485">
            <v>2</v>
          </cell>
          <cell r="P1485">
            <v>46044</v>
          </cell>
          <cell r="Q1485">
            <v>1</v>
          </cell>
          <cell r="R1485" t="str">
            <v>NA</v>
          </cell>
          <cell r="S1485">
            <v>5</v>
          </cell>
        </row>
        <row r="1486">
          <cell r="B1486" t="str">
            <v>MNC</v>
          </cell>
          <cell r="C1486" t="str">
            <v>HSLB14164</v>
          </cell>
          <cell r="D1486">
            <v>204005</v>
          </cell>
          <cell r="E1486" t="str">
            <v>Silla Bacinica</v>
          </cell>
          <cell r="F1486" t="str">
            <v>NO</v>
          </cell>
          <cell r="G1486" t="str">
            <v>NO</v>
          </cell>
          <cell r="H1486" t="str">
            <v>NIVEL SALA CUNA 2</v>
          </cell>
          <cell r="I1486">
            <v>2</v>
          </cell>
          <cell r="J1486" t="str">
            <v>H.2.8.2</v>
          </cell>
          <cell r="K1486" t="str">
            <v>Sala Cuna</v>
          </cell>
          <cell r="L1486">
            <v>1</v>
          </cell>
          <cell r="M1486">
            <v>46041</v>
          </cell>
          <cell r="N1486">
            <v>46042</v>
          </cell>
          <cell r="O1486">
            <v>2</v>
          </cell>
          <cell r="P1486">
            <v>46044</v>
          </cell>
          <cell r="Q1486">
            <v>1</v>
          </cell>
          <cell r="R1486" t="str">
            <v>NA</v>
          </cell>
          <cell r="S1486">
            <v>5</v>
          </cell>
        </row>
        <row r="1487">
          <cell r="B1487" t="str">
            <v>MNC</v>
          </cell>
          <cell r="C1487" t="str">
            <v>HSLB14567</v>
          </cell>
          <cell r="D1487">
            <v>204007</v>
          </cell>
          <cell r="E1487" t="str">
            <v>Silla Lactante</v>
          </cell>
          <cell r="F1487" t="str">
            <v>NO</v>
          </cell>
          <cell r="G1487" t="str">
            <v>NO</v>
          </cell>
          <cell r="H1487" t="str">
            <v>NIVEL SALA CUNA 2</v>
          </cell>
          <cell r="I1487">
            <v>9</v>
          </cell>
          <cell r="J1487" t="str">
            <v>H.2.8.2</v>
          </cell>
          <cell r="K1487" t="str">
            <v>Sala Cuna</v>
          </cell>
          <cell r="L1487">
            <v>1</v>
          </cell>
          <cell r="M1487">
            <v>46041</v>
          </cell>
          <cell r="N1487">
            <v>46042</v>
          </cell>
          <cell r="O1487">
            <v>2</v>
          </cell>
          <cell r="P1487">
            <v>46044</v>
          </cell>
          <cell r="Q1487">
            <v>1</v>
          </cell>
          <cell r="R1487" t="str">
            <v>NA</v>
          </cell>
          <cell r="S1487">
            <v>5</v>
          </cell>
        </row>
        <row r="1488">
          <cell r="B1488" t="str">
            <v>MNC</v>
          </cell>
          <cell r="C1488" t="str">
            <v>HSLB14569</v>
          </cell>
          <cell r="D1488">
            <v>204008</v>
          </cell>
          <cell r="E1488" t="str">
            <v>Silla Nido</v>
          </cell>
          <cell r="F1488" t="str">
            <v>NO</v>
          </cell>
          <cell r="G1488" t="str">
            <v>NO</v>
          </cell>
          <cell r="H1488" t="str">
            <v>NIVEL SALA CUNA 2</v>
          </cell>
          <cell r="I1488">
            <v>4</v>
          </cell>
          <cell r="J1488" t="str">
            <v>H.2.8.2</v>
          </cell>
          <cell r="K1488" t="str">
            <v>Sala Cuna</v>
          </cell>
          <cell r="L1488">
            <v>1</v>
          </cell>
          <cell r="M1488">
            <v>46041</v>
          </cell>
          <cell r="N1488">
            <v>46042</v>
          </cell>
          <cell r="O1488">
            <v>2</v>
          </cell>
          <cell r="P1488">
            <v>46044</v>
          </cell>
          <cell r="Q1488">
            <v>1</v>
          </cell>
          <cell r="R1488" t="str">
            <v>NA</v>
          </cell>
          <cell r="S1488">
            <v>5</v>
          </cell>
        </row>
        <row r="1489">
          <cell r="B1489" t="str">
            <v>MNC</v>
          </cell>
          <cell r="C1489" t="str">
            <v>HSLB14147</v>
          </cell>
          <cell r="D1489">
            <v>204001</v>
          </cell>
          <cell r="E1489" t="str">
            <v xml:space="preserve">Banca </v>
          </cell>
          <cell r="F1489" t="str">
            <v>NO</v>
          </cell>
          <cell r="G1489" t="str">
            <v>SI</v>
          </cell>
          <cell r="H1489" t="str">
            <v>SALA DE EXPANSION SALA CUNA</v>
          </cell>
          <cell r="I1489">
            <v>2</v>
          </cell>
          <cell r="J1489" t="str">
            <v>H.2.9</v>
          </cell>
          <cell r="K1489" t="str">
            <v>Sala Cuna</v>
          </cell>
          <cell r="L1489">
            <v>1</v>
          </cell>
          <cell r="M1489">
            <v>46003</v>
          </cell>
          <cell r="N1489">
            <v>46006</v>
          </cell>
          <cell r="O1489">
            <v>2</v>
          </cell>
          <cell r="P1489">
            <v>46008</v>
          </cell>
          <cell r="Q1489">
            <v>1</v>
          </cell>
          <cell r="R1489" t="str">
            <v>NA</v>
          </cell>
          <cell r="S1489">
            <v>5</v>
          </cell>
        </row>
        <row r="1490">
          <cell r="B1490" t="str">
            <v>MNC</v>
          </cell>
          <cell r="C1490" t="str">
            <v>HSLB14161</v>
          </cell>
          <cell r="D1490">
            <v>204003</v>
          </cell>
          <cell r="E1490" t="str">
            <v>Silla Adulto</v>
          </cell>
          <cell r="F1490" t="str">
            <v>NO</v>
          </cell>
          <cell r="G1490" t="str">
            <v>SI</v>
          </cell>
          <cell r="H1490" t="str">
            <v>SALA DE EXPANSION SALA CUNA</v>
          </cell>
          <cell r="I1490">
            <v>5</v>
          </cell>
          <cell r="J1490" t="str">
            <v>H.2.9</v>
          </cell>
          <cell r="K1490" t="str">
            <v>Sala Cuna</v>
          </cell>
          <cell r="L1490">
            <v>1</v>
          </cell>
          <cell r="M1490">
            <v>46003</v>
          </cell>
          <cell r="N1490">
            <v>46006</v>
          </cell>
          <cell r="O1490">
            <v>2</v>
          </cell>
          <cell r="P1490">
            <v>46008</v>
          </cell>
          <cell r="Q1490">
            <v>1</v>
          </cell>
          <cell r="R1490" t="str">
            <v>NA</v>
          </cell>
          <cell r="S1490">
            <v>5</v>
          </cell>
        </row>
        <row r="1491">
          <cell r="B1491" t="str">
            <v>MNC</v>
          </cell>
          <cell r="C1491" t="str">
            <v>HSLB14570</v>
          </cell>
          <cell r="D1491">
            <v>204008</v>
          </cell>
          <cell r="E1491" t="str">
            <v>Silla Nido</v>
          </cell>
          <cell r="F1491" t="str">
            <v>NO</v>
          </cell>
          <cell r="G1491" t="str">
            <v>SI</v>
          </cell>
          <cell r="H1491" t="str">
            <v>SALA DE EXPANSION SALA CUNA</v>
          </cell>
          <cell r="I1491">
            <v>5</v>
          </cell>
          <cell r="J1491" t="str">
            <v>H.2.9</v>
          </cell>
          <cell r="K1491" t="str">
            <v>Sala Cuna</v>
          </cell>
          <cell r="L1491">
            <v>1</v>
          </cell>
          <cell r="M1491">
            <v>46003</v>
          </cell>
          <cell r="N1491">
            <v>46006</v>
          </cell>
          <cell r="O1491">
            <v>2</v>
          </cell>
          <cell r="P1491">
            <v>46008</v>
          </cell>
          <cell r="Q1491">
            <v>1</v>
          </cell>
          <cell r="R1491" t="str">
            <v>NA</v>
          </cell>
          <cell r="S1491">
            <v>5</v>
          </cell>
        </row>
        <row r="1492">
          <cell r="B1492" t="str">
            <v>MNC</v>
          </cell>
          <cell r="C1492" t="str">
            <v>HSLB15474</v>
          </cell>
          <cell r="D1492">
            <v>204020</v>
          </cell>
          <cell r="E1492" t="str">
            <v>Silla Butaca Espera 3 Cuerpos</v>
          </cell>
          <cell r="F1492" t="str">
            <v>NO</v>
          </cell>
          <cell r="G1492" t="str">
            <v>NO</v>
          </cell>
          <cell r="H1492" t="str">
            <v>CIRCULACIONES NIVEL 1</v>
          </cell>
          <cell r="I1492">
            <v>8</v>
          </cell>
          <cell r="J1492" t="str">
            <v>K.1.1_AG</v>
          </cell>
          <cell r="K1492" t="str">
            <v>Med física y rehabilitación</v>
          </cell>
          <cell r="L1492">
            <v>1</v>
          </cell>
          <cell r="M1492">
            <v>46017</v>
          </cell>
          <cell r="N1492">
            <v>46020</v>
          </cell>
          <cell r="O1492">
            <v>2</v>
          </cell>
          <cell r="P1492">
            <v>46022</v>
          </cell>
          <cell r="Q1492">
            <v>1</v>
          </cell>
          <cell r="R1492" t="str">
            <v>NA</v>
          </cell>
          <cell r="S1492">
            <v>5</v>
          </cell>
        </row>
        <row r="1493">
          <cell r="B1493" t="str">
            <v>MNC</v>
          </cell>
          <cell r="C1493" t="str">
            <v>HSLB15215</v>
          </cell>
          <cell r="D1493">
            <v>203016</v>
          </cell>
          <cell r="E1493" t="str">
            <v>Mueble Tipo Biblioteca</v>
          </cell>
          <cell r="F1493" t="str">
            <v>NO</v>
          </cell>
          <cell r="G1493" t="str">
            <v>NO</v>
          </cell>
          <cell r="H1493" t="str">
            <v>MÓD. DE TRABAJO PROFESIONALES (gestión de la demanda)</v>
          </cell>
          <cell r="I1493">
            <v>1</v>
          </cell>
          <cell r="J1493" t="str">
            <v>C.1.2.1.3</v>
          </cell>
          <cell r="K1493" t="str">
            <v>Consultas medicas generales</v>
          </cell>
          <cell r="L1493">
            <v>1</v>
          </cell>
          <cell r="M1493">
            <v>46028</v>
          </cell>
          <cell r="N1493">
            <v>46029</v>
          </cell>
          <cell r="O1493">
            <v>2</v>
          </cell>
          <cell r="P1493">
            <v>46031</v>
          </cell>
          <cell r="Q1493">
            <v>1</v>
          </cell>
          <cell r="R1493" t="str">
            <v>NA</v>
          </cell>
          <cell r="S1493">
            <v>5</v>
          </cell>
        </row>
        <row r="1494">
          <cell r="B1494" t="str">
            <v>MNC</v>
          </cell>
          <cell r="C1494" t="str">
            <v>HSLB13535</v>
          </cell>
          <cell r="D1494">
            <v>203016</v>
          </cell>
          <cell r="E1494" t="str">
            <v>Mueble Tipo Biblioteca</v>
          </cell>
          <cell r="F1494" t="str">
            <v>NO</v>
          </cell>
          <cell r="G1494" t="str">
            <v>NO</v>
          </cell>
          <cell r="H1494" t="str">
            <v>MÓDULO DE TRABAJO ADMINISTRATIVOS GES</v>
          </cell>
          <cell r="I1494">
            <v>3</v>
          </cell>
          <cell r="J1494" t="str">
            <v>C.1.2.2</v>
          </cell>
          <cell r="K1494" t="str">
            <v>Consultas medicas generales</v>
          </cell>
          <cell r="L1494">
            <v>1</v>
          </cell>
          <cell r="M1494">
            <v>46028</v>
          </cell>
          <cell r="N1494">
            <v>46029</v>
          </cell>
          <cell r="O1494">
            <v>2</v>
          </cell>
          <cell r="P1494">
            <v>46031</v>
          </cell>
          <cell r="Q1494">
            <v>1</v>
          </cell>
          <cell r="R1494" t="str">
            <v>NA</v>
          </cell>
          <cell r="S1494">
            <v>5</v>
          </cell>
        </row>
        <row r="1495">
          <cell r="B1495" t="str">
            <v>MNC</v>
          </cell>
          <cell r="C1495" t="str">
            <v>HSLB13713</v>
          </cell>
          <cell r="D1495">
            <v>203016</v>
          </cell>
          <cell r="E1495" t="str">
            <v>Mueble Tipo Biblioteca</v>
          </cell>
          <cell r="F1495" t="str">
            <v>NO</v>
          </cell>
          <cell r="G1495" t="str">
            <v>NO</v>
          </cell>
          <cell r="H1495" t="str">
            <v>MÓDULO DE TRABAJO ADMINISTRATIVOS MANTENCIÓN DE AGENDA</v>
          </cell>
          <cell r="I1495">
            <v>2</v>
          </cell>
          <cell r="J1495" t="str">
            <v>C.1.2.2.1</v>
          </cell>
          <cell r="K1495" t="str">
            <v>Consultas medicas generales</v>
          </cell>
          <cell r="L1495">
            <v>1</v>
          </cell>
          <cell r="M1495">
            <v>46028</v>
          </cell>
          <cell r="N1495">
            <v>46029</v>
          </cell>
          <cell r="O1495">
            <v>2</v>
          </cell>
          <cell r="P1495">
            <v>46031</v>
          </cell>
          <cell r="Q1495">
            <v>1</v>
          </cell>
          <cell r="R1495" t="str">
            <v>NA</v>
          </cell>
          <cell r="S1495">
            <v>5</v>
          </cell>
        </row>
        <row r="1496">
          <cell r="B1496" t="str">
            <v>MNC</v>
          </cell>
          <cell r="C1496" t="str">
            <v>HSLB13717</v>
          </cell>
          <cell r="D1496">
            <v>203016</v>
          </cell>
          <cell r="E1496" t="str">
            <v>Mueble Tipo Biblioteca</v>
          </cell>
          <cell r="F1496" t="str">
            <v>NO</v>
          </cell>
          <cell r="G1496" t="str">
            <v>NO</v>
          </cell>
          <cell r="H1496" t="str">
            <v>MÓDULO DE TRABAJO ADMINISTRATIVOS LISTA DE ESPERA</v>
          </cell>
          <cell r="I1496">
            <v>2</v>
          </cell>
          <cell r="J1496" t="str">
            <v>C.1.2.2.2</v>
          </cell>
          <cell r="K1496" t="str">
            <v>Consultas medicas generales</v>
          </cell>
          <cell r="L1496">
            <v>1</v>
          </cell>
          <cell r="M1496">
            <v>46028</v>
          </cell>
          <cell r="N1496">
            <v>46029</v>
          </cell>
          <cell r="O1496">
            <v>2</v>
          </cell>
          <cell r="P1496">
            <v>46031</v>
          </cell>
          <cell r="Q1496">
            <v>1</v>
          </cell>
          <cell r="R1496" t="str">
            <v>NA</v>
          </cell>
          <cell r="S1496">
            <v>5</v>
          </cell>
        </row>
        <row r="1497">
          <cell r="B1497" t="str">
            <v>MNC</v>
          </cell>
          <cell r="C1497" t="str">
            <v>HSLB13544</v>
          </cell>
          <cell r="D1497">
            <v>203016</v>
          </cell>
          <cell r="E1497" t="str">
            <v>Mueble Tipo Biblioteca</v>
          </cell>
          <cell r="F1497" t="str">
            <v>NO</v>
          </cell>
          <cell r="G1497" t="str">
            <v>NO</v>
          </cell>
          <cell r="H1497" t="str">
            <v>OFICINA JEFE DIÁLISIS</v>
          </cell>
          <cell r="I1497">
            <v>1</v>
          </cell>
          <cell r="J1497" t="str">
            <v>C.2.3.1</v>
          </cell>
          <cell r="K1497" t="str">
            <v>Dialisis</v>
          </cell>
          <cell r="L1497">
            <v>1</v>
          </cell>
          <cell r="M1497">
            <v>46031</v>
          </cell>
          <cell r="N1497">
            <v>46034</v>
          </cell>
          <cell r="O1497">
            <v>2</v>
          </cell>
          <cell r="P1497">
            <v>46036</v>
          </cell>
          <cell r="Q1497">
            <v>1</v>
          </cell>
          <cell r="R1497" t="str">
            <v>NA</v>
          </cell>
          <cell r="S1497">
            <v>5</v>
          </cell>
        </row>
        <row r="1498">
          <cell r="B1498" t="str">
            <v>MNC</v>
          </cell>
          <cell r="C1498" t="str">
            <v>HSLB13546</v>
          </cell>
          <cell r="D1498">
            <v>203016</v>
          </cell>
          <cell r="E1498" t="str">
            <v>Mueble Tipo Biblioteca</v>
          </cell>
          <cell r="F1498" t="str">
            <v>NO</v>
          </cell>
          <cell r="G1498" t="str">
            <v>NO</v>
          </cell>
          <cell r="H1498" t="str">
            <v>OFICINA ENFERMERA COORDINADORA                    (PERITONEO)</v>
          </cell>
          <cell r="I1498">
            <v>1</v>
          </cell>
          <cell r="J1498" t="str">
            <v>C.2.3.2</v>
          </cell>
          <cell r="K1498" t="str">
            <v>Dialisis</v>
          </cell>
          <cell r="L1498">
            <v>1</v>
          </cell>
          <cell r="M1498">
            <v>46031</v>
          </cell>
          <cell r="N1498">
            <v>46034</v>
          </cell>
          <cell r="O1498">
            <v>2</v>
          </cell>
          <cell r="P1498">
            <v>46036</v>
          </cell>
          <cell r="Q1498">
            <v>1</v>
          </cell>
          <cell r="R1498" t="str">
            <v>NA</v>
          </cell>
          <cell r="S1498">
            <v>5</v>
          </cell>
        </row>
        <row r="1499">
          <cell r="B1499" t="str">
            <v>MNC</v>
          </cell>
          <cell r="C1499" t="str">
            <v>HSLB15249</v>
          </cell>
          <cell r="D1499">
            <v>203016</v>
          </cell>
          <cell r="E1499" t="str">
            <v>Mueble Tipo Biblioteca</v>
          </cell>
          <cell r="F1499" t="str">
            <v>NO</v>
          </cell>
          <cell r="G1499" t="str">
            <v>NO</v>
          </cell>
          <cell r="H1499" t="str">
            <v>OFICINA COORDINADORA (HEMODIALISIS)</v>
          </cell>
          <cell r="I1499">
            <v>1</v>
          </cell>
          <cell r="J1499" t="str">
            <v>C.2.3.39</v>
          </cell>
          <cell r="K1499" t="str">
            <v>Dialisis</v>
          </cell>
          <cell r="L1499">
            <v>1</v>
          </cell>
          <cell r="M1499">
            <v>46031</v>
          </cell>
          <cell r="N1499">
            <v>46034</v>
          </cell>
          <cell r="O1499">
            <v>2</v>
          </cell>
          <cell r="P1499">
            <v>46036</v>
          </cell>
          <cell r="Q1499">
            <v>1</v>
          </cell>
          <cell r="R1499" t="str">
            <v>NA</v>
          </cell>
          <cell r="S1499">
            <v>5</v>
          </cell>
        </row>
        <row r="1500">
          <cell r="B1500" t="str">
            <v>MNC</v>
          </cell>
          <cell r="C1500" t="str">
            <v>HSLB15252</v>
          </cell>
          <cell r="D1500">
            <v>203016</v>
          </cell>
          <cell r="E1500" t="str">
            <v>Mueble Tipo Biblioteca</v>
          </cell>
          <cell r="F1500" t="str">
            <v>NO</v>
          </cell>
          <cell r="G1500" t="str">
            <v>NO</v>
          </cell>
          <cell r="H1500" t="str">
            <v xml:space="preserve">MESÓN DE RECEPCIÓN C/ARCHIVO Y FOTOCOPIADORA </v>
          </cell>
          <cell r="I1500">
            <v>1</v>
          </cell>
          <cell r="J1500" t="str">
            <v>C.2.3.6</v>
          </cell>
          <cell r="K1500" t="str">
            <v>Dialisis</v>
          </cell>
          <cell r="L1500">
            <v>1</v>
          </cell>
          <cell r="M1500">
            <v>46031</v>
          </cell>
          <cell r="N1500">
            <v>46034</v>
          </cell>
          <cell r="O1500">
            <v>2</v>
          </cell>
          <cell r="P1500">
            <v>46036</v>
          </cell>
          <cell r="Q1500">
            <v>1</v>
          </cell>
          <cell r="R1500" t="str">
            <v>NA</v>
          </cell>
          <cell r="S1500">
            <v>5</v>
          </cell>
        </row>
        <row r="1501">
          <cell r="B1501" t="str">
            <v>MNC</v>
          </cell>
          <cell r="C1501" t="str">
            <v>HSLB15254</v>
          </cell>
          <cell r="D1501">
            <v>203016</v>
          </cell>
          <cell r="E1501" t="str">
            <v>Mueble Tipo Biblioteca</v>
          </cell>
          <cell r="F1501" t="str">
            <v>NO</v>
          </cell>
          <cell r="G1501" t="str">
            <v>NO</v>
          </cell>
          <cell r="H1501" t="str">
            <v>OFICINA JEFE CUIDADOS PALIATIVOS</v>
          </cell>
          <cell r="I1501">
            <v>1</v>
          </cell>
          <cell r="J1501" t="str">
            <v>C.2.4.1</v>
          </cell>
          <cell r="K1501" t="str">
            <v>Cuidados Paliativos</v>
          </cell>
          <cell r="L1501">
            <v>1</v>
          </cell>
          <cell r="M1501">
            <v>46035</v>
          </cell>
          <cell r="N1501">
            <v>46036</v>
          </cell>
          <cell r="O1501">
            <v>2</v>
          </cell>
          <cell r="P1501">
            <v>46038</v>
          </cell>
          <cell r="Q1501">
            <v>1</v>
          </cell>
          <cell r="R1501" t="str">
            <v>NA</v>
          </cell>
          <cell r="S1501">
            <v>5</v>
          </cell>
        </row>
        <row r="1502">
          <cell r="B1502" t="str">
            <v>MNC</v>
          </cell>
          <cell r="C1502" t="str">
            <v>HSLB15255</v>
          </cell>
          <cell r="D1502">
            <v>203016</v>
          </cell>
          <cell r="E1502" t="str">
            <v>Mueble Tipo Biblioteca</v>
          </cell>
          <cell r="F1502" t="str">
            <v>NO</v>
          </cell>
          <cell r="G1502" t="str">
            <v>NO</v>
          </cell>
          <cell r="H1502" t="str">
            <v>OFICINA JEFE CUIDADOS PALIATIVOS</v>
          </cell>
          <cell r="I1502">
            <v>1</v>
          </cell>
          <cell r="J1502" t="str">
            <v>C.2.4.1.1</v>
          </cell>
          <cell r="K1502" t="str">
            <v>Cuidados Paliativos</v>
          </cell>
          <cell r="L1502">
            <v>1</v>
          </cell>
          <cell r="M1502">
            <v>46035</v>
          </cell>
          <cell r="N1502">
            <v>46036</v>
          </cell>
          <cell r="O1502">
            <v>2</v>
          </cell>
          <cell r="P1502">
            <v>46038</v>
          </cell>
          <cell r="Q1502">
            <v>1</v>
          </cell>
          <cell r="R1502" t="str">
            <v>NA</v>
          </cell>
          <cell r="S1502">
            <v>5</v>
          </cell>
        </row>
        <row r="1503">
          <cell r="B1503" t="str">
            <v>MNC</v>
          </cell>
          <cell r="C1503" t="str">
            <v>HSLB13548</v>
          </cell>
          <cell r="D1503">
            <v>203016</v>
          </cell>
          <cell r="E1503" t="str">
            <v>Mueble Tipo Biblioteca</v>
          </cell>
          <cell r="F1503" t="str">
            <v>NO</v>
          </cell>
          <cell r="G1503" t="str">
            <v>NO</v>
          </cell>
          <cell r="H1503" t="str">
            <v>SALA MULTIPROPÓSITO</v>
          </cell>
          <cell r="I1503">
            <v>1</v>
          </cell>
          <cell r="J1503" t="str">
            <v>C.2.4.17</v>
          </cell>
          <cell r="K1503" t="str">
            <v>Cuidados Paliativos</v>
          </cell>
          <cell r="L1503">
            <v>1</v>
          </cell>
          <cell r="M1503">
            <v>46035</v>
          </cell>
          <cell r="N1503">
            <v>46036</v>
          </cell>
          <cell r="O1503">
            <v>2</v>
          </cell>
          <cell r="P1503">
            <v>46038</v>
          </cell>
          <cell r="Q1503">
            <v>1</v>
          </cell>
          <cell r="R1503" t="str">
            <v>NA</v>
          </cell>
          <cell r="S1503">
            <v>5</v>
          </cell>
        </row>
        <row r="1504">
          <cell r="B1504" t="str">
            <v>MNC</v>
          </cell>
          <cell r="C1504" t="str">
            <v>HSLB13549</v>
          </cell>
          <cell r="D1504">
            <v>203016</v>
          </cell>
          <cell r="E1504" t="str">
            <v>Mueble Tipo Biblioteca</v>
          </cell>
          <cell r="F1504" t="str">
            <v>NO</v>
          </cell>
          <cell r="G1504" t="str">
            <v>NO</v>
          </cell>
          <cell r="H1504" t="str">
            <v>BOX MULTIPROPÓSITO (1)</v>
          </cell>
          <cell r="I1504">
            <v>1</v>
          </cell>
          <cell r="J1504" t="str">
            <v>C.2.4.6.1</v>
          </cell>
          <cell r="K1504" t="str">
            <v>Cuidados Paliativos</v>
          </cell>
          <cell r="L1504">
            <v>1</v>
          </cell>
          <cell r="M1504">
            <v>46035</v>
          </cell>
          <cell r="N1504">
            <v>46036</v>
          </cell>
          <cell r="O1504">
            <v>2</v>
          </cell>
          <cell r="P1504">
            <v>46038</v>
          </cell>
          <cell r="Q1504">
            <v>1</v>
          </cell>
          <cell r="R1504" t="str">
            <v>NA</v>
          </cell>
          <cell r="S1504">
            <v>5</v>
          </cell>
        </row>
        <row r="1505">
          <cell r="B1505" t="str">
            <v>MNC</v>
          </cell>
          <cell r="C1505" t="str">
            <v>HSLB13566</v>
          </cell>
          <cell r="D1505">
            <v>203016</v>
          </cell>
          <cell r="E1505" t="str">
            <v>Mueble Tipo Biblioteca</v>
          </cell>
          <cell r="F1505" t="str">
            <v>NO</v>
          </cell>
          <cell r="G1505" t="str">
            <v>NO</v>
          </cell>
          <cell r="H1505" t="str">
            <v>OFICINA JEFE UHCIP</v>
          </cell>
          <cell r="I1505">
            <v>1</v>
          </cell>
          <cell r="J1505" t="str">
            <v>C.2.5.3.1</v>
          </cell>
          <cell r="K1505" t="str">
            <v>UHCIP</v>
          </cell>
          <cell r="L1505">
            <v>1</v>
          </cell>
          <cell r="M1505">
            <v>46024</v>
          </cell>
          <cell r="N1505">
            <v>46027</v>
          </cell>
          <cell r="O1505">
            <v>2</v>
          </cell>
          <cell r="P1505">
            <v>46029</v>
          </cell>
          <cell r="Q1505">
            <v>1</v>
          </cell>
          <cell r="R1505" t="str">
            <v>NA</v>
          </cell>
          <cell r="S1505">
            <v>5</v>
          </cell>
        </row>
        <row r="1506">
          <cell r="B1506" t="str">
            <v>MNC</v>
          </cell>
          <cell r="C1506" t="str">
            <v>HSLB13567</v>
          </cell>
          <cell r="D1506">
            <v>203016</v>
          </cell>
          <cell r="E1506" t="str">
            <v>Mueble Tipo Biblioteca</v>
          </cell>
          <cell r="F1506" t="str">
            <v>NO</v>
          </cell>
          <cell r="G1506" t="str">
            <v>NO</v>
          </cell>
          <cell r="H1506" t="str">
            <v>SALA DE ATENCIÓN</v>
          </cell>
          <cell r="I1506">
            <v>1</v>
          </cell>
          <cell r="J1506" t="str">
            <v>C.2.5.3.11.1</v>
          </cell>
          <cell r="K1506" t="str">
            <v>UHCIP</v>
          </cell>
          <cell r="L1506">
            <v>1</v>
          </cell>
          <cell r="M1506">
            <v>46024</v>
          </cell>
          <cell r="N1506">
            <v>46027</v>
          </cell>
          <cell r="O1506">
            <v>2</v>
          </cell>
          <cell r="P1506">
            <v>46029</v>
          </cell>
          <cell r="Q1506">
            <v>1</v>
          </cell>
          <cell r="R1506" t="str">
            <v>NA</v>
          </cell>
          <cell r="S1506">
            <v>5</v>
          </cell>
        </row>
        <row r="1507">
          <cell r="B1507" t="str">
            <v>MNC</v>
          </cell>
          <cell r="C1507" t="str">
            <v>HSLB13568</v>
          </cell>
          <cell r="D1507">
            <v>203016</v>
          </cell>
          <cell r="E1507" t="str">
            <v>Mueble Tipo Biblioteca</v>
          </cell>
          <cell r="F1507" t="str">
            <v>NO</v>
          </cell>
          <cell r="G1507" t="str">
            <v>NO</v>
          </cell>
          <cell r="H1507" t="str">
            <v>SALA DE ATENCIÓN</v>
          </cell>
          <cell r="I1507">
            <v>1</v>
          </cell>
          <cell r="J1507" t="str">
            <v>C.2.5.3.11.2</v>
          </cell>
          <cell r="K1507" t="str">
            <v>UHCIP</v>
          </cell>
          <cell r="L1507">
            <v>1</v>
          </cell>
          <cell r="M1507">
            <v>46024</v>
          </cell>
          <cell r="N1507">
            <v>46027</v>
          </cell>
          <cell r="O1507">
            <v>2</v>
          </cell>
          <cell r="P1507">
            <v>46029</v>
          </cell>
          <cell r="Q1507">
            <v>1</v>
          </cell>
          <cell r="R1507" t="str">
            <v>NA</v>
          </cell>
          <cell r="S1507">
            <v>5</v>
          </cell>
        </row>
        <row r="1508">
          <cell r="B1508" t="str">
            <v>MNC</v>
          </cell>
          <cell r="C1508" t="str">
            <v>HSLB13569</v>
          </cell>
          <cell r="D1508">
            <v>203016</v>
          </cell>
          <cell r="E1508" t="str">
            <v>Mueble Tipo Biblioteca</v>
          </cell>
          <cell r="F1508" t="str">
            <v>NO</v>
          </cell>
          <cell r="G1508" t="str">
            <v>NO</v>
          </cell>
          <cell r="H1508" t="str">
            <v>SALA DE ATENCIÓN</v>
          </cell>
          <cell r="I1508">
            <v>1</v>
          </cell>
          <cell r="J1508" t="str">
            <v>C.2.5.3.11.3</v>
          </cell>
          <cell r="K1508" t="str">
            <v>UHCIP</v>
          </cell>
          <cell r="L1508">
            <v>1</v>
          </cell>
          <cell r="M1508">
            <v>46024</v>
          </cell>
          <cell r="N1508">
            <v>46027</v>
          </cell>
          <cell r="O1508">
            <v>2</v>
          </cell>
          <cell r="P1508">
            <v>46029</v>
          </cell>
          <cell r="Q1508">
            <v>1</v>
          </cell>
          <cell r="R1508" t="str">
            <v>NA</v>
          </cell>
          <cell r="S1508">
            <v>5</v>
          </cell>
        </row>
        <row r="1509">
          <cell r="B1509" t="str">
            <v>MNC</v>
          </cell>
          <cell r="C1509" t="str">
            <v>HSLB13570</v>
          </cell>
          <cell r="D1509">
            <v>203016</v>
          </cell>
          <cell r="E1509" t="str">
            <v>Mueble Tipo Biblioteca</v>
          </cell>
          <cell r="F1509" t="str">
            <v>NO</v>
          </cell>
          <cell r="G1509" t="str">
            <v>NO</v>
          </cell>
          <cell r="H1509" t="str">
            <v>SALA DE  ENTREVISTA PACIENTES</v>
          </cell>
          <cell r="I1509">
            <v>1</v>
          </cell>
          <cell r="J1509" t="str">
            <v>C.2.5.3.13</v>
          </cell>
          <cell r="K1509" t="str">
            <v>UHCIP</v>
          </cell>
          <cell r="L1509">
            <v>1</v>
          </cell>
          <cell r="M1509">
            <v>46024</v>
          </cell>
          <cell r="N1509">
            <v>46027</v>
          </cell>
          <cell r="O1509">
            <v>2</v>
          </cell>
          <cell r="P1509">
            <v>46029</v>
          </cell>
          <cell r="Q1509">
            <v>1</v>
          </cell>
          <cell r="R1509" t="str">
            <v>NA</v>
          </cell>
          <cell r="S1509">
            <v>5</v>
          </cell>
        </row>
        <row r="1510">
          <cell r="B1510" t="str">
            <v>MNC</v>
          </cell>
          <cell r="C1510" t="str">
            <v>HSLB13571</v>
          </cell>
          <cell r="D1510">
            <v>203016</v>
          </cell>
          <cell r="E1510" t="str">
            <v>Mueble Tipo Biblioteca</v>
          </cell>
          <cell r="F1510" t="str">
            <v>NO</v>
          </cell>
          <cell r="G1510" t="str">
            <v>NO</v>
          </cell>
          <cell r="H1510" t="str">
            <v>SALA ESTIMULACIÓN COGNITIVA</v>
          </cell>
          <cell r="I1510">
            <v>1</v>
          </cell>
          <cell r="J1510" t="str">
            <v>C.2.5.3.16</v>
          </cell>
          <cell r="K1510" t="str">
            <v>UHCIP</v>
          </cell>
          <cell r="L1510">
            <v>1</v>
          </cell>
          <cell r="M1510">
            <v>46024</v>
          </cell>
          <cell r="N1510">
            <v>46027</v>
          </cell>
          <cell r="O1510">
            <v>2</v>
          </cell>
          <cell r="P1510">
            <v>46029</v>
          </cell>
          <cell r="Q1510">
            <v>1</v>
          </cell>
          <cell r="R1510" t="str">
            <v>NA</v>
          </cell>
          <cell r="S1510">
            <v>5</v>
          </cell>
        </row>
        <row r="1511">
          <cell r="B1511" t="str">
            <v>MNC</v>
          </cell>
          <cell r="C1511" t="str">
            <v>HSLB13572</v>
          </cell>
          <cell r="D1511">
            <v>203016</v>
          </cell>
          <cell r="E1511" t="str">
            <v>Mueble Tipo Biblioteca</v>
          </cell>
          <cell r="F1511" t="str">
            <v>NO</v>
          </cell>
          <cell r="G1511" t="str">
            <v>NO</v>
          </cell>
          <cell r="H1511" t="str">
            <v>OFICINA ENFERMERA COORDINADORA</v>
          </cell>
          <cell r="I1511">
            <v>1</v>
          </cell>
          <cell r="J1511" t="str">
            <v>C.2.5.3.2</v>
          </cell>
          <cell r="K1511" t="str">
            <v>UHCIP</v>
          </cell>
          <cell r="L1511">
            <v>1</v>
          </cell>
          <cell r="M1511">
            <v>46024</v>
          </cell>
          <cell r="N1511">
            <v>46027</v>
          </cell>
          <cell r="O1511">
            <v>2</v>
          </cell>
          <cell r="P1511">
            <v>46029</v>
          </cell>
          <cell r="Q1511">
            <v>1</v>
          </cell>
          <cell r="R1511" t="str">
            <v>NA</v>
          </cell>
          <cell r="S1511">
            <v>5</v>
          </cell>
        </row>
        <row r="1512">
          <cell r="B1512" t="str">
            <v>MNC</v>
          </cell>
          <cell r="C1512" t="str">
            <v>HSLB13503</v>
          </cell>
          <cell r="D1512">
            <v>203012</v>
          </cell>
          <cell r="E1512" t="str">
            <v>Juego Taca - Taca</v>
          </cell>
          <cell r="F1512" t="str">
            <v>NO</v>
          </cell>
          <cell r="G1512" t="str">
            <v>NO</v>
          </cell>
          <cell r="H1512" t="str">
            <v>PATIO CUBIERTO</v>
          </cell>
          <cell r="I1512">
            <v>1</v>
          </cell>
          <cell r="J1512" t="str">
            <v>C.2.5.3.22</v>
          </cell>
          <cell r="K1512" t="str">
            <v>UHCIP</v>
          </cell>
          <cell r="L1512">
            <v>1</v>
          </cell>
          <cell r="M1512">
            <v>46024</v>
          </cell>
          <cell r="N1512">
            <v>46027</v>
          </cell>
          <cell r="O1512">
            <v>1</v>
          </cell>
          <cell r="P1512">
            <v>46028</v>
          </cell>
          <cell r="Q1512">
            <v>1</v>
          </cell>
          <cell r="R1512" t="str">
            <v>NA</v>
          </cell>
          <cell r="S1512">
            <v>5</v>
          </cell>
        </row>
        <row r="1513">
          <cell r="B1513" t="str">
            <v>MNC</v>
          </cell>
          <cell r="C1513" t="str">
            <v>HSLB13505</v>
          </cell>
          <cell r="D1513">
            <v>203013</v>
          </cell>
          <cell r="E1513" t="str">
            <v>Juego Tenis de Mesa</v>
          </cell>
          <cell r="F1513" t="str">
            <v>NO</v>
          </cell>
          <cell r="G1513" t="str">
            <v>NO</v>
          </cell>
          <cell r="H1513" t="str">
            <v>PATIO CUBIERTO</v>
          </cell>
          <cell r="I1513">
            <v>1</v>
          </cell>
          <cell r="J1513" t="str">
            <v>C.2.5.3.22</v>
          </cell>
          <cell r="K1513" t="str">
            <v>UHCIP</v>
          </cell>
          <cell r="L1513">
            <v>1</v>
          </cell>
          <cell r="M1513">
            <v>46024</v>
          </cell>
          <cell r="N1513">
            <v>46027</v>
          </cell>
          <cell r="O1513">
            <v>1</v>
          </cell>
          <cell r="P1513">
            <v>46028</v>
          </cell>
          <cell r="Q1513">
            <v>1</v>
          </cell>
          <cell r="R1513" t="str">
            <v>NA</v>
          </cell>
          <cell r="S1513">
            <v>5</v>
          </cell>
        </row>
        <row r="1514">
          <cell r="B1514" t="str">
            <v>MNC</v>
          </cell>
          <cell r="C1514" t="str">
            <v>HSLB13573</v>
          </cell>
          <cell r="D1514">
            <v>203016</v>
          </cell>
          <cell r="E1514" t="str">
            <v>Mueble Tipo Biblioteca</v>
          </cell>
          <cell r="F1514" t="str">
            <v>NO</v>
          </cell>
          <cell r="G1514" t="str">
            <v>NO</v>
          </cell>
          <cell r="H1514" t="str">
            <v>OF.ASISTENTE SOCIAL</v>
          </cell>
          <cell r="I1514">
            <v>1</v>
          </cell>
          <cell r="J1514" t="str">
            <v>C.2.5.3.3</v>
          </cell>
          <cell r="K1514" t="str">
            <v>UHCIP</v>
          </cell>
          <cell r="L1514">
            <v>1</v>
          </cell>
          <cell r="M1514">
            <v>46024</v>
          </cell>
          <cell r="N1514">
            <v>46027</v>
          </cell>
          <cell r="O1514">
            <v>2</v>
          </cell>
          <cell r="P1514">
            <v>46029</v>
          </cell>
          <cell r="Q1514">
            <v>1</v>
          </cell>
          <cell r="R1514" t="str">
            <v>NA</v>
          </cell>
          <cell r="S1514">
            <v>5</v>
          </cell>
        </row>
        <row r="1515">
          <cell r="B1515" t="str">
            <v>MNC</v>
          </cell>
          <cell r="C1515" t="str">
            <v>HSLB13574</v>
          </cell>
          <cell r="D1515">
            <v>203016</v>
          </cell>
          <cell r="E1515" t="str">
            <v>Mueble Tipo Biblioteca</v>
          </cell>
          <cell r="F1515" t="str">
            <v>NO</v>
          </cell>
          <cell r="G1515" t="str">
            <v>NO</v>
          </cell>
          <cell r="H1515" t="str">
            <v>TRABAJO OTROS PROFESIONALES</v>
          </cell>
          <cell r="I1515">
            <v>2</v>
          </cell>
          <cell r="J1515" t="str">
            <v>C.2.5.3.5</v>
          </cell>
          <cell r="K1515" t="str">
            <v>UHCIP</v>
          </cell>
          <cell r="L1515">
            <v>1</v>
          </cell>
          <cell r="M1515">
            <v>46024</v>
          </cell>
          <cell r="N1515">
            <v>46027</v>
          </cell>
          <cell r="O1515">
            <v>2</v>
          </cell>
          <cell r="P1515">
            <v>46029</v>
          </cell>
          <cell r="Q1515">
            <v>1</v>
          </cell>
          <cell r="R1515" t="str">
            <v>NA</v>
          </cell>
          <cell r="S1515">
            <v>5</v>
          </cell>
        </row>
        <row r="1516">
          <cell r="B1516" t="str">
            <v>MNC</v>
          </cell>
          <cell r="C1516" t="str">
            <v>HSLB13600</v>
          </cell>
          <cell r="D1516">
            <v>203016</v>
          </cell>
          <cell r="E1516" t="str">
            <v>Mueble Tipo Biblioteca</v>
          </cell>
          <cell r="F1516" t="str">
            <v>NO</v>
          </cell>
          <cell r="G1516" t="str">
            <v>NO</v>
          </cell>
          <cell r="H1516" t="str">
            <v>OF. JEFE CR AT. URGENCIA</v>
          </cell>
          <cell r="I1516">
            <v>1</v>
          </cell>
          <cell r="J1516" t="str">
            <v>C.4.1.2</v>
          </cell>
          <cell r="K1516" t="str">
            <v>Urgencia</v>
          </cell>
          <cell r="L1516">
            <v>1</v>
          </cell>
          <cell r="M1516">
            <v>46006</v>
          </cell>
          <cell r="N1516">
            <v>46007</v>
          </cell>
          <cell r="O1516">
            <v>2</v>
          </cell>
          <cell r="P1516">
            <v>46009</v>
          </cell>
          <cell r="Q1516">
            <v>1</v>
          </cell>
          <cell r="R1516" t="str">
            <v>NA</v>
          </cell>
          <cell r="S1516">
            <v>5</v>
          </cell>
        </row>
        <row r="1517">
          <cell r="B1517" t="str">
            <v>MNC</v>
          </cell>
          <cell r="C1517" t="str">
            <v>HSLB13601</v>
          </cell>
          <cell r="D1517">
            <v>203016</v>
          </cell>
          <cell r="E1517" t="str">
            <v>Mueble Tipo Biblioteca</v>
          </cell>
          <cell r="F1517" t="str">
            <v>NO</v>
          </cell>
          <cell r="G1517" t="str">
            <v>NO</v>
          </cell>
          <cell r="H1517" t="str">
            <v>COORDINADOR CR AT. URGENCIA</v>
          </cell>
          <cell r="I1517">
            <v>1</v>
          </cell>
          <cell r="J1517" t="str">
            <v>C.4.1.3</v>
          </cell>
          <cell r="K1517" t="str">
            <v>Urgencia</v>
          </cell>
          <cell r="L1517">
            <v>1</v>
          </cell>
          <cell r="M1517">
            <v>46006</v>
          </cell>
          <cell r="N1517">
            <v>46007</v>
          </cell>
          <cell r="O1517">
            <v>2</v>
          </cell>
          <cell r="P1517">
            <v>46009</v>
          </cell>
          <cell r="Q1517">
            <v>1</v>
          </cell>
          <cell r="R1517" t="str">
            <v>NA</v>
          </cell>
          <cell r="S1517">
            <v>5</v>
          </cell>
        </row>
        <row r="1518">
          <cell r="B1518" t="str">
            <v>MNC</v>
          </cell>
          <cell r="C1518" t="str">
            <v>HSLB13602</v>
          </cell>
          <cell r="D1518">
            <v>203016</v>
          </cell>
          <cell r="E1518" t="str">
            <v>Mueble Tipo Biblioteca</v>
          </cell>
          <cell r="F1518" t="str">
            <v>NO</v>
          </cell>
          <cell r="G1518" t="str">
            <v>NO</v>
          </cell>
          <cell r="H1518" t="str">
            <v>SECRETARIA C/ARCH. Y FOTO</v>
          </cell>
          <cell r="I1518">
            <v>1</v>
          </cell>
          <cell r="J1518" t="str">
            <v>C.4.1.5</v>
          </cell>
          <cell r="K1518" t="str">
            <v>Urgencia</v>
          </cell>
          <cell r="L1518">
            <v>1</v>
          </cell>
          <cell r="M1518">
            <v>46006</v>
          </cell>
          <cell r="N1518">
            <v>46007</v>
          </cell>
          <cell r="O1518">
            <v>2</v>
          </cell>
          <cell r="P1518">
            <v>46009</v>
          </cell>
          <cell r="Q1518">
            <v>1</v>
          </cell>
          <cell r="R1518" t="str">
            <v>NA</v>
          </cell>
          <cell r="S1518">
            <v>5</v>
          </cell>
        </row>
        <row r="1519">
          <cell r="B1519" t="str">
            <v>MNC</v>
          </cell>
          <cell r="C1519" t="str">
            <v>HSLB13603</v>
          </cell>
          <cell r="D1519">
            <v>203016</v>
          </cell>
          <cell r="E1519" t="str">
            <v>Mueble Tipo Biblioteca</v>
          </cell>
          <cell r="F1519" t="str">
            <v>NO</v>
          </cell>
          <cell r="G1519" t="str">
            <v>NO</v>
          </cell>
          <cell r="H1519" t="str">
            <v>SALA CARABINERO C/BAÑO</v>
          </cell>
          <cell r="I1519">
            <v>1</v>
          </cell>
          <cell r="J1519" t="str">
            <v>C.4.2.5</v>
          </cell>
          <cell r="K1519" t="str">
            <v>Urgencia</v>
          </cell>
          <cell r="L1519">
            <v>1</v>
          </cell>
          <cell r="M1519">
            <v>46006</v>
          </cell>
          <cell r="N1519">
            <v>46007</v>
          </cell>
          <cell r="O1519">
            <v>2</v>
          </cell>
          <cell r="P1519">
            <v>46009</v>
          </cell>
          <cell r="Q1519">
            <v>1</v>
          </cell>
          <cell r="R1519" t="str">
            <v>NA</v>
          </cell>
          <cell r="S1519">
            <v>5</v>
          </cell>
        </row>
        <row r="1520">
          <cell r="B1520" t="str">
            <v>MNC</v>
          </cell>
          <cell r="C1520" t="str">
            <v>HSLB13605</v>
          </cell>
          <cell r="D1520">
            <v>203016</v>
          </cell>
          <cell r="E1520" t="str">
            <v>Mueble Tipo Biblioteca</v>
          </cell>
          <cell r="F1520" t="str">
            <v>NO</v>
          </cell>
          <cell r="G1520" t="str">
            <v>NO</v>
          </cell>
          <cell r="H1520" t="str">
            <v>SALA ENTREVISTA FAMILIARES PACIENTES</v>
          </cell>
          <cell r="I1520">
            <v>1</v>
          </cell>
          <cell r="J1520" t="str">
            <v>C.4.2.7</v>
          </cell>
          <cell r="K1520" t="str">
            <v>Urgencia</v>
          </cell>
          <cell r="L1520">
            <v>1</v>
          </cell>
          <cell r="M1520">
            <v>46006</v>
          </cell>
          <cell r="N1520">
            <v>46007</v>
          </cell>
          <cell r="O1520">
            <v>2</v>
          </cell>
          <cell r="P1520">
            <v>46009</v>
          </cell>
          <cell r="Q1520">
            <v>1</v>
          </cell>
          <cell r="R1520" t="str">
            <v>NA</v>
          </cell>
          <cell r="S1520">
            <v>5</v>
          </cell>
        </row>
        <row r="1521">
          <cell r="B1521" t="str">
            <v>MNC</v>
          </cell>
          <cell r="C1521" t="str">
            <v>HSLB14132</v>
          </cell>
          <cell r="D1521">
            <v>203021</v>
          </cell>
          <cell r="E1521" t="str">
            <v>Velador</v>
          </cell>
          <cell r="F1521" t="str">
            <v>NO</v>
          </cell>
          <cell r="G1521" t="str">
            <v>NO</v>
          </cell>
          <cell r="H1521" t="str">
            <v>RESIDENCIA MÉDICA C/BAÑO</v>
          </cell>
          <cell r="I1521">
            <v>1</v>
          </cell>
          <cell r="J1521" t="str">
            <v>C.4.6.1.1</v>
          </cell>
          <cell r="K1521" t="str">
            <v>Urgencia</v>
          </cell>
          <cell r="L1521">
            <v>1</v>
          </cell>
          <cell r="M1521">
            <v>46006</v>
          </cell>
          <cell r="N1521">
            <v>46007</v>
          </cell>
          <cell r="O1521">
            <v>1</v>
          </cell>
          <cell r="P1521">
            <v>46008</v>
          </cell>
          <cell r="Q1521">
            <v>1</v>
          </cell>
          <cell r="R1521" t="str">
            <v>NA</v>
          </cell>
          <cell r="S1521">
            <v>5</v>
          </cell>
        </row>
        <row r="1522">
          <cell r="B1522" t="str">
            <v>MNC</v>
          </cell>
          <cell r="C1522" t="str">
            <v>HSLB14133</v>
          </cell>
          <cell r="D1522">
            <v>203021</v>
          </cell>
          <cell r="E1522" t="str">
            <v>Velador</v>
          </cell>
          <cell r="F1522" t="str">
            <v>NO</v>
          </cell>
          <cell r="G1522" t="str">
            <v>NO</v>
          </cell>
          <cell r="H1522" t="str">
            <v>RESIDENCIA MÉDICA C/BAÑO</v>
          </cell>
          <cell r="I1522">
            <v>1</v>
          </cell>
          <cell r="J1522" t="str">
            <v>C.4.6.1.2</v>
          </cell>
          <cell r="K1522" t="str">
            <v>Urgencia</v>
          </cell>
          <cell r="L1522">
            <v>1</v>
          </cell>
          <cell r="M1522">
            <v>46006</v>
          </cell>
          <cell r="N1522">
            <v>46007</v>
          </cell>
          <cell r="O1522">
            <v>1</v>
          </cell>
          <cell r="P1522">
            <v>46008</v>
          </cell>
          <cell r="Q1522">
            <v>1</v>
          </cell>
          <cell r="R1522" t="str">
            <v>NA</v>
          </cell>
          <cell r="S1522">
            <v>5</v>
          </cell>
        </row>
        <row r="1523">
          <cell r="B1523" t="str">
            <v>MNC</v>
          </cell>
          <cell r="C1523" t="str">
            <v>HSLB14134</v>
          </cell>
          <cell r="D1523">
            <v>203021</v>
          </cell>
          <cell r="E1523" t="str">
            <v>Velador</v>
          </cell>
          <cell r="F1523" t="str">
            <v>NO</v>
          </cell>
          <cell r="G1523" t="str">
            <v>NO</v>
          </cell>
          <cell r="H1523" t="str">
            <v>RESIDENCIA MÉDICA C/BAÑO</v>
          </cell>
          <cell r="I1523">
            <v>1</v>
          </cell>
          <cell r="J1523" t="str">
            <v>C.4.6.1.3</v>
          </cell>
          <cell r="K1523" t="str">
            <v>Urgencia</v>
          </cell>
          <cell r="L1523">
            <v>1</v>
          </cell>
          <cell r="M1523">
            <v>46006</v>
          </cell>
          <cell r="N1523">
            <v>46007</v>
          </cell>
          <cell r="O1523">
            <v>1</v>
          </cell>
          <cell r="P1523">
            <v>46008</v>
          </cell>
          <cell r="Q1523">
            <v>1</v>
          </cell>
          <cell r="R1523" t="str">
            <v>NA</v>
          </cell>
          <cell r="S1523">
            <v>5</v>
          </cell>
        </row>
        <row r="1524">
          <cell r="B1524" t="str">
            <v>MNC</v>
          </cell>
          <cell r="C1524" t="str">
            <v>HSLB14135</v>
          </cell>
          <cell r="D1524">
            <v>203021</v>
          </cell>
          <cell r="E1524" t="str">
            <v>Velador</v>
          </cell>
          <cell r="F1524" t="str">
            <v>NO</v>
          </cell>
          <cell r="G1524" t="str">
            <v>NO</v>
          </cell>
          <cell r="H1524" t="str">
            <v>RESIDENCIA MÉDICA C/BAÑO</v>
          </cell>
          <cell r="I1524">
            <v>1</v>
          </cell>
          <cell r="J1524" t="str">
            <v>C.4.6.1.4</v>
          </cell>
          <cell r="K1524" t="str">
            <v>Urgencia</v>
          </cell>
          <cell r="L1524">
            <v>1</v>
          </cell>
          <cell r="M1524">
            <v>46006</v>
          </cell>
          <cell r="N1524">
            <v>46007</v>
          </cell>
          <cell r="O1524">
            <v>1</v>
          </cell>
          <cell r="P1524">
            <v>46008</v>
          </cell>
          <cell r="Q1524">
            <v>1</v>
          </cell>
          <cell r="R1524" t="str">
            <v>NA</v>
          </cell>
          <cell r="S1524">
            <v>5</v>
          </cell>
        </row>
        <row r="1525">
          <cell r="B1525" t="str">
            <v>MNC</v>
          </cell>
          <cell r="C1525" t="str">
            <v>HSLB14136</v>
          </cell>
          <cell r="D1525">
            <v>203021</v>
          </cell>
          <cell r="E1525" t="str">
            <v>Velador</v>
          </cell>
          <cell r="F1525" t="str">
            <v>NO</v>
          </cell>
          <cell r="G1525" t="str">
            <v>NO</v>
          </cell>
          <cell r="H1525" t="str">
            <v>RESIDENCIA MÉDICA C/BAÑO</v>
          </cell>
          <cell r="I1525">
            <v>1</v>
          </cell>
          <cell r="J1525" t="str">
            <v>C.4.6.1.5</v>
          </cell>
          <cell r="K1525" t="str">
            <v>Urgencia</v>
          </cell>
          <cell r="L1525">
            <v>1</v>
          </cell>
          <cell r="M1525">
            <v>46006</v>
          </cell>
          <cell r="N1525">
            <v>46007</v>
          </cell>
          <cell r="O1525">
            <v>1</v>
          </cell>
          <cell r="P1525">
            <v>46008</v>
          </cell>
          <cell r="Q1525">
            <v>1</v>
          </cell>
          <cell r="R1525" t="str">
            <v>NA</v>
          </cell>
          <cell r="S1525">
            <v>5</v>
          </cell>
        </row>
        <row r="1526">
          <cell r="B1526" t="str">
            <v>MNC</v>
          </cell>
          <cell r="C1526" t="str">
            <v>HSLB13606</v>
          </cell>
          <cell r="D1526">
            <v>203016</v>
          </cell>
          <cell r="E1526" t="str">
            <v>Mueble Tipo Biblioteca</v>
          </cell>
          <cell r="F1526" t="str">
            <v>NO</v>
          </cell>
          <cell r="G1526" t="str">
            <v>NO</v>
          </cell>
          <cell r="H1526" t="str">
            <v>SALA DE REUNIONES</v>
          </cell>
          <cell r="I1526">
            <v>1</v>
          </cell>
          <cell r="J1526" t="str">
            <v>C.4.6.4</v>
          </cell>
          <cell r="K1526" t="str">
            <v>Urgencia</v>
          </cell>
          <cell r="L1526">
            <v>1</v>
          </cell>
          <cell r="M1526">
            <v>46006</v>
          </cell>
          <cell r="N1526">
            <v>46007</v>
          </cell>
          <cell r="O1526">
            <v>2</v>
          </cell>
          <cell r="P1526">
            <v>46009</v>
          </cell>
          <cell r="Q1526">
            <v>1</v>
          </cell>
          <cell r="R1526" t="str">
            <v>NA</v>
          </cell>
          <cell r="S1526">
            <v>5</v>
          </cell>
        </row>
        <row r="1527">
          <cell r="B1527" t="str">
            <v>MNC</v>
          </cell>
          <cell r="C1527" t="str">
            <v>HSLB13616</v>
          </cell>
          <cell r="D1527">
            <v>203016</v>
          </cell>
          <cell r="E1527" t="str">
            <v>Mueble Tipo Biblioteca</v>
          </cell>
          <cell r="F1527" t="str">
            <v>NO</v>
          </cell>
          <cell r="G1527" t="str">
            <v>NO</v>
          </cell>
          <cell r="H1527" t="str">
            <v>SECRETARIA C/ARCHIVO, FOTOCOP.</v>
          </cell>
          <cell r="I1527">
            <v>1</v>
          </cell>
          <cell r="J1527" t="str">
            <v>C.5.3.12</v>
          </cell>
          <cell r="K1527" t="str">
            <v>Imagenología</v>
          </cell>
          <cell r="L1527">
            <v>1</v>
          </cell>
          <cell r="M1527">
            <v>46008</v>
          </cell>
          <cell r="N1527">
            <v>46009</v>
          </cell>
          <cell r="O1527">
            <v>1</v>
          </cell>
          <cell r="P1527">
            <v>46010</v>
          </cell>
          <cell r="Q1527">
            <v>1</v>
          </cell>
          <cell r="R1527" t="str">
            <v>NA</v>
          </cell>
          <cell r="S1527">
            <v>5</v>
          </cell>
        </row>
        <row r="1528">
          <cell r="B1528" t="str">
            <v>MNC</v>
          </cell>
          <cell r="C1528" t="str">
            <v>HSLB13617</v>
          </cell>
          <cell r="D1528">
            <v>203016</v>
          </cell>
          <cell r="E1528" t="str">
            <v>Mueble Tipo Biblioteca</v>
          </cell>
          <cell r="F1528" t="str">
            <v>NO</v>
          </cell>
          <cell r="G1528" t="str">
            <v>NO</v>
          </cell>
          <cell r="H1528" t="str">
            <v>OFICINA JEFE IMAGENOLOGÍA</v>
          </cell>
          <cell r="I1528">
            <v>1</v>
          </cell>
          <cell r="J1528" t="str">
            <v>C.5.3.13</v>
          </cell>
          <cell r="K1528" t="str">
            <v>Imagenología</v>
          </cell>
          <cell r="L1528">
            <v>1</v>
          </cell>
          <cell r="M1528">
            <v>46008</v>
          </cell>
          <cell r="N1528">
            <v>46009</v>
          </cell>
          <cell r="O1528">
            <v>1</v>
          </cell>
          <cell r="P1528">
            <v>46010</v>
          </cell>
          <cell r="Q1528">
            <v>1</v>
          </cell>
          <cell r="R1528" t="str">
            <v>NA</v>
          </cell>
          <cell r="S1528">
            <v>5</v>
          </cell>
        </row>
        <row r="1529">
          <cell r="B1529" t="str">
            <v>MNC</v>
          </cell>
          <cell r="C1529" t="str">
            <v>HSLB13618</v>
          </cell>
          <cell r="D1529">
            <v>203016</v>
          </cell>
          <cell r="E1529" t="str">
            <v>Mueble Tipo Biblioteca</v>
          </cell>
          <cell r="F1529" t="str">
            <v>NO</v>
          </cell>
          <cell r="G1529" t="str">
            <v>NO</v>
          </cell>
          <cell r="H1529" t="str">
            <v>COORDINADOR IMAGENOLOGÍA</v>
          </cell>
          <cell r="I1529">
            <v>1</v>
          </cell>
          <cell r="J1529" t="str">
            <v>C.5.3.14</v>
          </cell>
          <cell r="K1529" t="str">
            <v>Imagenología</v>
          </cell>
          <cell r="L1529">
            <v>1</v>
          </cell>
          <cell r="M1529">
            <v>46008</v>
          </cell>
          <cell r="N1529">
            <v>46009</v>
          </cell>
          <cell r="O1529">
            <v>1</v>
          </cell>
          <cell r="P1529">
            <v>46010</v>
          </cell>
          <cell r="Q1529">
            <v>1</v>
          </cell>
          <cell r="R1529" t="str">
            <v>NA</v>
          </cell>
          <cell r="S1529">
            <v>5</v>
          </cell>
        </row>
        <row r="1530">
          <cell r="B1530" t="str">
            <v>MNC</v>
          </cell>
          <cell r="C1530" t="str">
            <v>HSLB13619</v>
          </cell>
          <cell r="D1530">
            <v>203016</v>
          </cell>
          <cell r="E1530" t="str">
            <v>Mueble Tipo Biblioteca</v>
          </cell>
          <cell r="F1530" t="str">
            <v>NO</v>
          </cell>
          <cell r="G1530" t="str">
            <v>SI</v>
          </cell>
          <cell r="H1530" t="str">
            <v>MÓDULO DE TRABAJO (INFORMES)</v>
          </cell>
          <cell r="I1530">
            <v>4</v>
          </cell>
          <cell r="J1530" t="str">
            <v>C.5.3.15</v>
          </cell>
          <cell r="K1530" t="str">
            <v>Imagenología</v>
          </cell>
          <cell r="L1530">
            <v>1</v>
          </cell>
          <cell r="M1530">
            <v>46003</v>
          </cell>
          <cell r="N1530">
            <v>46006</v>
          </cell>
          <cell r="O1530">
            <v>1</v>
          </cell>
          <cell r="P1530">
            <v>46007</v>
          </cell>
          <cell r="Q1530">
            <v>1</v>
          </cell>
          <cell r="R1530" t="str">
            <v>NA</v>
          </cell>
          <cell r="S1530">
            <v>5</v>
          </cell>
        </row>
        <row r="1531">
          <cell r="B1531" t="str">
            <v>MNC</v>
          </cell>
          <cell r="C1531" t="str">
            <v>HSLB13620</v>
          </cell>
          <cell r="D1531">
            <v>203016</v>
          </cell>
          <cell r="E1531" t="str">
            <v>Mueble Tipo Biblioteca</v>
          </cell>
          <cell r="F1531" t="str">
            <v>NO</v>
          </cell>
          <cell r="G1531" t="str">
            <v>NO</v>
          </cell>
          <cell r="H1531" t="str">
            <v>SALA DE INFORMES Y DIAGNÓSTICO A DISTANCIA + IMPRESIÓN</v>
          </cell>
          <cell r="I1531">
            <v>3</v>
          </cell>
          <cell r="J1531" t="str">
            <v>C.5.3.16</v>
          </cell>
          <cell r="K1531" t="str">
            <v>Imagenología</v>
          </cell>
          <cell r="L1531">
            <v>1</v>
          </cell>
          <cell r="M1531">
            <v>46008</v>
          </cell>
          <cell r="N1531">
            <v>46009</v>
          </cell>
          <cell r="O1531">
            <v>1</v>
          </cell>
          <cell r="P1531">
            <v>46010</v>
          </cell>
          <cell r="Q1531">
            <v>1</v>
          </cell>
          <cell r="R1531" t="str">
            <v>NA</v>
          </cell>
          <cell r="S1531">
            <v>5</v>
          </cell>
        </row>
        <row r="1532">
          <cell r="B1532" t="str">
            <v>MNC</v>
          </cell>
          <cell r="C1532" t="str">
            <v>HSLB13627</v>
          </cell>
          <cell r="D1532">
            <v>203016</v>
          </cell>
          <cell r="E1532" t="str">
            <v>Mueble Tipo Biblioteca</v>
          </cell>
          <cell r="F1532" t="str">
            <v>NO</v>
          </cell>
          <cell r="G1532" t="str">
            <v>NO</v>
          </cell>
          <cell r="H1532" t="str">
            <v>MESÓN C/ARCHIVO Y FOTOCOPIADORA</v>
          </cell>
          <cell r="I1532">
            <v>1</v>
          </cell>
          <cell r="J1532" t="str">
            <v>C.5.7.1</v>
          </cell>
          <cell r="K1532" t="str">
            <v>Med física y rehabilitación</v>
          </cell>
          <cell r="L1532">
            <v>1</v>
          </cell>
          <cell r="M1532">
            <v>46017</v>
          </cell>
          <cell r="N1532">
            <v>46020</v>
          </cell>
          <cell r="O1532">
            <v>2</v>
          </cell>
          <cell r="P1532">
            <v>46022</v>
          </cell>
          <cell r="Q1532">
            <v>1</v>
          </cell>
          <cell r="R1532" t="str">
            <v>NA</v>
          </cell>
          <cell r="S1532">
            <v>5</v>
          </cell>
        </row>
        <row r="1533">
          <cell r="B1533" t="str">
            <v>MNC</v>
          </cell>
          <cell r="C1533" t="str">
            <v>HSLB14126</v>
          </cell>
          <cell r="D1533">
            <v>203019</v>
          </cell>
          <cell r="E1533" t="str">
            <v>Pizarra Acrílica</v>
          </cell>
          <cell r="F1533" t="str">
            <v>NO</v>
          </cell>
          <cell r="G1533" t="str">
            <v>SI</v>
          </cell>
          <cell r="H1533" t="str">
            <v>GIMNASIO ADULTO REHABILITACIÓN CARDIOVASCULAR</v>
          </cell>
          <cell r="I1533">
            <v>1</v>
          </cell>
          <cell r="J1533" t="str">
            <v>C.5.7.14</v>
          </cell>
          <cell r="K1533" t="str">
            <v>Med física y rehabilitación</v>
          </cell>
          <cell r="L1533">
            <v>1</v>
          </cell>
          <cell r="M1533">
            <v>46003</v>
          </cell>
          <cell r="N1533">
            <v>46006</v>
          </cell>
          <cell r="O1533">
            <v>1</v>
          </cell>
          <cell r="P1533">
            <v>46007</v>
          </cell>
          <cell r="Q1533">
            <v>1</v>
          </cell>
          <cell r="R1533" t="str">
            <v>NA</v>
          </cell>
          <cell r="S1533">
            <v>5</v>
          </cell>
        </row>
        <row r="1534">
          <cell r="B1534" t="str">
            <v>MNC</v>
          </cell>
          <cell r="C1534" t="str">
            <v>HSLB13628</v>
          </cell>
          <cell r="D1534">
            <v>203016</v>
          </cell>
          <cell r="E1534" t="str">
            <v>Mueble Tipo Biblioteca</v>
          </cell>
          <cell r="F1534" t="str">
            <v>NO</v>
          </cell>
          <cell r="G1534" t="str">
            <v>NO</v>
          </cell>
          <cell r="H1534" t="str">
            <v>SALA TERÁPIA OCUP. ADULTO E INFANTIL</v>
          </cell>
          <cell r="I1534">
            <v>1</v>
          </cell>
          <cell r="J1534" t="str">
            <v>C.5.7.19</v>
          </cell>
          <cell r="K1534" t="str">
            <v>Med física y rehabilitación</v>
          </cell>
          <cell r="L1534">
            <v>1</v>
          </cell>
          <cell r="M1534">
            <v>46017</v>
          </cell>
          <cell r="N1534">
            <v>46020</v>
          </cell>
          <cell r="O1534">
            <v>2</v>
          </cell>
          <cell r="P1534">
            <v>46022</v>
          </cell>
          <cell r="Q1534">
            <v>1</v>
          </cell>
          <cell r="R1534" t="str">
            <v>NA</v>
          </cell>
          <cell r="S1534">
            <v>5</v>
          </cell>
        </row>
        <row r="1535">
          <cell r="B1535" t="str">
            <v>MNC</v>
          </cell>
          <cell r="C1535" t="str">
            <v>HSLB14137</v>
          </cell>
          <cell r="D1535">
            <v>203021</v>
          </cell>
          <cell r="E1535" t="str">
            <v>Velador</v>
          </cell>
          <cell r="F1535" t="str">
            <v>NO</v>
          </cell>
          <cell r="G1535" t="str">
            <v>NO</v>
          </cell>
          <cell r="H1535" t="str">
            <v>SALA DE ACTIVDAD DE LA VIDA DIARIA C/BAÑO DE INSTRUCCIÓN</v>
          </cell>
          <cell r="I1535">
            <v>1</v>
          </cell>
          <cell r="J1535" t="str">
            <v>C.5.7.20</v>
          </cell>
          <cell r="K1535" t="str">
            <v>Med física y rehabilitación</v>
          </cell>
          <cell r="L1535">
            <v>1</v>
          </cell>
          <cell r="M1535">
            <v>46017</v>
          </cell>
          <cell r="N1535">
            <v>46020</v>
          </cell>
          <cell r="O1535">
            <v>2</v>
          </cell>
          <cell r="P1535">
            <v>46022</v>
          </cell>
          <cell r="Q1535">
            <v>1</v>
          </cell>
          <cell r="R1535" t="str">
            <v>NA</v>
          </cell>
          <cell r="S1535">
            <v>5</v>
          </cell>
        </row>
        <row r="1536">
          <cell r="B1536" t="str">
            <v>MNC</v>
          </cell>
          <cell r="C1536" t="str">
            <v>HSLB13629</v>
          </cell>
          <cell r="D1536">
            <v>203016</v>
          </cell>
          <cell r="E1536" t="str">
            <v>Mueble Tipo Biblioteca</v>
          </cell>
          <cell r="F1536" t="str">
            <v>NO</v>
          </cell>
          <cell r="G1536" t="str">
            <v>NO</v>
          </cell>
          <cell r="H1536" t="str">
            <v>OFICINA JEFE REHABILITACIÓN</v>
          </cell>
          <cell r="I1536">
            <v>1</v>
          </cell>
          <cell r="J1536" t="str">
            <v>C.5.7.21</v>
          </cell>
          <cell r="K1536" t="str">
            <v>Med física y rehabilitación</v>
          </cell>
          <cell r="L1536">
            <v>1</v>
          </cell>
          <cell r="M1536">
            <v>46017</v>
          </cell>
          <cell r="N1536">
            <v>46020</v>
          </cell>
          <cell r="O1536">
            <v>2</v>
          </cell>
          <cell r="P1536">
            <v>46022</v>
          </cell>
          <cell r="Q1536">
            <v>1</v>
          </cell>
          <cell r="R1536" t="str">
            <v>NA</v>
          </cell>
          <cell r="S1536">
            <v>5</v>
          </cell>
        </row>
        <row r="1537">
          <cell r="B1537" t="str">
            <v>MNC</v>
          </cell>
          <cell r="C1537" t="str">
            <v>HSLB13630</v>
          </cell>
          <cell r="D1537">
            <v>203016</v>
          </cell>
          <cell r="E1537" t="str">
            <v>Mueble Tipo Biblioteca</v>
          </cell>
          <cell r="F1537" t="str">
            <v>NO</v>
          </cell>
          <cell r="G1537" t="str">
            <v>NO</v>
          </cell>
          <cell r="H1537" t="str">
            <v>OFICINA JEFE COORDINADOR</v>
          </cell>
          <cell r="I1537">
            <v>1</v>
          </cell>
          <cell r="J1537" t="str">
            <v>C.5.7.22</v>
          </cell>
          <cell r="K1537" t="str">
            <v>Med física y rehabilitación</v>
          </cell>
          <cell r="L1537">
            <v>1</v>
          </cell>
          <cell r="M1537">
            <v>46017</v>
          </cell>
          <cell r="N1537">
            <v>46020</v>
          </cell>
          <cell r="O1537">
            <v>2</v>
          </cell>
          <cell r="P1537">
            <v>46022</v>
          </cell>
          <cell r="Q1537">
            <v>1</v>
          </cell>
          <cell r="R1537" t="str">
            <v>NA</v>
          </cell>
          <cell r="S1537">
            <v>5</v>
          </cell>
        </row>
        <row r="1538">
          <cell r="B1538" t="str">
            <v>MNC</v>
          </cell>
          <cell r="C1538" t="str">
            <v>HSLB13631</v>
          </cell>
          <cell r="D1538">
            <v>203016</v>
          </cell>
          <cell r="E1538" t="str">
            <v>Mueble Tipo Biblioteca</v>
          </cell>
          <cell r="F1538" t="str">
            <v>NO</v>
          </cell>
          <cell r="G1538" t="str">
            <v>NO</v>
          </cell>
          <cell r="H1538" t="str">
            <v>SALA MULTIUSO</v>
          </cell>
          <cell r="I1538">
            <v>1</v>
          </cell>
          <cell r="J1538" t="str">
            <v>C.5.7.23</v>
          </cell>
          <cell r="K1538" t="str">
            <v>Med física y rehabilitación</v>
          </cell>
          <cell r="L1538">
            <v>1</v>
          </cell>
          <cell r="M1538">
            <v>46017</v>
          </cell>
          <cell r="N1538">
            <v>46020</v>
          </cell>
          <cell r="O1538">
            <v>2</v>
          </cell>
          <cell r="P1538">
            <v>46022</v>
          </cell>
          <cell r="Q1538">
            <v>1</v>
          </cell>
          <cell r="R1538" t="str">
            <v>NA</v>
          </cell>
          <cell r="S1538">
            <v>5</v>
          </cell>
        </row>
        <row r="1539">
          <cell r="B1539" t="str">
            <v>MNC</v>
          </cell>
          <cell r="C1539" t="str">
            <v>HSLB13480</v>
          </cell>
          <cell r="D1539">
            <v>203001</v>
          </cell>
          <cell r="E1539" t="str">
            <v>Adaptador de llaves</v>
          </cell>
          <cell r="F1539" t="str">
            <v>NO</v>
          </cell>
          <cell r="G1539" t="str">
            <v>NO</v>
          </cell>
          <cell r="H1539" t="str">
            <v>TALLER DE ÓRTESIS (MUEBLE)</v>
          </cell>
          <cell r="I1539">
            <v>1</v>
          </cell>
          <cell r="J1539" t="str">
            <v>C.5.7.29</v>
          </cell>
          <cell r="K1539" t="str">
            <v>Med física y rehabilitación</v>
          </cell>
          <cell r="L1539">
            <v>1</v>
          </cell>
          <cell r="M1539">
            <v>46017</v>
          </cell>
          <cell r="N1539">
            <v>46020</v>
          </cell>
          <cell r="O1539">
            <v>2</v>
          </cell>
          <cell r="P1539">
            <v>46022</v>
          </cell>
          <cell r="Q1539">
            <v>1</v>
          </cell>
          <cell r="R1539" t="str">
            <v>NA</v>
          </cell>
          <cell r="S1539">
            <v>5</v>
          </cell>
        </row>
        <row r="1540">
          <cell r="B1540" t="str">
            <v>MNC</v>
          </cell>
          <cell r="C1540" t="str">
            <v>HSLB13502</v>
          </cell>
          <cell r="D1540">
            <v>203011</v>
          </cell>
          <cell r="E1540" t="str">
            <v>Estación de órtesis metálica</v>
          </cell>
          <cell r="F1540" t="str">
            <v>NO</v>
          </cell>
          <cell r="G1540" t="str">
            <v>NO</v>
          </cell>
          <cell r="H1540" t="str">
            <v>TALLER DE ÓRTESIS (MUEBLE)</v>
          </cell>
          <cell r="I1540">
            <v>1</v>
          </cell>
          <cell r="J1540" t="str">
            <v>C.5.7.29</v>
          </cell>
          <cell r="K1540" t="str">
            <v>Med física y rehabilitación</v>
          </cell>
          <cell r="L1540">
            <v>1</v>
          </cell>
          <cell r="M1540">
            <v>46017</v>
          </cell>
          <cell r="N1540">
            <v>46020</v>
          </cell>
          <cell r="O1540">
            <v>2</v>
          </cell>
          <cell r="P1540">
            <v>46022</v>
          </cell>
          <cell r="Q1540">
            <v>1</v>
          </cell>
          <cell r="R1540" t="str">
            <v>NA</v>
          </cell>
          <cell r="S1540">
            <v>5</v>
          </cell>
        </row>
        <row r="1541">
          <cell r="B1541" t="str">
            <v>MNC</v>
          </cell>
          <cell r="C1541" t="str">
            <v>HSLB13633</v>
          </cell>
          <cell r="D1541">
            <v>203016</v>
          </cell>
          <cell r="E1541" t="str">
            <v>Mueble Tipo Biblioteca</v>
          </cell>
          <cell r="F1541" t="str">
            <v>NO</v>
          </cell>
          <cell r="G1541" t="str">
            <v>NO</v>
          </cell>
          <cell r="H1541" t="str">
            <v>BOX PSICOLOGO / A. SOCIAL</v>
          </cell>
          <cell r="I1541">
            <v>1</v>
          </cell>
          <cell r="J1541" t="str">
            <v>C.5.7.4.2</v>
          </cell>
          <cell r="K1541" t="str">
            <v>Med física y rehabilitación</v>
          </cell>
          <cell r="L1541">
            <v>1</v>
          </cell>
          <cell r="M1541">
            <v>46017</v>
          </cell>
          <cell r="N1541">
            <v>46020</v>
          </cell>
          <cell r="O1541">
            <v>2</v>
          </cell>
          <cell r="P1541">
            <v>46022</v>
          </cell>
          <cell r="Q1541">
            <v>1</v>
          </cell>
          <cell r="R1541" t="str">
            <v>NA</v>
          </cell>
          <cell r="S1541">
            <v>5</v>
          </cell>
        </row>
        <row r="1542">
          <cell r="B1542" t="str">
            <v>MNC</v>
          </cell>
          <cell r="C1542" t="str">
            <v>HSLB14127</v>
          </cell>
          <cell r="D1542">
            <v>203019</v>
          </cell>
          <cell r="E1542" t="str">
            <v>Pizarra Acrílica</v>
          </cell>
          <cell r="F1542" t="str">
            <v>NO</v>
          </cell>
          <cell r="G1542" t="str">
            <v>NO</v>
          </cell>
          <cell r="H1542" t="str">
            <v>BOX INDIFERENCIADO (FONOAUDIO Y TERAPIA OCU)(1)</v>
          </cell>
          <cell r="I1542">
            <v>1</v>
          </cell>
          <cell r="J1542" t="str">
            <v>C.5.7.5.1</v>
          </cell>
          <cell r="K1542" t="str">
            <v>Med física y rehabilitación</v>
          </cell>
          <cell r="L1542">
            <v>1</v>
          </cell>
          <cell r="M1542">
            <v>46017</v>
          </cell>
          <cell r="N1542">
            <v>46020</v>
          </cell>
          <cell r="O1542">
            <v>2</v>
          </cell>
          <cell r="P1542">
            <v>46022</v>
          </cell>
          <cell r="Q1542">
            <v>1</v>
          </cell>
          <cell r="R1542" t="str">
            <v>NA</v>
          </cell>
          <cell r="S1542">
            <v>5</v>
          </cell>
        </row>
        <row r="1543">
          <cell r="B1543" t="str">
            <v>MNC</v>
          </cell>
          <cell r="C1543" t="str">
            <v>HSLB14128</v>
          </cell>
          <cell r="D1543">
            <v>203019</v>
          </cell>
          <cell r="E1543" t="str">
            <v>Pizarra Acrílica</v>
          </cell>
          <cell r="F1543" t="str">
            <v>NO</v>
          </cell>
          <cell r="G1543" t="str">
            <v>NO</v>
          </cell>
          <cell r="H1543" t="str">
            <v>BOX FONOAUDIO PEDIATRICO</v>
          </cell>
          <cell r="I1543">
            <v>1</v>
          </cell>
          <cell r="J1543" t="str">
            <v>C.5.7.5.2.1</v>
          </cell>
          <cell r="K1543" t="str">
            <v>Med física y rehabilitación</v>
          </cell>
          <cell r="L1543">
            <v>1</v>
          </cell>
          <cell r="M1543">
            <v>46017</v>
          </cell>
          <cell r="N1543">
            <v>46020</v>
          </cell>
          <cell r="O1543">
            <v>2</v>
          </cell>
          <cell r="P1543">
            <v>46022</v>
          </cell>
          <cell r="Q1543">
            <v>1</v>
          </cell>
          <cell r="R1543" t="str">
            <v>NA</v>
          </cell>
          <cell r="S1543">
            <v>5</v>
          </cell>
        </row>
        <row r="1544">
          <cell r="B1544" t="str">
            <v>MNC</v>
          </cell>
          <cell r="C1544" t="str">
            <v>HSLB13644</v>
          </cell>
          <cell r="D1544">
            <v>203016</v>
          </cell>
          <cell r="E1544" t="str">
            <v>Mueble Tipo Biblioteca</v>
          </cell>
          <cell r="F1544" t="str">
            <v>NO</v>
          </cell>
          <cell r="G1544" t="str">
            <v>NO</v>
          </cell>
          <cell r="H1544" t="str">
            <v>MESÓN RECEPCIÓN DE REGISTRO DE INFORMES</v>
          </cell>
          <cell r="I1544">
            <v>1</v>
          </cell>
          <cell r="J1544" t="str">
            <v>C.5.9.5</v>
          </cell>
          <cell r="K1544" t="str">
            <v>Morgue</v>
          </cell>
          <cell r="L1544">
            <v>1</v>
          </cell>
          <cell r="M1544">
            <v>46049</v>
          </cell>
          <cell r="N1544">
            <v>46050</v>
          </cell>
          <cell r="O1544">
            <v>1</v>
          </cell>
          <cell r="P1544">
            <v>46051</v>
          </cell>
          <cell r="Q1544">
            <v>1</v>
          </cell>
          <cell r="R1544" t="str">
            <v>NA</v>
          </cell>
          <cell r="S1544">
            <v>5</v>
          </cell>
        </row>
        <row r="1545">
          <cell r="B1545" t="str">
            <v>MNC</v>
          </cell>
          <cell r="C1545" t="str">
            <v>HSLB13645</v>
          </cell>
          <cell r="D1545">
            <v>203016</v>
          </cell>
          <cell r="E1545" t="str">
            <v>Mueble Tipo Biblioteca</v>
          </cell>
          <cell r="F1545" t="str">
            <v>NO</v>
          </cell>
          <cell r="G1545" t="str">
            <v>NO</v>
          </cell>
          <cell r="H1545" t="str">
            <v>OFICINA JEFE SOME</v>
          </cell>
          <cell r="I1545">
            <v>1</v>
          </cell>
          <cell r="J1545" t="str">
            <v>D.1.1.1.1</v>
          </cell>
          <cell r="K1545" t="str">
            <v>Consultas medicas generales</v>
          </cell>
          <cell r="L1545">
            <v>1</v>
          </cell>
          <cell r="M1545">
            <v>46028</v>
          </cell>
          <cell r="N1545">
            <v>46029</v>
          </cell>
          <cell r="O1545">
            <v>2</v>
          </cell>
          <cell r="P1545">
            <v>46031</v>
          </cell>
          <cell r="Q1545">
            <v>1</v>
          </cell>
          <cell r="R1545" t="str">
            <v>NA</v>
          </cell>
          <cell r="S1545">
            <v>5</v>
          </cell>
        </row>
        <row r="1546">
          <cell r="B1546" t="str">
            <v>MNC</v>
          </cell>
          <cell r="C1546" t="str">
            <v>HSLB13646</v>
          </cell>
          <cell r="D1546">
            <v>203016</v>
          </cell>
          <cell r="E1546" t="str">
            <v>Mueble Tipo Biblioteca</v>
          </cell>
          <cell r="F1546" t="str">
            <v>NO</v>
          </cell>
          <cell r="G1546" t="str">
            <v>NO</v>
          </cell>
          <cell r="H1546" t="str">
            <v>SECRETARIA C/ARCH. Y FOTO</v>
          </cell>
          <cell r="I1546">
            <v>1</v>
          </cell>
          <cell r="J1546" t="str">
            <v>D.1.1.1.2</v>
          </cell>
          <cell r="K1546" t="str">
            <v>Consultas medicas generales</v>
          </cell>
          <cell r="L1546">
            <v>1</v>
          </cell>
          <cell r="M1546">
            <v>46028</v>
          </cell>
          <cell r="N1546">
            <v>46029</v>
          </cell>
          <cell r="O1546">
            <v>2</v>
          </cell>
          <cell r="P1546">
            <v>46031</v>
          </cell>
          <cell r="Q1546">
            <v>1</v>
          </cell>
          <cell r="R1546" t="str">
            <v>NA</v>
          </cell>
          <cell r="S1546">
            <v>5</v>
          </cell>
        </row>
        <row r="1547">
          <cell r="B1547" t="str">
            <v>MNC</v>
          </cell>
          <cell r="C1547" t="str">
            <v>HSLB13647</v>
          </cell>
          <cell r="D1547">
            <v>203016</v>
          </cell>
          <cell r="E1547" t="str">
            <v>Mueble Tipo Biblioteca</v>
          </cell>
          <cell r="F1547" t="str">
            <v>NO</v>
          </cell>
          <cell r="G1547" t="str">
            <v>NO</v>
          </cell>
          <cell r="H1547" t="str">
            <v>MODULOS DE TRABAJO (OPERADOR TELEFONICO)</v>
          </cell>
          <cell r="I1547">
            <v>2</v>
          </cell>
          <cell r="J1547" t="str">
            <v>D.1.1.1.3</v>
          </cell>
          <cell r="K1547" t="str">
            <v>Consultas medicas generales</v>
          </cell>
          <cell r="L1547">
            <v>1</v>
          </cell>
          <cell r="M1547">
            <v>46028</v>
          </cell>
          <cell r="N1547">
            <v>46029</v>
          </cell>
          <cell r="O1547">
            <v>2</v>
          </cell>
          <cell r="P1547">
            <v>46031</v>
          </cell>
          <cell r="Q1547">
            <v>1</v>
          </cell>
          <cell r="R1547" t="str">
            <v>NA</v>
          </cell>
          <cell r="S1547">
            <v>5</v>
          </cell>
        </row>
        <row r="1548">
          <cell r="B1548" t="str">
            <v>MNC</v>
          </cell>
          <cell r="C1548" t="str">
            <v>HSLB13660</v>
          </cell>
          <cell r="D1548">
            <v>203016</v>
          </cell>
          <cell r="E1548" t="str">
            <v>Mueble Tipo Biblioteca</v>
          </cell>
          <cell r="F1548" t="str">
            <v>NO</v>
          </cell>
          <cell r="G1548" t="str">
            <v>NO</v>
          </cell>
          <cell r="H1548" t="str">
            <v>COORDINADOR GENERAL RS</v>
          </cell>
          <cell r="I1548">
            <v>1</v>
          </cell>
          <cell r="J1548" t="str">
            <v>D.2.2.2.6</v>
          </cell>
          <cell r="K1548" t="str">
            <v>Consultas medicas generales</v>
          </cell>
          <cell r="L1548">
            <v>1</v>
          </cell>
          <cell r="M1548">
            <v>46028</v>
          </cell>
          <cell r="N1548">
            <v>46029</v>
          </cell>
          <cell r="O1548">
            <v>2</v>
          </cell>
          <cell r="P1548">
            <v>46031</v>
          </cell>
          <cell r="Q1548">
            <v>1</v>
          </cell>
          <cell r="R1548" t="str">
            <v>NA</v>
          </cell>
          <cell r="S1548">
            <v>5</v>
          </cell>
        </row>
        <row r="1549">
          <cell r="B1549" t="str">
            <v>MNC</v>
          </cell>
          <cell r="C1549" t="str">
            <v>HSLB13661</v>
          </cell>
          <cell r="D1549">
            <v>203016</v>
          </cell>
          <cell r="E1549" t="str">
            <v>Mueble Tipo Biblioteca</v>
          </cell>
          <cell r="F1549" t="str">
            <v>NO</v>
          </cell>
          <cell r="G1549" t="str">
            <v>NO</v>
          </cell>
          <cell r="H1549" t="str">
            <v>MÓDULOS DE TRABAJO (operadores telefónicos)</v>
          </cell>
          <cell r="I1549">
            <v>2</v>
          </cell>
          <cell r="J1549" t="str">
            <v>D.2.2.4.1</v>
          </cell>
          <cell r="K1549" t="str">
            <v>Consultas medicas generales</v>
          </cell>
          <cell r="L1549">
            <v>1</v>
          </cell>
          <cell r="M1549">
            <v>46028</v>
          </cell>
          <cell r="N1549">
            <v>46029</v>
          </cell>
          <cell r="O1549">
            <v>2</v>
          </cell>
          <cell r="P1549">
            <v>46031</v>
          </cell>
          <cell r="Q1549">
            <v>1</v>
          </cell>
          <cell r="R1549" t="str">
            <v>NA</v>
          </cell>
          <cell r="S1549">
            <v>5</v>
          </cell>
        </row>
        <row r="1550">
          <cell r="B1550" t="str">
            <v>MNC</v>
          </cell>
          <cell r="C1550" t="str">
            <v>HSLB13662</v>
          </cell>
          <cell r="D1550">
            <v>203016</v>
          </cell>
          <cell r="E1550" t="str">
            <v>Mueble Tipo Biblioteca</v>
          </cell>
          <cell r="F1550" t="str">
            <v>NO</v>
          </cell>
          <cell r="G1550" t="str">
            <v>NO</v>
          </cell>
          <cell r="H1550" t="str">
            <v>OFICINA COORDINADOR ROPERÍA</v>
          </cell>
          <cell r="I1550">
            <v>1</v>
          </cell>
          <cell r="J1550" t="str">
            <v>D.2.2.5.1</v>
          </cell>
          <cell r="K1550" t="str">
            <v>Lavandería</v>
          </cell>
          <cell r="L1550">
            <v>1</v>
          </cell>
          <cell r="M1550">
            <v>46037</v>
          </cell>
          <cell r="N1550">
            <v>46038</v>
          </cell>
          <cell r="O1550">
            <v>1</v>
          </cell>
          <cell r="P1550">
            <v>46041</v>
          </cell>
          <cell r="Q1550">
            <v>1</v>
          </cell>
          <cell r="R1550" t="str">
            <v>NA</v>
          </cell>
          <cell r="S1550">
            <v>5</v>
          </cell>
        </row>
        <row r="1551">
          <cell r="B1551" t="str">
            <v>MNC</v>
          </cell>
          <cell r="C1551" t="str">
            <v>HSLB13663</v>
          </cell>
          <cell r="D1551">
            <v>203016</v>
          </cell>
          <cell r="E1551" t="str">
            <v>Mueble Tipo Biblioteca</v>
          </cell>
          <cell r="F1551" t="str">
            <v>NO</v>
          </cell>
          <cell r="G1551" t="str">
            <v>NO</v>
          </cell>
          <cell r="H1551" t="str">
            <v>COORDINADOR SERVICIOS EXTERNALIZADOS</v>
          </cell>
          <cell r="I1551">
            <v>1</v>
          </cell>
          <cell r="J1551" t="str">
            <v>D.2.2.6.1</v>
          </cell>
          <cell r="K1551" t="str">
            <v>Consultas medicas generales</v>
          </cell>
          <cell r="L1551">
            <v>1</v>
          </cell>
          <cell r="M1551">
            <v>46028</v>
          </cell>
          <cell r="N1551">
            <v>46029</v>
          </cell>
          <cell r="O1551">
            <v>2</v>
          </cell>
          <cell r="P1551">
            <v>46031</v>
          </cell>
          <cell r="Q1551">
            <v>1</v>
          </cell>
          <cell r="R1551" t="str">
            <v>NA</v>
          </cell>
          <cell r="S1551">
            <v>5</v>
          </cell>
        </row>
        <row r="1552">
          <cell r="B1552" t="str">
            <v>MNC</v>
          </cell>
          <cell r="C1552" t="str">
            <v>HSLB13664</v>
          </cell>
          <cell r="D1552">
            <v>203016</v>
          </cell>
          <cell r="E1552" t="str">
            <v>Mueble Tipo Biblioteca</v>
          </cell>
          <cell r="F1552" t="str">
            <v>NO</v>
          </cell>
          <cell r="G1552" t="str">
            <v>NO</v>
          </cell>
          <cell r="H1552" t="str">
            <v>MONITOREO VIGILANCIA</v>
          </cell>
          <cell r="I1552">
            <v>2</v>
          </cell>
          <cell r="J1552" t="str">
            <v>D.2.2.6.13</v>
          </cell>
          <cell r="K1552" t="str">
            <v>Consultas medicas generales</v>
          </cell>
          <cell r="L1552">
            <v>1</v>
          </cell>
          <cell r="M1552">
            <v>46028</v>
          </cell>
          <cell r="N1552">
            <v>46029</v>
          </cell>
          <cell r="O1552">
            <v>2</v>
          </cell>
          <cell r="P1552">
            <v>46031</v>
          </cell>
          <cell r="Q1552">
            <v>1</v>
          </cell>
          <cell r="R1552" t="str">
            <v>NA</v>
          </cell>
          <cell r="S1552">
            <v>5</v>
          </cell>
        </row>
        <row r="1553">
          <cell r="B1553" t="str">
            <v>MNC</v>
          </cell>
          <cell r="C1553" t="str">
            <v>HSLB13668</v>
          </cell>
          <cell r="D1553">
            <v>203016</v>
          </cell>
          <cell r="E1553" t="str">
            <v>Mueble Tipo Biblioteca</v>
          </cell>
          <cell r="F1553" t="str">
            <v>NO</v>
          </cell>
          <cell r="G1553" t="str">
            <v>NO</v>
          </cell>
          <cell r="H1553" t="str">
            <v>COORDINADOR EQUIPOS INDUSTRIALES</v>
          </cell>
          <cell r="I1553">
            <v>1</v>
          </cell>
          <cell r="J1553" t="str">
            <v>D.2.4.1.1</v>
          </cell>
          <cell r="K1553" t="str">
            <v>Mantenimiento</v>
          </cell>
          <cell r="L1553">
            <v>1</v>
          </cell>
          <cell r="M1553">
            <v>46037</v>
          </cell>
          <cell r="N1553">
            <v>46038</v>
          </cell>
          <cell r="O1553">
            <v>1</v>
          </cell>
          <cell r="P1553">
            <v>46041</v>
          </cell>
          <cell r="Q1553">
            <v>1</v>
          </cell>
          <cell r="R1553" t="str">
            <v>NA</v>
          </cell>
          <cell r="S1553">
            <v>5</v>
          </cell>
        </row>
        <row r="1554">
          <cell r="B1554" t="str">
            <v>MNC</v>
          </cell>
          <cell r="C1554" t="str">
            <v>HSLB13669</v>
          </cell>
          <cell r="D1554">
            <v>203016</v>
          </cell>
          <cell r="E1554" t="str">
            <v>Mueble Tipo Biblioteca</v>
          </cell>
          <cell r="F1554" t="str">
            <v>NO</v>
          </cell>
          <cell r="G1554" t="str">
            <v>NO</v>
          </cell>
          <cell r="H1554" t="str">
            <v>SECRETARÍA EQUIPOS INDUSTRIALES</v>
          </cell>
          <cell r="I1554">
            <v>1</v>
          </cell>
          <cell r="J1554" t="str">
            <v>D.2.4.1.2</v>
          </cell>
          <cell r="K1554" t="str">
            <v>Mantenimiento</v>
          </cell>
          <cell r="L1554">
            <v>1</v>
          </cell>
          <cell r="M1554">
            <v>46037</v>
          </cell>
          <cell r="N1554">
            <v>46038</v>
          </cell>
          <cell r="O1554">
            <v>1</v>
          </cell>
          <cell r="P1554">
            <v>46041</v>
          </cell>
          <cell r="Q1554">
            <v>1</v>
          </cell>
          <cell r="R1554" t="str">
            <v>NA</v>
          </cell>
          <cell r="S1554">
            <v>5</v>
          </cell>
        </row>
        <row r="1555">
          <cell r="B1555" t="str">
            <v>MNC</v>
          </cell>
          <cell r="C1555" t="str">
            <v>HSLB13670</v>
          </cell>
          <cell r="D1555">
            <v>203016</v>
          </cell>
          <cell r="E1555" t="str">
            <v>Mueble Tipo Biblioteca</v>
          </cell>
          <cell r="F1555" t="str">
            <v>NO</v>
          </cell>
          <cell r="G1555" t="str">
            <v>NO</v>
          </cell>
          <cell r="H1555" t="str">
            <v>MODULO DE TRABAJO</v>
          </cell>
          <cell r="I1555">
            <v>2</v>
          </cell>
          <cell r="J1555" t="str">
            <v>D.2.4.3.1</v>
          </cell>
          <cell r="K1555" t="str">
            <v>Mantenimiento</v>
          </cell>
          <cell r="L1555">
            <v>1</v>
          </cell>
          <cell r="M1555">
            <v>46037</v>
          </cell>
          <cell r="N1555">
            <v>46038</v>
          </cell>
          <cell r="O1555">
            <v>1</v>
          </cell>
          <cell r="P1555">
            <v>46041</v>
          </cell>
          <cell r="Q1555">
            <v>1</v>
          </cell>
          <cell r="R1555" t="str">
            <v>NA</v>
          </cell>
          <cell r="S1555">
            <v>5</v>
          </cell>
        </row>
        <row r="1556">
          <cell r="B1556" t="str">
            <v>MNC</v>
          </cell>
          <cell r="C1556" t="str">
            <v>HSLB13688</v>
          </cell>
          <cell r="D1556">
            <v>203016</v>
          </cell>
          <cell r="E1556" t="str">
            <v>Mueble Tipo Biblioteca</v>
          </cell>
          <cell r="F1556" t="str">
            <v>NO</v>
          </cell>
          <cell r="G1556" t="str">
            <v>NO</v>
          </cell>
          <cell r="H1556" t="str">
            <v>COORDINADOR BODEGA</v>
          </cell>
          <cell r="I1556">
            <v>1</v>
          </cell>
          <cell r="J1556" t="str">
            <v>D.3.3.3.1</v>
          </cell>
          <cell r="K1556" t="str">
            <v>Abastecimiento</v>
          </cell>
          <cell r="L1556">
            <v>1</v>
          </cell>
          <cell r="M1556">
            <v>46035</v>
          </cell>
          <cell r="N1556">
            <v>46036</v>
          </cell>
          <cell r="O1556">
            <v>2</v>
          </cell>
          <cell r="P1556">
            <v>46038</v>
          </cell>
          <cell r="Q1556">
            <v>1</v>
          </cell>
          <cell r="R1556" t="str">
            <v>NA</v>
          </cell>
          <cell r="S1556">
            <v>5</v>
          </cell>
        </row>
        <row r="1557">
          <cell r="B1557" t="str">
            <v>MNC</v>
          </cell>
          <cell r="C1557" t="str">
            <v>HSLB13689</v>
          </cell>
          <cell r="D1557">
            <v>203016</v>
          </cell>
          <cell r="E1557" t="str">
            <v>Mueble Tipo Biblioteca</v>
          </cell>
          <cell r="F1557" t="str">
            <v>NO</v>
          </cell>
          <cell r="G1557" t="str">
            <v>NO</v>
          </cell>
          <cell r="H1557" t="str">
            <v>ÁREA REGISTRO BODEGA GENERAL</v>
          </cell>
          <cell r="I1557">
            <v>1</v>
          </cell>
          <cell r="J1557" t="str">
            <v>D.3.3.3.11</v>
          </cell>
          <cell r="K1557" t="str">
            <v>Abastecimiento</v>
          </cell>
          <cell r="L1557">
            <v>1</v>
          </cell>
          <cell r="M1557">
            <v>46035</v>
          </cell>
          <cell r="N1557">
            <v>46036</v>
          </cell>
          <cell r="O1557">
            <v>2</v>
          </cell>
          <cell r="P1557">
            <v>46038</v>
          </cell>
          <cell r="Q1557">
            <v>1</v>
          </cell>
          <cell r="R1557" t="str">
            <v>NA</v>
          </cell>
          <cell r="S1557">
            <v>5</v>
          </cell>
        </row>
        <row r="1558">
          <cell r="B1558" t="str">
            <v>MNC</v>
          </cell>
          <cell r="C1558" t="str">
            <v>HSLB15442</v>
          </cell>
          <cell r="D1558">
            <v>203016</v>
          </cell>
          <cell r="E1558" t="str">
            <v>Mueble Tipo Biblioteca</v>
          </cell>
          <cell r="F1558" t="str">
            <v>NO</v>
          </cell>
          <cell r="G1558" t="str">
            <v>NO</v>
          </cell>
          <cell r="H1558" t="str">
            <v>ÁREA REGISTRO BODEGA GENERAL</v>
          </cell>
          <cell r="I1558">
            <v>1</v>
          </cell>
          <cell r="J1558" t="str">
            <v>D.3.3.3.2</v>
          </cell>
          <cell r="K1558" t="str">
            <v>Abastecimiento</v>
          </cell>
          <cell r="L1558">
            <v>1</v>
          </cell>
          <cell r="M1558">
            <v>46035</v>
          </cell>
          <cell r="N1558">
            <v>46036</v>
          </cell>
          <cell r="O1558">
            <v>2</v>
          </cell>
          <cell r="P1558">
            <v>46038</v>
          </cell>
          <cell r="Q1558">
            <v>1</v>
          </cell>
          <cell r="R1558" t="str">
            <v>NA</v>
          </cell>
          <cell r="S1558">
            <v>5</v>
          </cell>
        </row>
        <row r="1559">
          <cell r="B1559" t="str">
            <v>MNC</v>
          </cell>
          <cell r="C1559" t="str">
            <v>HSLB13690</v>
          </cell>
          <cell r="D1559">
            <v>203016</v>
          </cell>
          <cell r="E1559" t="str">
            <v>Mueble Tipo Biblioteca</v>
          </cell>
          <cell r="F1559" t="str">
            <v>NO</v>
          </cell>
          <cell r="G1559" t="str">
            <v>NO</v>
          </cell>
          <cell r="H1559" t="str">
            <v>ÁREA REGISTRO BODEGA FARMACIA E INSUMOS</v>
          </cell>
          <cell r="I1559">
            <v>1</v>
          </cell>
          <cell r="J1559" t="str">
            <v>D.3.3.3.22</v>
          </cell>
          <cell r="K1559" t="str">
            <v>Abastecimiento</v>
          </cell>
          <cell r="L1559">
            <v>1</v>
          </cell>
          <cell r="M1559">
            <v>46035</v>
          </cell>
          <cell r="N1559">
            <v>46036</v>
          </cell>
          <cell r="O1559">
            <v>2</v>
          </cell>
          <cell r="P1559">
            <v>46038</v>
          </cell>
          <cell r="Q1559">
            <v>1</v>
          </cell>
          <cell r="R1559" t="str">
            <v>NA</v>
          </cell>
          <cell r="S1559">
            <v>5</v>
          </cell>
        </row>
        <row r="1560">
          <cell r="B1560" t="str">
            <v>MNC</v>
          </cell>
          <cell r="C1560" t="str">
            <v>HSLB13492</v>
          </cell>
          <cell r="D1560">
            <v>203004</v>
          </cell>
          <cell r="E1560" t="str">
            <v>Carro de transporte alto</v>
          </cell>
          <cell r="F1560" t="str">
            <v>NO</v>
          </cell>
          <cell r="G1560" t="str">
            <v>SI</v>
          </cell>
          <cell r="H1560" t="str">
            <v>ÁREA DESPACHO (carros e insumos)</v>
          </cell>
          <cell r="I1560">
            <v>1</v>
          </cell>
          <cell r="J1560" t="str">
            <v>D.3.3.3.4</v>
          </cell>
          <cell r="K1560" t="str">
            <v>Abastecimiento</v>
          </cell>
          <cell r="L1560">
            <v>1</v>
          </cell>
          <cell r="M1560">
            <v>46003</v>
          </cell>
          <cell r="N1560">
            <v>46006</v>
          </cell>
          <cell r="O1560">
            <v>1</v>
          </cell>
          <cell r="P1560">
            <v>46007</v>
          </cell>
          <cell r="Q1560">
            <v>1</v>
          </cell>
          <cell r="R1560" t="str">
            <v>NA</v>
          </cell>
          <cell r="S1560">
            <v>5</v>
          </cell>
        </row>
        <row r="1561">
          <cell r="B1561" t="str">
            <v>MNC</v>
          </cell>
          <cell r="C1561" t="str">
            <v>HSLB13493</v>
          </cell>
          <cell r="D1561">
            <v>203005</v>
          </cell>
          <cell r="E1561" t="str">
            <v>Carro de Transporte cajas plásticas</v>
          </cell>
          <cell r="F1561" t="str">
            <v>NO</v>
          </cell>
          <cell r="G1561" t="str">
            <v>SI</v>
          </cell>
          <cell r="H1561" t="str">
            <v>ÁREA DESPACHO (carros e insumos)</v>
          </cell>
          <cell r="I1561">
            <v>2</v>
          </cell>
          <cell r="J1561" t="str">
            <v>D.3.3.3.4</v>
          </cell>
          <cell r="K1561" t="str">
            <v>Abastecimiento</v>
          </cell>
          <cell r="L1561">
            <v>1</v>
          </cell>
          <cell r="M1561">
            <v>46003</v>
          </cell>
          <cell r="N1561">
            <v>46006</v>
          </cell>
          <cell r="O1561">
            <v>1</v>
          </cell>
          <cell r="P1561">
            <v>46007</v>
          </cell>
          <cell r="Q1561">
            <v>1</v>
          </cell>
          <cell r="R1561" t="str">
            <v>NA</v>
          </cell>
          <cell r="S1561">
            <v>5</v>
          </cell>
        </row>
        <row r="1562">
          <cell r="B1562" t="str">
            <v>MNC</v>
          </cell>
          <cell r="C1562" t="str">
            <v>HSLB13494</v>
          </cell>
          <cell r="D1562">
            <v>203006</v>
          </cell>
          <cell r="E1562" t="str">
            <v>Carro de transporte pallet</v>
          </cell>
          <cell r="F1562" t="str">
            <v>NO</v>
          </cell>
          <cell r="G1562" t="str">
            <v>SI</v>
          </cell>
          <cell r="H1562" t="str">
            <v>ÁREA DESPACHO (carros e insumos)</v>
          </cell>
          <cell r="I1562">
            <v>1</v>
          </cell>
          <cell r="J1562" t="str">
            <v>D.3.3.3.4</v>
          </cell>
          <cell r="K1562" t="str">
            <v>Abastecimiento</v>
          </cell>
          <cell r="L1562">
            <v>1</v>
          </cell>
          <cell r="M1562">
            <v>46003</v>
          </cell>
          <cell r="N1562">
            <v>46006</v>
          </cell>
          <cell r="O1562">
            <v>1</v>
          </cell>
          <cell r="P1562">
            <v>46007</v>
          </cell>
          <cell r="Q1562">
            <v>1</v>
          </cell>
          <cell r="R1562" t="str">
            <v>NA</v>
          </cell>
          <cell r="S1562">
            <v>5</v>
          </cell>
        </row>
        <row r="1563">
          <cell r="B1563" t="str">
            <v>MNC</v>
          </cell>
          <cell r="C1563" t="str">
            <v>HSLB13495</v>
          </cell>
          <cell r="D1563">
            <v>203007</v>
          </cell>
          <cell r="E1563" t="str">
            <v>Carro dual dos ruedas</v>
          </cell>
          <cell r="F1563" t="str">
            <v>NO</v>
          </cell>
          <cell r="G1563" t="str">
            <v>SI</v>
          </cell>
          <cell r="H1563" t="str">
            <v>ÁREA DESPACHO (carros e insumos)</v>
          </cell>
          <cell r="I1563">
            <v>1</v>
          </cell>
          <cell r="J1563" t="str">
            <v>D.3.3.3.4</v>
          </cell>
          <cell r="K1563" t="str">
            <v>Abastecimiento</v>
          </cell>
          <cell r="L1563">
            <v>1</v>
          </cell>
          <cell r="M1563">
            <v>46003</v>
          </cell>
          <cell r="N1563">
            <v>46006</v>
          </cell>
          <cell r="O1563">
            <v>1</v>
          </cell>
          <cell r="P1563">
            <v>46007</v>
          </cell>
          <cell r="Q1563">
            <v>1</v>
          </cell>
          <cell r="R1563" t="str">
            <v>NA</v>
          </cell>
          <cell r="S1563">
            <v>5</v>
          </cell>
        </row>
        <row r="1564">
          <cell r="B1564" t="str">
            <v>MNC</v>
          </cell>
          <cell r="C1564" t="str">
            <v>HSLB13496</v>
          </cell>
          <cell r="D1564">
            <v>203008</v>
          </cell>
          <cell r="E1564" t="str">
            <v>Carro metálico</v>
          </cell>
          <cell r="F1564" t="str">
            <v>NO</v>
          </cell>
          <cell r="G1564" t="str">
            <v>SI</v>
          </cell>
          <cell r="H1564" t="str">
            <v>ÁREA DESPACHO (carros e insumos)</v>
          </cell>
          <cell r="I1564">
            <v>2</v>
          </cell>
          <cell r="J1564" t="str">
            <v>D.3.3.3.4</v>
          </cell>
          <cell r="K1564" t="str">
            <v>Abastecimiento</v>
          </cell>
          <cell r="L1564">
            <v>1</v>
          </cell>
          <cell r="M1564">
            <v>46003</v>
          </cell>
          <cell r="N1564">
            <v>46006</v>
          </cell>
          <cell r="O1564">
            <v>1</v>
          </cell>
          <cell r="P1564">
            <v>46007</v>
          </cell>
          <cell r="Q1564">
            <v>1</v>
          </cell>
          <cell r="R1564" t="str">
            <v>NA</v>
          </cell>
          <cell r="S1564">
            <v>5</v>
          </cell>
        </row>
        <row r="1565">
          <cell r="B1565" t="str">
            <v>MNC</v>
          </cell>
          <cell r="C1565" t="str">
            <v>HSLB13497</v>
          </cell>
          <cell r="D1565">
            <v>203009</v>
          </cell>
          <cell r="E1565" t="str">
            <v>Carro plataforma de carga</v>
          </cell>
          <cell r="F1565" t="str">
            <v>NO</v>
          </cell>
          <cell r="G1565" t="str">
            <v>SI</v>
          </cell>
          <cell r="H1565" t="str">
            <v>ÁREA DESPACHO (carros e insumos)</v>
          </cell>
          <cell r="I1565">
            <v>1</v>
          </cell>
          <cell r="J1565" t="str">
            <v>D.3.3.3.4</v>
          </cell>
          <cell r="K1565" t="str">
            <v>Abastecimiento</v>
          </cell>
          <cell r="L1565">
            <v>1</v>
          </cell>
          <cell r="M1565">
            <v>46003</v>
          </cell>
          <cell r="N1565">
            <v>46006</v>
          </cell>
          <cell r="O1565">
            <v>1</v>
          </cell>
          <cell r="P1565">
            <v>46007</v>
          </cell>
          <cell r="Q1565">
            <v>1</v>
          </cell>
          <cell r="R1565" t="str">
            <v>NA</v>
          </cell>
          <cell r="S1565">
            <v>5</v>
          </cell>
        </row>
        <row r="1566">
          <cell r="B1566" t="str">
            <v>MNC</v>
          </cell>
          <cell r="C1566" t="str">
            <v>HSLB15457</v>
          </cell>
          <cell r="D1566">
            <v>203016</v>
          </cell>
          <cell r="E1566" t="str">
            <v>Mueble Tipo Biblioteca</v>
          </cell>
          <cell r="F1566" t="str">
            <v>NO</v>
          </cell>
          <cell r="G1566" t="str">
            <v>NO</v>
          </cell>
          <cell r="H1566" t="str">
            <v>OFICINA MULTIUSO</v>
          </cell>
          <cell r="I1566">
            <v>1</v>
          </cell>
          <cell r="J1566" t="str">
            <v>H.1.3.1</v>
          </cell>
          <cell r="K1566" t="str">
            <v>Urgencia</v>
          </cell>
          <cell r="L1566">
            <v>1</v>
          </cell>
          <cell r="M1566">
            <v>46006</v>
          </cell>
          <cell r="N1566">
            <v>46007</v>
          </cell>
          <cell r="O1566">
            <v>2</v>
          </cell>
          <cell r="P1566">
            <v>46009</v>
          </cell>
          <cell r="Q1566">
            <v>1</v>
          </cell>
          <cell r="R1566" t="str">
            <v>NA</v>
          </cell>
          <cell r="S1566">
            <v>5</v>
          </cell>
        </row>
        <row r="1567">
          <cell r="B1567" t="str">
            <v>MNC</v>
          </cell>
          <cell r="C1567" t="str">
            <v>HSLB14138</v>
          </cell>
          <cell r="D1567">
            <v>203021</v>
          </cell>
          <cell r="E1567" t="str">
            <v>Velador</v>
          </cell>
          <cell r="F1567" t="str">
            <v>NO</v>
          </cell>
          <cell r="G1567" t="str">
            <v>NO</v>
          </cell>
          <cell r="H1567" t="str">
            <v>RESIDENCIA DOBLE</v>
          </cell>
          <cell r="I1567">
            <v>2</v>
          </cell>
          <cell r="J1567" t="str">
            <v>H.1.4.1</v>
          </cell>
          <cell r="K1567" t="str">
            <v>Urgencia</v>
          </cell>
          <cell r="L1567">
            <v>1</v>
          </cell>
          <cell r="M1567">
            <v>46006</v>
          </cell>
          <cell r="N1567">
            <v>46007</v>
          </cell>
          <cell r="O1567">
            <v>1</v>
          </cell>
          <cell r="P1567">
            <v>46008</v>
          </cell>
          <cell r="Q1567">
            <v>1</v>
          </cell>
          <cell r="R1567" t="str">
            <v>NA</v>
          </cell>
          <cell r="S1567">
            <v>5</v>
          </cell>
        </row>
        <row r="1568">
          <cell r="B1568" t="str">
            <v>MNC</v>
          </cell>
          <cell r="C1568" t="str">
            <v>HSLB14139</v>
          </cell>
          <cell r="D1568">
            <v>203021</v>
          </cell>
          <cell r="E1568" t="str">
            <v>Velador</v>
          </cell>
          <cell r="F1568" t="str">
            <v>NO</v>
          </cell>
          <cell r="G1568" t="str">
            <v>NO</v>
          </cell>
          <cell r="H1568" t="str">
            <v>RESIDENCIA DOBLE</v>
          </cell>
          <cell r="I1568">
            <v>2</v>
          </cell>
          <cell r="J1568" t="str">
            <v>H.1.4.2</v>
          </cell>
          <cell r="K1568" t="str">
            <v>Urgencia</v>
          </cell>
          <cell r="L1568">
            <v>1</v>
          </cell>
          <cell r="M1568">
            <v>46006</v>
          </cell>
          <cell r="N1568">
            <v>46007</v>
          </cell>
          <cell r="O1568">
            <v>1</v>
          </cell>
          <cell r="P1568">
            <v>46008</v>
          </cell>
          <cell r="Q1568">
            <v>1</v>
          </cell>
          <cell r="R1568" t="str">
            <v>NA</v>
          </cell>
          <cell r="S1568">
            <v>5</v>
          </cell>
        </row>
        <row r="1569">
          <cell r="B1569" t="str">
            <v>MNC</v>
          </cell>
          <cell r="C1569" t="str">
            <v>HSLB14140</v>
          </cell>
          <cell r="D1569">
            <v>203021</v>
          </cell>
          <cell r="E1569" t="str">
            <v>Velador</v>
          </cell>
          <cell r="F1569" t="str">
            <v>NO</v>
          </cell>
          <cell r="G1569" t="str">
            <v>NO</v>
          </cell>
          <cell r="H1569" t="str">
            <v>RESIDENCIA DOBLE</v>
          </cell>
          <cell r="I1569">
            <v>2</v>
          </cell>
          <cell r="J1569" t="str">
            <v>H.1.4.3</v>
          </cell>
          <cell r="K1569" t="str">
            <v>Urgencia</v>
          </cell>
          <cell r="L1569">
            <v>1</v>
          </cell>
          <cell r="M1569">
            <v>46006</v>
          </cell>
          <cell r="N1569">
            <v>46007</v>
          </cell>
          <cell r="O1569">
            <v>1</v>
          </cell>
          <cell r="P1569">
            <v>46008</v>
          </cell>
          <cell r="Q1569">
            <v>1</v>
          </cell>
          <cell r="R1569" t="str">
            <v>NA</v>
          </cell>
          <cell r="S1569">
            <v>5</v>
          </cell>
        </row>
        <row r="1570">
          <cell r="B1570" t="str">
            <v>MNC</v>
          </cell>
          <cell r="C1570" t="str">
            <v>HSLB14141</v>
          </cell>
          <cell r="D1570">
            <v>203021</v>
          </cell>
          <cell r="E1570" t="str">
            <v>Velador</v>
          </cell>
          <cell r="F1570" t="str">
            <v>NO</v>
          </cell>
          <cell r="G1570" t="str">
            <v>NO</v>
          </cell>
          <cell r="H1570" t="str">
            <v>RESIDENCIA DOBLE</v>
          </cell>
          <cell r="I1570">
            <v>2</v>
          </cell>
          <cell r="J1570" t="str">
            <v>H.1.4.4</v>
          </cell>
          <cell r="K1570" t="str">
            <v>Urgencia</v>
          </cell>
          <cell r="L1570">
            <v>1</v>
          </cell>
          <cell r="M1570">
            <v>46006</v>
          </cell>
          <cell r="N1570">
            <v>46007</v>
          </cell>
          <cell r="O1570">
            <v>1</v>
          </cell>
          <cell r="P1570">
            <v>46008</v>
          </cell>
          <cell r="Q1570">
            <v>1</v>
          </cell>
          <cell r="R1570" t="str">
            <v>NA</v>
          </cell>
          <cell r="S1570">
            <v>5</v>
          </cell>
        </row>
        <row r="1571">
          <cell r="B1571" t="str">
            <v>MNC</v>
          </cell>
          <cell r="C1571" t="str">
            <v>HSLB14142</v>
          </cell>
          <cell r="D1571">
            <v>203021</v>
          </cell>
          <cell r="E1571" t="str">
            <v>Velador</v>
          </cell>
          <cell r="F1571" t="str">
            <v>NO</v>
          </cell>
          <cell r="G1571" t="str">
            <v>NO</v>
          </cell>
          <cell r="H1571" t="str">
            <v>RESIDENCIA</v>
          </cell>
          <cell r="I1571">
            <v>1</v>
          </cell>
          <cell r="J1571" t="str">
            <v>H.1.4.5</v>
          </cell>
          <cell r="K1571" t="str">
            <v>Urgencia</v>
          </cell>
          <cell r="L1571">
            <v>1</v>
          </cell>
          <cell r="M1571">
            <v>46006</v>
          </cell>
          <cell r="N1571">
            <v>46007</v>
          </cell>
          <cell r="O1571">
            <v>1</v>
          </cell>
          <cell r="P1571">
            <v>46008</v>
          </cell>
          <cell r="Q1571">
            <v>1</v>
          </cell>
          <cell r="R1571" t="str">
            <v>NA</v>
          </cell>
          <cell r="S1571">
            <v>5</v>
          </cell>
        </row>
        <row r="1572">
          <cell r="B1572" t="str">
            <v>MNC</v>
          </cell>
          <cell r="C1572" t="str">
            <v>HSLB14143</v>
          </cell>
          <cell r="D1572">
            <v>203021</v>
          </cell>
          <cell r="E1572" t="str">
            <v>Velador</v>
          </cell>
          <cell r="F1572" t="str">
            <v>NO</v>
          </cell>
          <cell r="G1572" t="str">
            <v>NO</v>
          </cell>
          <cell r="H1572" t="str">
            <v>RESIDENCIA</v>
          </cell>
          <cell r="I1572">
            <v>1</v>
          </cell>
          <cell r="J1572" t="str">
            <v>H.1.4.6</v>
          </cell>
          <cell r="K1572" t="str">
            <v>Urgencia</v>
          </cell>
          <cell r="L1572">
            <v>1</v>
          </cell>
          <cell r="M1572">
            <v>46006</v>
          </cell>
          <cell r="N1572">
            <v>46007</v>
          </cell>
          <cell r="O1572">
            <v>1</v>
          </cell>
          <cell r="P1572">
            <v>46008</v>
          </cell>
          <cell r="Q1572">
            <v>1</v>
          </cell>
          <cell r="R1572" t="str">
            <v>NA</v>
          </cell>
          <cell r="S1572">
            <v>5</v>
          </cell>
        </row>
        <row r="1573">
          <cell r="B1573" t="str">
            <v>MNC</v>
          </cell>
          <cell r="C1573" t="str">
            <v>HSLB13498</v>
          </cell>
          <cell r="D1573">
            <v>203010</v>
          </cell>
          <cell r="E1573" t="str">
            <v>Colchoneta Reposo</v>
          </cell>
          <cell r="F1573" t="str">
            <v>NO</v>
          </cell>
          <cell r="G1573" t="str">
            <v>NO</v>
          </cell>
          <cell r="H1573" t="str">
            <v>NIVEL MEDIO MENOR (120 x 60 cm)</v>
          </cell>
          <cell r="I1573">
            <v>14</v>
          </cell>
          <cell r="J1573" t="str">
            <v>H.2.11.1</v>
          </cell>
          <cell r="K1573" t="str">
            <v>Sala Cuna</v>
          </cell>
          <cell r="L1573">
            <v>1</v>
          </cell>
          <cell r="M1573">
            <v>46041</v>
          </cell>
          <cell r="N1573">
            <v>46042</v>
          </cell>
          <cell r="O1573">
            <v>2</v>
          </cell>
          <cell r="P1573">
            <v>46044</v>
          </cell>
          <cell r="Q1573">
            <v>1</v>
          </cell>
          <cell r="R1573" t="str">
            <v>NA</v>
          </cell>
          <cell r="S1573">
            <v>5</v>
          </cell>
        </row>
        <row r="1574">
          <cell r="B1574" t="str">
            <v>MNC</v>
          </cell>
          <cell r="C1574" t="str">
            <v>HSLB13507</v>
          </cell>
          <cell r="D1574">
            <v>203014</v>
          </cell>
          <cell r="E1574" t="str">
            <v>Librero</v>
          </cell>
          <cell r="F1574" t="str">
            <v>NO</v>
          </cell>
          <cell r="G1574" t="str">
            <v>NO</v>
          </cell>
          <cell r="H1574" t="str">
            <v>NIVEL MEDIO MENOR</v>
          </cell>
          <cell r="I1574">
            <v>1</v>
          </cell>
          <cell r="J1574" t="str">
            <v>H.2.11.1</v>
          </cell>
          <cell r="K1574" t="str">
            <v>Sala Cuna</v>
          </cell>
          <cell r="L1574">
            <v>1</v>
          </cell>
          <cell r="M1574">
            <v>46041</v>
          </cell>
          <cell r="N1574">
            <v>46042</v>
          </cell>
          <cell r="O1574">
            <v>2</v>
          </cell>
          <cell r="P1574">
            <v>46044</v>
          </cell>
          <cell r="Q1574">
            <v>1</v>
          </cell>
          <cell r="R1574" t="str">
            <v>NA</v>
          </cell>
          <cell r="S1574">
            <v>5</v>
          </cell>
        </row>
        <row r="1575">
          <cell r="B1575" t="str">
            <v>MNC</v>
          </cell>
          <cell r="C1575" t="str">
            <v>HSLB14121</v>
          </cell>
          <cell r="D1575">
            <v>203018</v>
          </cell>
          <cell r="E1575" t="str">
            <v>Perchero</v>
          </cell>
          <cell r="F1575" t="str">
            <v>NO</v>
          </cell>
          <cell r="G1575" t="str">
            <v>NO</v>
          </cell>
          <cell r="H1575" t="str">
            <v>NIVEL MEDIO MENOR</v>
          </cell>
          <cell r="I1575">
            <v>4</v>
          </cell>
          <cell r="J1575" t="str">
            <v>H.2.11.1</v>
          </cell>
          <cell r="K1575" t="str">
            <v>Sala Cuna</v>
          </cell>
          <cell r="L1575">
            <v>1</v>
          </cell>
          <cell r="M1575">
            <v>46041</v>
          </cell>
          <cell r="N1575">
            <v>46042</v>
          </cell>
          <cell r="O1575">
            <v>2</v>
          </cell>
          <cell r="P1575">
            <v>46044</v>
          </cell>
          <cell r="Q1575">
            <v>1</v>
          </cell>
          <cell r="R1575" t="str">
            <v>NA</v>
          </cell>
          <cell r="S1575">
            <v>5</v>
          </cell>
        </row>
        <row r="1576">
          <cell r="B1576" t="str">
            <v>MNC</v>
          </cell>
          <cell r="C1576" t="str">
            <v>HSLB15466</v>
          </cell>
          <cell r="D1576">
            <v>203022</v>
          </cell>
          <cell r="E1576" t="str">
            <v>Contenedor</v>
          </cell>
          <cell r="F1576" t="str">
            <v>NO</v>
          </cell>
          <cell r="G1576" t="str">
            <v>NO</v>
          </cell>
          <cell r="H1576" t="str">
            <v>NIVEL MEDIO MENOR</v>
          </cell>
          <cell r="I1576">
            <v>1</v>
          </cell>
          <cell r="J1576" t="str">
            <v>H.2.11.1</v>
          </cell>
          <cell r="K1576" t="str">
            <v>Sala Cuna</v>
          </cell>
          <cell r="L1576">
            <v>1</v>
          </cell>
          <cell r="M1576">
            <v>46041</v>
          </cell>
          <cell r="N1576">
            <v>46042</v>
          </cell>
          <cell r="O1576">
            <v>2</v>
          </cell>
          <cell r="P1576">
            <v>46044</v>
          </cell>
          <cell r="Q1576">
            <v>1</v>
          </cell>
          <cell r="R1576" t="str">
            <v>NA</v>
          </cell>
          <cell r="S1576">
            <v>5</v>
          </cell>
        </row>
        <row r="1577">
          <cell r="B1577" t="str">
            <v>MNC</v>
          </cell>
          <cell r="C1577" t="str">
            <v>HSLB13499</v>
          </cell>
          <cell r="D1577">
            <v>203010</v>
          </cell>
          <cell r="E1577" t="str">
            <v>Colchoneta Reposo</v>
          </cell>
          <cell r="F1577" t="str">
            <v>NO</v>
          </cell>
          <cell r="G1577" t="str">
            <v>SI</v>
          </cell>
          <cell r="H1577" t="str">
            <v>NIVEL MEDIO MAYOR (120 x 60 cm)</v>
          </cell>
          <cell r="I1577">
            <v>14</v>
          </cell>
          <cell r="J1577" t="str">
            <v>H.2.11.2</v>
          </cell>
          <cell r="K1577" t="str">
            <v>Sala Cuna</v>
          </cell>
          <cell r="L1577">
            <v>1</v>
          </cell>
          <cell r="M1577">
            <v>46003</v>
          </cell>
          <cell r="N1577">
            <v>46006</v>
          </cell>
          <cell r="O1577">
            <v>2</v>
          </cell>
          <cell r="P1577">
            <v>46008</v>
          </cell>
          <cell r="Q1577">
            <v>1</v>
          </cell>
          <cell r="R1577" t="str">
            <v>NA</v>
          </cell>
          <cell r="S1577">
            <v>5</v>
          </cell>
        </row>
        <row r="1578">
          <cell r="B1578" t="str">
            <v>MNC</v>
          </cell>
          <cell r="C1578" t="str">
            <v>HSLB13508</v>
          </cell>
          <cell r="D1578">
            <v>203014</v>
          </cell>
          <cell r="E1578" t="str">
            <v>Librero</v>
          </cell>
          <cell r="F1578" t="str">
            <v>NO</v>
          </cell>
          <cell r="G1578" t="str">
            <v>SI</v>
          </cell>
          <cell r="H1578" t="str">
            <v>NIVEL MEDIO MAYOR</v>
          </cell>
          <cell r="I1578">
            <v>1</v>
          </cell>
          <cell r="J1578" t="str">
            <v>H.2.11.2</v>
          </cell>
          <cell r="K1578" t="str">
            <v>Sala Cuna</v>
          </cell>
          <cell r="L1578">
            <v>1</v>
          </cell>
          <cell r="M1578">
            <v>46003</v>
          </cell>
          <cell r="N1578">
            <v>46006</v>
          </cell>
          <cell r="O1578">
            <v>2</v>
          </cell>
          <cell r="P1578">
            <v>46008</v>
          </cell>
          <cell r="Q1578">
            <v>1</v>
          </cell>
          <cell r="R1578" t="str">
            <v>NA</v>
          </cell>
          <cell r="S1578">
            <v>5</v>
          </cell>
        </row>
        <row r="1579">
          <cell r="B1579" t="str">
            <v>MNC</v>
          </cell>
          <cell r="C1579" t="str">
            <v>HSLB14122</v>
          </cell>
          <cell r="D1579">
            <v>203018</v>
          </cell>
          <cell r="E1579" t="str">
            <v>Perchero</v>
          </cell>
          <cell r="F1579" t="str">
            <v>NO</v>
          </cell>
          <cell r="G1579" t="str">
            <v>SI</v>
          </cell>
          <cell r="H1579" t="str">
            <v>NIVEL MEDIO MAYOR</v>
          </cell>
          <cell r="I1579">
            <v>4</v>
          </cell>
          <cell r="J1579" t="str">
            <v>H.2.11.2</v>
          </cell>
          <cell r="K1579" t="str">
            <v>Sala Cuna</v>
          </cell>
          <cell r="L1579">
            <v>1</v>
          </cell>
          <cell r="M1579">
            <v>46003</v>
          </cell>
          <cell r="N1579">
            <v>46006</v>
          </cell>
          <cell r="O1579">
            <v>2</v>
          </cell>
          <cell r="P1579">
            <v>46008</v>
          </cell>
          <cell r="Q1579">
            <v>1</v>
          </cell>
          <cell r="R1579" t="str">
            <v>NA</v>
          </cell>
          <cell r="S1579">
            <v>5</v>
          </cell>
        </row>
        <row r="1580">
          <cell r="B1580" t="str">
            <v>MNC</v>
          </cell>
          <cell r="C1580" t="str">
            <v>HSLB15467</v>
          </cell>
          <cell r="D1580">
            <v>203022</v>
          </cell>
          <cell r="E1580" t="str">
            <v>Contenedor</v>
          </cell>
          <cell r="F1580" t="str">
            <v>NO</v>
          </cell>
          <cell r="G1580" t="str">
            <v>SI</v>
          </cell>
          <cell r="H1580" t="str">
            <v>NIVEL MEDIO MAYOR</v>
          </cell>
          <cell r="I1580">
            <v>1</v>
          </cell>
          <cell r="J1580" t="str">
            <v>H.2.11.2</v>
          </cell>
          <cell r="K1580" t="str">
            <v>Sala Cuna</v>
          </cell>
          <cell r="L1580">
            <v>1</v>
          </cell>
          <cell r="M1580">
            <v>46003</v>
          </cell>
          <cell r="N1580">
            <v>46006</v>
          </cell>
          <cell r="O1580">
            <v>2</v>
          </cell>
          <cell r="P1580">
            <v>46008</v>
          </cell>
          <cell r="Q1580">
            <v>1</v>
          </cell>
          <cell r="R1580" t="str">
            <v>NA</v>
          </cell>
          <cell r="S1580">
            <v>5</v>
          </cell>
        </row>
        <row r="1581">
          <cell r="B1581" t="str">
            <v>MNC</v>
          </cell>
          <cell r="C1581" t="str">
            <v>HSLB15208</v>
          </cell>
          <cell r="D1581">
            <v>203018</v>
          </cell>
          <cell r="E1581" t="str">
            <v>Perchero</v>
          </cell>
          <cell r="F1581" t="str">
            <v>NO</v>
          </cell>
          <cell r="G1581" t="str">
            <v>NO</v>
          </cell>
          <cell r="H1581" t="str">
            <v>SALA DE EXPANSION NIVEL MEDIO</v>
          </cell>
          <cell r="I1581">
            <v>2</v>
          </cell>
          <cell r="J1581" t="str">
            <v>H.2.12</v>
          </cell>
          <cell r="K1581" t="str">
            <v>Sala Cuna</v>
          </cell>
          <cell r="L1581">
            <v>1</v>
          </cell>
          <cell r="M1581">
            <v>46041</v>
          </cell>
          <cell r="N1581">
            <v>46042</v>
          </cell>
          <cell r="O1581">
            <v>2</v>
          </cell>
          <cell r="P1581">
            <v>46044</v>
          </cell>
          <cell r="Q1581">
            <v>1</v>
          </cell>
          <cell r="R1581" t="str">
            <v>NA</v>
          </cell>
          <cell r="S1581">
            <v>5</v>
          </cell>
        </row>
        <row r="1582">
          <cell r="B1582" t="str">
            <v>MNC</v>
          </cell>
          <cell r="C1582" t="str">
            <v>HSLB13709</v>
          </cell>
          <cell r="D1582">
            <v>203016</v>
          </cell>
          <cell r="E1582" t="str">
            <v>Mueble Tipo Biblioteca</v>
          </cell>
          <cell r="F1582" t="str">
            <v>NO</v>
          </cell>
          <cell r="G1582" t="str">
            <v>NO</v>
          </cell>
          <cell r="H1582" t="str">
            <v>OFICINA DIRECTORA</v>
          </cell>
          <cell r="I1582">
            <v>1</v>
          </cell>
          <cell r="J1582" t="str">
            <v>H.2.3</v>
          </cell>
          <cell r="K1582" t="str">
            <v>Sala Cuna</v>
          </cell>
          <cell r="L1582">
            <v>1</v>
          </cell>
          <cell r="M1582">
            <v>46041</v>
          </cell>
          <cell r="N1582">
            <v>46042</v>
          </cell>
          <cell r="O1582">
            <v>2</v>
          </cell>
          <cell r="P1582">
            <v>46044</v>
          </cell>
          <cell r="Q1582">
            <v>1</v>
          </cell>
          <cell r="R1582" t="str">
            <v>NA</v>
          </cell>
          <cell r="S1582">
            <v>5</v>
          </cell>
        </row>
        <row r="1583">
          <cell r="B1583" t="str">
            <v>MNC</v>
          </cell>
          <cell r="C1583" t="str">
            <v>HSLB13710</v>
          </cell>
          <cell r="D1583">
            <v>203016</v>
          </cell>
          <cell r="E1583" t="str">
            <v>Mueble Tipo Biblioteca</v>
          </cell>
          <cell r="F1583" t="str">
            <v>NO</v>
          </cell>
          <cell r="G1583" t="str">
            <v>NO</v>
          </cell>
          <cell r="H1583" t="str">
            <v>OFICINA 2 EDUCADORAS</v>
          </cell>
          <cell r="I1583">
            <v>1</v>
          </cell>
          <cell r="J1583" t="str">
            <v>H.2.4</v>
          </cell>
          <cell r="K1583" t="str">
            <v>Sala Cuna</v>
          </cell>
          <cell r="L1583">
            <v>1</v>
          </cell>
          <cell r="M1583">
            <v>46041</v>
          </cell>
          <cell r="N1583">
            <v>46042</v>
          </cell>
          <cell r="O1583">
            <v>2</v>
          </cell>
          <cell r="P1583">
            <v>46044</v>
          </cell>
          <cell r="Q1583">
            <v>1</v>
          </cell>
          <cell r="R1583" t="str">
            <v>NA</v>
          </cell>
          <cell r="S1583">
            <v>5</v>
          </cell>
        </row>
        <row r="1584">
          <cell r="B1584" t="str">
            <v>MNC</v>
          </cell>
          <cell r="C1584" t="str">
            <v>HSLB13511</v>
          </cell>
          <cell r="D1584">
            <v>203015</v>
          </cell>
          <cell r="E1584" t="str">
            <v>Mueble Arrimo</v>
          </cell>
          <cell r="F1584" t="str">
            <v>NO</v>
          </cell>
          <cell r="G1584" t="str">
            <v>NO</v>
          </cell>
          <cell r="H1584" t="str">
            <v>SALA AMAMANTAMIENTO</v>
          </cell>
          <cell r="I1584">
            <v>1</v>
          </cell>
          <cell r="J1584" t="str">
            <v>H.2.5</v>
          </cell>
          <cell r="K1584" t="str">
            <v>Sala Cuna</v>
          </cell>
          <cell r="L1584">
            <v>1</v>
          </cell>
          <cell r="M1584">
            <v>46041</v>
          </cell>
          <cell r="N1584">
            <v>46042</v>
          </cell>
          <cell r="O1584">
            <v>2</v>
          </cell>
          <cell r="P1584">
            <v>46044</v>
          </cell>
          <cell r="Q1584">
            <v>1</v>
          </cell>
          <cell r="R1584" t="str">
            <v>NA</v>
          </cell>
          <cell r="S1584">
            <v>5</v>
          </cell>
        </row>
        <row r="1585">
          <cell r="B1585" t="str">
            <v>MNC</v>
          </cell>
          <cell r="C1585" t="str">
            <v>HSLB13712</v>
          </cell>
          <cell r="D1585">
            <v>203016</v>
          </cell>
          <cell r="E1585" t="str">
            <v>Mueble Tipo Biblioteca</v>
          </cell>
          <cell r="F1585" t="str">
            <v>NO</v>
          </cell>
          <cell r="G1585" t="str">
            <v>NO</v>
          </cell>
          <cell r="H1585" t="str">
            <v>SALA MULTIUSO 1</v>
          </cell>
          <cell r="I1585">
            <v>1</v>
          </cell>
          <cell r="J1585" t="str">
            <v>H.2.7</v>
          </cell>
          <cell r="K1585" t="str">
            <v>Sala Cuna</v>
          </cell>
          <cell r="L1585">
            <v>1</v>
          </cell>
          <cell r="M1585">
            <v>46041</v>
          </cell>
          <cell r="N1585">
            <v>46042</v>
          </cell>
          <cell r="O1585">
            <v>2</v>
          </cell>
          <cell r="P1585">
            <v>46044</v>
          </cell>
          <cell r="Q1585">
            <v>1</v>
          </cell>
          <cell r="R1585" t="str">
            <v>NA</v>
          </cell>
          <cell r="S1585">
            <v>5</v>
          </cell>
        </row>
        <row r="1586">
          <cell r="B1586" t="str">
            <v>MNC</v>
          </cell>
          <cell r="C1586" t="str">
            <v>HSLB13500</v>
          </cell>
          <cell r="D1586">
            <v>203010</v>
          </cell>
          <cell r="E1586" t="str">
            <v>Colchoneta Reposo</v>
          </cell>
          <cell r="F1586" t="str">
            <v>NO</v>
          </cell>
          <cell r="G1586" t="str">
            <v>SI</v>
          </cell>
          <cell r="H1586" t="str">
            <v>NIVEL SALA CUNA 1 (120 x 60 cm)</v>
          </cell>
          <cell r="I1586">
            <v>14</v>
          </cell>
          <cell r="J1586" t="str">
            <v>H.2.8.1</v>
          </cell>
          <cell r="K1586" t="str">
            <v>Sala Cuna</v>
          </cell>
          <cell r="L1586">
            <v>1</v>
          </cell>
          <cell r="M1586">
            <v>46003</v>
          </cell>
          <cell r="N1586">
            <v>46006</v>
          </cell>
          <cell r="O1586">
            <v>2</v>
          </cell>
          <cell r="P1586">
            <v>46008</v>
          </cell>
          <cell r="Q1586">
            <v>1</v>
          </cell>
          <cell r="R1586" t="str">
            <v>NA</v>
          </cell>
          <cell r="S1586">
            <v>5</v>
          </cell>
        </row>
        <row r="1587">
          <cell r="B1587" t="str">
            <v>MNC</v>
          </cell>
          <cell r="C1587" t="str">
            <v>HSLB13509</v>
          </cell>
          <cell r="D1587">
            <v>203014</v>
          </cell>
          <cell r="E1587" t="str">
            <v>Librero</v>
          </cell>
          <cell r="F1587" t="str">
            <v>NO</v>
          </cell>
          <cell r="G1587" t="str">
            <v>SI</v>
          </cell>
          <cell r="H1587" t="str">
            <v>NIVEL SALA CUNA 1</v>
          </cell>
          <cell r="I1587">
            <v>1</v>
          </cell>
          <cell r="J1587" t="str">
            <v>H.2.8.1</v>
          </cell>
          <cell r="K1587" t="str">
            <v>Sala Cuna</v>
          </cell>
          <cell r="L1587">
            <v>1</v>
          </cell>
          <cell r="M1587">
            <v>46003</v>
          </cell>
          <cell r="N1587">
            <v>46006</v>
          </cell>
          <cell r="O1587">
            <v>2</v>
          </cell>
          <cell r="P1587">
            <v>46008</v>
          </cell>
          <cell r="Q1587">
            <v>1</v>
          </cell>
          <cell r="R1587" t="str">
            <v>NA</v>
          </cell>
          <cell r="S1587">
            <v>5</v>
          </cell>
        </row>
        <row r="1588">
          <cell r="B1588" t="str">
            <v>MNC</v>
          </cell>
          <cell r="C1588" t="str">
            <v>HSLB14123</v>
          </cell>
          <cell r="D1588">
            <v>203018</v>
          </cell>
          <cell r="E1588" t="str">
            <v>Perchero</v>
          </cell>
          <cell r="F1588" t="str">
            <v>NO</v>
          </cell>
          <cell r="G1588" t="str">
            <v>SI</v>
          </cell>
          <cell r="H1588" t="str">
            <v>NIVEL SALA CUNA 1</v>
          </cell>
          <cell r="I1588">
            <v>4</v>
          </cell>
          <cell r="J1588" t="str">
            <v>H.2.8.1</v>
          </cell>
          <cell r="K1588" t="str">
            <v>Sala Cuna</v>
          </cell>
          <cell r="L1588">
            <v>1</v>
          </cell>
          <cell r="M1588">
            <v>46003</v>
          </cell>
          <cell r="N1588">
            <v>46006</v>
          </cell>
          <cell r="O1588">
            <v>2</v>
          </cell>
          <cell r="P1588">
            <v>46008</v>
          </cell>
          <cell r="Q1588">
            <v>1</v>
          </cell>
          <cell r="R1588" t="str">
            <v>NA</v>
          </cell>
          <cell r="S1588">
            <v>5</v>
          </cell>
        </row>
        <row r="1589">
          <cell r="B1589" t="str">
            <v>MNC</v>
          </cell>
          <cell r="C1589" t="str">
            <v>HSLB15469</v>
          </cell>
          <cell r="D1589">
            <v>203022</v>
          </cell>
          <cell r="E1589" t="str">
            <v>Contenedor</v>
          </cell>
          <cell r="F1589" t="str">
            <v>NO</v>
          </cell>
          <cell r="G1589" t="str">
            <v>SI</v>
          </cell>
          <cell r="H1589" t="str">
            <v>NIVEL SALA CUNA 1</v>
          </cell>
          <cell r="I1589">
            <v>1</v>
          </cell>
          <cell r="J1589" t="str">
            <v>H.2.8.1</v>
          </cell>
          <cell r="K1589" t="str">
            <v>Sala Cuna</v>
          </cell>
          <cell r="L1589">
            <v>1</v>
          </cell>
          <cell r="M1589">
            <v>46003</v>
          </cell>
          <cell r="N1589">
            <v>46006</v>
          </cell>
          <cell r="O1589">
            <v>2</v>
          </cell>
          <cell r="P1589">
            <v>46008</v>
          </cell>
          <cell r="Q1589">
            <v>1</v>
          </cell>
          <cell r="R1589" t="str">
            <v>NA</v>
          </cell>
          <cell r="S1589">
            <v>5</v>
          </cell>
        </row>
        <row r="1590">
          <cell r="B1590" t="str">
            <v>MNC</v>
          </cell>
          <cell r="C1590" t="str">
            <v>HSLB13501</v>
          </cell>
          <cell r="D1590">
            <v>203010</v>
          </cell>
          <cell r="E1590" t="str">
            <v>Colchoneta Reposo</v>
          </cell>
          <cell r="F1590" t="str">
            <v>NO</v>
          </cell>
          <cell r="G1590" t="str">
            <v>NO</v>
          </cell>
          <cell r="H1590" t="str">
            <v>NIVEL SALA CUNA 2 (120 x 60 cm)</v>
          </cell>
          <cell r="I1590">
            <v>14</v>
          </cell>
          <cell r="J1590" t="str">
            <v>H.2.8.2</v>
          </cell>
          <cell r="K1590" t="str">
            <v>Sala Cuna</v>
          </cell>
          <cell r="L1590">
            <v>1</v>
          </cell>
          <cell r="M1590">
            <v>46041</v>
          </cell>
          <cell r="N1590">
            <v>46042</v>
          </cell>
          <cell r="O1590">
            <v>2</v>
          </cell>
          <cell r="P1590">
            <v>46044</v>
          </cell>
          <cell r="Q1590">
            <v>1</v>
          </cell>
          <cell r="R1590" t="str">
            <v>NA</v>
          </cell>
          <cell r="S1590">
            <v>5</v>
          </cell>
        </row>
        <row r="1591">
          <cell r="B1591" t="str">
            <v>MNC</v>
          </cell>
          <cell r="C1591" t="str">
            <v>HSLB13510</v>
          </cell>
          <cell r="D1591">
            <v>203014</v>
          </cell>
          <cell r="E1591" t="str">
            <v>Librero</v>
          </cell>
          <cell r="F1591" t="str">
            <v>NO</v>
          </cell>
          <cell r="G1591" t="str">
            <v>NO</v>
          </cell>
          <cell r="H1591" t="str">
            <v>NIVEL SALA CUNA 2</v>
          </cell>
          <cell r="I1591">
            <v>1</v>
          </cell>
          <cell r="J1591" t="str">
            <v>H.2.8.2</v>
          </cell>
          <cell r="K1591" t="str">
            <v>Sala Cuna</v>
          </cell>
          <cell r="L1591">
            <v>1</v>
          </cell>
          <cell r="M1591">
            <v>46041</v>
          </cell>
          <cell r="N1591">
            <v>46042</v>
          </cell>
          <cell r="O1591">
            <v>2</v>
          </cell>
          <cell r="P1591">
            <v>46044</v>
          </cell>
          <cell r="Q1591">
            <v>1</v>
          </cell>
          <cell r="R1591" t="str">
            <v>NA</v>
          </cell>
          <cell r="S1591">
            <v>5</v>
          </cell>
        </row>
        <row r="1592">
          <cell r="B1592" t="str">
            <v>MNC</v>
          </cell>
          <cell r="C1592" t="str">
            <v>HSLB14124</v>
          </cell>
          <cell r="D1592">
            <v>203018</v>
          </cell>
          <cell r="E1592" t="str">
            <v>Perchero</v>
          </cell>
          <cell r="F1592" t="str">
            <v>NO</v>
          </cell>
          <cell r="G1592" t="str">
            <v>NO</v>
          </cell>
          <cell r="H1592" t="str">
            <v>NIVEL SALA CUNA 2</v>
          </cell>
          <cell r="I1592">
            <v>4</v>
          </cell>
          <cell r="J1592" t="str">
            <v>H.2.8.2</v>
          </cell>
          <cell r="K1592" t="str">
            <v>Sala Cuna</v>
          </cell>
          <cell r="L1592">
            <v>1</v>
          </cell>
          <cell r="M1592">
            <v>46041</v>
          </cell>
          <cell r="N1592">
            <v>46042</v>
          </cell>
          <cell r="O1592">
            <v>2</v>
          </cell>
          <cell r="P1592">
            <v>46044</v>
          </cell>
          <cell r="Q1592">
            <v>1</v>
          </cell>
          <cell r="R1592" t="str">
            <v>NA</v>
          </cell>
          <cell r="S1592">
            <v>5</v>
          </cell>
        </row>
        <row r="1593">
          <cell r="B1593" t="str">
            <v>MNC</v>
          </cell>
          <cell r="C1593" t="str">
            <v>HSLB15471</v>
          </cell>
          <cell r="D1593">
            <v>203022</v>
          </cell>
          <cell r="E1593" t="str">
            <v>Contenedor</v>
          </cell>
          <cell r="F1593" t="str">
            <v>NO</v>
          </cell>
          <cell r="G1593" t="str">
            <v>NO</v>
          </cell>
          <cell r="H1593" t="str">
            <v>NIVEL SALA CUNA 2</v>
          </cell>
          <cell r="I1593">
            <v>1</v>
          </cell>
          <cell r="J1593" t="str">
            <v>H.2.8.2</v>
          </cell>
          <cell r="K1593" t="str">
            <v>Sala Cuna</v>
          </cell>
          <cell r="L1593">
            <v>1</v>
          </cell>
          <cell r="M1593">
            <v>46041</v>
          </cell>
          <cell r="N1593">
            <v>46042</v>
          </cell>
          <cell r="O1593">
            <v>2</v>
          </cell>
          <cell r="P1593">
            <v>46044</v>
          </cell>
          <cell r="Q1593">
            <v>1</v>
          </cell>
          <cell r="R1593" t="str">
            <v>NA</v>
          </cell>
          <cell r="S1593">
            <v>5</v>
          </cell>
        </row>
        <row r="1594">
          <cell r="B1594" t="str">
            <v>MNC</v>
          </cell>
          <cell r="C1594" t="str">
            <v>HSLB15473</v>
          </cell>
          <cell r="D1594">
            <v>203010</v>
          </cell>
          <cell r="E1594" t="str">
            <v>Colchoneta Reposo</v>
          </cell>
          <cell r="F1594" t="str">
            <v>NO</v>
          </cell>
          <cell r="G1594" t="str">
            <v>NO</v>
          </cell>
          <cell r="H1594" t="str">
            <v xml:space="preserve">NIVEL SALA CUNA 2 (135 x 135 cm) 08.11.2024 se agregan 4 </v>
          </cell>
          <cell r="I1594">
            <v>4</v>
          </cell>
          <cell r="J1594" t="str">
            <v>H.2.8.2</v>
          </cell>
          <cell r="K1594" t="str">
            <v>Sala Cuna</v>
          </cell>
          <cell r="L1594">
            <v>1</v>
          </cell>
          <cell r="M1594">
            <v>46041</v>
          </cell>
          <cell r="N1594">
            <v>46042</v>
          </cell>
          <cell r="O1594">
            <v>2</v>
          </cell>
          <cell r="P1594">
            <v>46044</v>
          </cell>
          <cell r="Q1594">
            <v>1</v>
          </cell>
          <cell r="R1594" t="str">
            <v>NA</v>
          </cell>
          <cell r="S1594">
            <v>5</v>
          </cell>
        </row>
        <row r="1595">
          <cell r="B1595" t="str">
            <v>MNC</v>
          </cell>
          <cell r="C1595" t="str">
            <v>HSLB15209</v>
          </cell>
          <cell r="D1595">
            <v>203018</v>
          </cell>
          <cell r="E1595" t="str">
            <v>Perchero</v>
          </cell>
          <cell r="F1595" t="str">
            <v>NO</v>
          </cell>
          <cell r="G1595" t="str">
            <v>SI</v>
          </cell>
          <cell r="H1595" t="str">
            <v>SALA DE EXPANSION SALA CUNA</v>
          </cell>
          <cell r="I1595">
            <v>2</v>
          </cell>
          <cell r="J1595" t="str">
            <v>H.2.9</v>
          </cell>
          <cell r="K1595" t="str">
            <v>Sala Cuna</v>
          </cell>
          <cell r="L1595">
            <v>1</v>
          </cell>
          <cell r="M1595">
            <v>46003</v>
          </cell>
          <cell r="N1595">
            <v>46006</v>
          </cell>
          <cell r="O1595">
            <v>2</v>
          </cell>
          <cell r="P1595">
            <v>46008</v>
          </cell>
          <cell r="Q1595">
            <v>1</v>
          </cell>
          <cell r="R1595" t="str">
            <v>NA</v>
          </cell>
          <cell r="S1595">
            <v>5</v>
          </cell>
        </row>
        <row r="1596">
          <cell r="B1596" t="str">
            <v>MNC</v>
          </cell>
          <cell r="C1596" t="str">
            <v>HSLB15461</v>
          </cell>
          <cell r="D1596">
            <v>203021</v>
          </cell>
          <cell r="E1596" t="str">
            <v>Mueble Tipo Biblioteca</v>
          </cell>
          <cell r="F1596" t="str">
            <v>NO</v>
          </cell>
          <cell r="G1596" t="str">
            <v>SI</v>
          </cell>
          <cell r="H1596" t="str">
            <v>BODEGA MATERIAL ESTÉRIL</v>
          </cell>
          <cell r="I1596">
            <v>0</v>
          </cell>
          <cell r="J1596" t="str">
            <v>C.2.3.23</v>
          </cell>
          <cell r="K1596" t="str">
            <v>Dialisis</v>
          </cell>
          <cell r="L1596">
            <v>1</v>
          </cell>
          <cell r="M1596">
            <v>46003</v>
          </cell>
          <cell r="N1596">
            <v>46006</v>
          </cell>
          <cell r="O1596">
            <v>1</v>
          </cell>
          <cell r="P1596">
            <v>46007</v>
          </cell>
          <cell r="Q1596">
            <v>1</v>
          </cell>
          <cell r="R1596" t="str">
            <v>NA</v>
          </cell>
          <cell r="S1596">
            <v>5</v>
          </cell>
        </row>
        <row r="1597">
          <cell r="B1597" t="str">
            <v>MNC</v>
          </cell>
          <cell r="C1597" t="str">
            <v>HSLB15462</v>
          </cell>
          <cell r="D1597">
            <v>203022</v>
          </cell>
          <cell r="E1597" t="str">
            <v>Mueble Tipo Biblioteca</v>
          </cell>
          <cell r="F1597" t="str">
            <v>NO</v>
          </cell>
          <cell r="G1597" t="str">
            <v>SI</v>
          </cell>
          <cell r="H1597" t="str">
            <v>SALA DE PREPARACION DE INSUMOS</v>
          </cell>
          <cell r="I1597">
            <v>0</v>
          </cell>
          <cell r="J1597" t="str">
            <v>C.2.4.9</v>
          </cell>
          <cell r="K1597" t="str">
            <v>Cuidados Paliativos</v>
          </cell>
          <cell r="L1597">
            <v>1</v>
          </cell>
          <cell r="M1597">
            <v>46003</v>
          </cell>
          <cell r="N1597">
            <v>46006</v>
          </cell>
          <cell r="O1597">
            <v>1</v>
          </cell>
          <cell r="P1597">
            <v>46007</v>
          </cell>
          <cell r="Q1597">
            <v>1</v>
          </cell>
          <cell r="R1597" t="str">
            <v>NA</v>
          </cell>
          <cell r="S1597">
            <v>5</v>
          </cell>
        </row>
        <row r="1598">
          <cell r="B1598" t="str">
            <v>MNC</v>
          </cell>
          <cell r="C1598" t="str">
            <v>HSLB15464</v>
          </cell>
          <cell r="D1598">
            <v>203024</v>
          </cell>
          <cell r="E1598" t="str">
            <v>Mueble Tipo Biblioteca</v>
          </cell>
          <cell r="F1598" t="str">
            <v>NO</v>
          </cell>
          <cell r="G1598" t="str">
            <v>SI</v>
          </cell>
          <cell r="H1598" t="str">
            <v>BODEGA DE INSUMOS</v>
          </cell>
          <cell r="I1598">
            <v>0</v>
          </cell>
          <cell r="J1598" t="str">
            <v>C.2.5.3.35</v>
          </cell>
          <cell r="K1598" t="str">
            <v>UHCIP</v>
          </cell>
          <cell r="L1598">
            <v>1</v>
          </cell>
          <cell r="M1598">
            <v>46003</v>
          </cell>
          <cell r="N1598">
            <v>46006</v>
          </cell>
          <cell r="O1598">
            <v>1</v>
          </cell>
          <cell r="P1598">
            <v>46007</v>
          </cell>
          <cell r="Q1598">
            <v>1</v>
          </cell>
          <cell r="R1598" t="str">
            <v>NA</v>
          </cell>
          <cell r="S1598">
            <v>5</v>
          </cell>
        </row>
        <row r="1599">
          <cell r="B1599" t="str">
            <v>MNC</v>
          </cell>
          <cell r="C1599" t="str">
            <v>HSLB15465</v>
          </cell>
          <cell r="D1599">
            <v>203025</v>
          </cell>
          <cell r="E1599" t="str">
            <v>Mueble Tipo Biblioteca</v>
          </cell>
          <cell r="F1599" t="str">
            <v>NO</v>
          </cell>
          <cell r="G1599" t="str">
            <v>SI</v>
          </cell>
          <cell r="H1599" t="str">
            <v>BODEGA DE MATERIALES Y IMPLEMENTOS</v>
          </cell>
          <cell r="I1599">
            <v>0</v>
          </cell>
          <cell r="J1599" t="str">
            <v>C.2.5.3.36</v>
          </cell>
          <cell r="K1599" t="str">
            <v>UHCIP</v>
          </cell>
          <cell r="L1599">
            <v>1</v>
          </cell>
          <cell r="M1599">
            <v>46003</v>
          </cell>
          <cell r="N1599">
            <v>46006</v>
          </cell>
          <cell r="O1599">
            <v>1</v>
          </cell>
          <cell r="P1599">
            <v>46007</v>
          </cell>
          <cell r="Q1599">
            <v>1</v>
          </cell>
          <cell r="R1599" t="str">
            <v>NA</v>
          </cell>
          <cell r="S1599">
            <v>5</v>
          </cell>
        </row>
        <row r="1600">
          <cell r="B1600" t="str">
            <v>MNC</v>
          </cell>
          <cell r="C1600" t="str">
            <v>HSLB15490</v>
          </cell>
          <cell r="D1600">
            <v>203050</v>
          </cell>
          <cell r="E1600" t="str">
            <v>Mueble Tipo Biblioteca</v>
          </cell>
          <cell r="F1600" t="str">
            <v>NO</v>
          </cell>
          <cell r="G1600" t="str">
            <v>SI</v>
          </cell>
          <cell r="H1600" t="str">
            <v>ROPA LIMPIA</v>
          </cell>
          <cell r="I1600">
            <v>0</v>
          </cell>
          <cell r="J1600" t="str">
            <v>C.5.3.21</v>
          </cell>
          <cell r="K1600" t="str">
            <v>Imagenología</v>
          </cell>
          <cell r="L1600">
            <v>1</v>
          </cell>
          <cell r="M1600">
            <v>46003</v>
          </cell>
          <cell r="N1600">
            <v>46006</v>
          </cell>
          <cell r="O1600">
            <v>1</v>
          </cell>
          <cell r="P1600">
            <v>46007</v>
          </cell>
          <cell r="Q1600">
            <v>1</v>
          </cell>
          <cell r="R1600" t="str">
            <v>NA</v>
          </cell>
          <cell r="S1600">
            <v>5</v>
          </cell>
        </row>
        <row r="1601">
          <cell r="B1601" t="str">
            <v>MNC</v>
          </cell>
          <cell r="C1601" t="str">
            <v>HSLB15491</v>
          </cell>
          <cell r="D1601">
            <v>203051</v>
          </cell>
          <cell r="E1601" t="str">
            <v>Mueble Tipo Biblioteca</v>
          </cell>
          <cell r="F1601" t="str">
            <v>NO</v>
          </cell>
          <cell r="G1601" t="str">
            <v>SI</v>
          </cell>
          <cell r="H1601" t="str">
            <v>BODEGA DE EQUIPOS MEDICOS</v>
          </cell>
          <cell r="I1601">
            <v>0</v>
          </cell>
          <cell r="J1601" t="str">
            <v>C.5.3.23</v>
          </cell>
          <cell r="K1601" t="str">
            <v>Imagenología</v>
          </cell>
          <cell r="L1601">
            <v>1</v>
          </cell>
          <cell r="M1601">
            <v>46003</v>
          </cell>
          <cell r="N1601">
            <v>46006</v>
          </cell>
          <cell r="O1601">
            <v>1</v>
          </cell>
          <cell r="P1601">
            <v>46007</v>
          </cell>
          <cell r="Q1601">
            <v>1</v>
          </cell>
          <cell r="R1601" t="str">
            <v>NA</v>
          </cell>
          <cell r="S1601">
            <v>5</v>
          </cell>
        </row>
        <row r="1602">
          <cell r="B1602" t="str">
            <v>MNC</v>
          </cell>
          <cell r="C1602" t="str">
            <v>HSLB15497</v>
          </cell>
          <cell r="D1602">
            <v>203057</v>
          </cell>
          <cell r="E1602" t="str">
            <v>Mueble Tipo Biblioteca</v>
          </cell>
          <cell r="F1602" t="str">
            <v>NO</v>
          </cell>
          <cell r="G1602" t="str">
            <v>SI</v>
          </cell>
          <cell r="H1602" t="str">
            <v xml:space="preserve">BODEGA DE MATERIALES </v>
          </cell>
          <cell r="I1602">
            <v>0</v>
          </cell>
          <cell r="J1602" t="str">
            <v>C.5.7.30</v>
          </cell>
          <cell r="K1602" t="str">
            <v>Med física y rehabilitación</v>
          </cell>
          <cell r="L1602">
            <v>1</v>
          </cell>
          <cell r="M1602">
            <v>46003</v>
          </cell>
          <cell r="N1602">
            <v>46006</v>
          </cell>
          <cell r="O1602">
            <v>1</v>
          </cell>
          <cell r="P1602">
            <v>46007</v>
          </cell>
          <cell r="Q1602">
            <v>1</v>
          </cell>
          <cell r="R1602" t="str">
            <v>NA</v>
          </cell>
          <cell r="S1602">
            <v>5</v>
          </cell>
        </row>
        <row r="1603">
          <cell r="B1603" t="str">
            <v>MNC</v>
          </cell>
          <cell r="C1603" t="str">
            <v>HSLB15499</v>
          </cell>
          <cell r="D1603">
            <v>203059</v>
          </cell>
          <cell r="E1603" t="str">
            <v>Mueble Tipo Biblioteca</v>
          </cell>
          <cell r="F1603" t="str">
            <v>NO</v>
          </cell>
          <cell r="G1603" t="str">
            <v>SI</v>
          </cell>
          <cell r="H1603" t="str">
            <v>ÁREA REFRIGERACIÓN CADAVERES</v>
          </cell>
          <cell r="I1603">
            <v>0</v>
          </cell>
          <cell r="J1603" t="str">
            <v>C.5.9.6</v>
          </cell>
          <cell r="K1603" t="str">
            <v>Morgue</v>
          </cell>
          <cell r="L1603">
            <v>1</v>
          </cell>
          <cell r="M1603">
            <v>46003</v>
          </cell>
          <cell r="N1603">
            <v>46006</v>
          </cell>
          <cell r="O1603">
            <v>1</v>
          </cell>
          <cell r="P1603">
            <v>46007</v>
          </cell>
          <cell r="Q1603">
            <v>1</v>
          </cell>
          <cell r="R1603" t="str">
            <v>NA</v>
          </cell>
          <cell r="S1603">
            <v>5</v>
          </cell>
        </row>
        <row r="1604">
          <cell r="B1604" t="str">
            <v>MNC</v>
          </cell>
          <cell r="C1604" t="str">
            <v>HSLB15502</v>
          </cell>
          <cell r="D1604">
            <v>203062</v>
          </cell>
          <cell r="E1604" t="str">
            <v>Mueble Tipo Biblioteca</v>
          </cell>
          <cell r="F1604" t="str">
            <v>NO</v>
          </cell>
          <cell r="G1604" t="str">
            <v>SI</v>
          </cell>
          <cell r="H1604" t="str">
            <v>BODEGA EQUIPOS Y SERVIDORES</v>
          </cell>
          <cell r="I1604">
            <v>0</v>
          </cell>
          <cell r="J1604" t="str">
            <v>D.2.4.3.3</v>
          </cell>
          <cell r="K1604" t="str">
            <v>Morgue</v>
          </cell>
          <cell r="L1604">
            <v>1</v>
          </cell>
          <cell r="M1604">
            <v>46003</v>
          </cell>
          <cell r="N1604">
            <v>46006</v>
          </cell>
          <cell r="O1604">
            <v>1</v>
          </cell>
          <cell r="P1604">
            <v>46007</v>
          </cell>
          <cell r="Q1604">
            <v>1</v>
          </cell>
          <cell r="R1604" t="str">
            <v>NA</v>
          </cell>
          <cell r="S1604">
            <v>5</v>
          </cell>
        </row>
        <row r="1605">
          <cell r="B1605" t="str">
            <v>MNC</v>
          </cell>
          <cell r="C1605" t="str">
            <v>HSLB15503</v>
          </cell>
          <cell r="D1605">
            <v>203063</v>
          </cell>
          <cell r="E1605" t="str">
            <v>Mueble Tipo Biblioteca</v>
          </cell>
          <cell r="F1605" t="str">
            <v>NO</v>
          </cell>
          <cell r="G1605" t="str">
            <v>SI</v>
          </cell>
          <cell r="H1605" t="str">
            <v>BODEGA DE MOBILIARIO EN TRANSITO</v>
          </cell>
          <cell r="I1605">
            <v>0</v>
          </cell>
          <cell r="J1605" t="str">
            <v>D.2.4.4.2</v>
          </cell>
          <cell r="K1605" t="str">
            <v>Administración y apoyo general</v>
          </cell>
          <cell r="L1605">
            <v>1</v>
          </cell>
          <cell r="M1605">
            <v>46003</v>
          </cell>
          <cell r="N1605">
            <v>46006</v>
          </cell>
          <cell r="O1605">
            <v>1</v>
          </cell>
          <cell r="P1605">
            <v>46007</v>
          </cell>
          <cell r="Q1605">
            <v>1</v>
          </cell>
          <cell r="R1605" t="str">
            <v>NA</v>
          </cell>
          <cell r="S1605">
            <v>5</v>
          </cell>
        </row>
        <row r="1606">
          <cell r="B1606" t="str">
            <v>MNC</v>
          </cell>
          <cell r="C1606" t="str">
            <v>HSLB15504</v>
          </cell>
          <cell r="D1606">
            <v>203064</v>
          </cell>
          <cell r="E1606" t="str">
            <v>Mueble Tipo Biblioteca</v>
          </cell>
          <cell r="F1606" t="str">
            <v>NO</v>
          </cell>
          <cell r="G1606" t="str">
            <v>SI</v>
          </cell>
          <cell r="H1606" t="str">
            <v>BODEGA DE MATERIALES Y ARTEFACTOS</v>
          </cell>
          <cell r="I1606">
            <v>0</v>
          </cell>
          <cell r="J1606" t="str">
            <v>D.2.4.4.3</v>
          </cell>
          <cell r="K1606" t="str">
            <v>Administración y apoyo general</v>
          </cell>
          <cell r="L1606">
            <v>1</v>
          </cell>
          <cell r="M1606">
            <v>46003</v>
          </cell>
          <cell r="N1606">
            <v>46006</v>
          </cell>
          <cell r="O1606">
            <v>1</v>
          </cell>
          <cell r="P1606">
            <v>46007</v>
          </cell>
          <cell r="Q1606">
            <v>1</v>
          </cell>
          <cell r="R1606" t="str">
            <v>NA</v>
          </cell>
          <cell r="S1606">
            <v>5</v>
          </cell>
        </row>
        <row r="1607">
          <cell r="B1607" t="str">
            <v>MNC</v>
          </cell>
          <cell r="C1607" t="str">
            <v>HSLB15506</v>
          </cell>
          <cell r="D1607">
            <v>203066</v>
          </cell>
          <cell r="E1607" t="str">
            <v>Mueble Tipo Biblioteca</v>
          </cell>
          <cell r="F1607" t="str">
            <v>NO</v>
          </cell>
          <cell r="G1607" t="str">
            <v>SI</v>
          </cell>
          <cell r="H1607" t="str">
            <v>BODEGA REFRIGERADOS</v>
          </cell>
          <cell r="I1607">
            <v>0</v>
          </cell>
          <cell r="J1607" t="str">
            <v>D.3.3.3.24</v>
          </cell>
          <cell r="K1607" t="str">
            <v>Abastecimiento</v>
          </cell>
          <cell r="L1607">
            <v>1</v>
          </cell>
          <cell r="M1607">
            <v>46003</v>
          </cell>
          <cell r="N1607">
            <v>46006</v>
          </cell>
          <cell r="O1607">
            <v>1</v>
          </cell>
          <cell r="P1607">
            <v>46007</v>
          </cell>
          <cell r="Q1607">
            <v>1</v>
          </cell>
          <cell r="R1607" t="str">
            <v>NA</v>
          </cell>
          <cell r="S1607">
            <v>5</v>
          </cell>
        </row>
        <row r="1608">
          <cell r="B1608" t="str">
            <v>MNC</v>
          </cell>
          <cell r="C1608" t="str">
            <v>HSLB15509</v>
          </cell>
          <cell r="D1608">
            <v>203069</v>
          </cell>
          <cell r="E1608" t="str">
            <v>Mueble Tipo Biblioteca</v>
          </cell>
          <cell r="F1608" t="str">
            <v>NO</v>
          </cell>
          <cell r="G1608" t="str">
            <v>SI</v>
          </cell>
          <cell r="H1608" t="str">
            <v>BODEGA DE INSUMOS</v>
          </cell>
          <cell r="I1608">
            <v>0</v>
          </cell>
          <cell r="J1608" t="str">
            <v>H.1.7</v>
          </cell>
          <cell r="K1608" t="str">
            <v>Urgencia</v>
          </cell>
          <cell r="L1608">
            <v>1</v>
          </cell>
          <cell r="M1608">
            <v>46003</v>
          </cell>
          <cell r="N1608">
            <v>46006</v>
          </cell>
          <cell r="O1608">
            <v>1</v>
          </cell>
          <cell r="P1608">
            <v>46007</v>
          </cell>
          <cell r="Q1608">
            <v>1</v>
          </cell>
          <cell r="R1608" t="str">
            <v>NA</v>
          </cell>
          <cell r="S1608">
            <v>5</v>
          </cell>
        </row>
      </sheetData>
      <sheetData sheetId="9">
        <row r="31">
          <cell r="B31" t="str">
            <v>EMMC</v>
          </cell>
          <cell r="C31" t="str">
            <v>HSLB11133</v>
          </cell>
          <cell r="D31">
            <v>107003</v>
          </cell>
          <cell r="E31" t="str">
            <v>Autoclave Laboratorio 100 l Rodable</v>
          </cell>
          <cell r="F31" t="str">
            <v>SI</v>
          </cell>
          <cell r="G31" t="str">
            <v>NO</v>
          </cell>
          <cell r="H31" t="str">
            <v>DESCONTAMINACION DESECHOS AUTOCLAVE</v>
          </cell>
          <cell r="I31">
            <v>1</v>
          </cell>
          <cell r="J31" t="str">
            <v>C.5.2.37</v>
          </cell>
          <cell r="K31" t="str">
            <v>Laboratorio</v>
          </cell>
          <cell r="L31">
            <v>2</v>
          </cell>
          <cell r="M31">
            <v>46022</v>
          </cell>
          <cell r="N31">
            <v>46024</v>
          </cell>
          <cell r="O31">
            <v>12</v>
          </cell>
          <cell r="P31">
            <v>46042</v>
          </cell>
          <cell r="Q31">
            <v>5</v>
          </cell>
          <cell r="R31">
            <v>14</v>
          </cell>
          <cell r="S31">
            <v>5</v>
          </cell>
        </row>
        <row r="32">
          <cell r="B32" t="str">
            <v>EMMC</v>
          </cell>
          <cell r="C32" t="str">
            <v>HSLB12901</v>
          </cell>
          <cell r="D32">
            <v>114012</v>
          </cell>
          <cell r="E32" t="str">
            <v>Unidad Dental</v>
          </cell>
          <cell r="F32" t="str">
            <v>SI</v>
          </cell>
          <cell r="G32" t="str">
            <v>NO</v>
          </cell>
          <cell r="H32" t="str">
            <v>BOX DENTAL POLIFUNCIONAL(1)</v>
          </cell>
          <cell r="I32">
            <v>1</v>
          </cell>
          <cell r="J32" t="str">
            <v>C.2.2.4.7.1</v>
          </cell>
          <cell r="K32" t="str">
            <v>Odontología</v>
          </cell>
          <cell r="L32">
            <v>2</v>
          </cell>
          <cell r="M32">
            <v>46038</v>
          </cell>
          <cell r="N32">
            <v>46041</v>
          </cell>
          <cell r="O32">
            <v>9</v>
          </cell>
          <cell r="P32">
            <v>46052</v>
          </cell>
          <cell r="Q32">
            <v>5</v>
          </cell>
          <cell r="R32" t="str">
            <v>NA</v>
          </cell>
          <cell r="S32">
            <v>5</v>
          </cell>
        </row>
        <row r="33">
          <cell r="B33" t="str">
            <v>EMMC</v>
          </cell>
          <cell r="C33" t="str">
            <v>HSLB12902</v>
          </cell>
          <cell r="D33">
            <v>114012</v>
          </cell>
          <cell r="E33" t="str">
            <v>Unidad Dental</v>
          </cell>
          <cell r="F33" t="str">
            <v>SI</v>
          </cell>
          <cell r="G33" t="str">
            <v>NO</v>
          </cell>
          <cell r="H33" t="str">
            <v>BOX DENTAL POLIFUNCIONAL(2)</v>
          </cell>
          <cell r="I33">
            <v>1</v>
          </cell>
          <cell r="J33" t="str">
            <v>C.2.2.4.7.2</v>
          </cell>
          <cell r="K33" t="str">
            <v>Odontología</v>
          </cell>
          <cell r="L33">
            <v>2</v>
          </cell>
          <cell r="M33">
            <v>46038</v>
          </cell>
          <cell r="N33">
            <v>46041</v>
          </cell>
          <cell r="O33">
            <v>9</v>
          </cell>
          <cell r="P33">
            <v>46052</v>
          </cell>
          <cell r="Q33">
            <v>5</v>
          </cell>
          <cell r="R33" t="str">
            <v>NA</v>
          </cell>
          <cell r="S33">
            <v>5</v>
          </cell>
        </row>
        <row r="34">
          <cell r="B34" t="str">
            <v>EMMC</v>
          </cell>
          <cell r="C34" t="str">
            <v>HSLB10286</v>
          </cell>
          <cell r="D34">
            <v>103001</v>
          </cell>
          <cell r="E34" t="str">
            <v>Abatidor de Temperatura</v>
          </cell>
          <cell r="F34" t="str">
            <v>SI</v>
          </cell>
          <cell r="G34" t="str">
            <v>NO</v>
          </cell>
          <cell r="H34" t="str">
            <v>ZONA PARA ABATIDOR</v>
          </cell>
          <cell r="I34">
            <v>1</v>
          </cell>
          <cell r="J34" t="str">
            <v>C.5.8.2.30</v>
          </cell>
          <cell r="K34" t="str">
            <v xml:space="preserve">Central de Alimentación </v>
          </cell>
          <cell r="L34">
            <v>2</v>
          </cell>
          <cell r="M34">
            <v>46034</v>
          </cell>
          <cell r="N34">
            <v>46035</v>
          </cell>
          <cell r="O34">
            <v>7</v>
          </cell>
          <cell r="P34">
            <v>46044</v>
          </cell>
          <cell r="Q34">
            <v>5</v>
          </cell>
          <cell r="R34" t="str">
            <v>NA</v>
          </cell>
          <cell r="S34">
            <v>5</v>
          </cell>
        </row>
        <row r="35">
          <cell r="B35" t="str">
            <v>EMMC</v>
          </cell>
          <cell r="C35" t="str">
            <v>HSLB10305</v>
          </cell>
          <cell r="D35">
            <v>103014</v>
          </cell>
          <cell r="E35" t="str">
            <v>CARRO BAÑO MARÍA PRODUCCIÓN 4 GN</v>
          </cell>
          <cell r="F35" t="str">
            <v>SI</v>
          </cell>
          <cell r="G35" t="str">
            <v>NO</v>
          </cell>
          <cell r="H35" t="str">
            <v>AREA CALENTADORES COMIDA BAÑO MARIA</v>
          </cell>
          <cell r="I35">
            <v>4</v>
          </cell>
          <cell r="J35" t="str">
            <v>C.5.8.2.36</v>
          </cell>
          <cell r="K35" t="str">
            <v xml:space="preserve">Central de Alimentación </v>
          </cell>
          <cell r="L35">
            <v>2</v>
          </cell>
          <cell r="M35">
            <v>46034</v>
          </cell>
          <cell r="N35">
            <v>46035</v>
          </cell>
          <cell r="O35">
            <v>7</v>
          </cell>
          <cell r="P35">
            <v>46044</v>
          </cell>
          <cell r="Q35">
            <v>5</v>
          </cell>
          <cell r="R35" t="str">
            <v>NA</v>
          </cell>
          <cell r="S35">
            <v>5</v>
          </cell>
        </row>
        <row r="36">
          <cell r="B36" t="str">
            <v>EMMC</v>
          </cell>
          <cell r="C36" t="str">
            <v>HSLB10333</v>
          </cell>
          <cell r="D36">
            <v>103019</v>
          </cell>
          <cell r="E36" t="str">
            <v>Cocina Industrial 4 Platos Eléctrica</v>
          </cell>
          <cell r="F36" t="str">
            <v>SI</v>
          </cell>
          <cell r="G36" t="str">
            <v>NO</v>
          </cell>
          <cell r="H36" t="str">
            <v>ZONA COCINA SEMI-INDUSTRIAL</v>
          </cell>
          <cell r="I36">
            <v>1</v>
          </cell>
          <cell r="J36" t="str">
            <v>C.5.8.2.26</v>
          </cell>
          <cell r="K36" t="str">
            <v xml:space="preserve">Central de Alimentación </v>
          </cell>
          <cell r="L36">
            <v>2</v>
          </cell>
          <cell r="M36">
            <v>46034</v>
          </cell>
          <cell r="N36">
            <v>46035</v>
          </cell>
          <cell r="O36">
            <v>7</v>
          </cell>
          <cell r="P36">
            <v>46044</v>
          </cell>
          <cell r="Q36">
            <v>5</v>
          </cell>
          <cell r="R36" t="str">
            <v>NA</v>
          </cell>
          <cell r="S36">
            <v>5</v>
          </cell>
        </row>
        <row r="37">
          <cell r="B37" t="str">
            <v>EMMC</v>
          </cell>
          <cell r="C37" t="str">
            <v>HSLB10354</v>
          </cell>
          <cell r="D37">
            <v>103030</v>
          </cell>
          <cell r="E37" t="str">
            <v>Horno Combinado 20 GN</v>
          </cell>
          <cell r="F37" t="str">
            <v>SI</v>
          </cell>
          <cell r="G37" t="str">
            <v>NO</v>
          </cell>
          <cell r="H37" t="str">
            <v>ZONA DE HORNOS COMBINADOS</v>
          </cell>
          <cell r="I37">
            <v>2</v>
          </cell>
          <cell r="J37" t="str">
            <v>C.5.8.2.25</v>
          </cell>
          <cell r="K37" t="str">
            <v xml:space="preserve">Central de Alimentación </v>
          </cell>
          <cell r="L37">
            <v>2</v>
          </cell>
          <cell r="M37">
            <v>46034</v>
          </cell>
          <cell r="N37">
            <v>46035</v>
          </cell>
          <cell r="O37">
            <v>7</v>
          </cell>
          <cell r="P37">
            <v>46044</v>
          </cell>
          <cell r="Q37">
            <v>5</v>
          </cell>
          <cell r="R37" t="str">
            <v>NA</v>
          </cell>
          <cell r="S37">
            <v>5</v>
          </cell>
        </row>
        <row r="38">
          <cell r="B38" t="str">
            <v>EMMC</v>
          </cell>
          <cell r="C38" t="str">
            <v>HSLB10375</v>
          </cell>
          <cell r="D38">
            <v>103033</v>
          </cell>
          <cell r="E38" t="str">
            <v>Lavavajillas</v>
          </cell>
          <cell r="F38" t="str">
            <v>SI</v>
          </cell>
          <cell r="G38" t="str">
            <v>NO</v>
          </cell>
          <cell r="H38" t="str">
            <v>SECTOR DE LAVADO DE VAJILLAS</v>
          </cell>
          <cell r="I38">
            <v>1</v>
          </cell>
          <cell r="J38" t="str">
            <v>C.5.8.2.45</v>
          </cell>
          <cell r="K38" t="str">
            <v xml:space="preserve">Central de Alimentación </v>
          </cell>
          <cell r="L38">
            <v>2</v>
          </cell>
          <cell r="M38">
            <v>46049</v>
          </cell>
          <cell r="N38">
            <v>46050</v>
          </cell>
          <cell r="O38">
            <v>7</v>
          </cell>
          <cell r="P38">
            <v>46059</v>
          </cell>
          <cell r="Q38">
            <v>5</v>
          </cell>
          <cell r="R38" t="str">
            <v>NA</v>
          </cell>
          <cell r="S38">
            <v>5</v>
          </cell>
        </row>
        <row r="39">
          <cell r="B39" t="str">
            <v>EMMC</v>
          </cell>
          <cell r="C39" t="str">
            <v>HSLB10376</v>
          </cell>
          <cell r="D39">
            <v>103033</v>
          </cell>
          <cell r="E39" t="str">
            <v>Lavavajillas</v>
          </cell>
          <cell r="F39" t="str">
            <v>SI</v>
          </cell>
          <cell r="G39" t="str">
            <v>NO</v>
          </cell>
          <cell r="H39" t="str">
            <v>LAVADO (desconche, lavado de vajillas, bandejas)</v>
          </cell>
          <cell r="I39">
            <v>1</v>
          </cell>
          <cell r="J39" t="str">
            <v>E.3.10</v>
          </cell>
          <cell r="K39" t="str">
            <v>Comedor para Funcionarios y Público</v>
          </cell>
          <cell r="L39">
            <v>2</v>
          </cell>
          <cell r="M39">
            <v>46049</v>
          </cell>
          <cell r="N39">
            <v>46050</v>
          </cell>
          <cell r="O39">
            <v>7</v>
          </cell>
          <cell r="P39">
            <v>46059</v>
          </cell>
          <cell r="Q39">
            <v>5</v>
          </cell>
          <cell r="R39" t="str">
            <v>NA</v>
          </cell>
          <cell r="S39">
            <v>5</v>
          </cell>
        </row>
        <row r="40">
          <cell r="B40" t="str">
            <v>EMMC</v>
          </cell>
          <cell r="C40" t="str">
            <v>HSLB10386</v>
          </cell>
          <cell r="D40">
            <v>103039</v>
          </cell>
          <cell r="E40" t="str">
            <v>Marmita Eléctrica</v>
          </cell>
          <cell r="F40" t="str">
            <v>SI</v>
          </cell>
          <cell r="G40" t="str">
            <v>NO</v>
          </cell>
          <cell r="H40" t="str">
            <v>ZONA COCINA SEMI-INDUSTRIAL</v>
          </cell>
          <cell r="I40">
            <v>1</v>
          </cell>
          <cell r="J40" t="str">
            <v>C.5.8.2.26</v>
          </cell>
          <cell r="K40" t="str">
            <v xml:space="preserve">Central de Alimentación </v>
          </cell>
          <cell r="L40">
            <v>2</v>
          </cell>
          <cell r="M40">
            <v>46034</v>
          </cell>
          <cell r="N40">
            <v>46035</v>
          </cell>
          <cell r="O40">
            <v>7</v>
          </cell>
          <cell r="P40">
            <v>46044</v>
          </cell>
          <cell r="Q40">
            <v>5</v>
          </cell>
          <cell r="R40" t="str">
            <v>NA</v>
          </cell>
          <cell r="S40">
            <v>5</v>
          </cell>
        </row>
        <row r="41">
          <cell r="B41" t="str">
            <v>EMMC</v>
          </cell>
          <cell r="C41" t="str">
            <v>HSLB12911</v>
          </cell>
          <cell r="D41">
            <v>103055</v>
          </cell>
          <cell r="E41" t="str">
            <v>Módulo Baño María Autoservicio 4 GN</v>
          </cell>
          <cell r="F41" t="str">
            <v>NO</v>
          </cell>
          <cell r="G41" t="str">
            <v>SI</v>
          </cell>
          <cell r="H41" t="str">
            <v>AREA AUTOSERVICIO</v>
          </cell>
          <cell r="I41">
            <v>2</v>
          </cell>
          <cell r="J41" t="str">
            <v>E.3.4</v>
          </cell>
          <cell r="K41" t="str">
            <v xml:space="preserve">Central de Alimentación </v>
          </cell>
          <cell r="L41">
            <v>2</v>
          </cell>
          <cell r="M41">
            <v>46003</v>
          </cell>
          <cell r="N41">
            <v>46006</v>
          </cell>
          <cell r="O41">
            <v>7</v>
          </cell>
          <cell r="P41">
            <v>46015</v>
          </cell>
          <cell r="Q41">
            <v>5</v>
          </cell>
          <cell r="R41" t="str">
            <v>NA</v>
          </cell>
          <cell r="S41">
            <v>5</v>
          </cell>
        </row>
        <row r="42">
          <cell r="B42" t="str">
            <v>EMMC</v>
          </cell>
          <cell r="C42" t="str">
            <v>HSLB10388</v>
          </cell>
          <cell r="D42">
            <v>103041</v>
          </cell>
          <cell r="E42" t="str">
            <v>MÓDULO SALAD BAR REFRIGERADO</v>
          </cell>
          <cell r="F42" t="str">
            <v>SI</v>
          </cell>
          <cell r="G42" t="str">
            <v>SI</v>
          </cell>
          <cell r="H42" t="str">
            <v>AREA AUTOSERVICIO</v>
          </cell>
          <cell r="I42">
            <v>1</v>
          </cell>
          <cell r="J42" t="str">
            <v>E.3.4</v>
          </cell>
          <cell r="K42" t="str">
            <v>Comedor para Funcionarios y Público</v>
          </cell>
          <cell r="L42">
            <v>2</v>
          </cell>
          <cell r="M42">
            <v>46003</v>
          </cell>
          <cell r="N42">
            <v>46006</v>
          </cell>
          <cell r="O42">
            <v>7</v>
          </cell>
          <cell r="P42">
            <v>46015</v>
          </cell>
          <cell r="Q42">
            <v>5</v>
          </cell>
          <cell r="R42" t="str">
            <v>NA</v>
          </cell>
          <cell r="S42">
            <v>5</v>
          </cell>
        </row>
        <row r="43">
          <cell r="B43" t="str">
            <v>EMMC</v>
          </cell>
          <cell r="C43" t="str">
            <v>HSLB10445</v>
          </cell>
          <cell r="D43">
            <v>103050</v>
          </cell>
          <cell r="E43" t="str">
            <v>Sartén Basculante</v>
          </cell>
          <cell r="F43" t="str">
            <v>SI</v>
          </cell>
          <cell r="G43" t="str">
            <v>NO</v>
          </cell>
          <cell r="H43" t="str">
            <v>ZONA DE SARTEN BASCULANTE</v>
          </cell>
          <cell r="I43">
            <v>1</v>
          </cell>
          <cell r="J43" t="str">
            <v>C.5.8.2.27</v>
          </cell>
          <cell r="K43" t="str">
            <v xml:space="preserve">Central de Alimentación </v>
          </cell>
          <cell r="L43">
            <v>2</v>
          </cell>
          <cell r="M43">
            <v>46003</v>
          </cell>
          <cell r="N43">
            <v>46006</v>
          </cell>
          <cell r="O43">
            <v>7</v>
          </cell>
          <cell r="P43">
            <v>46015</v>
          </cell>
          <cell r="Q43">
            <v>5</v>
          </cell>
          <cell r="R43" t="str">
            <v>NA</v>
          </cell>
          <cell r="S43">
            <v>5</v>
          </cell>
        </row>
        <row r="44">
          <cell r="B44" t="str">
            <v>EMMC</v>
          </cell>
          <cell r="C44" t="str">
            <v>HSLB12903</v>
          </cell>
          <cell r="D44">
            <v>114012</v>
          </cell>
          <cell r="E44" t="str">
            <v>Unidad Dental</v>
          </cell>
          <cell r="F44" t="str">
            <v>SI</v>
          </cell>
          <cell r="G44" t="str">
            <v>NO</v>
          </cell>
          <cell r="H44" t="str">
            <v>BOX DENTAL POLIFUNCIONAL(3)</v>
          </cell>
          <cell r="I44">
            <v>1</v>
          </cell>
          <cell r="J44" t="str">
            <v>C.2.2.4.7.3</v>
          </cell>
          <cell r="K44" t="str">
            <v>Odontología</v>
          </cell>
          <cell r="L44">
            <v>2</v>
          </cell>
          <cell r="M44">
            <v>46038</v>
          </cell>
          <cell r="N44">
            <v>46041</v>
          </cell>
          <cell r="O44">
            <v>9</v>
          </cell>
          <cell r="P44">
            <v>46052</v>
          </cell>
          <cell r="Q44">
            <v>5</v>
          </cell>
          <cell r="R44" t="str">
            <v>NA</v>
          </cell>
          <cell r="S44">
            <v>5</v>
          </cell>
        </row>
        <row r="45">
          <cell r="B45" t="str">
            <v>EMMC</v>
          </cell>
          <cell r="C45" t="str">
            <v>HSLB12904</v>
          </cell>
          <cell r="D45">
            <v>114012</v>
          </cell>
          <cell r="E45" t="str">
            <v>Unidad Dental</v>
          </cell>
          <cell r="F45" t="str">
            <v>SI</v>
          </cell>
          <cell r="G45" t="str">
            <v>NO</v>
          </cell>
          <cell r="H45" t="str">
            <v>BOX DENTAL POLIFUNCIONAL(4)</v>
          </cell>
          <cell r="I45">
            <v>1</v>
          </cell>
          <cell r="J45" t="str">
            <v>C.2.2.4.7.4</v>
          </cell>
          <cell r="K45" t="str">
            <v>Odontología</v>
          </cell>
          <cell r="L45">
            <v>2</v>
          </cell>
          <cell r="M45">
            <v>46038</v>
          </cell>
          <cell r="N45">
            <v>46041</v>
          </cell>
          <cell r="O45">
            <v>9</v>
          </cell>
          <cell r="P45">
            <v>46052</v>
          </cell>
          <cell r="Q45">
            <v>5</v>
          </cell>
          <cell r="R45" t="str">
            <v>NA</v>
          </cell>
          <cell r="S45">
            <v>5</v>
          </cell>
        </row>
        <row r="46">
          <cell r="B46" t="str">
            <v>EMMC</v>
          </cell>
          <cell r="C46" t="str">
            <v>HSLB12917</v>
          </cell>
          <cell r="D46">
            <v>110030</v>
          </cell>
          <cell r="E46" t="str">
            <v>Gabinete de Bioseguridad II A2</v>
          </cell>
          <cell r="F46" t="str">
            <v>SI</v>
          </cell>
          <cell r="G46" t="str">
            <v>SI</v>
          </cell>
          <cell r="H46" t="str">
            <v>SECCIÓN PARASITOLOGÍA</v>
          </cell>
          <cell r="I46">
            <v>1</v>
          </cell>
          <cell r="J46" t="str">
            <v>C.5.2.24</v>
          </cell>
          <cell r="K46" t="str">
            <v>Laboratorio</v>
          </cell>
          <cell r="L46">
            <v>2</v>
          </cell>
          <cell r="M46">
            <v>46003</v>
          </cell>
          <cell r="N46">
            <v>46006</v>
          </cell>
          <cell r="O46">
            <v>5</v>
          </cell>
          <cell r="P46">
            <v>46013</v>
          </cell>
          <cell r="Q46">
            <v>5</v>
          </cell>
          <cell r="R46" t="str">
            <v>NA</v>
          </cell>
          <cell r="S46">
            <v>5</v>
          </cell>
        </row>
        <row r="47">
          <cell r="B47" t="str">
            <v>EMMC</v>
          </cell>
          <cell r="C47" t="str">
            <v>HSLB12916</v>
          </cell>
          <cell r="D47">
            <v>110030</v>
          </cell>
          <cell r="E47" t="str">
            <v>Gabinete de Bioseguridad II A2</v>
          </cell>
          <cell r="F47" t="str">
            <v>SI</v>
          </cell>
          <cell r="G47" t="str">
            <v>NO</v>
          </cell>
          <cell r="H47" t="str">
            <v>SECCIÓN BACTERIOLOGÍA</v>
          </cell>
          <cell r="I47">
            <v>1</v>
          </cell>
          <cell r="J47" t="str">
            <v>C.5.2.23</v>
          </cell>
          <cell r="K47" t="str">
            <v>Laboratorio</v>
          </cell>
          <cell r="L47">
            <v>2</v>
          </cell>
          <cell r="M47">
            <v>46003</v>
          </cell>
          <cell r="N47">
            <v>46006</v>
          </cell>
          <cell r="O47">
            <v>5</v>
          </cell>
          <cell r="P47">
            <v>46013</v>
          </cell>
          <cell r="Q47">
            <v>5</v>
          </cell>
          <cell r="R47" t="str">
            <v>NA</v>
          </cell>
          <cell r="S47">
            <v>5</v>
          </cell>
        </row>
        <row r="48">
          <cell r="B48" t="str">
            <v>EMMC</v>
          </cell>
          <cell r="C48" t="str">
            <v>HSLB11375</v>
          </cell>
          <cell r="D48">
            <v>110030</v>
          </cell>
          <cell r="E48" t="str">
            <v>Gabinete de Bioseguridad II A2</v>
          </cell>
          <cell r="F48" t="str">
            <v>SI</v>
          </cell>
          <cell r="G48" t="str">
            <v>SI</v>
          </cell>
          <cell r="H48" t="str">
            <v>SECCIÓN BACILOSCOPÍA Y TBC</v>
          </cell>
          <cell r="I48">
            <v>1</v>
          </cell>
          <cell r="J48" t="str">
            <v>C.5.2.27</v>
          </cell>
          <cell r="K48" t="str">
            <v>Laboratorio</v>
          </cell>
          <cell r="L48">
            <v>2</v>
          </cell>
          <cell r="M48">
            <v>46003</v>
          </cell>
          <cell r="N48">
            <v>46006</v>
          </cell>
          <cell r="O48">
            <v>5</v>
          </cell>
          <cell r="P48">
            <v>46013</v>
          </cell>
          <cell r="Q48">
            <v>5</v>
          </cell>
          <cell r="R48" t="str">
            <v>NA</v>
          </cell>
          <cell r="S48">
            <v>5</v>
          </cell>
        </row>
        <row r="49">
          <cell r="B49" t="str">
            <v>EMMC</v>
          </cell>
          <cell r="C49" t="str">
            <v>HSLB11136</v>
          </cell>
          <cell r="D49">
            <v>107006</v>
          </cell>
          <cell r="E49" t="str">
            <v>Lavadora de Endoscopios</v>
          </cell>
          <cell r="F49" t="str">
            <v>SI</v>
          </cell>
          <cell r="G49" t="str">
            <v>NO</v>
          </cell>
          <cell r="H49" t="str">
            <v xml:space="preserve">SALA DAN </v>
          </cell>
          <cell r="I49">
            <v>4</v>
          </cell>
          <cell r="J49" t="str">
            <v>C.2.2.3.17</v>
          </cell>
          <cell r="K49" t="str">
            <v>Consultas Medicas Especialidades - Sala DAN</v>
          </cell>
          <cell r="L49">
            <v>2</v>
          </cell>
          <cell r="M49">
            <v>46043</v>
          </cell>
          <cell r="N49">
            <v>46044</v>
          </cell>
          <cell r="O49">
            <v>7</v>
          </cell>
          <cell r="P49">
            <v>46055</v>
          </cell>
          <cell r="Q49">
            <v>5</v>
          </cell>
          <cell r="R49" t="str">
            <v>NA</v>
          </cell>
          <cell r="S49">
            <v>5</v>
          </cell>
        </row>
        <row r="50">
          <cell r="B50" t="str">
            <v>EMMC</v>
          </cell>
          <cell r="C50" t="str">
            <v>HSLB12905</v>
          </cell>
          <cell r="D50">
            <v>114012</v>
          </cell>
          <cell r="E50" t="str">
            <v>Unidad Dental</v>
          </cell>
          <cell r="F50" t="str">
            <v>SI</v>
          </cell>
          <cell r="G50" t="str">
            <v>NO</v>
          </cell>
          <cell r="H50" t="str">
            <v>BOX DENTAL POLIFUNCIONAL(5)</v>
          </cell>
          <cell r="I50">
            <v>1</v>
          </cell>
          <cell r="J50" t="str">
            <v>C.2.2.4.7.5</v>
          </cell>
          <cell r="K50" t="str">
            <v>Odontología</v>
          </cell>
          <cell r="L50">
            <v>2</v>
          </cell>
          <cell r="M50">
            <v>46038</v>
          </cell>
          <cell r="N50">
            <v>46041</v>
          </cell>
          <cell r="O50">
            <v>9</v>
          </cell>
          <cell r="P50">
            <v>46052</v>
          </cell>
          <cell r="Q50">
            <v>5</v>
          </cell>
          <cell r="R50" t="str">
            <v>NA</v>
          </cell>
          <cell r="S50">
            <v>5</v>
          </cell>
        </row>
        <row r="51">
          <cell r="B51" t="str">
            <v>EMMC</v>
          </cell>
          <cell r="C51" t="str">
            <v>HSLB12906</v>
          </cell>
          <cell r="D51">
            <v>114012</v>
          </cell>
          <cell r="E51" t="str">
            <v>Unidad Dental</v>
          </cell>
          <cell r="F51" t="str">
            <v>SI</v>
          </cell>
          <cell r="G51" t="str">
            <v>NO</v>
          </cell>
          <cell r="H51" t="str">
            <v>BOX DENTAL POLIFUNCIONAL(6)</v>
          </cell>
          <cell r="I51">
            <v>1</v>
          </cell>
          <cell r="J51" t="str">
            <v>C.2.2.4.7.6</v>
          </cell>
          <cell r="K51" t="str">
            <v>Odontología</v>
          </cell>
          <cell r="L51">
            <v>2</v>
          </cell>
          <cell r="M51">
            <v>46038</v>
          </cell>
          <cell r="N51">
            <v>46041</v>
          </cell>
          <cell r="O51">
            <v>9</v>
          </cell>
          <cell r="P51">
            <v>46052</v>
          </cell>
          <cell r="Q51">
            <v>5</v>
          </cell>
          <cell r="R51" t="str">
            <v>NA</v>
          </cell>
          <cell r="S51">
            <v>5</v>
          </cell>
        </row>
        <row r="52">
          <cell r="B52" t="str">
            <v>EMMC</v>
          </cell>
          <cell r="C52" t="str">
            <v>HSLB11440</v>
          </cell>
          <cell r="D52">
            <v>110058</v>
          </cell>
          <cell r="E52" t="str">
            <v>Sistema de Dispensación de Medicamentos</v>
          </cell>
          <cell r="F52" t="str">
            <v>SI</v>
          </cell>
          <cell r="G52" t="str">
            <v>NO</v>
          </cell>
          <cell r="H52" t="str">
            <v>ÁREA PREPARACIÓN DE RECETAS</v>
          </cell>
          <cell r="I52">
            <v>1</v>
          </cell>
          <cell r="J52" t="str">
            <v>C.5.4.6</v>
          </cell>
          <cell r="K52" t="str">
            <v>Farmacia</v>
          </cell>
          <cell r="L52">
            <v>2</v>
          </cell>
          <cell r="M52">
            <v>46041</v>
          </cell>
          <cell r="N52">
            <v>46042</v>
          </cell>
          <cell r="O52">
            <v>3</v>
          </cell>
          <cell r="P52">
            <v>46045</v>
          </cell>
          <cell r="Q52">
            <v>5</v>
          </cell>
          <cell r="R52" t="str">
            <v>NA</v>
          </cell>
          <cell r="S52">
            <v>5</v>
          </cell>
        </row>
        <row r="53">
          <cell r="B53" t="str">
            <v>EMMC</v>
          </cell>
          <cell r="C53" t="str">
            <v>HSLB11441</v>
          </cell>
          <cell r="D53">
            <v>110058</v>
          </cell>
          <cell r="E53" t="str">
            <v>Sistema de Dispensación de Medicamentos</v>
          </cell>
          <cell r="F53" t="str">
            <v>SI</v>
          </cell>
          <cell r="G53" t="str">
            <v>NO</v>
          </cell>
          <cell r="H53" t="str">
            <v>DISPENSACION (TRABAJO Y ARMADO DE CARROS)</v>
          </cell>
          <cell r="I53">
            <v>1</v>
          </cell>
          <cell r="J53" t="str">
            <v>C.5.4.9</v>
          </cell>
          <cell r="K53" t="str">
            <v>Farmacia</v>
          </cell>
          <cell r="L53">
            <v>2</v>
          </cell>
          <cell r="M53">
            <v>46041</v>
          </cell>
          <cell r="N53">
            <v>46042</v>
          </cell>
          <cell r="O53">
            <v>3</v>
          </cell>
          <cell r="P53">
            <v>46045</v>
          </cell>
          <cell r="Q53">
            <v>5</v>
          </cell>
          <cell r="R53" t="str">
            <v>NA</v>
          </cell>
          <cell r="S53">
            <v>5</v>
          </cell>
        </row>
        <row r="54">
          <cell r="B54" t="str">
            <v>EMMC</v>
          </cell>
          <cell r="C54" t="str">
            <v>HSLB11373</v>
          </cell>
          <cell r="D54">
            <v>110028</v>
          </cell>
          <cell r="E54" t="str">
            <v>Estufa de Cultivo CO2</v>
          </cell>
          <cell r="F54" t="str">
            <v>SI</v>
          </cell>
          <cell r="G54" t="str">
            <v>NO</v>
          </cell>
          <cell r="H54" t="str">
            <v>SECCIÓN BACTERIOLOGÍA</v>
          </cell>
          <cell r="I54">
            <v>1</v>
          </cell>
          <cell r="J54" t="str">
            <v>C.5.2.23</v>
          </cell>
          <cell r="K54" t="str">
            <v>Laboratorio</v>
          </cell>
          <cell r="L54">
            <v>2</v>
          </cell>
          <cell r="M54">
            <v>46003</v>
          </cell>
          <cell r="N54">
            <v>46006</v>
          </cell>
          <cell r="O54">
            <v>7</v>
          </cell>
          <cell r="P54">
            <v>46015</v>
          </cell>
          <cell r="Q54">
            <v>5</v>
          </cell>
          <cell r="R54" t="str">
            <v>NA</v>
          </cell>
          <cell r="S54">
            <v>5</v>
          </cell>
        </row>
        <row r="55">
          <cell r="B55" t="str">
            <v>EMMC</v>
          </cell>
          <cell r="C55" t="str">
            <v>HSLB10514</v>
          </cell>
          <cell r="D55">
            <v>104009</v>
          </cell>
          <cell r="E55" t="str">
            <v>Lámpara de Procedimientos a techo</v>
          </cell>
          <cell r="F55" t="str">
            <v>SI</v>
          </cell>
          <cell r="G55" t="str">
            <v>NO</v>
          </cell>
          <cell r="H55" t="str">
            <v>PABELLON CIRUGIA MENOR URGENCIA</v>
          </cell>
          <cell r="I55">
            <v>1</v>
          </cell>
          <cell r="J55" t="str">
            <v>C.5.6.4.10</v>
          </cell>
          <cell r="K55" t="str">
            <v>Consultas Medicas Especialidades</v>
          </cell>
          <cell r="L55">
            <v>2</v>
          </cell>
          <cell r="M55">
            <v>46041</v>
          </cell>
          <cell r="N55">
            <v>46042</v>
          </cell>
          <cell r="O55">
            <v>15</v>
          </cell>
          <cell r="P55">
            <v>46063</v>
          </cell>
          <cell r="Q55">
            <v>5</v>
          </cell>
          <cell r="R55" t="str">
            <v>NA</v>
          </cell>
          <cell r="S55">
            <v>5</v>
          </cell>
        </row>
        <row r="56">
          <cell r="B56" t="str">
            <v>EMMC</v>
          </cell>
          <cell r="C56" t="str">
            <v>HSLB10515</v>
          </cell>
          <cell r="D56">
            <v>104009</v>
          </cell>
          <cell r="E56" t="str">
            <v>Lámpara de Procedimientos a techo</v>
          </cell>
          <cell r="F56" t="str">
            <v>SI</v>
          </cell>
          <cell r="G56" t="str">
            <v>NO</v>
          </cell>
          <cell r="H56" t="str">
            <v>PABELLON CIRUGIA MENOR DENTAL</v>
          </cell>
          <cell r="I56">
            <v>1</v>
          </cell>
          <cell r="J56" t="str">
            <v>C.5.6.4.8</v>
          </cell>
          <cell r="K56" t="str">
            <v>Consultas Medicas Especialidades</v>
          </cell>
          <cell r="L56">
            <v>2</v>
          </cell>
          <cell r="M56">
            <v>46041</v>
          </cell>
          <cell r="N56">
            <v>46042</v>
          </cell>
          <cell r="O56">
            <v>15</v>
          </cell>
          <cell r="P56">
            <v>46063</v>
          </cell>
          <cell r="Q56">
            <v>5</v>
          </cell>
          <cell r="R56" t="str">
            <v>NA</v>
          </cell>
          <cell r="S56">
            <v>5</v>
          </cell>
        </row>
        <row r="57">
          <cell r="B57" t="str">
            <v>EMMC</v>
          </cell>
          <cell r="C57" t="str">
            <v>HSLB10516</v>
          </cell>
          <cell r="D57">
            <v>104009</v>
          </cell>
          <cell r="E57" t="str">
            <v>Lámpara de Procedimientos a techo</v>
          </cell>
          <cell r="F57" t="str">
            <v>SI</v>
          </cell>
          <cell r="G57" t="str">
            <v>NO</v>
          </cell>
          <cell r="H57" t="str">
            <v>PABELLON CIRUGIA MENOR ELECTIVA</v>
          </cell>
          <cell r="I57">
            <v>1</v>
          </cell>
          <cell r="J57" t="str">
            <v>C.5.6.4.9</v>
          </cell>
          <cell r="K57" t="str">
            <v>Consultas Medicas Especialidades</v>
          </cell>
          <cell r="L57">
            <v>2</v>
          </cell>
          <cell r="M57">
            <v>46041</v>
          </cell>
          <cell r="N57">
            <v>46042</v>
          </cell>
          <cell r="O57">
            <v>15</v>
          </cell>
          <cell r="P57">
            <v>46063</v>
          </cell>
          <cell r="Q57">
            <v>5</v>
          </cell>
          <cell r="R57" t="str">
            <v>NA</v>
          </cell>
          <cell r="S57">
            <v>5</v>
          </cell>
        </row>
        <row r="58">
          <cell r="B58" t="str">
            <v>EMMC</v>
          </cell>
          <cell r="C58" t="str">
            <v>HSLB12890</v>
          </cell>
          <cell r="D58">
            <v>108013</v>
          </cell>
          <cell r="E58" t="str">
            <v>Ortopantomógrafo Digital</v>
          </cell>
          <cell r="F58" t="str">
            <v>SI</v>
          </cell>
          <cell r="G58" t="str">
            <v>NO</v>
          </cell>
          <cell r="H58" t="str">
            <v>SALA ORTOPANTOMOGRAFO TOMOGRAFO DIGITAL (PANORAMICA)</v>
          </cell>
          <cell r="I58">
            <v>1</v>
          </cell>
          <cell r="J58" t="str">
            <v>C.2.2.4.10</v>
          </cell>
          <cell r="K58" t="str">
            <v>Odontología</v>
          </cell>
          <cell r="L58">
            <v>2</v>
          </cell>
          <cell r="M58">
            <v>46020</v>
          </cell>
          <cell r="N58">
            <v>46021</v>
          </cell>
          <cell r="O58">
            <v>12</v>
          </cell>
          <cell r="P58">
            <v>46037</v>
          </cell>
          <cell r="Q58">
            <v>5</v>
          </cell>
          <cell r="R58">
            <v>14</v>
          </cell>
          <cell r="S58">
            <v>5</v>
          </cell>
        </row>
        <row r="59">
          <cell r="B59" t="str">
            <v>EMMC</v>
          </cell>
          <cell r="C59" t="str">
            <v>HSLB11159</v>
          </cell>
          <cell r="D59">
            <v>108007</v>
          </cell>
          <cell r="E59" t="str">
            <v>Rayos X Dental Mural</v>
          </cell>
          <cell r="F59" t="str">
            <v>SI</v>
          </cell>
          <cell r="G59" t="str">
            <v>NO</v>
          </cell>
          <cell r="H59" t="str">
            <v>SALA RAYOS INTRAORAL</v>
          </cell>
          <cell r="I59">
            <v>1</v>
          </cell>
          <cell r="J59" t="str">
            <v>C.2.2.4.8</v>
          </cell>
          <cell r="K59" t="str">
            <v>Odontología</v>
          </cell>
          <cell r="L59">
            <v>2</v>
          </cell>
          <cell r="M59">
            <v>46020</v>
          </cell>
          <cell r="N59">
            <v>46021</v>
          </cell>
          <cell r="O59">
            <v>15</v>
          </cell>
          <cell r="P59">
            <v>46042</v>
          </cell>
          <cell r="Q59">
            <v>5</v>
          </cell>
          <cell r="R59">
            <v>14</v>
          </cell>
          <cell r="S59">
            <v>5</v>
          </cell>
        </row>
        <row r="60">
          <cell r="B60" t="str">
            <v>EMMC</v>
          </cell>
          <cell r="C60" t="str">
            <v>HSLB10502</v>
          </cell>
          <cell r="D60">
            <v>104008</v>
          </cell>
          <cell r="E60" t="str">
            <v>Electrobisturí Baja Potencia</v>
          </cell>
          <cell r="F60" t="str">
            <v>NO</v>
          </cell>
          <cell r="G60" t="str">
            <v>NO</v>
          </cell>
          <cell r="H60" t="str">
            <v>PABELLON CIRUGIA MENOR URGENCIA</v>
          </cell>
          <cell r="I60">
            <v>1</v>
          </cell>
          <cell r="J60" t="str">
            <v>C.5.6.4.10</v>
          </cell>
          <cell r="K60" t="str">
            <v>Consultas Medicas Especialidades</v>
          </cell>
          <cell r="L60">
            <v>2</v>
          </cell>
          <cell r="M60">
            <v>46036</v>
          </cell>
          <cell r="N60">
            <v>46037</v>
          </cell>
          <cell r="O60">
            <v>1</v>
          </cell>
          <cell r="P60">
            <v>46038</v>
          </cell>
          <cell r="Q60">
            <v>5</v>
          </cell>
          <cell r="R60" t="str">
            <v>NA</v>
          </cell>
          <cell r="S60">
            <v>5</v>
          </cell>
        </row>
        <row r="61">
          <cell r="B61" t="str">
            <v>EMMC</v>
          </cell>
          <cell r="C61" t="str">
            <v>HSLB10506</v>
          </cell>
          <cell r="D61">
            <v>104008</v>
          </cell>
          <cell r="E61" t="str">
            <v>Electrobisturí Baja Potencia</v>
          </cell>
          <cell r="F61" t="str">
            <v>NO</v>
          </cell>
          <cell r="G61" t="str">
            <v>NO</v>
          </cell>
          <cell r="H61" t="str">
            <v>PABELLON CIRUGIA MENOR DENTAL</v>
          </cell>
          <cell r="I61">
            <v>1</v>
          </cell>
          <cell r="J61" t="str">
            <v>C.5.6.4.8</v>
          </cell>
          <cell r="K61" t="str">
            <v>Consultas Medicas Especialidades</v>
          </cell>
          <cell r="L61">
            <v>2</v>
          </cell>
          <cell r="M61">
            <v>46036</v>
          </cell>
          <cell r="N61">
            <v>46037</v>
          </cell>
          <cell r="O61">
            <v>1</v>
          </cell>
          <cell r="P61">
            <v>46038</v>
          </cell>
          <cell r="Q61">
            <v>5</v>
          </cell>
          <cell r="R61" t="str">
            <v>NA</v>
          </cell>
          <cell r="S61">
            <v>5</v>
          </cell>
        </row>
        <row r="62">
          <cell r="B62" t="str">
            <v>EMMC</v>
          </cell>
          <cell r="C62" t="str">
            <v>HSLB10507</v>
          </cell>
          <cell r="D62">
            <v>104008</v>
          </cell>
          <cell r="E62" t="str">
            <v>Electrobisturí Baja Potencia</v>
          </cell>
          <cell r="F62" t="str">
            <v>NO</v>
          </cell>
          <cell r="G62" t="str">
            <v>NO</v>
          </cell>
          <cell r="H62" t="str">
            <v>PABELLON CIRUGIA MENOR ELECTIVA</v>
          </cell>
          <cell r="I62">
            <v>1</v>
          </cell>
          <cell r="J62" t="str">
            <v>C.5.6.4.9</v>
          </cell>
          <cell r="K62" t="str">
            <v>Consultas Medicas Especialidades</v>
          </cell>
          <cell r="L62">
            <v>2</v>
          </cell>
          <cell r="M62">
            <v>46036</v>
          </cell>
          <cell r="N62">
            <v>46037</v>
          </cell>
          <cell r="O62">
            <v>1</v>
          </cell>
          <cell r="P62">
            <v>46038</v>
          </cell>
          <cell r="Q62">
            <v>5</v>
          </cell>
          <cell r="R62" t="str">
            <v>NA</v>
          </cell>
          <cell r="S62">
            <v>5</v>
          </cell>
        </row>
        <row r="63">
          <cell r="B63" t="str">
            <v>EMMC</v>
          </cell>
          <cell r="C63" t="str">
            <v>HSLB10555</v>
          </cell>
          <cell r="D63">
            <v>104017</v>
          </cell>
          <cell r="E63" t="str">
            <v>Mesa Quirúrgica Básica</v>
          </cell>
          <cell r="F63" t="str">
            <v>NO</v>
          </cell>
          <cell r="G63" t="str">
            <v>NO</v>
          </cell>
          <cell r="H63" t="str">
            <v>PABELLON CIRUGIA MENOR DENTAL</v>
          </cell>
          <cell r="I63">
            <v>1</v>
          </cell>
          <cell r="J63" t="str">
            <v>C.5.6.4.8</v>
          </cell>
          <cell r="K63" t="str">
            <v>Consultas Medicas Especialidades</v>
          </cell>
          <cell r="L63">
            <v>2</v>
          </cell>
          <cell r="M63">
            <v>46036</v>
          </cell>
          <cell r="N63">
            <v>46037</v>
          </cell>
          <cell r="O63">
            <v>1</v>
          </cell>
          <cell r="P63">
            <v>46038</v>
          </cell>
          <cell r="Q63">
            <v>5</v>
          </cell>
          <cell r="R63" t="str">
            <v>NA</v>
          </cell>
          <cell r="S63">
            <v>5</v>
          </cell>
        </row>
        <row r="64">
          <cell r="B64" t="str">
            <v>EMMC</v>
          </cell>
          <cell r="C64" t="str">
            <v>HSLB10554</v>
          </cell>
          <cell r="D64">
            <v>104020</v>
          </cell>
          <cell r="E64" t="str">
            <v>Mesa Quirúrgica Universal</v>
          </cell>
          <cell r="F64" t="str">
            <v>NO</v>
          </cell>
          <cell r="G64" t="str">
            <v>NO</v>
          </cell>
          <cell r="H64" t="str">
            <v>PABELLON CIRUGIA MENOR URGENCIA</v>
          </cell>
          <cell r="I64">
            <v>1</v>
          </cell>
          <cell r="J64" t="str">
            <v>C.5.6.4.10</v>
          </cell>
          <cell r="K64" t="str">
            <v>Consultas Medicas Especialidades</v>
          </cell>
          <cell r="L64">
            <v>2</v>
          </cell>
          <cell r="M64">
            <v>46036</v>
          </cell>
          <cell r="N64">
            <v>46037</v>
          </cell>
          <cell r="O64">
            <v>1</v>
          </cell>
          <cell r="P64">
            <v>46038</v>
          </cell>
          <cell r="Q64">
            <v>5</v>
          </cell>
          <cell r="R64" t="str">
            <v>NA</v>
          </cell>
          <cell r="S64">
            <v>5</v>
          </cell>
        </row>
        <row r="65">
          <cell r="B65" t="str">
            <v>EMMC</v>
          </cell>
          <cell r="C65" t="str">
            <v>HSLB10556</v>
          </cell>
          <cell r="D65">
            <v>104020</v>
          </cell>
          <cell r="E65" t="str">
            <v>Mesa Quirúrgica Universal</v>
          </cell>
          <cell r="F65" t="str">
            <v>NO</v>
          </cell>
          <cell r="G65" t="str">
            <v>NO</v>
          </cell>
          <cell r="H65" t="str">
            <v>PABELLON CIRUGIA MENOR ELECTIVA</v>
          </cell>
          <cell r="I65">
            <v>1</v>
          </cell>
          <cell r="J65" t="str">
            <v>C.5.6.4.9</v>
          </cell>
          <cell r="K65" t="str">
            <v>Consultas Medicas Especialidades</v>
          </cell>
          <cell r="L65">
            <v>2</v>
          </cell>
          <cell r="M65">
            <v>46036</v>
          </cell>
          <cell r="N65">
            <v>46037</v>
          </cell>
          <cell r="O65">
            <v>1</v>
          </cell>
          <cell r="P65">
            <v>46038</v>
          </cell>
          <cell r="Q65">
            <v>5</v>
          </cell>
          <cell r="R65" t="str">
            <v>NA</v>
          </cell>
          <cell r="S65">
            <v>5</v>
          </cell>
        </row>
        <row r="66">
          <cell r="B66" t="str">
            <v>EMMC</v>
          </cell>
          <cell r="C66" t="str">
            <v>HSLB12907</v>
          </cell>
          <cell r="D66">
            <v>114012</v>
          </cell>
          <cell r="E66" t="str">
            <v>Unidad Dental</v>
          </cell>
          <cell r="F66" t="str">
            <v>SI</v>
          </cell>
          <cell r="G66" t="str">
            <v>NO</v>
          </cell>
          <cell r="H66" t="str">
            <v>BOX DENTAL POLIFUNCIONAL(7)</v>
          </cell>
          <cell r="I66">
            <v>1</v>
          </cell>
          <cell r="J66" t="str">
            <v>C.2.2.4.7.7</v>
          </cell>
          <cell r="K66" t="str">
            <v>Odontología</v>
          </cell>
          <cell r="L66">
            <v>2</v>
          </cell>
          <cell r="M66">
            <v>46038</v>
          </cell>
          <cell r="N66">
            <v>46041</v>
          </cell>
          <cell r="O66">
            <v>9</v>
          </cell>
          <cell r="P66">
            <v>46052</v>
          </cell>
          <cell r="Q66">
            <v>5</v>
          </cell>
          <cell r="R66" t="str">
            <v>NA</v>
          </cell>
          <cell r="S66">
            <v>5</v>
          </cell>
        </row>
        <row r="67">
          <cell r="B67" t="str">
            <v>EMMC</v>
          </cell>
          <cell r="C67" t="str">
            <v>HSLB10448</v>
          </cell>
          <cell r="D67">
            <v>103052</v>
          </cell>
          <cell r="E67" t="str">
            <v>Vitrina Refrigerada Vertical  1400 l</v>
          </cell>
          <cell r="F67" t="str">
            <v>SI</v>
          </cell>
          <cell r="G67" t="str">
            <v>NO</v>
          </cell>
          <cell r="H67" t="str">
            <v>REFRIGERADO (PREPARADOS)</v>
          </cell>
          <cell r="I67">
            <v>2</v>
          </cell>
          <cell r="J67" t="str">
            <v>C.5.8.2.32</v>
          </cell>
          <cell r="K67" t="str">
            <v xml:space="preserve">Central de Alimentación </v>
          </cell>
          <cell r="L67">
            <v>2</v>
          </cell>
          <cell r="M67">
            <v>46034</v>
          </cell>
          <cell r="N67">
            <v>46035</v>
          </cell>
          <cell r="O67">
            <v>7</v>
          </cell>
          <cell r="P67">
            <v>46044</v>
          </cell>
          <cell r="Q67">
            <v>5</v>
          </cell>
          <cell r="R67" t="str">
            <v>NA</v>
          </cell>
          <cell r="S67">
            <v>5</v>
          </cell>
        </row>
        <row r="68">
          <cell r="B68" t="str">
            <v>EMMC</v>
          </cell>
          <cell r="C68" t="str">
            <v>HSLB10449</v>
          </cell>
          <cell r="D68">
            <v>103052</v>
          </cell>
          <cell r="E68" t="str">
            <v>Vitrina Refrigerada Vertical  1400 l</v>
          </cell>
          <cell r="F68" t="str">
            <v>SI</v>
          </cell>
          <cell r="G68" t="str">
            <v>NO</v>
          </cell>
          <cell r="H68" t="str">
            <v>AREA GUARDADO PRODUCTOS FRIOS</v>
          </cell>
          <cell r="I68">
            <v>2</v>
          </cell>
          <cell r="J68" t="str">
            <v>C.5.8.2.40</v>
          </cell>
          <cell r="K68" t="str">
            <v xml:space="preserve">Central de Alimentación </v>
          </cell>
          <cell r="L68">
            <v>2</v>
          </cell>
          <cell r="M68">
            <v>46034</v>
          </cell>
          <cell r="N68">
            <v>46035</v>
          </cell>
          <cell r="O68">
            <v>7</v>
          </cell>
          <cell r="P68">
            <v>46044</v>
          </cell>
          <cell r="Q68">
            <v>5</v>
          </cell>
          <cell r="R68" t="str">
            <v>NA</v>
          </cell>
          <cell r="S68">
            <v>5</v>
          </cell>
        </row>
        <row r="69">
          <cell r="B69" t="str">
            <v>EMMC</v>
          </cell>
          <cell r="C69" t="str">
            <v>HSLB10450</v>
          </cell>
          <cell r="D69">
            <v>103052</v>
          </cell>
          <cell r="E69" t="str">
            <v>Vitrina Refrigerada Vertical  1400 l</v>
          </cell>
          <cell r="F69" t="str">
            <v>SI</v>
          </cell>
          <cell r="G69" t="str">
            <v>SI</v>
          </cell>
          <cell r="H69" t="str">
            <v>AREA AUTOSERVICIO</v>
          </cell>
          <cell r="I69">
            <v>1</v>
          </cell>
          <cell r="J69" t="str">
            <v>E.3.4</v>
          </cell>
          <cell r="K69" t="str">
            <v>Comedor para Funcionarios y Público</v>
          </cell>
          <cell r="L69">
            <v>2</v>
          </cell>
          <cell r="M69">
            <v>46003</v>
          </cell>
          <cell r="N69">
            <v>46006</v>
          </cell>
          <cell r="O69">
            <v>7</v>
          </cell>
          <cell r="P69">
            <v>46015</v>
          </cell>
          <cell r="Q69">
            <v>5</v>
          </cell>
          <cell r="R69" t="str">
            <v>NA</v>
          </cell>
          <cell r="S69">
            <v>5</v>
          </cell>
        </row>
        <row r="70">
          <cell r="B70" t="str">
            <v>EMMC</v>
          </cell>
          <cell r="C70" t="str">
            <v>HSLB10454</v>
          </cell>
          <cell r="D70">
            <v>103054</v>
          </cell>
          <cell r="E70" t="str">
            <v>Vitrina Refrigerada Vertical  450 l</v>
          </cell>
          <cell r="F70" t="str">
            <v>SI</v>
          </cell>
          <cell r="G70" t="str">
            <v>NO</v>
          </cell>
          <cell r="H70" t="str">
            <v>AREA REFRIGERADORES</v>
          </cell>
          <cell r="I70">
            <v>3</v>
          </cell>
          <cell r="J70" t="str">
            <v>C.5.8.2.23</v>
          </cell>
          <cell r="K70" t="str">
            <v xml:space="preserve">Central de Alimentación </v>
          </cell>
          <cell r="L70">
            <v>2</v>
          </cell>
          <cell r="M70">
            <v>46034</v>
          </cell>
          <cell r="N70">
            <v>46035</v>
          </cell>
          <cell r="O70">
            <v>7</v>
          </cell>
          <cell r="P70">
            <v>46044</v>
          </cell>
          <cell r="Q70">
            <v>5</v>
          </cell>
          <cell r="R70" t="str">
            <v>NA</v>
          </cell>
          <cell r="S70">
            <v>5</v>
          </cell>
        </row>
        <row r="71">
          <cell r="B71" t="str">
            <v>EMMC</v>
          </cell>
          <cell r="C71" t="str">
            <v>HSLB10326</v>
          </cell>
          <cell r="D71">
            <v>103017</v>
          </cell>
          <cell r="E71" t="str">
            <v>Carro Utilitario</v>
          </cell>
          <cell r="F71" t="str">
            <v>NO</v>
          </cell>
          <cell r="G71" t="str">
            <v>NO</v>
          </cell>
          <cell r="H71" t="str">
            <v>PABELLON CIRUGIA MENOR DENTAL</v>
          </cell>
          <cell r="I71">
            <v>1</v>
          </cell>
          <cell r="J71" t="str">
            <v>C.5.6.4.8</v>
          </cell>
          <cell r="K71" t="str">
            <v>Consultas Medicas Especialidades</v>
          </cell>
          <cell r="L71">
            <v>2</v>
          </cell>
          <cell r="M71">
            <v>46036</v>
          </cell>
          <cell r="N71">
            <v>46037</v>
          </cell>
          <cell r="O71">
            <v>1</v>
          </cell>
          <cell r="P71">
            <v>46038</v>
          </cell>
          <cell r="Q71">
            <v>5</v>
          </cell>
          <cell r="R71" t="str">
            <v>NA</v>
          </cell>
          <cell r="S71">
            <v>5</v>
          </cell>
        </row>
        <row r="72">
          <cell r="B72" t="str">
            <v>EMMC</v>
          </cell>
          <cell r="C72" t="str">
            <v>HSLB10176</v>
          </cell>
          <cell r="D72">
            <v>101044</v>
          </cell>
          <cell r="E72" t="str">
            <v>Lupa Dermatológica</v>
          </cell>
          <cell r="F72" t="str">
            <v>NO</v>
          </cell>
          <cell r="G72" t="str">
            <v>NO</v>
          </cell>
          <cell r="H72" t="str">
            <v>PABELLON CIRUGIA MENOR ELECTIVA</v>
          </cell>
          <cell r="I72">
            <v>1</v>
          </cell>
          <cell r="J72" t="str">
            <v>C.5.6.4.9</v>
          </cell>
          <cell r="K72" t="str">
            <v>Consultas Medicas Especialidades</v>
          </cell>
          <cell r="L72">
            <v>2</v>
          </cell>
          <cell r="M72">
            <v>46036</v>
          </cell>
          <cell r="N72">
            <v>46037</v>
          </cell>
          <cell r="O72">
            <v>1</v>
          </cell>
          <cell r="P72">
            <v>46038</v>
          </cell>
          <cell r="Q72">
            <v>5</v>
          </cell>
          <cell r="R72" t="str">
            <v>NA</v>
          </cell>
          <cell r="S72">
            <v>5</v>
          </cell>
        </row>
        <row r="73">
          <cell r="B73" t="str">
            <v>EMMC</v>
          </cell>
          <cell r="C73" t="str">
            <v>HSLB11926</v>
          </cell>
          <cell r="D73">
            <v>112041</v>
          </cell>
          <cell r="E73" t="str">
            <v>Carro Trimodular Dental</v>
          </cell>
          <cell r="F73" t="str">
            <v>NO</v>
          </cell>
          <cell r="G73" t="str">
            <v>NO</v>
          </cell>
          <cell r="H73" t="str">
            <v>PABELLON CIRUGIA MENOR DENTAL</v>
          </cell>
          <cell r="I73">
            <v>1</v>
          </cell>
          <cell r="J73" t="str">
            <v>C.5.6.4.8</v>
          </cell>
          <cell r="K73" t="str">
            <v>Consultas Medicas Especialidades</v>
          </cell>
          <cell r="L73">
            <v>2</v>
          </cell>
          <cell r="M73">
            <v>46036</v>
          </cell>
          <cell r="N73">
            <v>46037</v>
          </cell>
          <cell r="O73">
            <v>1</v>
          </cell>
          <cell r="P73">
            <v>46038</v>
          </cell>
          <cell r="Q73">
            <v>5</v>
          </cell>
          <cell r="R73" t="str">
            <v>NA</v>
          </cell>
          <cell r="S73">
            <v>5</v>
          </cell>
        </row>
        <row r="74">
          <cell r="B74" t="str">
            <v>EMMC</v>
          </cell>
          <cell r="C74" t="str">
            <v>HSLB12335</v>
          </cell>
          <cell r="D74">
            <v>112064</v>
          </cell>
          <cell r="E74" t="str">
            <v>Mesa Mayo quirúrgica</v>
          </cell>
          <cell r="F74" t="str">
            <v>NO</v>
          </cell>
          <cell r="G74" t="str">
            <v>NO</v>
          </cell>
          <cell r="H74" t="str">
            <v>PABELLON CIRUGIA MENOR URGENCIA</v>
          </cell>
          <cell r="I74">
            <v>1</v>
          </cell>
          <cell r="J74" t="str">
            <v>C.5.6.4.10</v>
          </cell>
          <cell r="K74" t="str">
            <v>Consultas Medicas Especialidades</v>
          </cell>
          <cell r="L74">
            <v>2</v>
          </cell>
          <cell r="M74">
            <v>46036</v>
          </cell>
          <cell r="N74">
            <v>46037</v>
          </cell>
          <cell r="O74">
            <v>1</v>
          </cell>
          <cell r="P74">
            <v>46038</v>
          </cell>
          <cell r="Q74">
            <v>5</v>
          </cell>
          <cell r="R74" t="str">
            <v>NA</v>
          </cell>
          <cell r="S74">
            <v>5</v>
          </cell>
        </row>
        <row r="75">
          <cell r="B75" t="str">
            <v>EMMC</v>
          </cell>
          <cell r="C75" t="str">
            <v>HSLB12342</v>
          </cell>
          <cell r="D75">
            <v>112064</v>
          </cell>
          <cell r="E75" t="str">
            <v>Mesa Mayo quirúrgica</v>
          </cell>
          <cell r="F75" t="str">
            <v>NO</v>
          </cell>
          <cell r="G75" t="str">
            <v>NO</v>
          </cell>
          <cell r="H75" t="str">
            <v>PABELLON CIRUGIA MENOR DENTAL</v>
          </cell>
          <cell r="I75">
            <v>1</v>
          </cell>
          <cell r="J75" t="str">
            <v>C.5.6.4.8</v>
          </cell>
          <cell r="K75" t="str">
            <v>Consultas Medicas Especialidades</v>
          </cell>
          <cell r="L75">
            <v>2</v>
          </cell>
          <cell r="M75">
            <v>46036</v>
          </cell>
          <cell r="N75">
            <v>46037</v>
          </cell>
          <cell r="O75">
            <v>1</v>
          </cell>
          <cell r="P75">
            <v>46038</v>
          </cell>
          <cell r="Q75">
            <v>5</v>
          </cell>
          <cell r="R75" t="str">
            <v>NA</v>
          </cell>
          <cell r="S75">
            <v>5</v>
          </cell>
        </row>
        <row r="76">
          <cell r="B76" t="str">
            <v>EMMC</v>
          </cell>
          <cell r="C76" t="str">
            <v>HSLB12343</v>
          </cell>
          <cell r="D76">
            <v>112064</v>
          </cell>
          <cell r="E76" t="str">
            <v>Mesa Mayo quirúrgica</v>
          </cell>
          <cell r="F76" t="str">
            <v>NO</v>
          </cell>
          <cell r="G76" t="str">
            <v>NO</v>
          </cell>
          <cell r="H76" t="str">
            <v>PABELLON CIRUGIA MENOR ELECTIVA</v>
          </cell>
          <cell r="I76">
            <v>1</v>
          </cell>
          <cell r="J76" t="str">
            <v>C.5.6.4.9</v>
          </cell>
          <cell r="K76" t="str">
            <v>Consultas Medicas Especialidades</v>
          </cell>
          <cell r="L76">
            <v>2</v>
          </cell>
          <cell r="M76">
            <v>46036</v>
          </cell>
          <cell r="N76">
            <v>46037</v>
          </cell>
          <cell r="O76">
            <v>1</v>
          </cell>
          <cell r="P76">
            <v>46038</v>
          </cell>
          <cell r="Q76">
            <v>5</v>
          </cell>
          <cell r="R76" t="str">
            <v>NA</v>
          </cell>
          <cell r="S76">
            <v>5</v>
          </cell>
        </row>
        <row r="77">
          <cell r="B77" t="str">
            <v>EMMC</v>
          </cell>
          <cell r="C77" t="str">
            <v>HSLB10571</v>
          </cell>
          <cell r="D77">
            <v>104028</v>
          </cell>
          <cell r="E77" t="str">
            <v>Pistola de Criocirugía</v>
          </cell>
          <cell r="F77" t="str">
            <v>NO</v>
          </cell>
          <cell r="G77" t="str">
            <v>NO</v>
          </cell>
          <cell r="H77" t="str">
            <v>PABELLON CIRUGIA MENOR ELECTIVA</v>
          </cell>
          <cell r="I77">
            <v>1</v>
          </cell>
          <cell r="J77" t="str">
            <v>C.5.6.4.9</v>
          </cell>
          <cell r="K77" t="str">
            <v>Consultas Medicas Especialidades</v>
          </cell>
          <cell r="L77">
            <v>2</v>
          </cell>
          <cell r="M77">
            <v>46036</v>
          </cell>
          <cell r="N77">
            <v>46037</v>
          </cell>
          <cell r="O77">
            <v>1</v>
          </cell>
          <cell r="P77">
            <v>46038</v>
          </cell>
          <cell r="Q77">
            <v>5</v>
          </cell>
          <cell r="R77" t="str">
            <v>NA</v>
          </cell>
          <cell r="S77">
            <v>5</v>
          </cell>
        </row>
        <row r="78">
          <cell r="B78" t="str">
            <v>EMMC</v>
          </cell>
          <cell r="C78" t="str">
            <v>HSLB10083</v>
          </cell>
          <cell r="D78">
            <v>101024</v>
          </cell>
          <cell r="E78" t="str">
            <v>Electrocardiógrafo</v>
          </cell>
          <cell r="F78" t="str">
            <v>NO</v>
          </cell>
          <cell r="G78" t="str">
            <v>NO</v>
          </cell>
          <cell r="H78" t="str">
            <v>SALA DE PROCEDIMIENTOS CARDIOLÓGICOS</v>
          </cell>
          <cell r="I78">
            <v>1</v>
          </cell>
          <cell r="J78" t="str">
            <v>C.2.2.3.13</v>
          </cell>
          <cell r="K78" t="str">
            <v>Consultas Medicas Generales</v>
          </cell>
          <cell r="L78">
            <v>2</v>
          </cell>
          <cell r="M78">
            <v>46036</v>
          </cell>
          <cell r="N78">
            <v>46037</v>
          </cell>
          <cell r="O78">
            <v>1</v>
          </cell>
          <cell r="P78">
            <v>46038</v>
          </cell>
          <cell r="Q78">
            <v>5</v>
          </cell>
          <cell r="R78" t="str">
            <v>NA</v>
          </cell>
          <cell r="S78">
            <v>5</v>
          </cell>
        </row>
        <row r="79">
          <cell r="B79" t="str">
            <v>EMMC</v>
          </cell>
          <cell r="C79" t="str">
            <v>HSLB10116</v>
          </cell>
          <cell r="D79">
            <v>101030</v>
          </cell>
          <cell r="E79" t="str">
            <v>Equipo Videonistagmografía</v>
          </cell>
          <cell r="F79" t="str">
            <v>NO</v>
          </cell>
          <cell r="G79" t="str">
            <v>NO</v>
          </cell>
          <cell r="H79" t="str">
            <v>SALA PROCEDIMIENTOS OTORRINO VIII PAR</v>
          </cell>
          <cell r="I79">
            <v>1</v>
          </cell>
          <cell r="J79" t="str">
            <v>C.2.2.3.9</v>
          </cell>
          <cell r="K79" t="str">
            <v>Consultas Medicas Especialidades</v>
          </cell>
          <cell r="L79">
            <v>2</v>
          </cell>
          <cell r="M79">
            <v>46036</v>
          </cell>
          <cell r="N79">
            <v>46037</v>
          </cell>
          <cell r="O79">
            <v>1</v>
          </cell>
          <cell r="P79">
            <v>46038</v>
          </cell>
          <cell r="Q79">
            <v>5</v>
          </cell>
          <cell r="R79" t="str">
            <v>NA</v>
          </cell>
          <cell r="S79">
            <v>5</v>
          </cell>
        </row>
        <row r="80">
          <cell r="B80" t="str">
            <v>EMMC</v>
          </cell>
          <cell r="C80" t="str">
            <v>HSLB10260</v>
          </cell>
          <cell r="D80">
            <v>102002</v>
          </cell>
          <cell r="E80" t="str">
            <v>Histeroscopio</v>
          </cell>
          <cell r="F80" t="str">
            <v>NO</v>
          </cell>
          <cell r="G80" t="str">
            <v>NO</v>
          </cell>
          <cell r="H80" t="str">
            <v>SALA PROCEDIMIENTOS GINECO-OBSTÉTRICO</v>
          </cell>
          <cell r="I80">
            <v>1</v>
          </cell>
          <cell r="J80" t="str">
            <v>C.2.2.2.15</v>
          </cell>
          <cell r="K80" t="str">
            <v>Consultas medicas generales</v>
          </cell>
          <cell r="L80">
            <v>2</v>
          </cell>
          <cell r="M80">
            <v>46036</v>
          </cell>
          <cell r="N80">
            <v>46037</v>
          </cell>
          <cell r="O80">
            <v>1</v>
          </cell>
          <cell r="P80">
            <v>46038</v>
          </cell>
          <cell r="Q80">
            <v>5</v>
          </cell>
          <cell r="R80" t="str">
            <v>NA</v>
          </cell>
          <cell r="S80">
            <v>5</v>
          </cell>
        </row>
        <row r="81">
          <cell r="B81" t="str">
            <v>EMMC</v>
          </cell>
          <cell r="C81" t="str">
            <v>HSLB12728</v>
          </cell>
          <cell r="D81">
            <v>113008</v>
          </cell>
          <cell r="E81" t="str">
            <v>Monitor de Signos Vitales Baja Complejidad</v>
          </cell>
          <cell r="F81" t="str">
            <v>NO</v>
          </cell>
          <cell r="G81" t="str">
            <v>NO</v>
          </cell>
          <cell r="H81" t="str">
            <v>SALA PROCEDIMIENTOS ENDOSCOPÍA INDIFERENCIADO</v>
          </cell>
          <cell r="I81">
            <v>1</v>
          </cell>
          <cell r="J81" t="str">
            <v>C.2.2.3.14.1</v>
          </cell>
          <cell r="K81" t="str">
            <v>Consultas Medicas Generales</v>
          </cell>
          <cell r="L81">
            <v>2</v>
          </cell>
          <cell r="M81">
            <v>46036</v>
          </cell>
          <cell r="N81">
            <v>46037</v>
          </cell>
          <cell r="O81">
            <v>1</v>
          </cell>
          <cell r="P81">
            <v>46038</v>
          </cell>
          <cell r="Q81">
            <v>5</v>
          </cell>
          <cell r="R81" t="str">
            <v>NA</v>
          </cell>
          <cell r="S81">
            <v>5</v>
          </cell>
        </row>
        <row r="82">
          <cell r="B82" t="str">
            <v>EMMC</v>
          </cell>
          <cell r="C82" t="str">
            <v>HSLB12729</v>
          </cell>
          <cell r="D82">
            <v>113008</v>
          </cell>
          <cell r="E82" t="str">
            <v>Monitor de Signos Vitales Baja Complejidad</v>
          </cell>
          <cell r="F82" t="str">
            <v>NO</v>
          </cell>
          <cell r="G82" t="str">
            <v>NO</v>
          </cell>
          <cell r="H82" t="str">
            <v>SALA PROCEDIMIENTOS ENDOSCOPÍA INDIFERENCIADO</v>
          </cell>
          <cell r="I82">
            <v>1</v>
          </cell>
          <cell r="J82" t="str">
            <v>C.2.2.3.14.2</v>
          </cell>
          <cell r="K82" t="str">
            <v>Consultas Medicas Generales</v>
          </cell>
          <cell r="L82">
            <v>2</v>
          </cell>
          <cell r="M82">
            <v>46036</v>
          </cell>
          <cell r="N82">
            <v>46037</v>
          </cell>
          <cell r="O82">
            <v>1</v>
          </cell>
          <cell r="P82">
            <v>46038</v>
          </cell>
          <cell r="Q82">
            <v>5</v>
          </cell>
          <cell r="R82" t="str">
            <v>NA</v>
          </cell>
          <cell r="S82">
            <v>5</v>
          </cell>
        </row>
        <row r="83">
          <cell r="B83" t="str">
            <v>EMMC</v>
          </cell>
          <cell r="C83" t="str">
            <v>HSLB12730</v>
          </cell>
          <cell r="D83">
            <v>113008</v>
          </cell>
          <cell r="E83" t="str">
            <v>Monitor de Signos Vitales Baja Complejidad</v>
          </cell>
          <cell r="F83" t="str">
            <v>NO</v>
          </cell>
          <cell r="G83" t="str">
            <v>SI</v>
          </cell>
          <cell r="H83" t="str">
            <v>SALA PROCEDIMIENTOS ENDOSCOPÍA INDIFERENCIADO</v>
          </cell>
          <cell r="I83">
            <v>1</v>
          </cell>
          <cell r="J83" t="str">
            <v>C.2.2.3.14.3</v>
          </cell>
          <cell r="K83" t="str">
            <v>Consultas Medicas Generales</v>
          </cell>
          <cell r="L83">
            <v>2</v>
          </cell>
          <cell r="M83">
            <v>46003</v>
          </cell>
          <cell r="N83">
            <v>46006</v>
          </cell>
          <cell r="O83">
            <v>1</v>
          </cell>
          <cell r="P83">
            <v>46007</v>
          </cell>
          <cell r="Q83">
            <v>5</v>
          </cell>
          <cell r="R83" t="str">
            <v>NA</v>
          </cell>
          <cell r="S83">
            <v>5</v>
          </cell>
        </row>
        <row r="84">
          <cell r="B84" t="str">
            <v>EMMC</v>
          </cell>
          <cell r="C84" t="str">
            <v>HSLB12752</v>
          </cell>
          <cell r="D84">
            <v>113008</v>
          </cell>
          <cell r="E84" t="str">
            <v>Monitor de Signos Vitales Baja Complejidad</v>
          </cell>
          <cell r="F84" t="str">
            <v>NO</v>
          </cell>
          <cell r="G84" t="str">
            <v>NO</v>
          </cell>
          <cell r="H84" t="str">
            <v>PABELLON CIRUGIA MENOR URGENCIA</v>
          </cell>
          <cell r="I84">
            <v>1</v>
          </cell>
          <cell r="J84" t="str">
            <v>C.5.6.4.10</v>
          </cell>
          <cell r="K84" t="str">
            <v>Consultas Medicas Generales</v>
          </cell>
          <cell r="L84">
            <v>2</v>
          </cell>
          <cell r="M84">
            <v>46036</v>
          </cell>
          <cell r="N84">
            <v>46037</v>
          </cell>
          <cell r="O84">
            <v>1</v>
          </cell>
          <cell r="P84">
            <v>46041</v>
          </cell>
          <cell r="Q84">
            <v>5</v>
          </cell>
          <cell r="R84" t="str">
            <v>NA</v>
          </cell>
          <cell r="S84">
            <v>5</v>
          </cell>
        </row>
        <row r="85">
          <cell r="B85" t="str">
            <v>EMMC</v>
          </cell>
          <cell r="C85" t="str">
            <v>HSLB12754</v>
          </cell>
          <cell r="D85">
            <v>113008</v>
          </cell>
          <cell r="E85" t="str">
            <v>Monitor de Signos Vitales Baja Complejidad</v>
          </cell>
          <cell r="F85" t="str">
            <v>NO</v>
          </cell>
          <cell r="G85" t="str">
            <v>NO</v>
          </cell>
          <cell r="H85" t="str">
            <v>PABELLON CIRUGIA MENOR DENTAL</v>
          </cell>
          <cell r="I85">
            <v>1</v>
          </cell>
          <cell r="J85" t="str">
            <v>C.5.6.4.8</v>
          </cell>
          <cell r="K85" t="str">
            <v>Consultas Medicas Generales</v>
          </cell>
          <cell r="L85">
            <v>2</v>
          </cell>
          <cell r="M85">
            <v>46036</v>
          </cell>
          <cell r="N85">
            <v>46037</v>
          </cell>
          <cell r="O85">
            <v>1</v>
          </cell>
          <cell r="P85">
            <v>46041</v>
          </cell>
          <cell r="Q85">
            <v>5</v>
          </cell>
          <cell r="R85" t="str">
            <v>NA</v>
          </cell>
          <cell r="S85">
            <v>5</v>
          </cell>
        </row>
        <row r="86">
          <cell r="B86" t="str">
            <v>EMMC</v>
          </cell>
          <cell r="C86" t="str">
            <v>HSLB12755</v>
          </cell>
          <cell r="D86">
            <v>113008</v>
          </cell>
          <cell r="E86" t="str">
            <v>Monitor de Signos Vitales Baja Complejidad</v>
          </cell>
          <cell r="F86" t="str">
            <v>NO</v>
          </cell>
          <cell r="G86" t="str">
            <v>NO</v>
          </cell>
          <cell r="H86" t="str">
            <v>PABELLON CIRUGIA MENOR ELECTIVA</v>
          </cell>
          <cell r="I86">
            <v>1</v>
          </cell>
          <cell r="J86" t="str">
            <v>C.5.6.4.9</v>
          </cell>
          <cell r="K86" t="str">
            <v>Consultas Medicas Generales</v>
          </cell>
          <cell r="L86">
            <v>2</v>
          </cell>
          <cell r="M86">
            <v>46036</v>
          </cell>
          <cell r="N86">
            <v>46037</v>
          </cell>
          <cell r="O86">
            <v>1</v>
          </cell>
          <cell r="P86">
            <v>46041</v>
          </cell>
          <cell r="Q86">
            <v>5</v>
          </cell>
          <cell r="R86" t="str">
            <v>NA</v>
          </cell>
          <cell r="S86">
            <v>5</v>
          </cell>
        </row>
        <row r="87">
          <cell r="B87" t="str">
            <v>EMMC</v>
          </cell>
          <cell r="C87" t="str">
            <v>HSLB12756</v>
          </cell>
          <cell r="D87">
            <v>113009</v>
          </cell>
          <cell r="E87" t="str">
            <v>Monitor de Signos Vitales Básico</v>
          </cell>
          <cell r="F87" t="str">
            <v>NO</v>
          </cell>
          <cell r="G87" t="str">
            <v>NO</v>
          </cell>
          <cell r="H87" t="str">
            <v>BOX MATRONA C/BAÑO</v>
          </cell>
          <cell r="I87">
            <v>1</v>
          </cell>
          <cell r="J87" t="str">
            <v>C.2.2.2.10</v>
          </cell>
          <cell r="K87" t="str">
            <v>Consultas Medicas Generales</v>
          </cell>
          <cell r="L87">
            <v>2</v>
          </cell>
          <cell r="M87">
            <v>46036</v>
          </cell>
          <cell r="N87">
            <v>46037</v>
          </cell>
          <cell r="O87">
            <v>1</v>
          </cell>
          <cell r="P87">
            <v>46041</v>
          </cell>
          <cell r="Q87">
            <v>5</v>
          </cell>
          <cell r="R87" t="str">
            <v>NA</v>
          </cell>
          <cell r="S87">
            <v>5</v>
          </cell>
        </row>
        <row r="88">
          <cell r="B88" t="str">
            <v>EMMC</v>
          </cell>
          <cell r="C88" t="str">
            <v>HSLB12757</v>
          </cell>
          <cell r="D88">
            <v>113009</v>
          </cell>
          <cell r="E88" t="str">
            <v>Monitor de Signos Vitales Básico</v>
          </cell>
          <cell r="F88" t="str">
            <v>NO</v>
          </cell>
          <cell r="G88" t="str">
            <v>NO</v>
          </cell>
          <cell r="H88" t="str">
            <v>SALA PREPARACIÓN DE PACIENTES ADULTO</v>
          </cell>
          <cell r="I88">
            <v>1</v>
          </cell>
          <cell r="J88" t="str">
            <v>C.2.2.2.3</v>
          </cell>
          <cell r="K88" t="str">
            <v>Consultas Medicas Generales</v>
          </cell>
          <cell r="L88">
            <v>2</v>
          </cell>
          <cell r="M88">
            <v>46036</v>
          </cell>
          <cell r="N88">
            <v>46037</v>
          </cell>
          <cell r="O88">
            <v>1</v>
          </cell>
          <cell r="P88">
            <v>46041</v>
          </cell>
          <cell r="Q88">
            <v>5</v>
          </cell>
          <cell r="R88" t="str">
            <v>NA</v>
          </cell>
          <cell r="S88">
            <v>5</v>
          </cell>
        </row>
        <row r="89">
          <cell r="B89" t="str">
            <v>EMMC</v>
          </cell>
          <cell r="C89" t="str">
            <v>HSLB12758</v>
          </cell>
          <cell r="D89">
            <v>113009</v>
          </cell>
          <cell r="E89" t="str">
            <v>Monitor de Signos Vitales Básico</v>
          </cell>
          <cell r="F89" t="str">
            <v>NO</v>
          </cell>
          <cell r="G89" t="str">
            <v>NO</v>
          </cell>
          <cell r="H89" t="str">
            <v>SALA PREPARACIÓN DE PACIENTES INFANTIL</v>
          </cell>
          <cell r="I89">
            <v>1</v>
          </cell>
          <cell r="J89" t="str">
            <v>C.2.2.2.4</v>
          </cell>
          <cell r="K89" t="str">
            <v>Consultas Medicas Generales</v>
          </cell>
          <cell r="L89">
            <v>2</v>
          </cell>
          <cell r="M89">
            <v>46036</v>
          </cell>
          <cell r="N89">
            <v>46037</v>
          </cell>
          <cell r="O89">
            <v>1</v>
          </cell>
          <cell r="P89">
            <v>46038</v>
          </cell>
          <cell r="Q89">
            <v>5</v>
          </cell>
          <cell r="R89" t="str">
            <v>NA</v>
          </cell>
          <cell r="S89">
            <v>5</v>
          </cell>
        </row>
        <row r="90">
          <cell r="B90" t="str">
            <v>EMMC</v>
          </cell>
          <cell r="C90" t="str">
            <v>HSLB12769</v>
          </cell>
          <cell r="D90">
            <v>113009</v>
          </cell>
          <cell r="E90" t="str">
            <v>Monitor de Signos Vitales Básico</v>
          </cell>
          <cell r="F90" t="str">
            <v>NO</v>
          </cell>
          <cell r="G90" t="str">
            <v>NO</v>
          </cell>
          <cell r="H90" t="str">
            <v>BOX ENFERMERA SALUD MENTAL</v>
          </cell>
          <cell r="I90">
            <v>1</v>
          </cell>
          <cell r="J90" t="str">
            <v>C.2.5.2.10</v>
          </cell>
          <cell r="K90" t="str">
            <v>Psiquiatría</v>
          </cell>
          <cell r="L90">
            <v>2</v>
          </cell>
          <cell r="M90">
            <v>46015</v>
          </cell>
          <cell r="N90">
            <v>46017</v>
          </cell>
          <cell r="O90">
            <v>1</v>
          </cell>
          <cell r="P90">
            <v>46020</v>
          </cell>
          <cell r="Q90">
            <v>5</v>
          </cell>
          <cell r="R90" t="str">
            <v>NA</v>
          </cell>
          <cell r="S90">
            <v>5</v>
          </cell>
        </row>
        <row r="91">
          <cell r="B91" t="str">
            <v>EMMC</v>
          </cell>
          <cell r="C91" t="str">
            <v>HSLB12770</v>
          </cell>
          <cell r="D91">
            <v>113009</v>
          </cell>
          <cell r="E91" t="str">
            <v>Monitor de Signos Vitales Básico</v>
          </cell>
          <cell r="F91" t="str">
            <v>NO</v>
          </cell>
          <cell r="G91" t="str">
            <v>NO</v>
          </cell>
          <cell r="H91" t="str">
            <v>SALA TRABAJO GRUPAL ADULTO</v>
          </cell>
          <cell r="I91">
            <v>1</v>
          </cell>
          <cell r="J91" t="str">
            <v>C.2.5.2.16</v>
          </cell>
          <cell r="K91" t="str">
            <v>Psiquiatría</v>
          </cell>
          <cell r="L91">
            <v>2</v>
          </cell>
          <cell r="M91">
            <v>46015</v>
          </cell>
          <cell r="N91">
            <v>46017</v>
          </cell>
          <cell r="O91">
            <v>1</v>
          </cell>
          <cell r="P91">
            <v>46020</v>
          </cell>
          <cell r="Q91">
            <v>5</v>
          </cell>
          <cell r="R91" t="str">
            <v>NA</v>
          </cell>
          <cell r="S91">
            <v>5</v>
          </cell>
        </row>
        <row r="92">
          <cell r="B92" t="str">
            <v>EMMC</v>
          </cell>
          <cell r="C92" t="str">
            <v>HSLB12771</v>
          </cell>
          <cell r="D92">
            <v>113009</v>
          </cell>
          <cell r="E92" t="str">
            <v>Monitor de Signos Vitales Básico</v>
          </cell>
          <cell r="F92" t="str">
            <v>NO</v>
          </cell>
          <cell r="G92" t="str">
            <v>NO</v>
          </cell>
          <cell r="H92" t="str">
            <v>BOX ENFERMERA INFANTO JUVENIL</v>
          </cell>
          <cell r="I92">
            <v>1</v>
          </cell>
          <cell r="J92" t="str">
            <v>C.2.5.2.20</v>
          </cell>
          <cell r="K92" t="str">
            <v>Psiquiatría</v>
          </cell>
          <cell r="L92">
            <v>2</v>
          </cell>
          <cell r="M92">
            <v>46015</v>
          </cell>
          <cell r="N92">
            <v>46017</v>
          </cell>
          <cell r="O92">
            <v>1</v>
          </cell>
          <cell r="P92">
            <v>46020</v>
          </cell>
          <cell r="Q92">
            <v>5</v>
          </cell>
          <cell r="R92" t="str">
            <v>NA</v>
          </cell>
          <cell r="S92">
            <v>5</v>
          </cell>
        </row>
        <row r="93">
          <cell r="B93" t="str">
            <v>EMMC</v>
          </cell>
          <cell r="C93" t="str">
            <v>HSLB12775</v>
          </cell>
          <cell r="D93">
            <v>113009</v>
          </cell>
          <cell r="E93" t="str">
            <v>Monitor de Signos Vitales Básico</v>
          </cell>
          <cell r="F93" t="str">
            <v>NO</v>
          </cell>
          <cell r="G93" t="str">
            <v>NO</v>
          </cell>
          <cell r="H93" t="str">
            <v>SALA DE PROCEDIMIENTO</v>
          </cell>
          <cell r="I93">
            <v>1</v>
          </cell>
          <cell r="J93" t="str">
            <v>C.2.5.4.13</v>
          </cell>
          <cell r="K93" t="str">
            <v>Psiquiatría</v>
          </cell>
          <cell r="L93">
            <v>2</v>
          </cell>
          <cell r="M93">
            <v>46015</v>
          </cell>
          <cell r="N93">
            <v>46017</v>
          </cell>
          <cell r="O93">
            <v>1</v>
          </cell>
          <cell r="P93">
            <v>46020</v>
          </cell>
          <cell r="Q93">
            <v>5</v>
          </cell>
          <cell r="R93" t="str">
            <v>NA</v>
          </cell>
          <cell r="S93">
            <v>5</v>
          </cell>
        </row>
        <row r="94">
          <cell r="B94" t="str">
            <v>EMMC</v>
          </cell>
          <cell r="C94" t="str">
            <v>HSLB12843</v>
          </cell>
          <cell r="D94">
            <v>113013</v>
          </cell>
          <cell r="E94" t="str">
            <v>Monitor Desfibrilador</v>
          </cell>
          <cell r="F94" t="str">
            <v>NO</v>
          </cell>
          <cell r="G94" t="str">
            <v>NO</v>
          </cell>
          <cell r="H94" t="str">
            <v>SALA TEST DE ESFUERZO Y ESPIROMETRÍA</v>
          </cell>
          <cell r="I94">
            <v>1</v>
          </cell>
          <cell r="J94" t="str">
            <v>C.2.2.3.12</v>
          </cell>
          <cell r="K94" t="str">
            <v>Consultas Medicas Generales</v>
          </cell>
          <cell r="L94">
            <v>2</v>
          </cell>
          <cell r="M94">
            <v>46036</v>
          </cell>
          <cell r="N94">
            <v>46037</v>
          </cell>
          <cell r="O94">
            <v>1</v>
          </cell>
          <cell r="P94">
            <v>46041</v>
          </cell>
          <cell r="Q94">
            <v>5</v>
          </cell>
          <cell r="R94" t="str">
            <v>NA</v>
          </cell>
          <cell r="S94">
            <v>5</v>
          </cell>
        </row>
        <row r="95">
          <cell r="B95" t="str">
            <v>EMMC</v>
          </cell>
          <cell r="C95" t="str">
            <v>HSLB12844</v>
          </cell>
          <cell r="D95">
            <v>113013</v>
          </cell>
          <cell r="E95" t="str">
            <v>Monitor Desfibrilador</v>
          </cell>
          <cell r="F95" t="str">
            <v>NO</v>
          </cell>
          <cell r="G95" t="str">
            <v>SI</v>
          </cell>
          <cell r="H95" t="str">
            <v xml:space="preserve">SALA RECUPERACIÓN </v>
          </cell>
          <cell r="I95">
            <v>1</v>
          </cell>
          <cell r="J95" t="str">
            <v>C.2.2.3.15</v>
          </cell>
          <cell r="K95" t="str">
            <v>Consultas Medicas Generales</v>
          </cell>
          <cell r="L95">
            <v>2</v>
          </cell>
          <cell r="M95">
            <v>46003</v>
          </cell>
          <cell r="N95">
            <v>46006</v>
          </cell>
          <cell r="O95">
            <v>1</v>
          </cell>
          <cell r="P95">
            <v>46007</v>
          </cell>
          <cell r="Q95">
            <v>5</v>
          </cell>
          <cell r="R95" t="str">
            <v>NA</v>
          </cell>
          <cell r="S95">
            <v>5</v>
          </cell>
        </row>
        <row r="96">
          <cell r="B96" t="str">
            <v>EMMC</v>
          </cell>
          <cell r="C96" t="str">
            <v>HSLB10332</v>
          </cell>
          <cell r="D96">
            <v>103018</v>
          </cell>
          <cell r="E96" t="str">
            <v>Cinta Transportadora</v>
          </cell>
          <cell r="F96" t="str">
            <v>NO</v>
          </cell>
          <cell r="G96" t="str">
            <v>NO</v>
          </cell>
          <cell r="H96" t="str">
            <v>LINEA ENSAMBLAJE BANDEJAS</v>
          </cell>
          <cell r="I96">
            <v>1</v>
          </cell>
          <cell r="J96" t="str">
            <v>C.5.8.2.37</v>
          </cell>
          <cell r="K96" t="str">
            <v xml:space="preserve">Central de Alimentación </v>
          </cell>
          <cell r="L96">
            <v>2</v>
          </cell>
          <cell r="M96">
            <v>46003</v>
          </cell>
          <cell r="N96">
            <v>46006</v>
          </cell>
          <cell r="O96">
            <v>1</v>
          </cell>
          <cell r="P96">
            <v>46007</v>
          </cell>
          <cell r="Q96">
            <v>5</v>
          </cell>
          <cell r="R96" t="str">
            <v>NA</v>
          </cell>
          <cell r="S96">
            <v>5</v>
          </cell>
        </row>
        <row r="97">
          <cell r="B97" t="str">
            <v>EMMC</v>
          </cell>
          <cell r="C97" t="str">
            <v>HSLB10112</v>
          </cell>
          <cell r="D97">
            <v>101028</v>
          </cell>
          <cell r="E97" t="str">
            <v>Equipo Telemedicina con accesorios</v>
          </cell>
          <cell r="F97" t="str">
            <v>NO</v>
          </cell>
          <cell r="G97" t="str">
            <v>NO</v>
          </cell>
          <cell r="H97" t="str">
            <v>SALA TELEMEDICINA</v>
          </cell>
          <cell r="I97">
            <v>1</v>
          </cell>
          <cell r="J97" t="str">
            <v>C.2.6.1.1</v>
          </cell>
          <cell r="K97" t="str">
            <v>Telemedicina</v>
          </cell>
          <cell r="L97">
            <v>2</v>
          </cell>
          <cell r="M97">
            <v>46038</v>
          </cell>
          <cell r="N97">
            <v>46041</v>
          </cell>
          <cell r="O97">
            <v>1</v>
          </cell>
          <cell r="P97">
            <v>46042</v>
          </cell>
          <cell r="Q97">
            <v>5</v>
          </cell>
          <cell r="R97" t="str">
            <v>NA</v>
          </cell>
          <cell r="S97">
            <v>5</v>
          </cell>
        </row>
        <row r="98">
          <cell r="B98" t="str">
            <v>EMMC</v>
          </cell>
          <cell r="C98" t="str">
            <v>HSLB10114</v>
          </cell>
          <cell r="D98">
            <v>101029</v>
          </cell>
          <cell r="E98" t="str">
            <v>Equipo Videoconferencia</v>
          </cell>
          <cell r="F98" t="str">
            <v>NO</v>
          </cell>
          <cell r="G98" t="str">
            <v>NO</v>
          </cell>
          <cell r="H98" t="str">
            <v>SALA TELEMEDICINA</v>
          </cell>
          <cell r="I98">
            <v>1</v>
          </cell>
          <cell r="J98" t="str">
            <v>C.2.6.1.2</v>
          </cell>
          <cell r="K98" t="str">
            <v>Telemedicina</v>
          </cell>
          <cell r="L98">
            <v>2</v>
          </cell>
          <cell r="M98">
            <v>46038</v>
          </cell>
          <cell r="N98">
            <v>46041</v>
          </cell>
          <cell r="O98">
            <v>1</v>
          </cell>
          <cell r="P98">
            <v>46042</v>
          </cell>
          <cell r="Q98">
            <v>5</v>
          </cell>
          <cell r="R98" t="str">
            <v>NA</v>
          </cell>
          <cell r="S98">
            <v>5</v>
          </cell>
        </row>
        <row r="99">
          <cell r="B99" t="str">
            <v>EMMC</v>
          </cell>
          <cell r="C99" t="str">
            <v>HSLB11395</v>
          </cell>
          <cell r="D99">
            <v>110042</v>
          </cell>
          <cell r="E99" t="str">
            <v>Reenvasadora de Líquidos</v>
          </cell>
          <cell r="F99" t="str">
            <v>NO</v>
          </cell>
          <cell r="G99" t="str">
            <v>NO</v>
          </cell>
          <cell r="H99" t="str">
            <v>LÍQUIDOS</v>
          </cell>
          <cell r="I99">
            <v>1</v>
          </cell>
          <cell r="J99" t="str">
            <v>C.5.4.13</v>
          </cell>
          <cell r="K99" t="str">
            <v>Farmacia</v>
          </cell>
          <cell r="L99">
            <v>2</v>
          </cell>
          <cell r="M99">
            <v>46038</v>
          </cell>
          <cell r="N99">
            <v>46041</v>
          </cell>
          <cell r="O99">
            <v>1</v>
          </cell>
          <cell r="P99">
            <v>46042</v>
          </cell>
          <cell r="Q99">
            <v>5</v>
          </cell>
          <cell r="R99" t="str">
            <v>NA</v>
          </cell>
          <cell r="S99">
            <v>5</v>
          </cell>
        </row>
        <row r="100">
          <cell r="B100" t="str">
            <v>EMMC</v>
          </cell>
          <cell r="C100" t="str">
            <v>HSLB11396</v>
          </cell>
          <cell r="D100">
            <v>110043</v>
          </cell>
          <cell r="E100" t="str">
            <v>Reenvasadora de Medicamentos</v>
          </cell>
          <cell r="F100" t="str">
            <v>NO</v>
          </cell>
          <cell r="G100" t="str">
            <v>NO</v>
          </cell>
          <cell r="H100" t="str">
            <v>FRACCIONAMIENTO Y REENVASADO</v>
          </cell>
          <cell r="I100">
            <v>1</v>
          </cell>
          <cell r="J100" t="str">
            <v>C.5.4.11</v>
          </cell>
          <cell r="K100" t="str">
            <v>Farmacia</v>
          </cell>
          <cell r="L100">
            <v>2</v>
          </cell>
          <cell r="M100">
            <v>46038</v>
          </cell>
          <cell r="N100">
            <v>46041</v>
          </cell>
          <cell r="O100">
            <v>1</v>
          </cell>
          <cell r="P100">
            <v>46042</v>
          </cell>
          <cell r="Q100">
            <v>5</v>
          </cell>
          <cell r="R100" t="str">
            <v>NA</v>
          </cell>
          <cell r="S100">
            <v>5</v>
          </cell>
        </row>
        <row r="101">
          <cell r="B101" t="str">
            <v>EMMC</v>
          </cell>
          <cell r="C101" t="str">
            <v>HSLB12759</v>
          </cell>
          <cell r="D101">
            <v>113009</v>
          </cell>
          <cell r="E101" t="str">
            <v>Monitor de Signos Vitales Básico</v>
          </cell>
          <cell r="F101" t="str">
            <v>NO</v>
          </cell>
          <cell r="G101" t="str">
            <v>SI</v>
          </cell>
          <cell r="H101" t="str">
            <v xml:space="preserve">SALA RECUPERACIÓN </v>
          </cell>
          <cell r="I101">
            <v>4</v>
          </cell>
          <cell r="J101" t="str">
            <v>C.2.2.3.15</v>
          </cell>
          <cell r="K101" t="str">
            <v>Consultas Medicas Generales</v>
          </cell>
          <cell r="L101">
            <v>2</v>
          </cell>
          <cell r="M101">
            <v>46003</v>
          </cell>
          <cell r="N101">
            <v>46006</v>
          </cell>
          <cell r="O101">
            <v>1</v>
          </cell>
          <cell r="P101">
            <v>46008</v>
          </cell>
          <cell r="Q101">
            <v>5</v>
          </cell>
          <cell r="R101" t="str">
            <v>NA</v>
          </cell>
          <cell r="S101">
            <v>5</v>
          </cell>
        </row>
        <row r="102">
          <cell r="B102" t="str">
            <v>EMMC</v>
          </cell>
          <cell r="C102" t="str">
            <v>HSLB10283</v>
          </cell>
          <cell r="D102">
            <v>102012</v>
          </cell>
          <cell r="E102" t="str">
            <v>Videopanendoscopio adulto</v>
          </cell>
          <cell r="F102" t="str">
            <v>NO</v>
          </cell>
          <cell r="G102" t="str">
            <v>SI</v>
          </cell>
          <cell r="H102" t="str">
            <v>SALA PROCEDIMIENTOS ENDOSCOPÍA INDIFERENCIADO</v>
          </cell>
          <cell r="I102">
            <v>4</v>
          </cell>
          <cell r="J102" t="str">
            <v>C.2.2.3.14.3</v>
          </cell>
          <cell r="K102" t="str">
            <v>Consultas Medicas Especialidades</v>
          </cell>
          <cell r="L102">
            <v>2</v>
          </cell>
          <cell r="M102">
            <v>46003</v>
          </cell>
          <cell r="N102">
            <v>46006</v>
          </cell>
          <cell r="O102">
            <v>1</v>
          </cell>
          <cell r="P102">
            <v>46008</v>
          </cell>
          <cell r="Q102">
            <v>5</v>
          </cell>
          <cell r="R102" t="str">
            <v>NA</v>
          </cell>
          <cell r="S102">
            <v>5</v>
          </cell>
        </row>
        <row r="103">
          <cell r="B103" t="str">
            <v>EMMC</v>
          </cell>
          <cell r="C103" t="str">
            <v>HSLB10280</v>
          </cell>
          <cell r="D103">
            <v>102010</v>
          </cell>
          <cell r="E103" t="str">
            <v>Video colonoscopio adulto</v>
          </cell>
          <cell r="F103" t="str">
            <v>NO</v>
          </cell>
          <cell r="G103" t="str">
            <v>NO</v>
          </cell>
          <cell r="H103" t="str">
            <v>SALA PROCEDIMIENTOS ENDOSCOPÍA INDIFERENCIADO</v>
          </cell>
          <cell r="I103">
            <v>3</v>
          </cell>
          <cell r="J103" t="str">
            <v>C.2.2.3.14.1</v>
          </cell>
          <cell r="K103" t="str">
            <v>Consultas Medicas Especialidades</v>
          </cell>
          <cell r="L103">
            <v>2</v>
          </cell>
          <cell r="M103">
            <v>46038</v>
          </cell>
          <cell r="N103">
            <v>46041</v>
          </cell>
          <cell r="O103">
            <v>1</v>
          </cell>
          <cell r="P103">
            <v>46042</v>
          </cell>
          <cell r="Q103">
            <v>5</v>
          </cell>
          <cell r="R103" t="str">
            <v>NA</v>
          </cell>
          <cell r="S103">
            <v>5</v>
          </cell>
        </row>
        <row r="104">
          <cell r="B104" t="str">
            <v>EMMC</v>
          </cell>
          <cell r="C104" t="str">
            <v>HSLB10281</v>
          </cell>
          <cell r="D104">
            <v>102011</v>
          </cell>
          <cell r="E104" t="str">
            <v>Videoduodenoscopio adulto</v>
          </cell>
          <cell r="F104" t="str">
            <v>NO</v>
          </cell>
          <cell r="G104" t="str">
            <v>NO</v>
          </cell>
          <cell r="H104" t="str">
            <v>SALA PROCEDIMIENTOS ENDOSCOPÍA INDIFERENCIADO</v>
          </cell>
          <cell r="I104">
            <v>3</v>
          </cell>
          <cell r="J104" t="str">
            <v>C.2.2.3.14.2</v>
          </cell>
          <cell r="K104" t="str">
            <v>Consultas Medicas Especialidades</v>
          </cell>
          <cell r="L104">
            <v>2</v>
          </cell>
          <cell r="M104">
            <v>46038</v>
          </cell>
          <cell r="N104">
            <v>46041</v>
          </cell>
          <cell r="O104">
            <v>1</v>
          </cell>
          <cell r="P104">
            <v>46042</v>
          </cell>
          <cell r="Q104">
            <v>5</v>
          </cell>
          <cell r="R104" t="str">
            <v>NA</v>
          </cell>
          <cell r="S104">
            <v>5</v>
          </cell>
        </row>
        <row r="105">
          <cell r="B105" t="str">
            <v>EMMC</v>
          </cell>
          <cell r="C105" t="str">
            <v>HSLB10285</v>
          </cell>
          <cell r="D105">
            <v>102014</v>
          </cell>
          <cell r="E105" t="str">
            <v>Videoureterescopio</v>
          </cell>
          <cell r="F105" t="str">
            <v>NO</v>
          </cell>
          <cell r="G105" t="str">
            <v>NO</v>
          </cell>
          <cell r="H105" t="str">
            <v>SALA PROCEDIMIENTOS ENDOSCOPÍA INDIFERENCIADO</v>
          </cell>
          <cell r="I105">
            <v>2</v>
          </cell>
          <cell r="J105" t="str">
            <v>C.2.2.3.14.1</v>
          </cell>
          <cell r="K105" t="str">
            <v>Consultas Medicas Especialidades</v>
          </cell>
          <cell r="L105">
            <v>2</v>
          </cell>
          <cell r="M105">
            <v>46038</v>
          </cell>
          <cell r="N105">
            <v>46041</v>
          </cell>
          <cell r="O105">
            <v>1</v>
          </cell>
          <cell r="P105">
            <v>46042</v>
          </cell>
          <cell r="Q105">
            <v>5</v>
          </cell>
          <cell r="R105" t="str">
            <v>NA</v>
          </cell>
          <cell r="S105">
            <v>5</v>
          </cell>
        </row>
        <row r="106">
          <cell r="B106" t="str">
            <v>EMMC</v>
          </cell>
          <cell r="C106" t="str">
            <v>HSLB10271</v>
          </cell>
          <cell r="D106">
            <v>102007</v>
          </cell>
          <cell r="E106" t="str">
            <v>Torre de Endoscopía</v>
          </cell>
          <cell r="F106" t="str">
            <v>NO</v>
          </cell>
          <cell r="G106" t="str">
            <v>NO</v>
          </cell>
          <cell r="H106" t="str">
            <v>SALA PROCEDIMIENTOS ENDOSCOPÍA INDIFERENCIADO</v>
          </cell>
          <cell r="I106">
            <v>1</v>
          </cell>
          <cell r="J106" t="str">
            <v>C.2.2.3.14.1</v>
          </cell>
          <cell r="K106" t="str">
            <v>Consultas Medicas Especialidades</v>
          </cell>
          <cell r="L106">
            <v>2</v>
          </cell>
          <cell r="M106">
            <v>46038</v>
          </cell>
          <cell r="N106">
            <v>46041</v>
          </cell>
          <cell r="O106">
            <v>1</v>
          </cell>
          <cell r="P106">
            <v>46042</v>
          </cell>
          <cell r="Q106">
            <v>5</v>
          </cell>
          <cell r="R106" t="str">
            <v>NA</v>
          </cell>
          <cell r="S106">
            <v>5</v>
          </cell>
        </row>
        <row r="107">
          <cell r="B107" t="str">
            <v>EMMC</v>
          </cell>
          <cell r="C107" t="str">
            <v>HSLB10272</v>
          </cell>
          <cell r="D107">
            <v>102007</v>
          </cell>
          <cell r="E107" t="str">
            <v>Torre de Endoscopía</v>
          </cell>
          <cell r="F107" t="str">
            <v>NO</v>
          </cell>
          <cell r="G107" t="str">
            <v>NO</v>
          </cell>
          <cell r="H107" t="str">
            <v>SALA PROCEDIMIENTOS ENDOSCOPÍA INDIFERENCIADO</v>
          </cell>
          <cell r="I107">
            <v>1</v>
          </cell>
          <cell r="J107" t="str">
            <v>C.2.2.3.14.2</v>
          </cell>
          <cell r="K107" t="str">
            <v>Consultas Medicas Especialidades</v>
          </cell>
          <cell r="L107">
            <v>2</v>
          </cell>
          <cell r="M107">
            <v>46038</v>
          </cell>
          <cell r="N107">
            <v>46041</v>
          </cell>
          <cell r="O107">
            <v>1</v>
          </cell>
          <cell r="P107">
            <v>46042</v>
          </cell>
          <cell r="Q107">
            <v>5</v>
          </cell>
          <cell r="R107" t="str">
            <v>NA</v>
          </cell>
          <cell r="S107">
            <v>5</v>
          </cell>
        </row>
        <row r="108">
          <cell r="B108" t="str">
            <v>EMMC</v>
          </cell>
          <cell r="C108" t="str">
            <v>HSLB10273</v>
          </cell>
          <cell r="D108">
            <v>102007</v>
          </cell>
          <cell r="E108" t="str">
            <v>Torre de Endoscopía</v>
          </cell>
          <cell r="F108" t="str">
            <v>NO</v>
          </cell>
          <cell r="G108" t="str">
            <v>SI</v>
          </cell>
          <cell r="H108" t="str">
            <v>SALA PROCEDIMIENTOS ENDOSCOPÍA INDIFERENCIADO</v>
          </cell>
          <cell r="I108">
            <v>1</v>
          </cell>
          <cell r="J108" t="str">
            <v>C.2.2.3.14.3</v>
          </cell>
          <cell r="K108" t="str">
            <v>Consultas Medicas Especialidades</v>
          </cell>
          <cell r="L108">
            <v>2</v>
          </cell>
          <cell r="M108">
            <v>46003</v>
          </cell>
          <cell r="N108">
            <v>46006</v>
          </cell>
          <cell r="O108">
            <v>1</v>
          </cell>
          <cell r="P108">
            <v>46008</v>
          </cell>
          <cell r="Q108">
            <v>5</v>
          </cell>
          <cell r="R108" t="str">
            <v>NA</v>
          </cell>
          <cell r="S108">
            <v>5</v>
          </cell>
        </row>
        <row r="109">
          <cell r="B109" t="str">
            <v>EMMC</v>
          </cell>
          <cell r="C109" t="str">
            <v>HSLB12894</v>
          </cell>
          <cell r="D109">
            <v>114011</v>
          </cell>
          <cell r="E109" t="str">
            <v>Ultrasonido Dental</v>
          </cell>
          <cell r="F109" t="str">
            <v>NO</v>
          </cell>
          <cell r="G109" t="str">
            <v>NO</v>
          </cell>
          <cell r="H109" t="str">
            <v>BOX DENTAL POLIFUNCIONAL(1)</v>
          </cell>
          <cell r="I109">
            <v>1</v>
          </cell>
          <cell r="J109" t="str">
            <v>C.2.2.4.7.1</v>
          </cell>
          <cell r="K109" t="str">
            <v>Odontología</v>
          </cell>
          <cell r="L109">
            <v>2</v>
          </cell>
          <cell r="M109">
            <v>46010</v>
          </cell>
          <cell r="N109">
            <v>46013</v>
          </cell>
          <cell r="O109">
            <v>1</v>
          </cell>
          <cell r="P109">
            <v>46014</v>
          </cell>
          <cell r="Q109">
            <v>5</v>
          </cell>
          <cell r="R109" t="str">
            <v>NA</v>
          </cell>
          <cell r="S109">
            <v>5</v>
          </cell>
        </row>
        <row r="110">
          <cell r="B110" t="str">
            <v>EMMC</v>
          </cell>
          <cell r="C110" t="str">
            <v>HSLB10284</v>
          </cell>
          <cell r="D110">
            <v>102013</v>
          </cell>
          <cell r="E110" t="str">
            <v>Videopanendoscopio pediátrico</v>
          </cell>
          <cell r="F110" t="str">
            <v>NO</v>
          </cell>
          <cell r="G110" t="str">
            <v>SI</v>
          </cell>
          <cell r="H110" t="str">
            <v>SALA PROCEDIMIENTOS ENDOSCOPÍA INDIFERENCIADO</v>
          </cell>
          <cell r="I110">
            <v>1</v>
          </cell>
          <cell r="J110" t="str">
            <v>C.2.2.3.14.3</v>
          </cell>
          <cell r="K110" t="str">
            <v>Consultas Medicas Especialidades</v>
          </cell>
          <cell r="L110">
            <v>2</v>
          </cell>
          <cell r="M110">
            <v>46003</v>
          </cell>
          <cell r="N110">
            <v>46006</v>
          </cell>
          <cell r="O110">
            <v>1</v>
          </cell>
          <cell r="P110">
            <v>46008</v>
          </cell>
          <cell r="Q110">
            <v>5</v>
          </cell>
          <cell r="R110" t="str">
            <v>NA</v>
          </cell>
          <cell r="S110">
            <v>5</v>
          </cell>
        </row>
        <row r="111">
          <cell r="B111" t="str">
            <v>EMMC</v>
          </cell>
          <cell r="C111" t="str">
            <v>HSLB12722</v>
          </cell>
          <cell r="D111">
            <v>113006</v>
          </cell>
          <cell r="E111" t="str">
            <v>Monitor Cardiofetal Gemelar</v>
          </cell>
          <cell r="F111" t="str">
            <v>NO</v>
          </cell>
          <cell r="G111" t="str">
            <v>NO</v>
          </cell>
          <cell r="H111" t="str">
            <v>SALA PROCEDIMIENTOS MONITOREO FETAL</v>
          </cell>
          <cell r="I111">
            <v>3</v>
          </cell>
          <cell r="J111" t="str">
            <v>C.2.2.2.14</v>
          </cell>
          <cell r="K111" t="str">
            <v>Consultas Medicas Generales</v>
          </cell>
          <cell r="L111">
            <v>2</v>
          </cell>
          <cell r="M111">
            <v>46036</v>
          </cell>
          <cell r="N111">
            <v>46037</v>
          </cell>
          <cell r="O111">
            <v>1</v>
          </cell>
          <cell r="P111">
            <v>46038</v>
          </cell>
          <cell r="Q111">
            <v>5</v>
          </cell>
          <cell r="R111" t="str">
            <v>NA</v>
          </cell>
          <cell r="S111">
            <v>5</v>
          </cell>
        </row>
        <row r="112">
          <cell r="B112" t="str">
            <v>EMMC</v>
          </cell>
          <cell r="C112" t="str">
            <v>HSLB11811</v>
          </cell>
          <cell r="D112">
            <v>112022</v>
          </cell>
          <cell r="E112" t="str">
            <v>Carro de Paro</v>
          </cell>
          <cell r="F112" t="str">
            <v>NO</v>
          </cell>
          <cell r="G112" t="str">
            <v>NO</v>
          </cell>
          <cell r="H112" t="str">
            <v>SALA TEST DE ESFUERZO Y ESPIROMETRÍA</v>
          </cell>
          <cell r="I112">
            <v>1</v>
          </cell>
          <cell r="J112" t="str">
            <v>C.2.2.3.12</v>
          </cell>
          <cell r="K112" t="str">
            <v>Consultas Medicas Generales</v>
          </cell>
          <cell r="L112">
            <v>2</v>
          </cell>
          <cell r="M112">
            <v>46036</v>
          </cell>
          <cell r="N112">
            <v>46037</v>
          </cell>
          <cell r="O112">
            <v>1</v>
          </cell>
          <cell r="P112">
            <v>46038</v>
          </cell>
          <cell r="Q112">
            <v>5</v>
          </cell>
          <cell r="R112" t="str">
            <v>NA</v>
          </cell>
          <cell r="S112">
            <v>5</v>
          </cell>
        </row>
        <row r="113">
          <cell r="B113" t="str">
            <v>EMMC</v>
          </cell>
          <cell r="C113" t="str">
            <v>HSLB12847</v>
          </cell>
          <cell r="D113">
            <v>113013</v>
          </cell>
          <cell r="E113" t="str">
            <v>Monitor Desfibrilador</v>
          </cell>
          <cell r="F113" t="str">
            <v>NO</v>
          </cell>
          <cell r="G113" t="str">
            <v>NO</v>
          </cell>
          <cell r="H113" t="str">
            <v>SALA DE PROCEDIMIENTO</v>
          </cell>
          <cell r="I113">
            <v>1</v>
          </cell>
          <cell r="J113" t="str">
            <v>C.2.5.4.13</v>
          </cell>
          <cell r="K113" t="str">
            <v>Psiquiatría</v>
          </cell>
          <cell r="L113">
            <v>2</v>
          </cell>
          <cell r="M113">
            <v>46015</v>
          </cell>
          <cell r="N113">
            <v>46017</v>
          </cell>
          <cell r="O113">
            <v>1</v>
          </cell>
          <cell r="P113">
            <v>46020</v>
          </cell>
          <cell r="Q113">
            <v>5</v>
          </cell>
          <cell r="R113" t="str">
            <v>NA</v>
          </cell>
          <cell r="S113">
            <v>5</v>
          </cell>
        </row>
        <row r="114">
          <cell r="B114" t="str">
            <v>EMMC</v>
          </cell>
          <cell r="C114" t="str">
            <v>HSLB12895</v>
          </cell>
          <cell r="D114">
            <v>114011</v>
          </cell>
          <cell r="E114" t="str">
            <v>Ultrasonido Dental</v>
          </cell>
          <cell r="F114" t="str">
            <v>NO</v>
          </cell>
          <cell r="G114" t="str">
            <v>NO</v>
          </cell>
          <cell r="H114" t="str">
            <v>BOX DENTAL POLIFUNCIONAL(2)</v>
          </cell>
          <cell r="I114">
            <v>1</v>
          </cell>
          <cell r="J114" t="str">
            <v>C.2.2.4.7.2</v>
          </cell>
          <cell r="K114" t="str">
            <v>Odontología</v>
          </cell>
          <cell r="L114">
            <v>2</v>
          </cell>
          <cell r="M114">
            <v>46010</v>
          </cell>
          <cell r="N114">
            <v>46013</v>
          </cell>
          <cell r="O114">
            <v>1</v>
          </cell>
          <cell r="P114">
            <v>46014</v>
          </cell>
          <cell r="Q114">
            <v>5</v>
          </cell>
          <cell r="R114" t="str">
            <v>NA</v>
          </cell>
          <cell r="S114">
            <v>5</v>
          </cell>
        </row>
        <row r="115">
          <cell r="B115" t="str">
            <v>EMMC</v>
          </cell>
          <cell r="C115" t="str">
            <v>HSLB10298</v>
          </cell>
          <cell r="D115">
            <v>103008</v>
          </cell>
          <cell r="E115" t="str">
            <v>Batidora Industrial 20 l</v>
          </cell>
          <cell r="F115" t="str">
            <v>NO</v>
          </cell>
          <cell r="G115" t="str">
            <v>NO</v>
          </cell>
          <cell r="H115" t="str">
            <v>ÁREA ARMADO DESAYUNOS, POSTRES Y COLACIONES</v>
          </cell>
          <cell r="I115">
            <v>2</v>
          </cell>
          <cell r="J115" t="str">
            <v>C.5.8.2.31</v>
          </cell>
          <cell r="K115" t="str">
            <v xml:space="preserve">Central de Alimentación </v>
          </cell>
          <cell r="L115">
            <v>2</v>
          </cell>
          <cell r="M115">
            <v>46003</v>
          </cell>
          <cell r="N115">
            <v>46006</v>
          </cell>
          <cell r="O115">
            <v>1</v>
          </cell>
          <cell r="P115">
            <v>46007</v>
          </cell>
          <cell r="Q115">
            <v>5</v>
          </cell>
          <cell r="R115" t="str">
            <v>NA</v>
          </cell>
          <cell r="S115">
            <v>5</v>
          </cell>
        </row>
        <row r="116">
          <cell r="B116" t="str">
            <v>EMMC</v>
          </cell>
          <cell r="C116" t="str">
            <v>HSLB12183</v>
          </cell>
          <cell r="D116">
            <v>112055</v>
          </cell>
          <cell r="E116" t="str">
            <v>Gabinete para Endoscopios</v>
          </cell>
          <cell r="F116" t="str">
            <v>NO</v>
          </cell>
          <cell r="G116" t="str">
            <v>NO</v>
          </cell>
          <cell r="H116" t="str">
            <v>SALA DAN</v>
          </cell>
          <cell r="I116">
            <v>2</v>
          </cell>
          <cell r="J116" t="str">
            <v>C.2.2.3.17</v>
          </cell>
          <cell r="K116" t="str">
            <v>Consultas Medicas Especialidades - Sala DAN</v>
          </cell>
          <cell r="L116">
            <v>2</v>
          </cell>
          <cell r="M116">
            <v>46038</v>
          </cell>
          <cell r="N116">
            <v>46041</v>
          </cell>
          <cell r="O116">
            <v>1</v>
          </cell>
          <cell r="P116">
            <v>46042</v>
          </cell>
          <cell r="Q116">
            <v>5</v>
          </cell>
          <cell r="R116" t="str">
            <v>NA</v>
          </cell>
          <cell r="S116">
            <v>5</v>
          </cell>
        </row>
        <row r="117">
          <cell r="B117" t="str">
            <v>EMMC</v>
          </cell>
          <cell r="C117" t="str">
            <v>HSLB10168</v>
          </cell>
          <cell r="D117">
            <v>101038</v>
          </cell>
          <cell r="E117" t="str">
            <v>Laringoscopio con Fuente de Luz</v>
          </cell>
          <cell r="F117" t="str">
            <v>NO</v>
          </cell>
          <cell r="G117" t="str">
            <v>NO</v>
          </cell>
          <cell r="H117" t="str">
            <v>BOX CARDIO OTORRINO</v>
          </cell>
          <cell r="I117">
            <v>1</v>
          </cell>
          <cell r="J117" t="str">
            <v>C.2.2.3.3</v>
          </cell>
          <cell r="K117" t="str">
            <v>Consultas Medicas Especialidades</v>
          </cell>
          <cell r="L117">
            <v>2</v>
          </cell>
          <cell r="M117">
            <v>46038</v>
          </cell>
          <cell r="N117">
            <v>46041</v>
          </cell>
          <cell r="O117">
            <v>1</v>
          </cell>
          <cell r="P117">
            <v>46042</v>
          </cell>
          <cell r="Q117">
            <v>5</v>
          </cell>
          <cell r="R117" t="str">
            <v>NA</v>
          </cell>
          <cell r="S117">
            <v>5</v>
          </cell>
        </row>
        <row r="118">
          <cell r="B118" t="str">
            <v>EMMC</v>
          </cell>
          <cell r="C118" t="str">
            <v>HSLB10567</v>
          </cell>
          <cell r="D118">
            <v>104024</v>
          </cell>
          <cell r="E118" t="str">
            <v>Motor Quirúrgico Dental</v>
          </cell>
          <cell r="F118" t="str">
            <v>NO</v>
          </cell>
          <cell r="G118" t="str">
            <v>NO</v>
          </cell>
          <cell r="H118" t="str">
            <v>PABELLON CIRUGIA MENOR DENTAL</v>
          </cell>
          <cell r="I118">
            <v>2</v>
          </cell>
          <cell r="J118" t="str">
            <v>C.5.6.4.8</v>
          </cell>
          <cell r="K118" t="str">
            <v>Consultas Medicas Especialidades</v>
          </cell>
          <cell r="L118">
            <v>2</v>
          </cell>
          <cell r="M118">
            <v>46038</v>
          </cell>
          <cell r="N118">
            <v>46041</v>
          </cell>
          <cell r="O118">
            <v>1</v>
          </cell>
          <cell r="P118">
            <v>46042</v>
          </cell>
          <cell r="Q118">
            <v>5</v>
          </cell>
          <cell r="R118" t="str">
            <v>NA</v>
          </cell>
          <cell r="S118">
            <v>5</v>
          </cell>
        </row>
        <row r="119">
          <cell r="B119" t="str">
            <v>EMMC</v>
          </cell>
          <cell r="C119" t="str">
            <v>HSLB11812</v>
          </cell>
          <cell r="D119">
            <v>112022</v>
          </cell>
          <cell r="E119" t="str">
            <v>Carro de Paro</v>
          </cell>
          <cell r="F119" t="str">
            <v>NO</v>
          </cell>
          <cell r="G119" t="str">
            <v>SI</v>
          </cell>
          <cell r="H119" t="str">
            <v xml:space="preserve">SALA RECUPERACIÓN </v>
          </cell>
          <cell r="I119">
            <v>1</v>
          </cell>
          <cell r="J119" t="str">
            <v>C.2.2.3.15</v>
          </cell>
          <cell r="K119" t="str">
            <v>Consultas Medicas Generales</v>
          </cell>
          <cell r="L119">
            <v>2</v>
          </cell>
          <cell r="M119">
            <v>46003</v>
          </cell>
          <cell r="N119">
            <v>46006</v>
          </cell>
          <cell r="O119">
            <v>1</v>
          </cell>
          <cell r="P119">
            <v>46007</v>
          </cell>
          <cell r="Q119">
            <v>5</v>
          </cell>
          <cell r="R119" t="str">
            <v>NA</v>
          </cell>
          <cell r="S119">
            <v>5</v>
          </cell>
        </row>
        <row r="120">
          <cell r="B120" t="str">
            <v>EMMC</v>
          </cell>
          <cell r="C120" t="str">
            <v>HSLB11150</v>
          </cell>
          <cell r="D120">
            <v>108003</v>
          </cell>
          <cell r="E120" t="str">
            <v>Ecotomógrafo Gineco- Obstétrico</v>
          </cell>
          <cell r="F120" t="str">
            <v>NO</v>
          </cell>
          <cell r="G120" t="str">
            <v>NO</v>
          </cell>
          <cell r="H120" t="str">
            <v>SALA PROCEDIMIENTOS GINECO-OBSTÉTRICO</v>
          </cell>
          <cell r="I120">
            <v>1</v>
          </cell>
          <cell r="J120" t="str">
            <v>C.2.2.2.15</v>
          </cell>
          <cell r="K120" t="str">
            <v>Consultas Medicas Generales</v>
          </cell>
          <cell r="L120">
            <v>2</v>
          </cell>
          <cell r="M120">
            <v>46036</v>
          </cell>
          <cell r="N120">
            <v>46037</v>
          </cell>
          <cell r="O120">
            <v>1</v>
          </cell>
          <cell r="P120">
            <v>46038</v>
          </cell>
          <cell r="Q120">
            <v>5</v>
          </cell>
          <cell r="R120" t="str">
            <v>NA</v>
          </cell>
          <cell r="S120">
            <v>5</v>
          </cell>
        </row>
        <row r="121">
          <cell r="B121" t="str">
            <v>EMMC</v>
          </cell>
          <cell r="C121" t="str">
            <v>HSLB10122</v>
          </cell>
          <cell r="D121">
            <v>101034</v>
          </cell>
          <cell r="E121" t="str">
            <v>Impedanciómetro</v>
          </cell>
          <cell r="F121" t="str">
            <v>NO</v>
          </cell>
          <cell r="G121" t="str">
            <v>NO</v>
          </cell>
          <cell r="H121" t="str">
            <v>SALA PROCEDIMIENTOS OTORRINO ESTUDIOS AUDITIVOS</v>
          </cell>
          <cell r="I121">
            <v>1</v>
          </cell>
          <cell r="J121" t="str">
            <v>C.2.2.3.8</v>
          </cell>
          <cell r="K121" t="str">
            <v>Consultas Medicas Especialidades</v>
          </cell>
          <cell r="L121">
            <v>2</v>
          </cell>
          <cell r="M121">
            <v>46038</v>
          </cell>
          <cell r="N121">
            <v>46041</v>
          </cell>
          <cell r="O121">
            <v>1</v>
          </cell>
          <cell r="P121">
            <v>46042</v>
          </cell>
          <cell r="Q121">
            <v>5</v>
          </cell>
          <cell r="R121" t="str">
            <v>NA</v>
          </cell>
          <cell r="S121">
            <v>5</v>
          </cell>
        </row>
        <row r="122">
          <cell r="B122" t="str">
            <v>EMMC</v>
          </cell>
          <cell r="C122" t="str">
            <v>HSLB12896</v>
          </cell>
          <cell r="D122">
            <v>114011</v>
          </cell>
          <cell r="E122" t="str">
            <v>Ultrasonido Dental</v>
          </cell>
          <cell r="F122" t="str">
            <v>NO</v>
          </cell>
          <cell r="G122" t="str">
            <v>NO</v>
          </cell>
          <cell r="H122" t="str">
            <v>BOX DENTAL POLIFUNCIONAL(3)</v>
          </cell>
          <cell r="I122">
            <v>1</v>
          </cell>
          <cell r="J122" t="str">
            <v>C.2.2.4.7.3</v>
          </cell>
          <cell r="K122" t="str">
            <v>Odontología</v>
          </cell>
          <cell r="L122">
            <v>2</v>
          </cell>
          <cell r="M122">
            <v>46010</v>
          </cell>
          <cell r="N122">
            <v>46013</v>
          </cell>
          <cell r="O122">
            <v>1</v>
          </cell>
          <cell r="P122">
            <v>46014</v>
          </cell>
          <cell r="Q122">
            <v>5</v>
          </cell>
          <cell r="R122" t="str">
            <v>NA</v>
          </cell>
          <cell r="S122">
            <v>5</v>
          </cell>
        </row>
        <row r="123">
          <cell r="B123" t="str">
            <v>EMMC</v>
          </cell>
          <cell r="C123" t="str">
            <v>HSLB10004</v>
          </cell>
          <cell r="D123">
            <v>101005</v>
          </cell>
          <cell r="E123" t="str">
            <v>Balanza Adulto con Tallímetro</v>
          </cell>
          <cell r="F123" t="str">
            <v>NO</v>
          </cell>
          <cell r="G123" t="str">
            <v>NO</v>
          </cell>
          <cell r="H123" t="str">
            <v>BOX MATRONA C/BAÑO</v>
          </cell>
          <cell r="I123">
            <v>1</v>
          </cell>
          <cell r="J123" t="str">
            <v>C.2.2.2.10</v>
          </cell>
          <cell r="K123" t="str">
            <v>Consultas Medicas Generales</v>
          </cell>
          <cell r="L123">
            <v>2</v>
          </cell>
          <cell r="M123">
            <v>46036</v>
          </cell>
          <cell r="N123">
            <v>46037</v>
          </cell>
          <cell r="O123">
            <v>1</v>
          </cell>
          <cell r="P123">
            <v>46038</v>
          </cell>
          <cell r="Q123">
            <v>5</v>
          </cell>
          <cell r="R123" t="str">
            <v>NA</v>
          </cell>
          <cell r="S123">
            <v>5</v>
          </cell>
        </row>
        <row r="124">
          <cell r="B124" t="str">
            <v>EMMC</v>
          </cell>
          <cell r="C124" t="str">
            <v>HSLB10005</v>
          </cell>
          <cell r="D124">
            <v>101005</v>
          </cell>
          <cell r="E124" t="str">
            <v>Balanza Adulto con Tallímetro</v>
          </cell>
          <cell r="F124" t="str">
            <v>NO</v>
          </cell>
          <cell r="G124" t="str">
            <v>NO</v>
          </cell>
          <cell r="H124" t="str">
            <v>BOX MULTIPROPÓSITO</v>
          </cell>
          <cell r="I124">
            <v>1</v>
          </cell>
          <cell r="J124" t="str">
            <v>C.2.2.2.13</v>
          </cell>
          <cell r="K124" t="str">
            <v>Consultas Medicas Generales</v>
          </cell>
          <cell r="L124">
            <v>2</v>
          </cell>
          <cell r="M124">
            <v>46036</v>
          </cell>
          <cell r="N124">
            <v>46037</v>
          </cell>
          <cell r="O124">
            <v>1</v>
          </cell>
          <cell r="P124">
            <v>46038</v>
          </cell>
          <cell r="Q124">
            <v>5</v>
          </cell>
          <cell r="R124" t="str">
            <v>NA</v>
          </cell>
          <cell r="S124">
            <v>5</v>
          </cell>
        </row>
        <row r="125">
          <cell r="B125" t="str">
            <v>EMMC</v>
          </cell>
          <cell r="C125" t="str">
            <v>HSLB10006</v>
          </cell>
          <cell r="D125">
            <v>101005</v>
          </cell>
          <cell r="E125" t="str">
            <v>Balanza Adulto con Tallímetro</v>
          </cell>
          <cell r="F125" t="str">
            <v>NO</v>
          </cell>
          <cell r="G125" t="str">
            <v>NO</v>
          </cell>
          <cell r="H125" t="str">
            <v>SALA PREPARACIÓN DE PACIENTES ADULTO</v>
          </cell>
          <cell r="I125">
            <v>1</v>
          </cell>
          <cell r="J125" t="str">
            <v>C.2.2.2.3</v>
          </cell>
          <cell r="K125" t="str">
            <v>Consultas Medicas Generales</v>
          </cell>
          <cell r="L125">
            <v>2</v>
          </cell>
          <cell r="M125">
            <v>46036</v>
          </cell>
          <cell r="N125">
            <v>46037</v>
          </cell>
          <cell r="O125">
            <v>1</v>
          </cell>
          <cell r="P125">
            <v>46038</v>
          </cell>
          <cell r="Q125">
            <v>5</v>
          </cell>
          <cell r="R125" t="str">
            <v>NA</v>
          </cell>
          <cell r="S125">
            <v>5</v>
          </cell>
        </row>
        <row r="126">
          <cell r="B126" t="str">
            <v>EMMC</v>
          </cell>
          <cell r="C126" t="str">
            <v>HSLB10007</v>
          </cell>
          <cell r="D126">
            <v>101005</v>
          </cell>
          <cell r="E126" t="str">
            <v>Balanza Adulto con Tallímetro</v>
          </cell>
          <cell r="F126" t="str">
            <v>NO</v>
          </cell>
          <cell r="G126" t="str">
            <v>NO</v>
          </cell>
          <cell r="H126" t="str">
            <v>SALA PREPARACIÓN DE PACIENTES INFANTIL</v>
          </cell>
          <cell r="I126">
            <v>1</v>
          </cell>
          <cell r="J126" t="str">
            <v>C.2.2.2.4</v>
          </cell>
          <cell r="K126" t="str">
            <v>Consultas Medicas Generales</v>
          </cell>
          <cell r="L126">
            <v>2</v>
          </cell>
          <cell r="M126">
            <v>46036</v>
          </cell>
          <cell r="N126">
            <v>46037</v>
          </cell>
          <cell r="O126">
            <v>1</v>
          </cell>
          <cell r="P126">
            <v>46038</v>
          </cell>
          <cell r="Q126">
            <v>5</v>
          </cell>
          <cell r="R126" t="str">
            <v>NA</v>
          </cell>
          <cell r="S126">
            <v>5</v>
          </cell>
        </row>
        <row r="127">
          <cell r="B127" t="str">
            <v>EMMC</v>
          </cell>
          <cell r="C127" t="str">
            <v>HSLB10036</v>
          </cell>
          <cell r="D127">
            <v>101007</v>
          </cell>
          <cell r="E127" t="str">
            <v>Balanza de Composición Corporal</v>
          </cell>
          <cell r="F127" t="str">
            <v>NO</v>
          </cell>
          <cell r="G127" t="str">
            <v>NO</v>
          </cell>
          <cell r="H127" t="str">
            <v>BOX MULTIPROPÓSITO</v>
          </cell>
          <cell r="I127">
            <v>1</v>
          </cell>
          <cell r="J127" t="str">
            <v>C.2.2.2.13</v>
          </cell>
          <cell r="K127" t="str">
            <v>Consultas medicas generales</v>
          </cell>
          <cell r="L127">
            <v>2</v>
          </cell>
          <cell r="M127">
            <v>46036</v>
          </cell>
          <cell r="N127">
            <v>46037</v>
          </cell>
          <cell r="O127">
            <v>1</v>
          </cell>
          <cell r="P127">
            <v>46038</v>
          </cell>
          <cell r="Q127">
            <v>5</v>
          </cell>
          <cell r="R127" t="str">
            <v>NA</v>
          </cell>
          <cell r="S127">
            <v>5</v>
          </cell>
        </row>
        <row r="128">
          <cell r="B128" t="str">
            <v>EMMC</v>
          </cell>
          <cell r="C128" t="str">
            <v>HSLB10048</v>
          </cell>
          <cell r="D128">
            <v>101010</v>
          </cell>
          <cell r="E128" t="str">
            <v>Balanza Lactante con Cartabón con Carro</v>
          </cell>
          <cell r="F128" t="str">
            <v>NO</v>
          </cell>
          <cell r="G128" t="str">
            <v>NO</v>
          </cell>
          <cell r="H128" t="str">
            <v>SALA PREPARACIÓN DE PACIENTES INFANTIL</v>
          </cell>
          <cell r="I128">
            <v>1</v>
          </cell>
          <cell r="J128" t="str">
            <v>C.2.2.2.4</v>
          </cell>
          <cell r="K128" t="str">
            <v>Consultas medicas generales</v>
          </cell>
          <cell r="L128">
            <v>2</v>
          </cell>
          <cell r="M128">
            <v>46036</v>
          </cell>
          <cell r="N128">
            <v>46037</v>
          </cell>
          <cell r="O128">
            <v>1</v>
          </cell>
          <cell r="P128">
            <v>46038</v>
          </cell>
          <cell r="Q128">
            <v>5</v>
          </cell>
          <cell r="R128" t="str">
            <v>NA</v>
          </cell>
          <cell r="S128">
            <v>5</v>
          </cell>
        </row>
        <row r="129">
          <cell r="B129" t="str">
            <v>EMMC</v>
          </cell>
          <cell r="C129" t="str">
            <v>HSLB10049</v>
          </cell>
          <cell r="D129">
            <v>101010</v>
          </cell>
          <cell r="E129" t="str">
            <v>Balanza Lactante con Cartabón con Carro</v>
          </cell>
          <cell r="F129" t="str">
            <v>NO</v>
          </cell>
          <cell r="G129" t="str">
            <v>NO</v>
          </cell>
          <cell r="H129" t="str">
            <v>BOX OBSTETRICIA C/BAÑO</v>
          </cell>
          <cell r="I129">
            <v>1</v>
          </cell>
          <cell r="J129" t="str">
            <v>C.2.2.2.9</v>
          </cell>
          <cell r="K129" t="str">
            <v>Consultas medicas generales</v>
          </cell>
          <cell r="L129">
            <v>2</v>
          </cell>
          <cell r="M129">
            <v>46036</v>
          </cell>
          <cell r="N129">
            <v>46037</v>
          </cell>
          <cell r="O129">
            <v>1</v>
          </cell>
          <cell r="P129">
            <v>46038</v>
          </cell>
          <cell r="Q129">
            <v>5</v>
          </cell>
          <cell r="R129" t="str">
            <v>NA</v>
          </cell>
          <cell r="S129">
            <v>5</v>
          </cell>
        </row>
        <row r="130">
          <cell r="B130" t="str">
            <v>EMMC</v>
          </cell>
          <cell r="C130" t="str">
            <v>HSLB10052</v>
          </cell>
          <cell r="D130">
            <v>101011</v>
          </cell>
          <cell r="E130" t="str">
            <v>Balanza Plataforma Multifuncional</v>
          </cell>
          <cell r="F130" t="str">
            <v>NO</v>
          </cell>
          <cell r="G130" t="str">
            <v>NO</v>
          </cell>
          <cell r="H130" t="str">
            <v>SALA PREPARACIÓN DE PACIENTES ADULTO</v>
          </cell>
          <cell r="I130">
            <v>1</v>
          </cell>
          <cell r="J130" t="str">
            <v>C.2.2.2.3</v>
          </cell>
          <cell r="K130" t="str">
            <v>Consultas medicas generales</v>
          </cell>
          <cell r="L130">
            <v>2</v>
          </cell>
          <cell r="M130">
            <v>46036</v>
          </cell>
          <cell r="N130">
            <v>46037</v>
          </cell>
          <cell r="O130">
            <v>1</v>
          </cell>
          <cell r="P130">
            <v>46038</v>
          </cell>
          <cell r="Q130">
            <v>5</v>
          </cell>
          <cell r="R130" t="str">
            <v>NA</v>
          </cell>
          <cell r="S130">
            <v>5</v>
          </cell>
        </row>
        <row r="131">
          <cell r="B131" t="str">
            <v>EMMC</v>
          </cell>
          <cell r="C131" t="str">
            <v>HSLB10487</v>
          </cell>
          <cell r="D131">
            <v>104002</v>
          </cell>
          <cell r="E131" t="str">
            <v>BOMBA ASPIRACIÓN UNIVERSAL</v>
          </cell>
          <cell r="F131" t="str">
            <v>NO</v>
          </cell>
          <cell r="G131" t="str">
            <v>NO</v>
          </cell>
          <cell r="H131" t="str">
            <v>PABELLON CIRUGIA MENOR DENTAL</v>
          </cell>
          <cell r="I131">
            <v>1</v>
          </cell>
          <cell r="J131" t="str">
            <v>C.5.6.4.8</v>
          </cell>
          <cell r="K131" t="str">
            <v>Consultas Medicas Generales</v>
          </cell>
          <cell r="L131">
            <v>2</v>
          </cell>
          <cell r="M131">
            <v>46036</v>
          </cell>
          <cell r="N131">
            <v>46037</v>
          </cell>
          <cell r="O131">
            <v>1</v>
          </cell>
          <cell r="P131">
            <v>46038</v>
          </cell>
          <cell r="Q131">
            <v>5</v>
          </cell>
          <cell r="R131" t="str">
            <v>NA</v>
          </cell>
          <cell r="S131">
            <v>5</v>
          </cell>
        </row>
        <row r="132">
          <cell r="B132" t="str">
            <v>EMMC</v>
          </cell>
          <cell r="C132" t="str">
            <v>HSLB11661</v>
          </cell>
          <cell r="D132">
            <v>112009</v>
          </cell>
          <cell r="E132" t="str">
            <v>Camilla Examen Ajustable en Altura</v>
          </cell>
          <cell r="F132" t="str">
            <v>NO</v>
          </cell>
          <cell r="G132" t="str">
            <v>NO</v>
          </cell>
          <cell r="H132" t="str">
            <v>SALA PROCEDIMIENTOS MONITOREO FETAL</v>
          </cell>
          <cell r="I132">
            <v>1</v>
          </cell>
          <cell r="J132" t="str">
            <v>C.2.2.2.14</v>
          </cell>
          <cell r="K132" t="str">
            <v>Consultas medicas generales</v>
          </cell>
          <cell r="L132">
            <v>2</v>
          </cell>
          <cell r="M132">
            <v>46036</v>
          </cell>
          <cell r="N132">
            <v>46037</v>
          </cell>
          <cell r="O132">
            <v>1</v>
          </cell>
          <cell r="P132">
            <v>46038</v>
          </cell>
          <cell r="Q132">
            <v>5</v>
          </cell>
          <cell r="R132" t="str">
            <v>NA</v>
          </cell>
          <cell r="S132">
            <v>5</v>
          </cell>
        </row>
        <row r="133">
          <cell r="B133" t="str">
            <v>EMMC</v>
          </cell>
          <cell r="C133" t="str">
            <v>HSLB11662</v>
          </cell>
          <cell r="D133">
            <v>112009</v>
          </cell>
          <cell r="E133" t="str">
            <v>Camilla Examen Ajustable en Altura</v>
          </cell>
          <cell r="F133" t="str">
            <v>NO</v>
          </cell>
          <cell r="G133" t="str">
            <v>NO</v>
          </cell>
          <cell r="H133" t="str">
            <v>BOX GERIATRÍA</v>
          </cell>
          <cell r="I133">
            <v>1</v>
          </cell>
          <cell r="J133" t="str">
            <v>C.2.2.2.17.6</v>
          </cell>
          <cell r="K133" t="str">
            <v>Consultas medicas generales</v>
          </cell>
          <cell r="L133">
            <v>2</v>
          </cell>
          <cell r="M133">
            <v>46036</v>
          </cell>
          <cell r="N133">
            <v>46037</v>
          </cell>
          <cell r="O133">
            <v>1</v>
          </cell>
          <cell r="P133">
            <v>46038</v>
          </cell>
          <cell r="Q133">
            <v>5</v>
          </cell>
          <cell r="R133" t="str">
            <v>NA</v>
          </cell>
          <cell r="S133">
            <v>5</v>
          </cell>
        </row>
        <row r="134">
          <cell r="B134" t="str">
            <v>EMMC</v>
          </cell>
          <cell r="C134" t="str">
            <v>HSLB11672</v>
          </cell>
          <cell r="D134">
            <v>112010</v>
          </cell>
          <cell r="E134" t="str">
            <v>Camilla Examen Bariátrica</v>
          </cell>
          <cell r="F134" t="str">
            <v>NO</v>
          </cell>
          <cell r="G134" t="str">
            <v>NO</v>
          </cell>
          <cell r="H134" t="str">
            <v>SALA DE PROCEDIMIENTOS ENFERMERÍA ADULTO</v>
          </cell>
          <cell r="I134">
            <v>1</v>
          </cell>
          <cell r="J134" t="str">
            <v>C.2.2.2.17.1</v>
          </cell>
          <cell r="K134" t="str">
            <v>Consultas medicas generales</v>
          </cell>
          <cell r="L134">
            <v>2</v>
          </cell>
          <cell r="M134">
            <v>46036</v>
          </cell>
          <cell r="N134">
            <v>46037</v>
          </cell>
          <cell r="O134">
            <v>1</v>
          </cell>
          <cell r="P134">
            <v>46038</v>
          </cell>
          <cell r="Q134">
            <v>5</v>
          </cell>
          <cell r="R134" t="str">
            <v>NA</v>
          </cell>
          <cell r="S134">
            <v>5</v>
          </cell>
        </row>
        <row r="135">
          <cell r="B135" t="str">
            <v>EMMC</v>
          </cell>
          <cell r="C135" t="str">
            <v>HSLB11673</v>
          </cell>
          <cell r="D135">
            <v>112010</v>
          </cell>
          <cell r="E135" t="str">
            <v>Camilla Examen Bariátrica</v>
          </cell>
          <cell r="F135" t="str">
            <v>NO</v>
          </cell>
          <cell r="G135" t="str">
            <v>NO</v>
          </cell>
          <cell r="H135" t="str">
            <v>SALA DE PROCEDIMIENTOS ENFERMERÍA ADULTO</v>
          </cell>
          <cell r="I135">
            <v>1</v>
          </cell>
          <cell r="J135" t="str">
            <v>C.2.2.2.17.2</v>
          </cell>
          <cell r="K135" t="str">
            <v>Consultas medicas generales</v>
          </cell>
          <cell r="L135">
            <v>2</v>
          </cell>
          <cell r="M135">
            <v>46036</v>
          </cell>
          <cell r="N135">
            <v>46037</v>
          </cell>
          <cell r="O135">
            <v>1</v>
          </cell>
          <cell r="P135">
            <v>46038</v>
          </cell>
          <cell r="Q135">
            <v>5</v>
          </cell>
          <cell r="R135" t="str">
            <v>NA</v>
          </cell>
          <cell r="S135">
            <v>5</v>
          </cell>
        </row>
        <row r="136">
          <cell r="B136" t="str">
            <v>EMMC</v>
          </cell>
          <cell r="C136" t="str">
            <v>HSLB11674</v>
          </cell>
          <cell r="D136">
            <v>112010</v>
          </cell>
          <cell r="E136" t="str">
            <v>Camilla Examen Bariátrica</v>
          </cell>
          <cell r="F136" t="str">
            <v>NO</v>
          </cell>
          <cell r="G136" t="str">
            <v>NO</v>
          </cell>
          <cell r="H136" t="str">
            <v>SALA DE PROCEDIMIENTOS ENFERMERÍA ADULTO</v>
          </cell>
          <cell r="I136">
            <v>1</v>
          </cell>
          <cell r="J136" t="str">
            <v>C.2.2.2.17.3</v>
          </cell>
          <cell r="K136" t="str">
            <v>Consultas medicas generales</v>
          </cell>
          <cell r="L136">
            <v>2</v>
          </cell>
          <cell r="M136">
            <v>46036</v>
          </cell>
          <cell r="N136">
            <v>46037</v>
          </cell>
          <cell r="O136">
            <v>1</v>
          </cell>
          <cell r="P136">
            <v>46038</v>
          </cell>
          <cell r="Q136">
            <v>5</v>
          </cell>
          <cell r="R136" t="str">
            <v>NA</v>
          </cell>
          <cell r="S136">
            <v>5</v>
          </cell>
        </row>
        <row r="137">
          <cell r="B137" t="str">
            <v>EMMC</v>
          </cell>
          <cell r="C137" t="str">
            <v>HSLB11675</v>
          </cell>
          <cell r="D137">
            <v>112011</v>
          </cell>
          <cell r="E137" t="str">
            <v>Camilla Ginecológica Convertible</v>
          </cell>
          <cell r="F137" t="str">
            <v>NO</v>
          </cell>
          <cell r="G137" t="str">
            <v>NO</v>
          </cell>
          <cell r="H137" t="str">
            <v>BOX MATRONA C/BAÑO</v>
          </cell>
          <cell r="I137">
            <v>1</v>
          </cell>
          <cell r="J137" t="str">
            <v>C.2.2.2.10</v>
          </cell>
          <cell r="K137" t="str">
            <v>Consultas Medicas Generales</v>
          </cell>
          <cell r="L137">
            <v>2</v>
          </cell>
          <cell r="M137">
            <v>46036</v>
          </cell>
          <cell r="N137">
            <v>46037</v>
          </cell>
          <cell r="O137">
            <v>1</v>
          </cell>
          <cell r="P137">
            <v>46038</v>
          </cell>
          <cell r="Q137">
            <v>5</v>
          </cell>
          <cell r="R137" t="str">
            <v>NA</v>
          </cell>
          <cell r="S137">
            <v>5</v>
          </cell>
        </row>
        <row r="138">
          <cell r="B138" t="str">
            <v>EMMC</v>
          </cell>
          <cell r="C138" t="str">
            <v>HSLB11676</v>
          </cell>
          <cell r="D138">
            <v>112011</v>
          </cell>
          <cell r="E138" t="str">
            <v>Camilla Ginecológica Convertible</v>
          </cell>
          <cell r="F138" t="str">
            <v>NO</v>
          </cell>
          <cell r="G138" t="str">
            <v>NO</v>
          </cell>
          <cell r="H138" t="str">
            <v>SALA PROCEDIMIENTOS GINECO-OBSTÉTRICO</v>
          </cell>
          <cell r="I138">
            <v>1</v>
          </cell>
          <cell r="J138" t="str">
            <v>C.2.2.2.15</v>
          </cell>
          <cell r="K138" t="str">
            <v>Consultas Medicas Generales</v>
          </cell>
          <cell r="L138">
            <v>2</v>
          </cell>
          <cell r="M138">
            <v>46036</v>
          </cell>
          <cell r="N138">
            <v>46037</v>
          </cell>
          <cell r="O138">
            <v>1</v>
          </cell>
          <cell r="P138">
            <v>46038</v>
          </cell>
          <cell r="Q138">
            <v>5</v>
          </cell>
          <cell r="R138" t="str">
            <v>NA</v>
          </cell>
          <cell r="S138">
            <v>5</v>
          </cell>
        </row>
        <row r="139">
          <cell r="B139" t="str">
            <v>EMMC</v>
          </cell>
          <cell r="C139" t="str">
            <v>HSLB11677</v>
          </cell>
          <cell r="D139">
            <v>112011</v>
          </cell>
          <cell r="E139" t="str">
            <v>Camilla Ginecológica Convertible</v>
          </cell>
          <cell r="F139" t="str">
            <v>NO</v>
          </cell>
          <cell r="G139" t="str">
            <v>SI</v>
          </cell>
          <cell r="H139" t="str">
            <v>BOX GINECOLOGÍA C/BAÑO</v>
          </cell>
          <cell r="I139">
            <v>1</v>
          </cell>
          <cell r="J139" t="str">
            <v>C.2.2.2.8.1</v>
          </cell>
          <cell r="K139" t="str">
            <v>Consultas Medicas Generales</v>
          </cell>
          <cell r="L139">
            <v>2</v>
          </cell>
          <cell r="M139">
            <v>46003</v>
          </cell>
          <cell r="N139">
            <v>46006</v>
          </cell>
          <cell r="O139">
            <v>1</v>
          </cell>
          <cell r="P139">
            <v>46008</v>
          </cell>
          <cell r="Q139">
            <v>5</v>
          </cell>
          <cell r="R139" t="str">
            <v>NA</v>
          </cell>
          <cell r="S139">
            <v>5</v>
          </cell>
        </row>
        <row r="140">
          <cell r="B140" t="str">
            <v>EMMC</v>
          </cell>
          <cell r="C140" t="str">
            <v>HSLB11678</v>
          </cell>
          <cell r="D140">
            <v>112011</v>
          </cell>
          <cell r="E140" t="str">
            <v>Camilla Ginecológica Convertible</v>
          </cell>
          <cell r="F140" t="str">
            <v>NO</v>
          </cell>
          <cell r="G140" t="str">
            <v>NO</v>
          </cell>
          <cell r="H140" t="str">
            <v>BOX GINECOLOGÍA C/BAÑO</v>
          </cell>
          <cell r="I140">
            <v>1</v>
          </cell>
          <cell r="J140" t="str">
            <v>C.2.2.2.8.2</v>
          </cell>
          <cell r="K140" t="str">
            <v>Consultas Medicas Generales</v>
          </cell>
          <cell r="L140">
            <v>2</v>
          </cell>
          <cell r="M140">
            <v>46036</v>
          </cell>
          <cell r="N140">
            <v>46037</v>
          </cell>
          <cell r="O140">
            <v>1</v>
          </cell>
          <cell r="P140">
            <v>46038</v>
          </cell>
          <cell r="Q140">
            <v>5</v>
          </cell>
          <cell r="R140" t="str">
            <v>NA</v>
          </cell>
          <cell r="S140">
            <v>5</v>
          </cell>
        </row>
        <row r="141">
          <cell r="B141" t="str">
            <v>EMMC</v>
          </cell>
          <cell r="C141" t="str">
            <v>HSLB11679</v>
          </cell>
          <cell r="D141">
            <v>112011</v>
          </cell>
          <cell r="E141" t="str">
            <v>Camilla Ginecológica Convertible</v>
          </cell>
          <cell r="F141" t="str">
            <v>NO</v>
          </cell>
          <cell r="G141" t="str">
            <v>NO</v>
          </cell>
          <cell r="H141" t="str">
            <v>BOX OBSTETRICIA C/BAÑO</v>
          </cell>
          <cell r="I141">
            <v>1</v>
          </cell>
          <cell r="J141" t="str">
            <v>C.2.2.2.9</v>
          </cell>
          <cell r="K141" t="str">
            <v>Consultas Medicas Generales</v>
          </cell>
          <cell r="L141">
            <v>2</v>
          </cell>
          <cell r="M141">
            <v>46036</v>
          </cell>
          <cell r="N141">
            <v>46037</v>
          </cell>
          <cell r="O141">
            <v>1</v>
          </cell>
          <cell r="P141">
            <v>46038</v>
          </cell>
          <cell r="Q141">
            <v>5</v>
          </cell>
          <cell r="R141" t="str">
            <v>NA</v>
          </cell>
          <cell r="S141">
            <v>5</v>
          </cell>
        </row>
        <row r="142">
          <cell r="B142" t="str">
            <v>EMMC</v>
          </cell>
          <cell r="C142" t="str">
            <v>HSLB11697</v>
          </cell>
          <cell r="D142">
            <v>112016</v>
          </cell>
          <cell r="E142" t="str">
            <v>Camilla Transporte Paciente</v>
          </cell>
          <cell r="F142" t="str">
            <v>NO</v>
          </cell>
          <cell r="G142" t="str">
            <v>NO</v>
          </cell>
          <cell r="H142" t="str">
            <v>SALA PROCEDIMIENTOS TRAUMATOLOGÍA INFANTIL</v>
          </cell>
          <cell r="I142">
            <v>1</v>
          </cell>
          <cell r="J142" t="str">
            <v>C.2.2.3.10</v>
          </cell>
          <cell r="K142" t="str">
            <v>Consultas Medicas Generales</v>
          </cell>
          <cell r="L142">
            <v>2</v>
          </cell>
          <cell r="M142">
            <v>46036</v>
          </cell>
          <cell r="N142">
            <v>46037</v>
          </cell>
          <cell r="O142">
            <v>1</v>
          </cell>
          <cell r="P142">
            <v>46038</v>
          </cell>
          <cell r="Q142">
            <v>5</v>
          </cell>
          <cell r="R142" t="str">
            <v>NA</v>
          </cell>
          <cell r="S142">
            <v>5</v>
          </cell>
        </row>
        <row r="143">
          <cell r="B143" t="str">
            <v>EMMC</v>
          </cell>
          <cell r="C143" t="str">
            <v>HSLB11698</v>
          </cell>
          <cell r="D143">
            <v>112016</v>
          </cell>
          <cell r="E143" t="str">
            <v>Camilla Transporte Paciente</v>
          </cell>
          <cell r="F143" t="str">
            <v>NO</v>
          </cell>
          <cell r="G143" t="str">
            <v>NO</v>
          </cell>
          <cell r="H143" t="str">
            <v>SALA TEST DE ESFUERZO Y ESPIROMETRÍA</v>
          </cell>
          <cell r="I143">
            <v>1</v>
          </cell>
          <cell r="J143" t="str">
            <v>C.2.2.3.12</v>
          </cell>
          <cell r="K143" t="str">
            <v>Consultas Medicas Generales</v>
          </cell>
          <cell r="L143">
            <v>2</v>
          </cell>
          <cell r="M143">
            <v>46036</v>
          </cell>
          <cell r="N143">
            <v>46037</v>
          </cell>
          <cell r="O143">
            <v>1</v>
          </cell>
          <cell r="P143">
            <v>46038</v>
          </cell>
          <cell r="Q143">
            <v>5</v>
          </cell>
          <cell r="R143" t="str">
            <v>NA</v>
          </cell>
          <cell r="S143">
            <v>5</v>
          </cell>
        </row>
        <row r="144">
          <cell r="B144" t="str">
            <v>EMMC</v>
          </cell>
          <cell r="C144" t="str">
            <v>HSLB11699</v>
          </cell>
          <cell r="D144">
            <v>112016</v>
          </cell>
          <cell r="E144" t="str">
            <v>Camilla Transporte Paciente</v>
          </cell>
          <cell r="F144" t="str">
            <v>NO</v>
          </cell>
          <cell r="G144" t="str">
            <v>NO</v>
          </cell>
          <cell r="H144" t="str">
            <v>SALA PROCEDIMIENTOS ENDOSCOPÍA INDIFERENCIADO</v>
          </cell>
          <cell r="I144">
            <v>1</v>
          </cell>
          <cell r="J144" t="str">
            <v>C.2.2.3.14.1</v>
          </cell>
          <cell r="K144" t="str">
            <v>Consultas Medicas Generales</v>
          </cell>
          <cell r="L144">
            <v>2</v>
          </cell>
          <cell r="M144">
            <v>46036</v>
          </cell>
          <cell r="N144">
            <v>46037</v>
          </cell>
          <cell r="O144">
            <v>1</v>
          </cell>
          <cell r="P144">
            <v>46038</v>
          </cell>
          <cell r="Q144">
            <v>5</v>
          </cell>
          <cell r="R144" t="str">
            <v>NA</v>
          </cell>
          <cell r="S144">
            <v>5</v>
          </cell>
        </row>
        <row r="145">
          <cell r="B145" t="str">
            <v>EMMC</v>
          </cell>
          <cell r="C145" t="str">
            <v>HSLB11700</v>
          </cell>
          <cell r="D145">
            <v>112016</v>
          </cell>
          <cell r="E145" t="str">
            <v>Camilla Transporte Paciente</v>
          </cell>
          <cell r="F145" t="str">
            <v>NO</v>
          </cell>
          <cell r="G145" t="str">
            <v>NO</v>
          </cell>
          <cell r="H145" t="str">
            <v>SALA PROCEDIMIENTOS ENDOSCOPÍA INDIFERENCIADO</v>
          </cell>
          <cell r="I145">
            <v>1</v>
          </cell>
          <cell r="J145" t="str">
            <v>C.2.2.3.14.2</v>
          </cell>
          <cell r="K145" t="str">
            <v>Consultas Medicas Generales</v>
          </cell>
          <cell r="L145">
            <v>2</v>
          </cell>
          <cell r="M145">
            <v>46036</v>
          </cell>
          <cell r="N145">
            <v>46037</v>
          </cell>
          <cell r="O145">
            <v>1</v>
          </cell>
          <cell r="P145">
            <v>46038</v>
          </cell>
          <cell r="Q145">
            <v>5</v>
          </cell>
          <cell r="R145" t="str">
            <v>NA</v>
          </cell>
          <cell r="S145">
            <v>5</v>
          </cell>
        </row>
        <row r="146">
          <cell r="B146" t="str">
            <v>EMMC</v>
          </cell>
          <cell r="C146" t="str">
            <v>HSLB10725</v>
          </cell>
          <cell r="D146">
            <v>106001</v>
          </cell>
          <cell r="E146" t="str">
            <v>Caliper de Lange</v>
          </cell>
          <cell r="F146" t="str">
            <v>NO</v>
          </cell>
          <cell r="G146" t="str">
            <v>NO</v>
          </cell>
          <cell r="H146" t="str">
            <v>BOX MULTIPROPÓSITO</v>
          </cell>
          <cell r="I146">
            <v>1</v>
          </cell>
          <cell r="J146" t="str">
            <v>C.2.2.2.13</v>
          </cell>
          <cell r="K146" t="str">
            <v>Consultas medicas generales</v>
          </cell>
          <cell r="L146">
            <v>2</v>
          </cell>
          <cell r="M146">
            <v>46036</v>
          </cell>
          <cell r="N146">
            <v>46037</v>
          </cell>
          <cell r="O146">
            <v>1</v>
          </cell>
          <cell r="P146">
            <v>46038</v>
          </cell>
          <cell r="Q146">
            <v>5</v>
          </cell>
          <cell r="R146" t="str">
            <v>NA</v>
          </cell>
          <cell r="S146">
            <v>5</v>
          </cell>
        </row>
        <row r="147">
          <cell r="B147" t="str">
            <v>EMMC</v>
          </cell>
          <cell r="C147" t="str">
            <v>HSLB11638</v>
          </cell>
          <cell r="D147">
            <v>112008</v>
          </cell>
          <cell r="E147" t="str">
            <v>Camilla Examen</v>
          </cell>
          <cell r="F147" t="str">
            <v>NO</v>
          </cell>
          <cell r="G147" t="str">
            <v>NO</v>
          </cell>
          <cell r="H147" t="str">
            <v>BOX ENFERMERA POLICLÍNICO</v>
          </cell>
          <cell r="I147">
            <v>1</v>
          </cell>
          <cell r="J147" t="str">
            <v>C.2.2.2.11.1</v>
          </cell>
          <cell r="K147" t="str">
            <v>Consultas medicas generales</v>
          </cell>
          <cell r="L147">
            <v>2</v>
          </cell>
          <cell r="M147">
            <v>46036</v>
          </cell>
          <cell r="N147">
            <v>46037</v>
          </cell>
          <cell r="O147">
            <v>1</v>
          </cell>
          <cell r="P147">
            <v>46038</v>
          </cell>
          <cell r="Q147">
            <v>5</v>
          </cell>
          <cell r="R147" t="str">
            <v>NA</v>
          </cell>
          <cell r="S147">
            <v>5</v>
          </cell>
        </row>
        <row r="148">
          <cell r="B148" t="str">
            <v>EMMC</v>
          </cell>
          <cell r="C148" t="str">
            <v>HSLB11701</v>
          </cell>
          <cell r="D148">
            <v>112016</v>
          </cell>
          <cell r="E148" t="str">
            <v>Camilla Transporte Paciente</v>
          </cell>
          <cell r="F148" t="str">
            <v>NO</v>
          </cell>
          <cell r="G148" t="str">
            <v>SI</v>
          </cell>
          <cell r="H148" t="str">
            <v xml:space="preserve">SALA RECUPERACIÓN </v>
          </cell>
          <cell r="I148">
            <v>4</v>
          </cell>
          <cell r="J148" t="str">
            <v>C.2.2.3.15</v>
          </cell>
          <cell r="K148" t="str">
            <v>Consultas Medicas Generales</v>
          </cell>
          <cell r="L148">
            <v>2</v>
          </cell>
          <cell r="M148">
            <v>46003</v>
          </cell>
          <cell r="N148">
            <v>46006</v>
          </cell>
          <cell r="O148">
            <v>1</v>
          </cell>
          <cell r="P148">
            <v>46008</v>
          </cell>
          <cell r="Q148">
            <v>5</v>
          </cell>
          <cell r="R148" t="str">
            <v>NA</v>
          </cell>
          <cell r="S148">
            <v>5</v>
          </cell>
        </row>
        <row r="149">
          <cell r="B149" t="str">
            <v>EMMC</v>
          </cell>
          <cell r="C149" t="str">
            <v>HSLB11639</v>
          </cell>
          <cell r="D149">
            <v>112008</v>
          </cell>
          <cell r="E149" t="str">
            <v>Camilla Examen</v>
          </cell>
          <cell r="F149" t="str">
            <v>NO</v>
          </cell>
          <cell r="G149" t="str">
            <v>NO</v>
          </cell>
          <cell r="H149" t="str">
            <v>BOX ENFERMERA POLICLÍNICO</v>
          </cell>
          <cell r="I149">
            <v>1</v>
          </cell>
          <cell r="J149" t="str">
            <v>C.2.2.2.11.2</v>
          </cell>
          <cell r="K149" t="str">
            <v>Consultas medicas generales</v>
          </cell>
          <cell r="L149">
            <v>2</v>
          </cell>
          <cell r="M149">
            <v>46036</v>
          </cell>
          <cell r="N149">
            <v>46037</v>
          </cell>
          <cell r="O149">
            <v>1</v>
          </cell>
          <cell r="P149">
            <v>46038</v>
          </cell>
          <cell r="Q149">
            <v>5</v>
          </cell>
          <cell r="R149" t="str">
            <v>NA</v>
          </cell>
          <cell r="S149">
            <v>5</v>
          </cell>
        </row>
        <row r="150">
          <cell r="B150" t="str">
            <v>EMMC</v>
          </cell>
          <cell r="C150" t="str">
            <v>HSLB11640</v>
          </cell>
          <cell r="D150">
            <v>112008</v>
          </cell>
          <cell r="E150" t="str">
            <v>Camilla Examen</v>
          </cell>
          <cell r="F150" t="str">
            <v>NO</v>
          </cell>
          <cell r="G150" t="str">
            <v>NO</v>
          </cell>
          <cell r="H150" t="str">
            <v>BOX MEDICINA COMPLEMENTARIA Y ALTERNATIVA</v>
          </cell>
          <cell r="I150">
            <v>1</v>
          </cell>
          <cell r="J150" t="str">
            <v>C.2.2.2.12</v>
          </cell>
          <cell r="K150" t="str">
            <v>Consultas medicas generales</v>
          </cell>
          <cell r="L150">
            <v>2</v>
          </cell>
          <cell r="M150">
            <v>46036</v>
          </cell>
          <cell r="N150">
            <v>46037</v>
          </cell>
          <cell r="O150">
            <v>1</v>
          </cell>
          <cell r="P150">
            <v>46038</v>
          </cell>
          <cell r="Q150">
            <v>5</v>
          </cell>
          <cell r="R150" t="str">
            <v>NA</v>
          </cell>
          <cell r="S150">
            <v>5</v>
          </cell>
        </row>
        <row r="151">
          <cell r="B151" t="str">
            <v>EMMC</v>
          </cell>
          <cell r="C151" t="str">
            <v>HSLB11641</v>
          </cell>
          <cell r="D151">
            <v>112008</v>
          </cell>
          <cell r="E151" t="str">
            <v>Camilla Examen</v>
          </cell>
          <cell r="F151" t="str">
            <v>NO</v>
          </cell>
          <cell r="G151" t="str">
            <v>NO</v>
          </cell>
          <cell r="H151" t="str">
            <v>BOX MULTIPROPÓSITO</v>
          </cell>
          <cell r="I151">
            <v>1</v>
          </cell>
          <cell r="J151" t="str">
            <v>C.2.2.2.13</v>
          </cell>
          <cell r="K151" t="str">
            <v>Consultas medicas generales</v>
          </cell>
          <cell r="L151">
            <v>2</v>
          </cell>
          <cell r="M151">
            <v>46036</v>
          </cell>
          <cell r="N151">
            <v>46037</v>
          </cell>
          <cell r="O151">
            <v>1</v>
          </cell>
          <cell r="P151">
            <v>46038</v>
          </cell>
          <cell r="Q151">
            <v>5</v>
          </cell>
          <cell r="R151" t="str">
            <v>NA</v>
          </cell>
          <cell r="S151">
            <v>5</v>
          </cell>
        </row>
        <row r="152">
          <cell r="B152" t="str">
            <v>EMMC</v>
          </cell>
          <cell r="C152" t="str">
            <v>HSLB11642</v>
          </cell>
          <cell r="D152">
            <v>112008</v>
          </cell>
          <cell r="E152" t="str">
            <v>Camilla Examen</v>
          </cell>
          <cell r="F152" t="str">
            <v>NO</v>
          </cell>
          <cell r="G152" t="str">
            <v>NO</v>
          </cell>
          <cell r="H152" t="str">
            <v>SALA PROCEDIMIENTOS ENFERMERÍA INFANTIL</v>
          </cell>
          <cell r="I152">
            <v>1</v>
          </cell>
          <cell r="J152" t="str">
            <v>C.2.2.2.16</v>
          </cell>
          <cell r="K152" t="str">
            <v>Consultas medicas generales</v>
          </cell>
          <cell r="L152">
            <v>2</v>
          </cell>
          <cell r="M152">
            <v>46036</v>
          </cell>
          <cell r="N152">
            <v>46037</v>
          </cell>
          <cell r="O152">
            <v>1</v>
          </cell>
          <cell r="P152">
            <v>46038</v>
          </cell>
          <cell r="Q152">
            <v>5</v>
          </cell>
          <cell r="R152" t="str">
            <v>NA</v>
          </cell>
          <cell r="S152">
            <v>5</v>
          </cell>
        </row>
        <row r="153">
          <cell r="B153" t="str">
            <v>EMMC</v>
          </cell>
          <cell r="C153" t="str">
            <v>HSLB11643</v>
          </cell>
          <cell r="D153">
            <v>112008</v>
          </cell>
          <cell r="E153" t="str">
            <v>Camilla Examen</v>
          </cell>
          <cell r="F153" t="str">
            <v>NO</v>
          </cell>
          <cell r="G153" t="str">
            <v>NO</v>
          </cell>
          <cell r="H153" t="str">
            <v>BOX INFANTIL</v>
          </cell>
          <cell r="I153">
            <v>1</v>
          </cell>
          <cell r="J153" t="str">
            <v>C.2.2.2.5</v>
          </cell>
          <cell r="K153" t="str">
            <v>Consultas medicas generales</v>
          </cell>
          <cell r="L153">
            <v>2</v>
          </cell>
          <cell r="M153">
            <v>46036</v>
          </cell>
          <cell r="N153">
            <v>46037</v>
          </cell>
          <cell r="O153">
            <v>1</v>
          </cell>
          <cell r="P153">
            <v>46038</v>
          </cell>
          <cell r="Q153">
            <v>5</v>
          </cell>
          <cell r="R153" t="str">
            <v>NA</v>
          </cell>
          <cell r="S153">
            <v>5</v>
          </cell>
        </row>
        <row r="154">
          <cell r="B154" t="str">
            <v>EMMC</v>
          </cell>
          <cell r="C154" t="str">
            <v>HSLB11644</v>
          </cell>
          <cell r="D154">
            <v>112008</v>
          </cell>
          <cell r="E154" t="str">
            <v>Camilla Examen</v>
          </cell>
          <cell r="F154" t="str">
            <v>NO</v>
          </cell>
          <cell r="G154" t="str">
            <v>NO</v>
          </cell>
          <cell r="H154" t="str">
            <v>BOX MEDICINA ADULTOS</v>
          </cell>
          <cell r="I154">
            <v>1</v>
          </cell>
          <cell r="J154" t="str">
            <v>C.2.2.2.6.1</v>
          </cell>
          <cell r="K154" t="str">
            <v>Consultas medicas generales</v>
          </cell>
          <cell r="L154">
            <v>2</v>
          </cell>
          <cell r="M154">
            <v>46036</v>
          </cell>
          <cell r="N154">
            <v>46037</v>
          </cell>
          <cell r="O154">
            <v>1</v>
          </cell>
          <cell r="P154">
            <v>46038</v>
          </cell>
          <cell r="Q154">
            <v>5</v>
          </cell>
          <cell r="R154" t="str">
            <v>NA</v>
          </cell>
          <cell r="S154">
            <v>5</v>
          </cell>
        </row>
        <row r="155">
          <cell r="B155" t="str">
            <v>EMMC</v>
          </cell>
          <cell r="C155" t="str">
            <v>HSLB11645</v>
          </cell>
          <cell r="D155">
            <v>112008</v>
          </cell>
          <cell r="E155" t="str">
            <v>Camilla Examen</v>
          </cell>
          <cell r="F155" t="str">
            <v>NO</v>
          </cell>
          <cell r="G155" t="str">
            <v>NO</v>
          </cell>
          <cell r="H155" t="str">
            <v>BOX MEDICINA ADULTOS</v>
          </cell>
          <cell r="I155">
            <v>1</v>
          </cell>
          <cell r="J155" t="str">
            <v>C.2.2.2.6.2</v>
          </cell>
          <cell r="K155" t="str">
            <v>Consultas medicas generales</v>
          </cell>
          <cell r="L155">
            <v>2</v>
          </cell>
          <cell r="M155">
            <v>46036</v>
          </cell>
          <cell r="N155">
            <v>46037</v>
          </cell>
          <cell r="O155">
            <v>1</v>
          </cell>
          <cell r="P155">
            <v>46038</v>
          </cell>
          <cell r="Q155">
            <v>5</v>
          </cell>
          <cell r="R155" t="str">
            <v>NA</v>
          </cell>
          <cell r="S155">
            <v>5</v>
          </cell>
        </row>
        <row r="156">
          <cell r="B156" t="str">
            <v>EMMC</v>
          </cell>
          <cell r="C156" t="str">
            <v>HSLB11646</v>
          </cell>
          <cell r="D156">
            <v>112008</v>
          </cell>
          <cell r="E156" t="str">
            <v>Camilla Examen</v>
          </cell>
          <cell r="F156" t="str">
            <v>NO</v>
          </cell>
          <cell r="G156" t="str">
            <v>NO</v>
          </cell>
          <cell r="H156" t="str">
            <v>BOX MEDICINA ADULTOS</v>
          </cell>
          <cell r="I156">
            <v>1</v>
          </cell>
          <cell r="J156" t="str">
            <v>C.2.2.2.6.3</v>
          </cell>
          <cell r="K156" t="str">
            <v>Consultas medicas generales</v>
          </cell>
          <cell r="L156">
            <v>2</v>
          </cell>
          <cell r="M156">
            <v>46036</v>
          </cell>
          <cell r="N156">
            <v>46037</v>
          </cell>
          <cell r="O156">
            <v>1</v>
          </cell>
          <cell r="P156">
            <v>46038</v>
          </cell>
          <cell r="Q156">
            <v>5</v>
          </cell>
          <cell r="R156" t="str">
            <v>NA</v>
          </cell>
          <cell r="S156">
            <v>5</v>
          </cell>
        </row>
        <row r="157">
          <cell r="B157" t="str">
            <v>EMMC</v>
          </cell>
          <cell r="C157" t="str">
            <v>HSLB11647</v>
          </cell>
          <cell r="D157">
            <v>112008</v>
          </cell>
          <cell r="E157" t="str">
            <v>Camilla Examen</v>
          </cell>
          <cell r="F157" t="str">
            <v>NO</v>
          </cell>
          <cell r="G157" t="str">
            <v>NO</v>
          </cell>
          <cell r="H157" t="str">
            <v>BOX MEDICINA ADULTOS</v>
          </cell>
          <cell r="I157">
            <v>1</v>
          </cell>
          <cell r="J157" t="str">
            <v>C.2.2.2.6.4</v>
          </cell>
          <cell r="K157" t="str">
            <v>Consultas medicas generales</v>
          </cell>
          <cell r="L157">
            <v>2</v>
          </cell>
          <cell r="M157">
            <v>46036</v>
          </cell>
          <cell r="N157">
            <v>46037</v>
          </cell>
          <cell r="O157">
            <v>1</v>
          </cell>
          <cell r="P157">
            <v>46038</v>
          </cell>
          <cell r="Q157">
            <v>5</v>
          </cell>
          <cell r="R157" t="str">
            <v>NA</v>
          </cell>
          <cell r="S157">
            <v>5</v>
          </cell>
        </row>
        <row r="158">
          <cell r="B158" t="str">
            <v>EMMC</v>
          </cell>
          <cell r="C158" t="str">
            <v>HSLB11648</v>
          </cell>
          <cell r="D158">
            <v>112008</v>
          </cell>
          <cell r="E158" t="str">
            <v>Camilla Examen</v>
          </cell>
          <cell r="F158" t="str">
            <v>NO</v>
          </cell>
          <cell r="G158" t="str">
            <v>NO</v>
          </cell>
          <cell r="H158" t="str">
            <v>BOX CIRUGÍA ADULTOS</v>
          </cell>
          <cell r="I158">
            <v>1</v>
          </cell>
          <cell r="J158" t="str">
            <v>C.2.2.2.7.1</v>
          </cell>
          <cell r="K158" t="str">
            <v>Consultas medicas generales</v>
          </cell>
          <cell r="L158">
            <v>2</v>
          </cell>
          <cell r="M158">
            <v>46036</v>
          </cell>
          <cell r="N158">
            <v>46037</v>
          </cell>
          <cell r="O158">
            <v>1</v>
          </cell>
          <cell r="P158">
            <v>46038</v>
          </cell>
          <cell r="Q158">
            <v>5</v>
          </cell>
          <cell r="R158" t="str">
            <v>NA</v>
          </cell>
          <cell r="S158">
            <v>5</v>
          </cell>
        </row>
        <row r="159">
          <cell r="B159" t="str">
            <v>EMMC</v>
          </cell>
          <cell r="C159" t="str">
            <v>HSLB11649</v>
          </cell>
          <cell r="D159">
            <v>112008</v>
          </cell>
          <cell r="E159" t="str">
            <v>Camilla Examen</v>
          </cell>
          <cell r="F159" t="str">
            <v>NO</v>
          </cell>
          <cell r="G159" t="str">
            <v>NO</v>
          </cell>
          <cell r="H159" t="str">
            <v>BOX CIRUGÍA ADULTOS</v>
          </cell>
          <cell r="I159">
            <v>1</v>
          </cell>
          <cell r="J159" t="str">
            <v>C.2.2.2.7.2</v>
          </cell>
          <cell r="K159" t="str">
            <v>Consultas medicas generales</v>
          </cell>
          <cell r="L159">
            <v>2</v>
          </cell>
          <cell r="M159">
            <v>46036</v>
          </cell>
          <cell r="N159">
            <v>46037</v>
          </cell>
          <cell r="O159">
            <v>1</v>
          </cell>
          <cell r="P159">
            <v>46038</v>
          </cell>
          <cell r="Q159">
            <v>5</v>
          </cell>
          <cell r="R159" t="str">
            <v>NA</v>
          </cell>
          <cell r="S159">
            <v>5</v>
          </cell>
        </row>
        <row r="160">
          <cell r="B160" t="str">
            <v>EMMC</v>
          </cell>
          <cell r="C160" t="str">
            <v>HSLB11783</v>
          </cell>
          <cell r="D160">
            <v>112021</v>
          </cell>
          <cell r="E160" t="str">
            <v>Carro Curación</v>
          </cell>
          <cell r="F160" t="str">
            <v>NO</v>
          </cell>
          <cell r="G160" t="str">
            <v>NO</v>
          </cell>
          <cell r="H160" t="str">
            <v>BOX MATRONA C/BAÑO</v>
          </cell>
          <cell r="I160">
            <v>1</v>
          </cell>
          <cell r="J160" t="str">
            <v>C.2.2.2.10</v>
          </cell>
          <cell r="K160" t="str">
            <v>Consultas Medicas Generales</v>
          </cell>
          <cell r="L160">
            <v>2</v>
          </cell>
          <cell r="M160">
            <v>46036</v>
          </cell>
          <cell r="N160">
            <v>46037</v>
          </cell>
          <cell r="O160">
            <v>1</v>
          </cell>
          <cell r="P160">
            <v>46038</v>
          </cell>
          <cell r="Q160">
            <v>5</v>
          </cell>
          <cell r="R160" t="str">
            <v>NA</v>
          </cell>
          <cell r="S160">
            <v>5</v>
          </cell>
        </row>
        <row r="161">
          <cell r="B161" t="str">
            <v>EMMC</v>
          </cell>
          <cell r="C161" t="str">
            <v>HSLB11784</v>
          </cell>
          <cell r="D161">
            <v>112021</v>
          </cell>
          <cell r="E161" t="str">
            <v>Carro Curación</v>
          </cell>
          <cell r="F161" t="str">
            <v>NO</v>
          </cell>
          <cell r="G161" t="str">
            <v>NO</v>
          </cell>
          <cell r="H161" t="str">
            <v>BOX OBSTETRICIA C/BAÑO</v>
          </cell>
          <cell r="I161">
            <v>1</v>
          </cell>
          <cell r="J161" t="str">
            <v>C.2.2.2.9</v>
          </cell>
          <cell r="K161" t="str">
            <v>Consultas Medicas Generales</v>
          </cell>
          <cell r="L161">
            <v>2</v>
          </cell>
          <cell r="M161">
            <v>46036</v>
          </cell>
          <cell r="N161">
            <v>46037</v>
          </cell>
          <cell r="O161">
            <v>1</v>
          </cell>
          <cell r="P161">
            <v>46038</v>
          </cell>
          <cell r="Q161">
            <v>5</v>
          </cell>
          <cell r="R161" t="str">
            <v>NA</v>
          </cell>
          <cell r="S161">
            <v>5</v>
          </cell>
        </row>
        <row r="162">
          <cell r="B162" t="str">
            <v>EMMC</v>
          </cell>
          <cell r="C162" t="str">
            <v>HSLB11835</v>
          </cell>
          <cell r="D162">
            <v>112023</v>
          </cell>
          <cell r="E162" t="str">
            <v>Carro de Procedimientos</v>
          </cell>
          <cell r="F162" t="str">
            <v>NO</v>
          </cell>
          <cell r="G162" t="str">
            <v>NO</v>
          </cell>
          <cell r="H162" t="str">
            <v>SALA PROCEDIMIENTOS MONITOREO FETAL</v>
          </cell>
          <cell r="I162">
            <v>1</v>
          </cell>
          <cell r="J162" t="str">
            <v>C.2.2.2.14</v>
          </cell>
          <cell r="K162" t="str">
            <v>Consultas Medicas Generales</v>
          </cell>
          <cell r="L162">
            <v>2</v>
          </cell>
          <cell r="M162">
            <v>46036</v>
          </cell>
          <cell r="N162">
            <v>46037</v>
          </cell>
          <cell r="O162">
            <v>1</v>
          </cell>
          <cell r="P162">
            <v>46038</v>
          </cell>
          <cell r="Q162">
            <v>5</v>
          </cell>
          <cell r="R162" t="str">
            <v>NA</v>
          </cell>
          <cell r="S162">
            <v>5</v>
          </cell>
        </row>
        <row r="163">
          <cell r="B163" t="str">
            <v>EMMC</v>
          </cell>
          <cell r="C163" t="str">
            <v>HSLB11836</v>
          </cell>
          <cell r="D163">
            <v>112023</v>
          </cell>
          <cell r="E163" t="str">
            <v>Carro de Procedimientos</v>
          </cell>
          <cell r="F163" t="str">
            <v>NO</v>
          </cell>
          <cell r="G163" t="str">
            <v>NO</v>
          </cell>
          <cell r="H163" t="str">
            <v>SALA PROCEDIMIENTOS ENFERMERÍA INFANTIL</v>
          </cell>
          <cell r="I163">
            <v>1</v>
          </cell>
          <cell r="J163" t="str">
            <v>C.2.2.2.16</v>
          </cell>
          <cell r="K163" t="str">
            <v>Consultas Medicas Generales</v>
          </cell>
          <cell r="L163">
            <v>2</v>
          </cell>
          <cell r="M163">
            <v>46036</v>
          </cell>
          <cell r="N163">
            <v>46037</v>
          </cell>
          <cell r="O163">
            <v>1</v>
          </cell>
          <cell r="P163">
            <v>46038</v>
          </cell>
          <cell r="Q163">
            <v>5</v>
          </cell>
          <cell r="R163" t="str">
            <v>NA</v>
          </cell>
          <cell r="S163">
            <v>5</v>
          </cell>
        </row>
        <row r="164">
          <cell r="B164" t="str">
            <v>EMMC</v>
          </cell>
          <cell r="C164" t="str">
            <v>HSLB11837</v>
          </cell>
          <cell r="D164">
            <v>112023</v>
          </cell>
          <cell r="E164" t="str">
            <v>Carro de Procedimientos</v>
          </cell>
          <cell r="F164" t="str">
            <v>NO</v>
          </cell>
          <cell r="G164" t="str">
            <v>NO</v>
          </cell>
          <cell r="H164" t="str">
            <v>SALA DE PROCEDIMIENTOS ENFERMERÍA ADULTO</v>
          </cell>
          <cell r="I164">
            <v>1</v>
          </cell>
          <cell r="J164" t="str">
            <v>C.2.2.2.17.1</v>
          </cell>
          <cell r="K164" t="str">
            <v>Consultas Medicas Generales</v>
          </cell>
          <cell r="L164">
            <v>2</v>
          </cell>
          <cell r="M164">
            <v>46036</v>
          </cell>
          <cell r="N164">
            <v>46037</v>
          </cell>
          <cell r="O164">
            <v>1</v>
          </cell>
          <cell r="P164">
            <v>46038</v>
          </cell>
          <cell r="Q164">
            <v>5</v>
          </cell>
          <cell r="R164" t="str">
            <v>NA</v>
          </cell>
          <cell r="S164">
            <v>5</v>
          </cell>
        </row>
        <row r="165">
          <cell r="B165" t="str">
            <v>EMMC</v>
          </cell>
          <cell r="C165" t="str">
            <v>HSLB11838</v>
          </cell>
          <cell r="D165">
            <v>112023</v>
          </cell>
          <cell r="E165" t="str">
            <v>Carro de Procedimientos</v>
          </cell>
          <cell r="F165" t="str">
            <v>NO</v>
          </cell>
          <cell r="G165" t="str">
            <v>NO</v>
          </cell>
          <cell r="H165" t="str">
            <v>SALA DE PROCEDIMIENTOS ENFERMERÍA ADULTO</v>
          </cell>
          <cell r="I165">
            <v>1</v>
          </cell>
          <cell r="J165" t="str">
            <v>C.2.2.2.17.2</v>
          </cell>
          <cell r="K165" t="str">
            <v>Consultas Medicas Generales</v>
          </cell>
          <cell r="L165">
            <v>2</v>
          </cell>
          <cell r="M165">
            <v>46036</v>
          </cell>
          <cell r="N165">
            <v>46037</v>
          </cell>
          <cell r="O165">
            <v>1</v>
          </cell>
          <cell r="P165">
            <v>46038</v>
          </cell>
          <cell r="Q165">
            <v>5</v>
          </cell>
          <cell r="R165" t="str">
            <v>NA</v>
          </cell>
          <cell r="S165">
            <v>5</v>
          </cell>
        </row>
        <row r="166">
          <cell r="B166" t="str">
            <v>EMMC</v>
          </cell>
          <cell r="C166" t="str">
            <v>HSLB11839</v>
          </cell>
          <cell r="D166">
            <v>112023</v>
          </cell>
          <cell r="E166" t="str">
            <v>Carro de Procedimientos</v>
          </cell>
          <cell r="F166" t="str">
            <v>NO</v>
          </cell>
          <cell r="G166" t="str">
            <v>NO</v>
          </cell>
          <cell r="H166" t="str">
            <v>SALA DE PROCEDIMIENTOS ENFERMERÍA ADULTO</v>
          </cell>
          <cell r="I166">
            <v>1</v>
          </cell>
          <cell r="J166" t="str">
            <v>C.2.2.2.17.3</v>
          </cell>
          <cell r="K166" t="str">
            <v>Consultas Medicas Generales</v>
          </cell>
          <cell r="L166">
            <v>2</v>
          </cell>
          <cell r="M166">
            <v>46036</v>
          </cell>
          <cell r="N166">
            <v>46037</v>
          </cell>
          <cell r="O166">
            <v>1</v>
          </cell>
          <cell r="P166">
            <v>46038</v>
          </cell>
          <cell r="Q166">
            <v>5</v>
          </cell>
          <cell r="R166" t="str">
            <v>NA</v>
          </cell>
          <cell r="S166">
            <v>5</v>
          </cell>
        </row>
        <row r="167">
          <cell r="B167" t="str">
            <v>EMMC</v>
          </cell>
          <cell r="C167" t="str">
            <v>HSLB11840</v>
          </cell>
          <cell r="D167">
            <v>112023</v>
          </cell>
          <cell r="E167" t="str">
            <v>Carro de Procedimientos</v>
          </cell>
          <cell r="F167" t="str">
            <v>NO</v>
          </cell>
          <cell r="G167" t="str">
            <v>NO</v>
          </cell>
          <cell r="H167" t="str">
            <v>SALA DE PROCEDIMIENTOS CARDIOLÓGICOS</v>
          </cell>
          <cell r="I167">
            <v>1</v>
          </cell>
          <cell r="J167" t="str">
            <v>C.2.2.3.13</v>
          </cell>
          <cell r="K167" t="str">
            <v>Consultas Medicas Generales</v>
          </cell>
          <cell r="L167">
            <v>2</v>
          </cell>
          <cell r="M167">
            <v>46036</v>
          </cell>
          <cell r="N167">
            <v>46037</v>
          </cell>
          <cell r="O167">
            <v>1</v>
          </cell>
          <cell r="P167">
            <v>46038</v>
          </cell>
          <cell r="Q167">
            <v>5</v>
          </cell>
          <cell r="R167" t="str">
            <v>NA</v>
          </cell>
          <cell r="S167">
            <v>5</v>
          </cell>
        </row>
        <row r="168">
          <cell r="B168" t="str">
            <v>EMMC</v>
          </cell>
          <cell r="C168" t="str">
            <v>HSLB11873</v>
          </cell>
          <cell r="D168">
            <v>112023</v>
          </cell>
          <cell r="E168" t="str">
            <v>Carro de Procedimientos</v>
          </cell>
          <cell r="F168" t="str">
            <v>NO</v>
          </cell>
          <cell r="G168" t="str">
            <v>NO</v>
          </cell>
          <cell r="H168" t="str">
            <v>PABELLON CIRUGIA MENOR URGENCIA</v>
          </cell>
          <cell r="I168">
            <v>1</v>
          </cell>
          <cell r="J168" t="str">
            <v>C.5.6.4.10</v>
          </cell>
          <cell r="K168" t="str">
            <v>Consultas Medicas Generales</v>
          </cell>
          <cell r="L168">
            <v>2</v>
          </cell>
          <cell r="M168">
            <v>46036</v>
          </cell>
          <cell r="N168">
            <v>46037</v>
          </cell>
          <cell r="O168">
            <v>1</v>
          </cell>
          <cell r="P168">
            <v>46038</v>
          </cell>
          <cell r="Q168">
            <v>5</v>
          </cell>
          <cell r="R168" t="str">
            <v>NA</v>
          </cell>
          <cell r="S168">
            <v>5</v>
          </cell>
        </row>
        <row r="169">
          <cell r="B169" t="str">
            <v>EMMC</v>
          </cell>
          <cell r="C169" t="str">
            <v>HSLB11874</v>
          </cell>
          <cell r="D169">
            <v>112023</v>
          </cell>
          <cell r="E169" t="str">
            <v>Carro de Procedimientos</v>
          </cell>
          <cell r="F169" t="str">
            <v>NO</v>
          </cell>
          <cell r="G169" t="str">
            <v>NO</v>
          </cell>
          <cell r="H169" t="str">
            <v>PABELLON CIRUGIA MENOR ELECTIVA</v>
          </cell>
          <cell r="I169">
            <v>1</v>
          </cell>
          <cell r="J169" t="str">
            <v>C.5.6.4.9</v>
          </cell>
          <cell r="K169" t="str">
            <v>Consultas Medicas Generales</v>
          </cell>
          <cell r="L169">
            <v>2</v>
          </cell>
          <cell r="M169">
            <v>46036</v>
          </cell>
          <cell r="N169">
            <v>46037</v>
          </cell>
          <cell r="O169">
            <v>1</v>
          </cell>
          <cell r="P169">
            <v>46038</v>
          </cell>
          <cell r="Q169">
            <v>5</v>
          </cell>
          <cell r="R169" t="str">
            <v>NA</v>
          </cell>
          <cell r="S169">
            <v>5</v>
          </cell>
        </row>
        <row r="170">
          <cell r="B170" t="str">
            <v>EMMC</v>
          </cell>
          <cell r="C170" t="str">
            <v>HSLB11907</v>
          </cell>
          <cell r="D170">
            <v>112039</v>
          </cell>
          <cell r="E170" t="str">
            <v>Carro Transporte Ropa Sucia Tipo I</v>
          </cell>
          <cell r="F170" t="str">
            <v>NO</v>
          </cell>
          <cell r="G170" t="str">
            <v>NO</v>
          </cell>
          <cell r="H170" t="str">
            <v>BODEGA ROPA SUCIA</v>
          </cell>
          <cell r="I170">
            <v>1</v>
          </cell>
          <cell r="J170" t="str">
            <v>C.2.2.2.22.1</v>
          </cell>
          <cell r="K170" t="str">
            <v>Consultas Medicas Generales</v>
          </cell>
          <cell r="L170">
            <v>2</v>
          </cell>
          <cell r="M170">
            <v>46036</v>
          </cell>
          <cell r="N170">
            <v>46037</v>
          </cell>
          <cell r="O170">
            <v>1</v>
          </cell>
          <cell r="P170">
            <v>46038</v>
          </cell>
          <cell r="Q170">
            <v>5</v>
          </cell>
          <cell r="R170" t="str">
            <v>NA</v>
          </cell>
          <cell r="S170">
            <v>5</v>
          </cell>
        </row>
        <row r="171">
          <cell r="B171" t="str">
            <v>EMMC</v>
          </cell>
          <cell r="C171" t="str">
            <v>HSLB11908</v>
          </cell>
          <cell r="D171">
            <v>112039</v>
          </cell>
          <cell r="E171" t="str">
            <v>Carro Transporte Ropa Sucia Tipo I</v>
          </cell>
          <cell r="F171" t="str">
            <v>NO</v>
          </cell>
          <cell r="G171" t="str">
            <v>NO</v>
          </cell>
          <cell r="H171" t="str">
            <v>BODEGA ROPA SUCIA</v>
          </cell>
          <cell r="I171">
            <v>1</v>
          </cell>
          <cell r="J171" t="str">
            <v>C.2.2.3.19.2</v>
          </cell>
          <cell r="K171" t="str">
            <v>Consultas Medicas Generales</v>
          </cell>
          <cell r="L171">
            <v>2</v>
          </cell>
          <cell r="M171">
            <v>46036</v>
          </cell>
          <cell r="N171">
            <v>46037</v>
          </cell>
          <cell r="O171">
            <v>1</v>
          </cell>
          <cell r="P171">
            <v>46038</v>
          </cell>
          <cell r="Q171">
            <v>5</v>
          </cell>
          <cell r="R171" t="str">
            <v>NA</v>
          </cell>
          <cell r="S171">
            <v>5</v>
          </cell>
        </row>
        <row r="172">
          <cell r="B172" t="str">
            <v>EMMC</v>
          </cell>
          <cell r="C172" t="str">
            <v>HSLB12039</v>
          </cell>
          <cell r="D172">
            <v>112054</v>
          </cell>
          <cell r="E172" t="str">
            <v>Escabel</v>
          </cell>
          <cell r="F172" t="str">
            <v>NO</v>
          </cell>
          <cell r="G172" t="str">
            <v>NO</v>
          </cell>
          <cell r="H172" t="str">
            <v>BOX ENFERMERA POLICLÍNICO</v>
          </cell>
          <cell r="I172">
            <v>1</v>
          </cell>
          <cell r="J172" t="str">
            <v>C.2.2.2.11.1</v>
          </cell>
          <cell r="K172" t="str">
            <v>Consultas Medicas Generales</v>
          </cell>
          <cell r="L172">
            <v>2</v>
          </cell>
          <cell r="M172">
            <v>46036</v>
          </cell>
          <cell r="N172">
            <v>46037</v>
          </cell>
          <cell r="O172">
            <v>1</v>
          </cell>
          <cell r="P172">
            <v>46038</v>
          </cell>
          <cell r="Q172">
            <v>5</v>
          </cell>
          <cell r="R172" t="str">
            <v>NA</v>
          </cell>
          <cell r="S172">
            <v>5</v>
          </cell>
        </row>
        <row r="173">
          <cell r="B173" t="str">
            <v>EMMC</v>
          </cell>
          <cell r="C173" t="str">
            <v>HSLB12040</v>
          </cell>
          <cell r="D173">
            <v>112054</v>
          </cell>
          <cell r="E173" t="str">
            <v>Escabel</v>
          </cell>
          <cell r="F173" t="str">
            <v>NO</v>
          </cell>
          <cell r="G173" t="str">
            <v>NO</v>
          </cell>
          <cell r="H173" t="str">
            <v>BOX ENFERMERA POLICLÍNICO</v>
          </cell>
          <cell r="I173">
            <v>1</v>
          </cell>
          <cell r="J173" t="str">
            <v>C.2.2.2.11.2</v>
          </cell>
          <cell r="K173" t="str">
            <v>Consultas Medicas Generales</v>
          </cell>
          <cell r="L173">
            <v>2</v>
          </cell>
          <cell r="M173">
            <v>46036</v>
          </cell>
          <cell r="N173">
            <v>46037</v>
          </cell>
          <cell r="O173">
            <v>1</v>
          </cell>
          <cell r="P173">
            <v>46038</v>
          </cell>
          <cell r="Q173">
            <v>5</v>
          </cell>
          <cell r="R173" t="str">
            <v>NA</v>
          </cell>
          <cell r="S173">
            <v>5</v>
          </cell>
        </row>
        <row r="174">
          <cell r="B174" t="str">
            <v>EMMC</v>
          </cell>
          <cell r="C174" t="str">
            <v>HSLB12041</v>
          </cell>
          <cell r="D174">
            <v>112054</v>
          </cell>
          <cell r="E174" t="str">
            <v>Escabel</v>
          </cell>
          <cell r="F174" t="str">
            <v>NO</v>
          </cell>
          <cell r="G174" t="str">
            <v>NO</v>
          </cell>
          <cell r="H174" t="str">
            <v>BOX MEDICINA COMPLEMENTARIA Y ALTERNATIVA</v>
          </cell>
          <cell r="I174">
            <v>1</v>
          </cell>
          <cell r="J174" t="str">
            <v>C.2.2.2.12</v>
          </cell>
          <cell r="K174" t="str">
            <v>Consultas Medicas Generales</v>
          </cell>
          <cell r="L174">
            <v>2</v>
          </cell>
          <cell r="M174">
            <v>46036</v>
          </cell>
          <cell r="N174">
            <v>46037</v>
          </cell>
          <cell r="O174">
            <v>1</v>
          </cell>
          <cell r="P174">
            <v>46038</v>
          </cell>
          <cell r="Q174">
            <v>5</v>
          </cell>
          <cell r="R174" t="str">
            <v>NA</v>
          </cell>
          <cell r="S174">
            <v>5</v>
          </cell>
        </row>
        <row r="175">
          <cell r="B175" t="str">
            <v>EMMC</v>
          </cell>
          <cell r="C175" t="str">
            <v>HSLB12042</v>
          </cell>
          <cell r="D175">
            <v>112054</v>
          </cell>
          <cell r="E175" t="str">
            <v>Escabel</v>
          </cell>
          <cell r="F175" t="str">
            <v>NO</v>
          </cell>
          <cell r="G175" t="str">
            <v>NO</v>
          </cell>
          <cell r="H175" t="str">
            <v>BOX MULTIPROPÓSITO</v>
          </cell>
          <cell r="I175">
            <v>1</v>
          </cell>
          <cell r="J175" t="str">
            <v>C.2.2.2.13</v>
          </cell>
          <cell r="K175" t="str">
            <v>Consultas Medicas Generales</v>
          </cell>
          <cell r="L175">
            <v>2</v>
          </cell>
          <cell r="M175">
            <v>46036</v>
          </cell>
          <cell r="N175">
            <v>46037</v>
          </cell>
          <cell r="O175">
            <v>1</v>
          </cell>
          <cell r="P175">
            <v>46038</v>
          </cell>
          <cell r="Q175">
            <v>5</v>
          </cell>
          <cell r="R175" t="str">
            <v>NA</v>
          </cell>
          <cell r="S175">
            <v>5</v>
          </cell>
        </row>
        <row r="176">
          <cell r="B176" t="str">
            <v>EMMC</v>
          </cell>
          <cell r="C176" t="str">
            <v>HSLB12043</v>
          </cell>
          <cell r="D176">
            <v>112054</v>
          </cell>
          <cell r="E176" t="str">
            <v>Escabel</v>
          </cell>
          <cell r="F176" t="str">
            <v>NO</v>
          </cell>
          <cell r="G176" t="str">
            <v>NO</v>
          </cell>
          <cell r="H176" t="str">
            <v>SALA PROCEDIMIENTOS MONITOREO FETAL</v>
          </cell>
          <cell r="I176">
            <v>1</v>
          </cell>
          <cell r="J176" t="str">
            <v>C.2.2.2.14</v>
          </cell>
          <cell r="K176" t="str">
            <v>Consultas Medicas Generales</v>
          </cell>
          <cell r="L176">
            <v>2</v>
          </cell>
          <cell r="M176">
            <v>46036</v>
          </cell>
          <cell r="N176">
            <v>46037</v>
          </cell>
          <cell r="O176">
            <v>1</v>
          </cell>
          <cell r="P176">
            <v>46038</v>
          </cell>
          <cell r="Q176">
            <v>5</v>
          </cell>
          <cell r="R176" t="str">
            <v>NA</v>
          </cell>
          <cell r="S176">
            <v>5</v>
          </cell>
        </row>
        <row r="177">
          <cell r="B177" t="str">
            <v>EMMC</v>
          </cell>
          <cell r="C177" t="str">
            <v>HSLB12044</v>
          </cell>
          <cell r="D177">
            <v>112054</v>
          </cell>
          <cell r="E177" t="str">
            <v>Escabel</v>
          </cell>
          <cell r="F177" t="str">
            <v>NO</v>
          </cell>
          <cell r="G177" t="str">
            <v>NO</v>
          </cell>
          <cell r="H177" t="str">
            <v>SALA DE PROCEDIMIENTOS ENFERMERÍA ADULTO</v>
          </cell>
          <cell r="I177">
            <v>1</v>
          </cell>
          <cell r="J177" t="str">
            <v>C.2.2.2.17.1</v>
          </cell>
          <cell r="K177" t="str">
            <v>Consultas Medicas Generales</v>
          </cell>
          <cell r="L177">
            <v>2</v>
          </cell>
          <cell r="M177">
            <v>46036</v>
          </cell>
          <cell r="N177">
            <v>46037</v>
          </cell>
          <cell r="O177">
            <v>1</v>
          </cell>
          <cell r="P177">
            <v>46038</v>
          </cell>
          <cell r="Q177">
            <v>5</v>
          </cell>
          <cell r="R177" t="str">
            <v>NA</v>
          </cell>
          <cell r="S177">
            <v>5</v>
          </cell>
        </row>
        <row r="178">
          <cell r="B178" t="str">
            <v>EMMC</v>
          </cell>
          <cell r="C178" t="str">
            <v>HSLB12045</v>
          </cell>
          <cell r="D178">
            <v>112054</v>
          </cell>
          <cell r="E178" t="str">
            <v>Escabel</v>
          </cell>
          <cell r="F178" t="str">
            <v>NO</v>
          </cell>
          <cell r="G178" t="str">
            <v>NO</v>
          </cell>
          <cell r="H178" t="str">
            <v>SALA DE PROCEDIMIENTOS ENFERMERÍA ADULTO</v>
          </cell>
          <cell r="I178">
            <v>1</v>
          </cell>
          <cell r="J178" t="str">
            <v>C.2.2.2.17.2</v>
          </cell>
          <cell r="K178" t="str">
            <v>Consultas Medicas Generales</v>
          </cell>
          <cell r="L178">
            <v>2</v>
          </cell>
          <cell r="M178">
            <v>46036</v>
          </cell>
          <cell r="N178">
            <v>46037</v>
          </cell>
          <cell r="O178">
            <v>1</v>
          </cell>
          <cell r="P178">
            <v>46038</v>
          </cell>
          <cell r="Q178">
            <v>5</v>
          </cell>
          <cell r="R178" t="str">
            <v>NA</v>
          </cell>
          <cell r="S178">
            <v>5</v>
          </cell>
        </row>
        <row r="179">
          <cell r="B179" t="str">
            <v>EMMC</v>
          </cell>
          <cell r="C179" t="str">
            <v>HSLB12046</v>
          </cell>
          <cell r="D179">
            <v>112054</v>
          </cell>
          <cell r="E179" t="str">
            <v>Escabel</v>
          </cell>
          <cell r="F179" t="str">
            <v>NO</v>
          </cell>
          <cell r="G179" t="str">
            <v>NO</v>
          </cell>
          <cell r="H179" t="str">
            <v>SALA DE PROCEDIMIENTOS ENFERMERÍA ADULTO</v>
          </cell>
          <cell r="I179">
            <v>1</v>
          </cell>
          <cell r="J179" t="str">
            <v>C.2.2.2.17.3</v>
          </cell>
          <cell r="K179" t="str">
            <v>Consultas Medicas Generales</v>
          </cell>
          <cell r="L179">
            <v>2</v>
          </cell>
          <cell r="M179">
            <v>46036</v>
          </cell>
          <cell r="N179">
            <v>46037</v>
          </cell>
          <cell r="O179">
            <v>1</v>
          </cell>
          <cell r="P179">
            <v>46038</v>
          </cell>
          <cell r="Q179">
            <v>5</v>
          </cell>
          <cell r="R179" t="str">
            <v>NA</v>
          </cell>
          <cell r="S179">
            <v>5</v>
          </cell>
        </row>
        <row r="180">
          <cell r="B180" t="str">
            <v>EMMC</v>
          </cell>
          <cell r="C180" t="str">
            <v>HSLB12047</v>
          </cell>
          <cell r="D180">
            <v>112054</v>
          </cell>
          <cell r="E180" t="str">
            <v>Escabel</v>
          </cell>
          <cell r="F180" t="str">
            <v>NO</v>
          </cell>
          <cell r="G180" t="str">
            <v>NO</v>
          </cell>
          <cell r="H180" t="str">
            <v>BOX GERIATRÍA</v>
          </cell>
          <cell r="I180">
            <v>1</v>
          </cell>
          <cell r="J180" t="str">
            <v>C.2.2.2.17.6</v>
          </cell>
          <cell r="K180" t="str">
            <v>Consultas Medicas Generales</v>
          </cell>
          <cell r="L180">
            <v>2</v>
          </cell>
          <cell r="M180">
            <v>46036</v>
          </cell>
          <cell r="N180">
            <v>46037</v>
          </cell>
          <cell r="O180">
            <v>1</v>
          </cell>
          <cell r="P180">
            <v>46038</v>
          </cell>
          <cell r="Q180">
            <v>5</v>
          </cell>
          <cell r="R180" t="str">
            <v>NA</v>
          </cell>
          <cell r="S180">
            <v>5</v>
          </cell>
        </row>
        <row r="181">
          <cell r="B181" t="str">
            <v>EMMC</v>
          </cell>
          <cell r="C181" t="str">
            <v>HSLB12048</v>
          </cell>
          <cell r="D181">
            <v>112054</v>
          </cell>
          <cell r="E181" t="str">
            <v>Escabel</v>
          </cell>
          <cell r="F181" t="str">
            <v>NO</v>
          </cell>
          <cell r="G181" t="str">
            <v>NO</v>
          </cell>
          <cell r="H181" t="str">
            <v>BOX INFANTIL</v>
          </cell>
          <cell r="I181">
            <v>1</v>
          </cell>
          <cell r="J181" t="str">
            <v>C.2.2.2.5</v>
          </cell>
          <cell r="K181" t="str">
            <v>Consultas Medicas Generales</v>
          </cell>
          <cell r="L181">
            <v>2</v>
          </cell>
          <cell r="M181">
            <v>46036</v>
          </cell>
          <cell r="N181">
            <v>46037</v>
          </cell>
          <cell r="O181">
            <v>1</v>
          </cell>
          <cell r="P181">
            <v>46038</v>
          </cell>
          <cell r="Q181">
            <v>5</v>
          </cell>
          <cell r="R181" t="str">
            <v>NA</v>
          </cell>
          <cell r="S181">
            <v>5</v>
          </cell>
        </row>
        <row r="182">
          <cell r="B182" t="str">
            <v>EMMC</v>
          </cell>
          <cell r="C182" t="str">
            <v>HSLB12049</v>
          </cell>
          <cell r="D182">
            <v>112054</v>
          </cell>
          <cell r="E182" t="str">
            <v>Escabel</v>
          </cell>
          <cell r="F182" t="str">
            <v>NO</v>
          </cell>
          <cell r="G182" t="str">
            <v>NO</v>
          </cell>
          <cell r="H182" t="str">
            <v>BOX MEDICINA ADULTOS</v>
          </cell>
          <cell r="I182">
            <v>1</v>
          </cell>
          <cell r="J182" t="str">
            <v>C.2.2.2.6.1</v>
          </cell>
          <cell r="K182" t="str">
            <v>Consultas Medicas Generales</v>
          </cell>
          <cell r="L182">
            <v>2</v>
          </cell>
          <cell r="M182">
            <v>46036</v>
          </cell>
          <cell r="N182">
            <v>46037</v>
          </cell>
          <cell r="O182">
            <v>1</v>
          </cell>
          <cell r="P182">
            <v>46038</v>
          </cell>
          <cell r="Q182">
            <v>5</v>
          </cell>
          <cell r="R182" t="str">
            <v>NA</v>
          </cell>
          <cell r="S182">
            <v>5</v>
          </cell>
        </row>
        <row r="183">
          <cell r="B183" t="str">
            <v>EMMC</v>
          </cell>
          <cell r="C183" t="str">
            <v>HSLB12050</v>
          </cell>
          <cell r="D183">
            <v>112054</v>
          </cell>
          <cell r="E183" t="str">
            <v>Escabel</v>
          </cell>
          <cell r="F183" t="str">
            <v>NO</v>
          </cell>
          <cell r="G183" t="str">
            <v>NO</v>
          </cell>
          <cell r="H183" t="str">
            <v>BOX MEDICINA ADULTOS</v>
          </cell>
          <cell r="I183">
            <v>1</v>
          </cell>
          <cell r="J183" t="str">
            <v>C.2.2.2.6.2</v>
          </cell>
          <cell r="K183" t="str">
            <v>Consultas Medicas Generales</v>
          </cell>
          <cell r="L183">
            <v>2</v>
          </cell>
          <cell r="M183">
            <v>46036</v>
          </cell>
          <cell r="N183">
            <v>46037</v>
          </cell>
          <cell r="O183">
            <v>1</v>
          </cell>
          <cell r="P183">
            <v>46038</v>
          </cell>
          <cell r="Q183">
            <v>5</v>
          </cell>
          <cell r="R183" t="str">
            <v>NA</v>
          </cell>
          <cell r="S183">
            <v>5</v>
          </cell>
        </row>
        <row r="184">
          <cell r="B184" t="str">
            <v>EMMC</v>
          </cell>
          <cell r="C184" t="str">
            <v>HSLB12051</v>
          </cell>
          <cell r="D184">
            <v>112054</v>
          </cell>
          <cell r="E184" t="str">
            <v>Escabel</v>
          </cell>
          <cell r="F184" t="str">
            <v>NO</v>
          </cell>
          <cell r="G184" t="str">
            <v>NO</v>
          </cell>
          <cell r="H184" t="str">
            <v>BOX MEDICINA ADULTOS</v>
          </cell>
          <cell r="I184">
            <v>1</v>
          </cell>
          <cell r="J184" t="str">
            <v>C.2.2.2.6.3</v>
          </cell>
          <cell r="K184" t="str">
            <v>Consultas Medicas Generales</v>
          </cell>
          <cell r="L184">
            <v>2</v>
          </cell>
          <cell r="M184">
            <v>46036</v>
          </cell>
          <cell r="N184">
            <v>46037</v>
          </cell>
          <cell r="O184">
            <v>1</v>
          </cell>
          <cell r="P184">
            <v>46038</v>
          </cell>
          <cell r="Q184">
            <v>5</v>
          </cell>
          <cell r="R184" t="str">
            <v>NA</v>
          </cell>
          <cell r="S184">
            <v>5</v>
          </cell>
        </row>
        <row r="185">
          <cell r="B185" t="str">
            <v>EMMC</v>
          </cell>
          <cell r="C185" t="str">
            <v>HSLB12052</v>
          </cell>
          <cell r="D185">
            <v>112054</v>
          </cell>
          <cell r="E185" t="str">
            <v>Escabel</v>
          </cell>
          <cell r="F185" t="str">
            <v>NO</v>
          </cell>
          <cell r="G185" t="str">
            <v>NO</v>
          </cell>
          <cell r="H185" t="str">
            <v>BOX MEDICINA ADULTOS</v>
          </cell>
          <cell r="I185">
            <v>1</v>
          </cell>
          <cell r="J185" t="str">
            <v>C.2.2.2.6.4</v>
          </cell>
          <cell r="K185" t="str">
            <v>Consultas Medicas Generales</v>
          </cell>
          <cell r="L185">
            <v>2</v>
          </cell>
          <cell r="M185">
            <v>46036</v>
          </cell>
          <cell r="N185">
            <v>46037</v>
          </cell>
          <cell r="O185">
            <v>1</v>
          </cell>
          <cell r="P185">
            <v>46038</v>
          </cell>
          <cell r="Q185">
            <v>5</v>
          </cell>
          <cell r="R185" t="str">
            <v>NA</v>
          </cell>
          <cell r="S185">
            <v>5</v>
          </cell>
        </row>
        <row r="186">
          <cell r="B186" t="str">
            <v>EMMC</v>
          </cell>
          <cell r="C186" t="str">
            <v>HSLB12053</v>
          </cell>
          <cell r="D186">
            <v>112054</v>
          </cell>
          <cell r="E186" t="str">
            <v>Escabel</v>
          </cell>
          <cell r="F186" t="str">
            <v>NO</v>
          </cell>
          <cell r="G186" t="str">
            <v>NO</v>
          </cell>
          <cell r="H186" t="str">
            <v>BOX CIRUGÍA ADULTOS</v>
          </cell>
          <cell r="I186">
            <v>1</v>
          </cell>
          <cell r="J186" t="str">
            <v>C.2.2.2.7.1</v>
          </cell>
          <cell r="K186" t="str">
            <v>Consultas Medicas Generales</v>
          </cell>
          <cell r="L186">
            <v>2</v>
          </cell>
          <cell r="M186">
            <v>46036</v>
          </cell>
          <cell r="N186">
            <v>46037</v>
          </cell>
          <cell r="O186">
            <v>1</v>
          </cell>
          <cell r="P186">
            <v>46038</v>
          </cell>
          <cell r="Q186">
            <v>5</v>
          </cell>
          <cell r="R186" t="str">
            <v>NA</v>
          </cell>
          <cell r="S186">
            <v>5</v>
          </cell>
        </row>
        <row r="187">
          <cell r="B187" t="str">
            <v>EMMC</v>
          </cell>
          <cell r="C187" t="str">
            <v>HSLB12054</v>
          </cell>
          <cell r="D187">
            <v>112054</v>
          </cell>
          <cell r="E187" t="str">
            <v>Escabel</v>
          </cell>
          <cell r="F187" t="str">
            <v>NO</v>
          </cell>
          <cell r="G187" t="str">
            <v>NO</v>
          </cell>
          <cell r="H187" t="str">
            <v>BOX CIRUGÍA ADULTOS</v>
          </cell>
          <cell r="I187">
            <v>1</v>
          </cell>
          <cell r="J187" t="str">
            <v>C.2.2.2.7.2</v>
          </cell>
          <cell r="K187" t="str">
            <v>Consultas Medicas Generales</v>
          </cell>
          <cell r="L187">
            <v>2</v>
          </cell>
          <cell r="M187">
            <v>46036</v>
          </cell>
          <cell r="N187">
            <v>46037</v>
          </cell>
          <cell r="O187">
            <v>1</v>
          </cell>
          <cell r="P187">
            <v>46038</v>
          </cell>
          <cell r="Q187">
            <v>5</v>
          </cell>
          <cell r="R187" t="str">
            <v>NA</v>
          </cell>
          <cell r="S187">
            <v>5</v>
          </cell>
        </row>
        <row r="188">
          <cell r="B188" t="str">
            <v>EMMC</v>
          </cell>
          <cell r="C188" t="str">
            <v>HSLB12055</v>
          </cell>
          <cell r="D188">
            <v>112054</v>
          </cell>
          <cell r="E188" t="str">
            <v>Escabel</v>
          </cell>
          <cell r="F188" t="str">
            <v>NO</v>
          </cell>
          <cell r="G188" t="str">
            <v>NO</v>
          </cell>
          <cell r="H188" t="str">
            <v>SALA PROCEDIMIENTOS TRAUMATOLOGÍA INFANTIL</v>
          </cell>
          <cell r="I188">
            <v>1</v>
          </cell>
          <cell r="J188" t="str">
            <v>C.2.2.3.10</v>
          </cell>
          <cell r="K188" t="str">
            <v>Consultas Medicas Generales</v>
          </cell>
          <cell r="L188">
            <v>2</v>
          </cell>
          <cell r="M188">
            <v>46036</v>
          </cell>
          <cell r="N188">
            <v>46037</v>
          </cell>
          <cell r="O188">
            <v>1</v>
          </cell>
          <cell r="P188">
            <v>46038</v>
          </cell>
          <cell r="Q188">
            <v>5</v>
          </cell>
          <cell r="R188" t="str">
            <v>NA</v>
          </cell>
          <cell r="S188">
            <v>5</v>
          </cell>
        </row>
        <row r="189">
          <cell r="B189" t="str">
            <v>EMMC</v>
          </cell>
          <cell r="C189" t="str">
            <v>HSLB12056</v>
          </cell>
          <cell r="D189">
            <v>112054</v>
          </cell>
          <cell r="E189" t="str">
            <v>Escabel</v>
          </cell>
          <cell r="F189" t="str">
            <v>NO</v>
          </cell>
          <cell r="G189" t="str">
            <v>NO</v>
          </cell>
          <cell r="H189" t="str">
            <v>SALA PROCEDIMIENTOS TRAUMATOLOGÍA ADULTO</v>
          </cell>
          <cell r="I189">
            <v>1</v>
          </cell>
          <cell r="J189" t="str">
            <v>C.2.2.3.11</v>
          </cell>
          <cell r="K189" t="str">
            <v>Consultas Medicas Generales</v>
          </cell>
          <cell r="L189">
            <v>2</v>
          </cell>
          <cell r="M189">
            <v>46036</v>
          </cell>
          <cell r="N189">
            <v>46037</v>
          </cell>
          <cell r="O189">
            <v>1</v>
          </cell>
          <cell r="P189">
            <v>46038</v>
          </cell>
          <cell r="Q189">
            <v>5</v>
          </cell>
          <cell r="R189" t="str">
            <v>NA</v>
          </cell>
          <cell r="S189">
            <v>5</v>
          </cell>
        </row>
        <row r="190">
          <cell r="B190" t="str">
            <v>EMMC</v>
          </cell>
          <cell r="C190" t="str">
            <v>HSLB12057</v>
          </cell>
          <cell r="D190">
            <v>112054</v>
          </cell>
          <cell r="E190" t="str">
            <v>Escabel</v>
          </cell>
          <cell r="F190" t="str">
            <v>NO</v>
          </cell>
          <cell r="G190" t="str">
            <v>NO</v>
          </cell>
          <cell r="H190" t="str">
            <v>SALA DE PROCEDIMIENTOS CARDIOLÓGICOS</v>
          </cell>
          <cell r="I190">
            <v>1</v>
          </cell>
          <cell r="J190" t="str">
            <v>C.2.2.3.13</v>
          </cell>
          <cell r="K190" t="str">
            <v>Consultas Medicas Generales</v>
          </cell>
          <cell r="L190">
            <v>2</v>
          </cell>
          <cell r="M190">
            <v>46036</v>
          </cell>
          <cell r="N190">
            <v>46037</v>
          </cell>
          <cell r="O190">
            <v>1</v>
          </cell>
          <cell r="P190">
            <v>46038</v>
          </cell>
          <cell r="Q190">
            <v>5</v>
          </cell>
          <cell r="R190" t="str">
            <v>NA</v>
          </cell>
          <cell r="S190">
            <v>5</v>
          </cell>
        </row>
        <row r="191">
          <cell r="B191" t="str">
            <v>EMMC</v>
          </cell>
          <cell r="C191" t="str">
            <v>HSLB12058</v>
          </cell>
          <cell r="D191">
            <v>112054</v>
          </cell>
          <cell r="E191" t="str">
            <v>Escabel</v>
          </cell>
          <cell r="F191" t="str">
            <v>NO</v>
          </cell>
          <cell r="G191" t="str">
            <v>NO</v>
          </cell>
          <cell r="H191" t="str">
            <v>SALA PROCEDIMIENTOS ENDOSCOPÍA INDIFERENCIADO</v>
          </cell>
          <cell r="I191">
            <v>1</v>
          </cell>
          <cell r="J191" t="str">
            <v>C.2.2.3.14.1</v>
          </cell>
          <cell r="K191" t="str">
            <v>Consultas Medicas Generales</v>
          </cell>
          <cell r="L191">
            <v>2</v>
          </cell>
          <cell r="M191">
            <v>46036</v>
          </cell>
          <cell r="N191">
            <v>46037</v>
          </cell>
          <cell r="O191">
            <v>1</v>
          </cell>
          <cell r="P191">
            <v>46038</v>
          </cell>
          <cell r="Q191">
            <v>5</v>
          </cell>
          <cell r="R191" t="str">
            <v>NA</v>
          </cell>
          <cell r="S191">
            <v>5</v>
          </cell>
        </row>
        <row r="192">
          <cell r="B192" t="str">
            <v>EMMC</v>
          </cell>
          <cell r="C192" t="str">
            <v>HSLB12059</v>
          </cell>
          <cell r="D192">
            <v>112054</v>
          </cell>
          <cell r="E192" t="str">
            <v>Escabel</v>
          </cell>
          <cell r="F192" t="str">
            <v>NO</v>
          </cell>
          <cell r="G192" t="str">
            <v>NO</v>
          </cell>
          <cell r="H192" t="str">
            <v>BOX CARDIO OTORRINO</v>
          </cell>
          <cell r="I192">
            <v>1</v>
          </cell>
          <cell r="J192" t="str">
            <v>C.2.2.3.3</v>
          </cell>
          <cell r="K192" t="str">
            <v>Consultas Medicas Generales</v>
          </cell>
          <cell r="L192">
            <v>2</v>
          </cell>
          <cell r="M192">
            <v>46036</v>
          </cell>
          <cell r="N192">
            <v>46037</v>
          </cell>
          <cell r="O192">
            <v>1</v>
          </cell>
          <cell r="P192">
            <v>46038</v>
          </cell>
          <cell r="Q192">
            <v>5</v>
          </cell>
          <cell r="R192" t="str">
            <v>NA</v>
          </cell>
          <cell r="S192">
            <v>5</v>
          </cell>
        </row>
        <row r="193">
          <cell r="B193" t="str">
            <v>EMMC</v>
          </cell>
          <cell r="C193" t="str">
            <v>HSLB12060</v>
          </cell>
          <cell r="D193">
            <v>112054</v>
          </cell>
          <cell r="E193" t="str">
            <v>Escabel</v>
          </cell>
          <cell r="F193" t="str">
            <v>NO</v>
          </cell>
          <cell r="G193" t="str">
            <v>NO</v>
          </cell>
          <cell r="H193" t="str">
            <v>BOX OFTALMO URO NEFRO (INDIFERENCIDO)</v>
          </cell>
          <cell r="I193">
            <v>1</v>
          </cell>
          <cell r="J193" t="str">
            <v>C.2.2.3.4</v>
          </cell>
          <cell r="K193" t="str">
            <v>Consultas Medicas Generales</v>
          </cell>
          <cell r="L193">
            <v>2</v>
          </cell>
          <cell r="M193">
            <v>46036</v>
          </cell>
          <cell r="N193">
            <v>46037</v>
          </cell>
          <cell r="O193">
            <v>1</v>
          </cell>
          <cell r="P193">
            <v>46038</v>
          </cell>
          <cell r="Q193">
            <v>5</v>
          </cell>
          <cell r="R193" t="str">
            <v>NA</v>
          </cell>
          <cell r="S193">
            <v>5</v>
          </cell>
        </row>
        <row r="194">
          <cell r="B194" t="str">
            <v>EMMC</v>
          </cell>
          <cell r="C194" t="str">
            <v>HSLB10818</v>
          </cell>
          <cell r="D194">
            <v>106007</v>
          </cell>
          <cell r="E194" t="str">
            <v>Hervidor Eléctrico</v>
          </cell>
          <cell r="F194" t="str">
            <v>NO</v>
          </cell>
          <cell r="G194" t="str">
            <v>NO</v>
          </cell>
          <cell r="H194" t="str">
            <v>ESTAR PERSONAL C/ KITCHENETTE</v>
          </cell>
          <cell r="I194">
            <v>1</v>
          </cell>
          <cell r="J194" t="str">
            <v>D.2.2.6.7</v>
          </cell>
          <cell r="K194" t="str">
            <v>Consultas Medicas Generales</v>
          </cell>
          <cell r="L194">
            <v>2</v>
          </cell>
          <cell r="M194">
            <v>46036</v>
          </cell>
          <cell r="N194">
            <v>46037</v>
          </cell>
          <cell r="O194">
            <v>1</v>
          </cell>
          <cell r="P194">
            <v>46038</v>
          </cell>
          <cell r="Q194">
            <v>5</v>
          </cell>
          <cell r="R194" t="str">
            <v>NA</v>
          </cell>
          <cell r="S194">
            <v>5</v>
          </cell>
        </row>
        <row r="195">
          <cell r="B195" t="str">
            <v>EMMC</v>
          </cell>
          <cell r="C195" t="str">
            <v>HSLB11141</v>
          </cell>
          <cell r="D195">
            <v>107011</v>
          </cell>
          <cell r="E195" t="str">
            <v>Lupa Iluminada Esterilización</v>
          </cell>
          <cell r="F195" t="str">
            <v>NO</v>
          </cell>
          <cell r="G195" t="str">
            <v>NO</v>
          </cell>
          <cell r="H195" t="str">
            <v>SALA DAN</v>
          </cell>
          <cell r="I195">
            <v>1</v>
          </cell>
          <cell r="J195" t="str">
            <v>C.2.2.3.17</v>
          </cell>
          <cell r="K195" t="str">
            <v>Consultas Medicas Especialidades - Sala DAN</v>
          </cell>
          <cell r="L195">
            <v>2</v>
          </cell>
          <cell r="M195">
            <v>46038</v>
          </cell>
          <cell r="N195">
            <v>46041</v>
          </cell>
          <cell r="O195">
            <v>1</v>
          </cell>
          <cell r="P195">
            <v>46042</v>
          </cell>
          <cell r="Q195">
            <v>5</v>
          </cell>
          <cell r="R195" t="str">
            <v>NA</v>
          </cell>
          <cell r="S195">
            <v>5</v>
          </cell>
        </row>
        <row r="196">
          <cell r="B196" t="str">
            <v>EMMC</v>
          </cell>
          <cell r="C196" t="str">
            <v>HSLB12287</v>
          </cell>
          <cell r="D196">
            <v>112061</v>
          </cell>
          <cell r="E196" t="str">
            <v>Mesa Killian</v>
          </cell>
          <cell r="F196" t="str">
            <v>NO</v>
          </cell>
          <cell r="G196" t="str">
            <v>NO</v>
          </cell>
          <cell r="H196" t="str">
            <v>BOX CARDIO OTORRINO</v>
          </cell>
          <cell r="I196">
            <v>1</v>
          </cell>
          <cell r="J196" t="str">
            <v>C.2.2.3.3</v>
          </cell>
          <cell r="K196" t="str">
            <v>Consultas Medicas Generales</v>
          </cell>
          <cell r="L196">
            <v>2</v>
          </cell>
          <cell r="M196">
            <v>46036</v>
          </cell>
          <cell r="N196">
            <v>46037</v>
          </cell>
          <cell r="O196">
            <v>1</v>
          </cell>
          <cell r="P196">
            <v>46038</v>
          </cell>
          <cell r="Q196">
            <v>5</v>
          </cell>
          <cell r="R196" t="str">
            <v>NA</v>
          </cell>
          <cell r="S196">
            <v>5</v>
          </cell>
        </row>
        <row r="197">
          <cell r="B197" t="str">
            <v>EMMC</v>
          </cell>
          <cell r="C197" t="str">
            <v>HSLB12296</v>
          </cell>
          <cell r="D197">
            <v>112063</v>
          </cell>
          <cell r="E197" t="str">
            <v>Mesa Mayo</v>
          </cell>
          <cell r="F197" t="str">
            <v>NO</v>
          </cell>
          <cell r="G197" t="str">
            <v>NO</v>
          </cell>
          <cell r="H197" t="str">
            <v>SALA PROCEDIMIENTOS GINECO-OBSTÉTRICO</v>
          </cell>
          <cell r="I197">
            <v>1</v>
          </cell>
          <cell r="J197" t="str">
            <v>C.2.2.2.15</v>
          </cell>
          <cell r="K197" t="str">
            <v>Consultas Medicas Generales</v>
          </cell>
          <cell r="L197">
            <v>2</v>
          </cell>
          <cell r="M197">
            <v>46036</v>
          </cell>
          <cell r="N197">
            <v>46037</v>
          </cell>
          <cell r="O197">
            <v>1</v>
          </cell>
          <cell r="P197">
            <v>46038</v>
          </cell>
          <cell r="Q197">
            <v>5</v>
          </cell>
          <cell r="R197" t="str">
            <v>NA</v>
          </cell>
          <cell r="S197">
            <v>5</v>
          </cell>
        </row>
        <row r="198">
          <cell r="B198" t="str">
            <v>EMMC</v>
          </cell>
          <cell r="C198" t="str">
            <v>HSLB12297</v>
          </cell>
          <cell r="D198">
            <v>112063</v>
          </cell>
          <cell r="E198" t="str">
            <v>Mesa Mayo</v>
          </cell>
          <cell r="F198" t="str">
            <v>NO</v>
          </cell>
          <cell r="G198" t="str">
            <v>NO</v>
          </cell>
          <cell r="H198" t="str">
            <v>SALA PROCEDIMIENTOS ENFERMERÍA INFANTIL</v>
          </cell>
          <cell r="I198">
            <v>1</v>
          </cell>
          <cell r="J198" t="str">
            <v>C.2.2.2.16</v>
          </cell>
          <cell r="K198" t="str">
            <v>Consultas Medicas Generales</v>
          </cell>
          <cell r="L198">
            <v>2</v>
          </cell>
          <cell r="M198">
            <v>46036</v>
          </cell>
          <cell r="N198">
            <v>46037</v>
          </cell>
          <cell r="O198">
            <v>1</v>
          </cell>
          <cell r="P198">
            <v>46038</v>
          </cell>
          <cell r="Q198">
            <v>5</v>
          </cell>
          <cell r="R198" t="str">
            <v>NA</v>
          </cell>
          <cell r="S198">
            <v>5</v>
          </cell>
        </row>
        <row r="199">
          <cell r="B199" t="str">
            <v>EMMC</v>
          </cell>
          <cell r="C199" t="str">
            <v>HSLB12298</v>
          </cell>
          <cell r="D199">
            <v>112063</v>
          </cell>
          <cell r="E199" t="str">
            <v>Mesa Mayo</v>
          </cell>
          <cell r="F199" t="str">
            <v>NO</v>
          </cell>
          <cell r="G199" t="str">
            <v>NO</v>
          </cell>
          <cell r="H199" t="str">
            <v>SALA DE PROCEDIMIENTOS ENFERMERÍA ADULTO</v>
          </cell>
          <cell r="I199">
            <v>1</v>
          </cell>
          <cell r="J199" t="str">
            <v>C.2.2.2.17.1</v>
          </cell>
          <cell r="K199" t="str">
            <v>Consultas Medicas Generales</v>
          </cell>
          <cell r="L199">
            <v>2</v>
          </cell>
          <cell r="M199">
            <v>46036</v>
          </cell>
          <cell r="N199">
            <v>46037</v>
          </cell>
          <cell r="O199">
            <v>1</v>
          </cell>
          <cell r="P199">
            <v>46038</v>
          </cell>
          <cell r="Q199">
            <v>5</v>
          </cell>
          <cell r="R199" t="str">
            <v>NA</v>
          </cell>
          <cell r="S199">
            <v>5</v>
          </cell>
        </row>
        <row r="200">
          <cell r="B200" t="str">
            <v>EMMC</v>
          </cell>
          <cell r="C200" t="str">
            <v>HSLB12299</v>
          </cell>
          <cell r="D200">
            <v>112063</v>
          </cell>
          <cell r="E200" t="str">
            <v>Mesa Mayo</v>
          </cell>
          <cell r="F200" t="str">
            <v>NO</v>
          </cell>
          <cell r="G200" t="str">
            <v>NO</v>
          </cell>
          <cell r="H200" t="str">
            <v>SALA DE PROCEDIMIENTOS ENFERMERÍA ADULTO</v>
          </cell>
          <cell r="I200">
            <v>1</v>
          </cell>
          <cell r="J200" t="str">
            <v>C.2.2.2.17.2</v>
          </cell>
          <cell r="K200" t="str">
            <v>Consultas Medicas Generales</v>
          </cell>
          <cell r="L200">
            <v>2</v>
          </cell>
          <cell r="M200">
            <v>46036</v>
          </cell>
          <cell r="N200">
            <v>46037</v>
          </cell>
          <cell r="O200">
            <v>1</v>
          </cell>
          <cell r="P200">
            <v>46038</v>
          </cell>
          <cell r="Q200">
            <v>5</v>
          </cell>
          <cell r="R200" t="str">
            <v>NA</v>
          </cell>
          <cell r="S200">
            <v>5</v>
          </cell>
        </row>
        <row r="201">
          <cell r="B201" t="str">
            <v>EMMC</v>
          </cell>
          <cell r="C201" t="str">
            <v>HSLB12300</v>
          </cell>
          <cell r="D201">
            <v>112063</v>
          </cell>
          <cell r="E201" t="str">
            <v>Mesa Mayo</v>
          </cell>
          <cell r="F201" t="str">
            <v>NO</v>
          </cell>
          <cell r="G201" t="str">
            <v>NO</v>
          </cell>
          <cell r="H201" t="str">
            <v>SALA DE PROCEDIMIENTOS ENFERMERÍA ADULTO</v>
          </cell>
          <cell r="I201">
            <v>1</v>
          </cell>
          <cell r="J201" t="str">
            <v>C.2.2.2.17.3</v>
          </cell>
          <cell r="K201" t="str">
            <v>Consultas Medicas Generales</v>
          </cell>
          <cell r="L201">
            <v>2</v>
          </cell>
          <cell r="M201">
            <v>46036</v>
          </cell>
          <cell r="N201">
            <v>46037</v>
          </cell>
          <cell r="O201">
            <v>1</v>
          </cell>
          <cell r="P201">
            <v>46038</v>
          </cell>
          <cell r="Q201">
            <v>5</v>
          </cell>
          <cell r="R201" t="str">
            <v>NA</v>
          </cell>
          <cell r="S201">
            <v>5</v>
          </cell>
        </row>
        <row r="202">
          <cell r="B202" t="str">
            <v>EMMC</v>
          </cell>
          <cell r="C202" t="str">
            <v>HSLB12301</v>
          </cell>
          <cell r="D202">
            <v>112063</v>
          </cell>
          <cell r="E202" t="str">
            <v>Mesa Mayo</v>
          </cell>
          <cell r="F202" t="str">
            <v>NO</v>
          </cell>
          <cell r="G202" t="str">
            <v>SI</v>
          </cell>
          <cell r="H202" t="str">
            <v>BOX GINECOLOGÍA C/BAÑO</v>
          </cell>
          <cell r="I202">
            <v>1</v>
          </cell>
          <cell r="J202" t="str">
            <v>C.2.2.2.8.1</v>
          </cell>
          <cell r="K202" t="str">
            <v>Consultas Medicas Generales</v>
          </cell>
          <cell r="L202">
            <v>2</v>
          </cell>
          <cell r="M202">
            <v>46003</v>
          </cell>
          <cell r="N202">
            <v>46006</v>
          </cell>
          <cell r="O202">
            <v>1</v>
          </cell>
          <cell r="P202">
            <v>46008</v>
          </cell>
          <cell r="Q202">
            <v>5</v>
          </cell>
          <cell r="R202" t="str">
            <v>NA</v>
          </cell>
          <cell r="S202">
            <v>5</v>
          </cell>
        </row>
        <row r="203">
          <cell r="B203" t="str">
            <v>EMMC</v>
          </cell>
          <cell r="C203" t="str">
            <v>HSLB12302</v>
          </cell>
          <cell r="D203">
            <v>112063</v>
          </cell>
          <cell r="E203" t="str">
            <v>Mesa Mayo</v>
          </cell>
          <cell r="F203" t="str">
            <v>NO</v>
          </cell>
          <cell r="G203" t="str">
            <v>NO</v>
          </cell>
          <cell r="H203" t="str">
            <v>BOX GINECOLOGÍA C/BAÑO</v>
          </cell>
          <cell r="I203">
            <v>1</v>
          </cell>
          <cell r="J203" t="str">
            <v>C.2.2.2.8.2</v>
          </cell>
          <cell r="K203" t="str">
            <v>Consultas Medicas Generales</v>
          </cell>
          <cell r="L203">
            <v>2</v>
          </cell>
          <cell r="M203">
            <v>46036</v>
          </cell>
          <cell r="N203">
            <v>46037</v>
          </cell>
          <cell r="O203">
            <v>1</v>
          </cell>
          <cell r="P203">
            <v>46038</v>
          </cell>
          <cell r="Q203">
            <v>5</v>
          </cell>
          <cell r="R203" t="str">
            <v>NA</v>
          </cell>
          <cell r="S203">
            <v>5</v>
          </cell>
        </row>
        <row r="204">
          <cell r="B204" t="str">
            <v>EMMC</v>
          </cell>
          <cell r="C204" t="str">
            <v>HSLB12303</v>
          </cell>
          <cell r="D204">
            <v>112063</v>
          </cell>
          <cell r="E204" t="str">
            <v>Mesa Mayo</v>
          </cell>
          <cell r="F204" t="str">
            <v>NO</v>
          </cell>
          <cell r="G204" t="str">
            <v>NO</v>
          </cell>
          <cell r="H204" t="str">
            <v>BOX OBSTETRICIA C/BAÑO</v>
          </cell>
          <cell r="I204">
            <v>1</v>
          </cell>
          <cell r="J204" t="str">
            <v>C.2.2.2.9</v>
          </cell>
          <cell r="K204" t="str">
            <v>Consultas Medicas Generales</v>
          </cell>
          <cell r="L204">
            <v>2</v>
          </cell>
          <cell r="M204">
            <v>46036</v>
          </cell>
          <cell r="N204">
            <v>46037</v>
          </cell>
          <cell r="O204">
            <v>1</v>
          </cell>
          <cell r="P204">
            <v>46038</v>
          </cell>
          <cell r="Q204">
            <v>5</v>
          </cell>
          <cell r="R204" t="str">
            <v>NA</v>
          </cell>
          <cell r="S204">
            <v>5</v>
          </cell>
        </row>
        <row r="205">
          <cell r="B205" t="str">
            <v>EMMC</v>
          </cell>
          <cell r="C205" t="str">
            <v>HSLB12304</v>
          </cell>
          <cell r="D205">
            <v>112063</v>
          </cell>
          <cell r="E205" t="str">
            <v>Mesa Mayo</v>
          </cell>
          <cell r="F205" t="str">
            <v>NO</v>
          </cell>
          <cell r="G205" t="str">
            <v>NO</v>
          </cell>
          <cell r="H205" t="str">
            <v>SALA PROCEDIMIENTOS ENDOSCOPÍA INDIFERENCIADO</v>
          </cell>
          <cell r="I205">
            <v>1</v>
          </cell>
          <cell r="J205" t="str">
            <v>C.2.2.3.14.1</v>
          </cell>
          <cell r="K205" t="str">
            <v>Consultas Medicas Generales</v>
          </cell>
          <cell r="L205">
            <v>2</v>
          </cell>
          <cell r="M205">
            <v>46036</v>
          </cell>
          <cell r="N205">
            <v>46037</v>
          </cell>
          <cell r="O205">
            <v>1</v>
          </cell>
          <cell r="P205">
            <v>46038</v>
          </cell>
          <cell r="Q205">
            <v>5</v>
          </cell>
          <cell r="R205" t="str">
            <v>NA</v>
          </cell>
          <cell r="S205">
            <v>5</v>
          </cell>
        </row>
        <row r="206">
          <cell r="B206" t="str">
            <v>EMMC</v>
          </cell>
          <cell r="C206" t="str">
            <v>HSLB12305</v>
          </cell>
          <cell r="D206">
            <v>112063</v>
          </cell>
          <cell r="E206" t="str">
            <v>Mesa Mayo</v>
          </cell>
          <cell r="F206" t="str">
            <v>NO</v>
          </cell>
          <cell r="G206" t="str">
            <v>NO</v>
          </cell>
          <cell r="H206" t="str">
            <v>SALA PROCEDIMIENTOS ENDOSCOPÍA INDIFERENCIADO</v>
          </cell>
          <cell r="I206">
            <v>1</v>
          </cell>
          <cell r="J206" t="str">
            <v>C.2.2.3.14.2</v>
          </cell>
          <cell r="K206" t="str">
            <v>Consultas Medicas Generales</v>
          </cell>
          <cell r="L206">
            <v>2</v>
          </cell>
          <cell r="M206">
            <v>46036</v>
          </cell>
          <cell r="N206">
            <v>46037</v>
          </cell>
          <cell r="O206">
            <v>1</v>
          </cell>
          <cell r="P206">
            <v>46038</v>
          </cell>
          <cell r="Q206">
            <v>5</v>
          </cell>
          <cell r="R206" t="str">
            <v>NA</v>
          </cell>
          <cell r="S206">
            <v>5</v>
          </cell>
        </row>
        <row r="207">
          <cell r="B207" t="str">
            <v>EMMC</v>
          </cell>
          <cell r="C207" t="str">
            <v>HSLB12306</v>
          </cell>
          <cell r="D207">
            <v>112063</v>
          </cell>
          <cell r="E207" t="str">
            <v>Mesa Mayo</v>
          </cell>
          <cell r="F207" t="str">
            <v>NO</v>
          </cell>
          <cell r="G207" t="str">
            <v>SI</v>
          </cell>
          <cell r="H207" t="str">
            <v>SALA PROCEDIMIENTOS ENDOSCOPÍA INDIFERENCIADO</v>
          </cell>
          <cell r="I207">
            <v>1</v>
          </cell>
          <cell r="J207" t="str">
            <v>C.2.2.3.14.3</v>
          </cell>
          <cell r="K207" t="str">
            <v>Consultas Medicas Generales</v>
          </cell>
          <cell r="L207">
            <v>2</v>
          </cell>
          <cell r="M207">
            <v>46003</v>
          </cell>
          <cell r="N207">
            <v>46006</v>
          </cell>
          <cell r="O207">
            <v>1</v>
          </cell>
          <cell r="P207">
            <v>46008</v>
          </cell>
          <cell r="Q207">
            <v>5</v>
          </cell>
          <cell r="R207" t="str">
            <v>NA</v>
          </cell>
          <cell r="S207">
            <v>5</v>
          </cell>
        </row>
        <row r="208">
          <cell r="B208" t="str">
            <v>EMMC</v>
          </cell>
          <cell r="C208" t="str">
            <v>HSLB12307</v>
          </cell>
          <cell r="D208">
            <v>112063</v>
          </cell>
          <cell r="E208" t="str">
            <v>Mesa Mayo</v>
          </cell>
          <cell r="F208" t="str">
            <v>NO</v>
          </cell>
          <cell r="G208" t="str">
            <v>NO</v>
          </cell>
          <cell r="H208" t="str">
            <v>SALA PROCEDIMIENTOS OTORRINO VIII PAR</v>
          </cell>
          <cell r="I208">
            <v>1</v>
          </cell>
          <cell r="J208" t="str">
            <v>C.2.2.3.9</v>
          </cell>
          <cell r="K208" t="str">
            <v>Consultas Medicas Generales</v>
          </cell>
          <cell r="L208">
            <v>2</v>
          </cell>
          <cell r="M208">
            <v>46036</v>
          </cell>
          <cell r="N208">
            <v>46037</v>
          </cell>
          <cell r="O208">
            <v>1</v>
          </cell>
          <cell r="P208">
            <v>46038</v>
          </cell>
          <cell r="Q208">
            <v>5</v>
          </cell>
          <cell r="R208" t="str">
            <v>NA</v>
          </cell>
          <cell r="S208">
            <v>5</v>
          </cell>
        </row>
        <row r="209">
          <cell r="B209" t="str">
            <v>EMMC</v>
          </cell>
          <cell r="C209" t="str">
            <v>HSLB10871</v>
          </cell>
          <cell r="D209">
            <v>106010</v>
          </cell>
          <cell r="E209" t="str">
            <v>Microondas</v>
          </cell>
          <cell r="F209" t="str">
            <v>NO</v>
          </cell>
          <cell r="G209" t="str">
            <v>NO</v>
          </cell>
          <cell r="H209" t="str">
            <v>ESTAR PERSONAL C/ KITCHENETTE</v>
          </cell>
          <cell r="I209">
            <v>1</v>
          </cell>
          <cell r="J209" t="str">
            <v>D.2.2.6.7</v>
          </cell>
          <cell r="K209" t="str">
            <v>Consultas Medicas Generales</v>
          </cell>
          <cell r="L209">
            <v>2</v>
          </cell>
          <cell r="M209">
            <v>46036</v>
          </cell>
          <cell r="N209">
            <v>46037</v>
          </cell>
          <cell r="O209">
            <v>1</v>
          </cell>
          <cell r="P209">
            <v>46038</v>
          </cell>
          <cell r="Q209">
            <v>5</v>
          </cell>
          <cell r="R209" t="str">
            <v>NA</v>
          </cell>
          <cell r="S209">
            <v>5</v>
          </cell>
        </row>
        <row r="210">
          <cell r="B210" t="str">
            <v>EMMC</v>
          </cell>
          <cell r="C210" t="str">
            <v>HSLB10184</v>
          </cell>
          <cell r="D210">
            <v>101049</v>
          </cell>
          <cell r="E210" t="str">
            <v>Negatoscopio</v>
          </cell>
          <cell r="F210" t="str">
            <v>NO</v>
          </cell>
          <cell r="G210" t="str">
            <v>NO</v>
          </cell>
          <cell r="H210" t="str">
            <v>SALA PROCEDIMIENTOS TRAUMATOLOGÍA INFANTIL</v>
          </cell>
          <cell r="I210">
            <v>1</v>
          </cell>
          <cell r="J210" t="str">
            <v>C.2.2.3.10</v>
          </cell>
          <cell r="K210" t="str">
            <v>Consultas Medicas Generales</v>
          </cell>
          <cell r="L210">
            <v>2</v>
          </cell>
          <cell r="M210">
            <v>46036</v>
          </cell>
          <cell r="N210">
            <v>46037</v>
          </cell>
          <cell r="O210">
            <v>1</v>
          </cell>
          <cell r="P210">
            <v>46038</v>
          </cell>
          <cell r="Q210">
            <v>5</v>
          </cell>
          <cell r="R210" t="str">
            <v>NA</v>
          </cell>
          <cell r="S210">
            <v>5</v>
          </cell>
        </row>
        <row r="211">
          <cell r="B211" t="str">
            <v>EMMC</v>
          </cell>
          <cell r="C211" t="str">
            <v>HSLB10185</v>
          </cell>
          <cell r="D211">
            <v>101049</v>
          </cell>
          <cell r="E211" t="str">
            <v>Negatoscopio</v>
          </cell>
          <cell r="F211" t="str">
            <v>NO</v>
          </cell>
          <cell r="G211" t="str">
            <v>NO</v>
          </cell>
          <cell r="H211" t="str">
            <v>SALA PROCEDIMIENTOS TRAUMATOLOGÍA ADULTO</v>
          </cell>
          <cell r="I211">
            <v>1</v>
          </cell>
          <cell r="J211" t="str">
            <v>C.2.2.3.11</v>
          </cell>
          <cell r="K211" t="str">
            <v>Consultas Medicas Generales</v>
          </cell>
          <cell r="L211">
            <v>2</v>
          </cell>
          <cell r="M211">
            <v>46036</v>
          </cell>
          <cell r="N211">
            <v>46037</v>
          </cell>
          <cell r="O211">
            <v>1</v>
          </cell>
          <cell r="P211">
            <v>46038</v>
          </cell>
          <cell r="Q211">
            <v>5</v>
          </cell>
          <cell r="R211" t="str">
            <v>NA</v>
          </cell>
          <cell r="S211">
            <v>5</v>
          </cell>
        </row>
        <row r="212">
          <cell r="B212" t="str">
            <v>EMMC</v>
          </cell>
          <cell r="C212" t="str">
            <v>HSLB10196</v>
          </cell>
          <cell r="D212">
            <v>101051</v>
          </cell>
          <cell r="E212" t="str">
            <v>Oftalmoscopio Directo</v>
          </cell>
          <cell r="F212" t="str">
            <v>NO</v>
          </cell>
          <cell r="G212" t="str">
            <v>NO</v>
          </cell>
          <cell r="H212" t="str">
            <v>BOX OFTALMO URO NEFRO (INDIFERENCIDO)</v>
          </cell>
          <cell r="I212">
            <v>1</v>
          </cell>
          <cell r="J212" t="str">
            <v>C.2.2.3.4</v>
          </cell>
          <cell r="K212" t="str">
            <v>Consultas Medicas Especialidades</v>
          </cell>
          <cell r="L212">
            <v>2</v>
          </cell>
          <cell r="M212">
            <v>46038</v>
          </cell>
          <cell r="N212">
            <v>46041</v>
          </cell>
          <cell r="O212">
            <v>1</v>
          </cell>
          <cell r="P212">
            <v>46042</v>
          </cell>
          <cell r="Q212">
            <v>5</v>
          </cell>
          <cell r="R212" t="str">
            <v>NA</v>
          </cell>
          <cell r="S212">
            <v>5</v>
          </cell>
        </row>
        <row r="213">
          <cell r="B213" t="str">
            <v>EMMC</v>
          </cell>
          <cell r="C213" t="str">
            <v>HSLB10197</v>
          </cell>
          <cell r="D213">
            <v>101052</v>
          </cell>
          <cell r="E213" t="str">
            <v>Oftalmoscopio Indirecto</v>
          </cell>
          <cell r="F213" t="str">
            <v>NO</v>
          </cell>
          <cell r="G213" t="str">
            <v>NO</v>
          </cell>
          <cell r="H213" t="str">
            <v>BOX OFTALMO URO NEFRO (INDIFERENCIDO)</v>
          </cell>
          <cell r="I213">
            <v>1</v>
          </cell>
          <cell r="J213" t="str">
            <v>C.2.2.3.4</v>
          </cell>
          <cell r="K213" t="str">
            <v>Consultas Medicas Especialidades</v>
          </cell>
          <cell r="L213">
            <v>2</v>
          </cell>
          <cell r="M213">
            <v>46038</v>
          </cell>
          <cell r="N213">
            <v>46041</v>
          </cell>
          <cell r="O213">
            <v>1</v>
          </cell>
          <cell r="P213">
            <v>46042</v>
          </cell>
          <cell r="Q213">
            <v>5</v>
          </cell>
          <cell r="R213" t="str">
            <v>NA</v>
          </cell>
          <cell r="S213">
            <v>5</v>
          </cell>
        </row>
        <row r="214">
          <cell r="B214" t="str">
            <v>EMMC</v>
          </cell>
          <cell r="C214" t="str">
            <v>HSLB10238</v>
          </cell>
          <cell r="D214">
            <v>101056</v>
          </cell>
          <cell r="E214" t="str">
            <v>Otoscopio Mural</v>
          </cell>
          <cell r="F214" t="str">
            <v>NO</v>
          </cell>
          <cell r="G214" t="str">
            <v>NO</v>
          </cell>
          <cell r="H214" t="str">
            <v>SALA PROCEDIMIENTOS OTORRINO VIII PAR</v>
          </cell>
          <cell r="I214">
            <v>1</v>
          </cell>
          <cell r="J214" t="str">
            <v>C.2.2.3.9</v>
          </cell>
          <cell r="K214" t="str">
            <v>Consultas Medicas Especialidades</v>
          </cell>
          <cell r="L214">
            <v>2</v>
          </cell>
          <cell r="M214">
            <v>46038</v>
          </cell>
          <cell r="N214">
            <v>46041</v>
          </cell>
          <cell r="O214">
            <v>1</v>
          </cell>
          <cell r="P214">
            <v>46042</v>
          </cell>
          <cell r="Q214">
            <v>5</v>
          </cell>
          <cell r="R214" t="str">
            <v>NA</v>
          </cell>
          <cell r="S214">
            <v>5</v>
          </cell>
        </row>
        <row r="215">
          <cell r="B215" t="str">
            <v>EMMC</v>
          </cell>
          <cell r="C215" t="str">
            <v>HSLB12350</v>
          </cell>
          <cell r="D215">
            <v>112068</v>
          </cell>
          <cell r="E215" t="str">
            <v>Piso Taburete Clínico</v>
          </cell>
          <cell r="F215" t="str">
            <v>NO</v>
          </cell>
          <cell r="G215" t="str">
            <v>NO</v>
          </cell>
          <cell r="H215" t="str">
            <v>BOX MATRONA C/BAÑO</v>
          </cell>
          <cell r="I215">
            <v>1</v>
          </cell>
          <cell r="J215" t="str">
            <v>C.2.2.2.10</v>
          </cell>
          <cell r="K215" t="str">
            <v>Consultas Medicas Generales</v>
          </cell>
          <cell r="L215">
            <v>2</v>
          </cell>
          <cell r="M215">
            <v>46036</v>
          </cell>
          <cell r="N215">
            <v>46037</v>
          </cell>
          <cell r="O215">
            <v>1</v>
          </cell>
          <cell r="P215">
            <v>46038</v>
          </cell>
          <cell r="Q215">
            <v>5</v>
          </cell>
          <cell r="R215" t="str">
            <v>NA</v>
          </cell>
          <cell r="S215">
            <v>5</v>
          </cell>
        </row>
        <row r="216">
          <cell r="B216" t="str">
            <v>EMMC</v>
          </cell>
          <cell r="C216" t="str">
            <v>HSLB12351</v>
          </cell>
          <cell r="D216">
            <v>112068</v>
          </cell>
          <cell r="E216" t="str">
            <v>Piso Taburete Clínico</v>
          </cell>
          <cell r="F216" t="str">
            <v>NO</v>
          </cell>
          <cell r="G216" t="str">
            <v>NO</v>
          </cell>
          <cell r="H216" t="str">
            <v>BOX MEDICINA COMPLEMENTARIA Y ALTERNATIVA</v>
          </cell>
          <cell r="I216">
            <v>1</v>
          </cell>
          <cell r="J216" t="str">
            <v>C.2.2.2.12</v>
          </cell>
          <cell r="K216" t="str">
            <v>Consultas Medicas Generales</v>
          </cell>
          <cell r="L216">
            <v>2</v>
          </cell>
          <cell r="M216">
            <v>46036</v>
          </cell>
          <cell r="N216">
            <v>46037</v>
          </cell>
          <cell r="O216">
            <v>1</v>
          </cell>
          <cell r="P216">
            <v>46038</v>
          </cell>
          <cell r="Q216">
            <v>5</v>
          </cell>
          <cell r="R216" t="str">
            <v>NA</v>
          </cell>
          <cell r="S216">
            <v>5</v>
          </cell>
        </row>
        <row r="217">
          <cell r="B217" t="str">
            <v>EMMC</v>
          </cell>
          <cell r="C217" t="str">
            <v>HSLB12352</v>
          </cell>
          <cell r="D217">
            <v>112068</v>
          </cell>
          <cell r="E217" t="str">
            <v>Piso Taburete Clínico</v>
          </cell>
          <cell r="F217" t="str">
            <v>NO</v>
          </cell>
          <cell r="G217" t="str">
            <v>NO</v>
          </cell>
          <cell r="H217" t="str">
            <v>SALA PROCEDIMIENTOS GINECO-OBSTÉTRICO</v>
          </cell>
          <cell r="I217">
            <v>1</v>
          </cell>
          <cell r="J217" t="str">
            <v>C.2.2.2.15</v>
          </cell>
          <cell r="K217" t="str">
            <v>Consultas Medicas Generales</v>
          </cell>
          <cell r="L217">
            <v>2</v>
          </cell>
          <cell r="M217">
            <v>46036</v>
          </cell>
          <cell r="N217">
            <v>46037</v>
          </cell>
          <cell r="O217">
            <v>1</v>
          </cell>
          <cell r="P217">
            <v>46038</v>
          </cell>
          <cell r="Q217">
            <v>5</v>
          </cell>
          <cell r="R217" t="str">
            <v>NA</v>
          </cell>
          <cell r="S217">
            <v>5</v>
          </cell>
        </row>
        <row r="218">
          <cell r="B218" t="str">
            <v>EMMC</v>
          </cell>
          <cell r="C218" t="str">
            <v>HSLB12353</v>
          </cell>
          <cell r="D218">
            <v>112068</v>
          </cell>
          <cell r="E218" t="str">
            <v>Piso Taburete Clínico</v>
          </cell>
          <cell r="F218" t="str">
            <v>NO</v>
          </cell>
          <cell r="G218" t="str">
            <v>NO</v>
          </cell>
          <cell r="H218" t="str">
            <v>SALA PROCEDIMIENTOS ENFERMERÍA INFANTIL</v>
          </cell>
          <cell r="I218">
            <v>1</v>
          </cell>
          <cell r="J218" t="str">
            <v>C.2.2.2.16</v>
          </cell>
          <cell r="K218" t="str">
            <v>Consultas Medicas Generales</v>
          </cell>
          <cell r="L218">
            <v>2</v>
          </cell>
          <cell r="M218">
            <v>46036</v>
          </cell>
          <cell r="N218">
            <v>46037</v>
          </cell>
          <cell r="O218">
            <v>1</v>
          </cell>
          <cell r="P218">
            <v>46038</v>
          </cell>
          <cell r="Q218">
            <v>5</v>
          </cell>
          <cell r="R218" t="str">
            <v>NA</v>
          </cell>
          <cell r="S218">
            <v>5</v>
          </cell>
        </row>
        <row r="219">
          <cell r="B219" t="str">
            <v>EMMC</v>
          </cell>
          <cell r="C219" t="str">
            <v>HSLB12354</v>
          </cell>
          <cell r="D219">
            <v>112068</v>
          </cell>
          <cell r="E219" t="str">
            <v>Piso Taburete Clínico</v>
          </cell>
          <cell r="F219" t="str">
            <v>NO</v>
          </cell>
          <cell r="G219" t="str">
            <v>NO</v>
          </cell>
          <cell r="H219" t="str">
            <v>SALA DE PROCEDIMIENTOS ENFERMERÍA ADULTO</v>
          </cell>
          <cell r="I219">
            <v>1</v>
          </cell>
          <cell r="J219" t="str">
            <v>C.2.2.2.17.1</v>
          </cell>
          <cell r="K219" t="str">
            <v>Consultas Medicas Generales</v>
          </cell>
          <cell r="L219">
            <v>2</v>
          </cell>
          <cell r="M219">
            <v>46036</v>
          </cell>
          <cell r="N219">
            <v>46037</v>
          </cell>
          <cell r="O219">
            <v>1</v>
          </cell>
          <cell r="P219">
            <v>46038</v>
          </cell>
          <cell r="Q219">
            <v>5</v>
          </cell>
          <cell r="R219" t="str">
            <v>NA</v>
          </cell>
          <cell r="S219">
            <v>5</v>
          </cell>
        </row>
        <row r="220">
          <cell r="B220" t="str">
            <v>EMMC</v>
          </cell>
          <cell r="C220" t="str">
            <v>HSLB12355</v>
          </cell>
          <cell r="D220">
            <v>112068</v>
          </cell>
          <cell r="E220" t="str">
            <v>Piso Taburete Clínico</v>
          </cell>
          <cell r="F220" t="str">
            <v>NO</v>
          </cell>
          <cell r="G220" t="str">
            <v>NO</v>
          </cell>
          <cell r="H220" t="str">
            <v>SALA DE PROCEDIMIENTOS ENFERMERÍA ADULTO</v>
          </cell>
          <cell r="I220">
            <v>1</v>
          </cell>
          <cell r="J220" t="str">
            <v>C.2.2.2.17.2</v>
          </cell>
          <cell r="K220" t="str">
            <v>Consultas Medicas Generales</v>
          </cell>
          <cell r="L220">
            <v>2</v>
          </cell>
          <cell r="M220">
            <v>46036</v>
          </cell>
          <cell r="N220">
            <v>46037</v>
          </cell>
          <cell r="O220">
            <v>1</v>
          </cell>
          <cell r="P220">
            <v>46038</v>
          </cell>
          <cell r="Q220">
            <v>5</v>
          </cell>
          <cell r="R220" t="str">
            <v>NA</v>
          </cell>
          <cell r="S220">
            <v>5</v>
          </cell>
        </row>
        <row r="221">
          <cell r="B221" t="str">
            <v>EMMC</v>
          </cell>
          <cell r="C221" t="str">
            <v>HSLB12356</v>
          </cell>
          <cell r="D221">
            <v>112068</v>
          </cell>
          <cell r="E221" t="str">
            <v>Piso Taburete Clínico</v>
          </cell>
          <cell r="F221" t="str">
            <v>NO</v>
          </cell>
          <cell r="G221" t="str">
            <v>NO</v>
          </cell>
          <cell r="H221" t="str">
            <v>SALA DE PROCEDIMIENTOS ENFERMERÍA ADULTO</v>
          </cell>
          <cell r="I221">
            <v>1</v>
          </cell>
          <cell r="J221" t="str">
            <v>C.2.2.2.17.3</v>
          </cell>
          <cell r="K221" t="str">
            <v>Consultas Medicas Generales</v>
          </cell>
          <cell r="L221">
            <v>2</v>
          </cell>
          <cell r="M221">
            <v>46036</v>
          </cell>
          <cell r="N221">
            <v>46037</v>
          </cell>
          <cell r="O221">
            <v>1</v>
          </cell>
          <cell r="P221">
            <v>46038</v>
          </cell>
          <cell r="Q221">
            <v>5</v>
          </cell>
          <cell r="R221" t="str">
            <v>NA</v>
          </cell>
          <cell r="S221">
            <v>5</v>
          </cell>
        </row>
        <row r="222">
          <cell r="B222" t="str">
            <v>EMMC</v>
          </cell>
          <cell r="C222" t="str">
            <v>HSLB12357</v>
          </cell>
          <cell r="D222">
            <v>112068</v>
          </cell>
          <cell r="E222" t="str">
            <v>Piso Taburete Clínico</v>
          </cell>
          <cell r="F222" t="str">
            <v>NO</v>
          </cell>
          <cell r="G222" t="str">
            <v>SI</v>
          </cell>
          <cell r="H222" t="str">
            <v>BOX GINECOLOGÍA C/BAÑO</v>
          </cell>
          <cell r="I222">
            <v>1</v>
          </cell>
          <cell r="J222" t="str">
            <v>C.2.2.2.8.1</v>
          </cell>
          <cell r="K222" t="str">
            <v>Consultas Medicas Generales</v>
          </cell>
          <cell r="L222">
            <v>2</v>
          </cell>
          <cell r="M222">
            <v>46003</v>
          </cell>
          <cell r="N222">
            <v>46006</v>
          </cell>
          <cell r="O222">
            <v>1</v>
          </cell>
          <cell r="P222">
            <v>46008</v>
          </cell>
          <cell r="Q222">
            <v>5</v>
          </cell>
          <cell r="R222" t="str">
            <v>NA</v>
          </cell>
          <cell r="S222">
            <v>5</v>
          </cell>
        </row>
        <row r="223">
          <cell r="B223" t="str">
            <v>EMMC</v>
          </cell>
          <cell r="C223" t="str">
            <v>HSLB12358</v>
          </cell>
          <cell r="D223">
            <v>112068</v>
          </cell>
          <cell r="E223" t="str">
            <v>Piso Taburete Clínico</v>
          </cell>
          <cell r="F223" t="str">
            <v>NO</v>
          </cell>
          <cell r="G223" t="str">
            <v>NO</v>
          </cell>
          <cell r="H223" t="str">
            <v>BOX GINECOLOGÍA C/BAÑO</v>
          </cell>
          <cell r="I223">
            <v>1</v>
          </cell>
          <cell r="J223" t="str">
            <v>C.2.2.2.8.2</v>
          </cell>
          <cell r="K223" t="str">
            <v>Consultas Medicas Generales</v>
          </cell>
          <cell r="L223">
            <v>2</v>
          </cell>
          <cell r="M223">
            <v>46036</v>
          </cell>
          <cell r="N223">
            <v>46037</v>
          </cell>
          <cell r="O223">
            <v>1</v>
          </cell>
          <cell r="P223">
            <v>46038</v>
          </cell>
          <cell r="Q223">
            <v>5</v>
          </cell>
          <cell r="R223" t="str">
            <v>NA</v>
          </cell>
          <cell r="S223">
            <v>5</v>
          </cell>
        </row>
        <row r="224">
          <cell r="B224" t="str">
            <v>EMMC</v>
          </cell>
          <cell r="C224" t="str">
            <v>HSLB12359</v>
          </cell>
          <cell r="D224">
            <v>112068</v>
          </cell>
          <cell r="E224" t="str">
            <v>Piso Taburete Clínico</v>
          </cell>
          <cell r="F224" t="str">
            <v>NO</v>
          </cell>
          <cell r="G224" t="str">
            <v>NO</v>
          </cell>
          <cell r="H224" t="str">
            <v>BOX OBSTETRICIA C/BAÑO</v>
          </cell>
          <cell r="I224">
            <v>1</v>
          </cell>
          <cell r="J224" t="str">
            <v>C.2.2.2.9</v>
          </cell>
          <cell r="K224" t="str">
            <v>Consultas Medicas Generales</v>
          </cell>
          <cell r="L224">
            <v>2</v>
          </cell>
          <cell r="M224">
            <v>46036</v>
          </cell>
          <cell r="N224">
            <v>46037</v>
          </cell>
          <cell r="O224">
            <v>1</v>
          </cell>
          <cell r="P224">
            <v>46038</v>
          </cell>
          <cell r="Q224">
            <v>5</v>
          </cell>
          <cell r="R224" t="str">
            <v>NA</v>
          </cell>
          <cell r="S224">
            <v>5</v>
          </cell>
        </row>
        <row r="225">
          <cell r="B225" t="str">
            <v>EMMC</v>
          </cell>
          <cell r="C225" t="str">
            <v>HSLB12360</v>
          </cell>
          <cell r="D225">
            <v>112068</v>
          </cell>
          <cell r="E225" t="str">
            <v>Piso Taburete Clínico</v>
          </cell>
          <cell r="F225" t="str">
            <v>NO</v>
          </cell>
          <cell r="G225" t="str">
            <v>NO</v>
          </cell>
          <cell r="H225" t="str">
            <v>SALA PROCEDIMIENTOS TRAUMATOLOGÍA INFANTIL</v>
          </cell>
          <cell r="I225">
            <v>1</v>
          </cell>
          <cell r="J225" t="str">
            <v>C.2.2.3.10</v>
          </cell>
          <cell r="K225" t="str">
            <v>Consultas Medicas Generales</v>
          </cell>
          <cell r="L225">
            <v>2</v>
          </cell>
          <cell r="M225">
            <v>46036</v>
          </cell>
          <cell r="N225">
            <v>46037</v>
          </cell>
          <cell r="O225">
            <v>1</v>
          </cell>
          <cell r="P225">
            <v>46038</v>
          </cell>
          <cell r="Q225">
            <v>5</v>
          </cell>
          <cell r="R225" t="str">
            <v>NA</v>
          </cell>
          <cell r="S225">
            <v>5</v>
          </cell>
        </row>
        <row r="226">
          <cell r="B226" t="str">
            <v>EMMC</v>
          </cell>
          <cell r="C226" t="str">
            <v>HSLB12361</v>
          </cell>
          <cell r="D226">
            <v>112068</v>
          </cell>
          <cell r="E226" t="str">
            <v>Piso Taburete Clínico</v>
          </cell>
          <cell r="F226" t="str">
            <v>NO</v>
          </cell>
          <cell r="G226" t="str">
            <v>NO</v>
          </cell>
          <cell r="H226" t="str">
            <v>SALA PROCEDIMIENTOS TRAUMATOLOGÍA ADULTO</v>
          </cell>
          <cell r="I226">
            <v>1</v>
          </cell>
          <cell r="J226" t="str">
            <v>C.2.2.3.11</v>
          </cell>
          <cell r="K226" t="str">
            <v>Consultas Medicas Generales</v>
          </cell>
          <cell r="L226">
            <v>2</v>
          </cell>
          <cell r="M226">
            <v>46036</v>
          </cell>
          <cell r="N226">
            <v>46037</v>
          </cell>
          <cell r="O226">
            <v>1</v>
          </cell>
          <cell r="P226">
            <v>46038</v>
          </cell>
          <cell r="Q226">
            <v>5</v>
          </cell>
          <cell r="R226" t="str">
            <v>NA</v>
          </cell>
          <cell r="S226">
            <v>5</v>
          </cell>
        </row>
        <row r="227">
          <cell r="B227" t="str">
            <v>EMMC</v>
          </cell>
          <cell r="C227" t="str">
            <v>HSLB12362</v>
          </cell>
          <cell r="D227">
            <v>112068</v>
          </cell>
          <cell r="E227" t="str">
            <v>Piso Taburete Clínico</v>
          </cell>
          <cell r="F227" t="str">
            <v>NO</v>
          </cell>
          <cell r="G227" t="str">
            <v>NO</v>
          </cell>
          <cell r="H227" t="str">
            <v>SALA TEST DE ESFUERZO Y ESPIROMETRÍA</v>
          </cell>
          <cell r="I227">
            <v>1</v>
          </cell>
          <cell r="J227" t="str">
            <v>C.2.2.3.12</v>
          </cell>
          <cell r="K227" t="str">
            <v>Consultas Medicas Generales</v>
          </cell>
          <cell r="L227">
            <v>2</v>
          </cell>
          <cell r="M227">
            <v>46036</v>
          </cell>
          <cell r="N227">
            <v>46037</v>
          </cell>
          <cell r="O227">
            <v>1</v>
          </cell>
          <cell r="P227">
            <v>46038</v>
          </cell>
          <cell r="Q227">
            <v>5</v>
          </cell>
          <cell r="R227" t="str">
            <v>NA</v>
          </cell>
          <cell r="S227">
            <v>5</v>
          </cell>
        </row>
        <row r="228">
          <cell r="B228" t="str">
            <v>EMMC</v>
          </cell>
          <cell r="C228" t="str">
            <v>HSLB12363</v>
          </cell>
          <cell r="D228">
            <v>112068</v>
          </cell>
          <cell r="E228" t="str">
            <v>Piso Taburete Clínico</v>
          </cell>
          <cell r="F228" t="str">
            <v>NO</v>
          </cell>
          <cell r="G228" t="str">
            <v>NO</v>
          </cell>
          <cell r="H228" t="str">
            <v>SALA DE PROCEDIMIENTOS CARDIOLÓGICOS</v>
          </cell>
          <cell r="I228">
            <v>1</v>
          </cell>
          <cell r="J228" t="str">
            <v>C.2.2.3.13</v>
          </cell>
          <cell r="K228" t="str">
            <v>Consultas Medicas Generales</v>
          </cell>
          <cell r="L228">
            <v>2</v>
          </cell>
          <cell r="M228">
            <v>46036</v>
          </cell>
          <cell r="N228">
            <v>46037</v>
          </cell>
          <cell r="O228">
            <v>1</v>
          </cell>
          <cell r="P228">
            <v>46038</v>
          </cell>
          <cell r="Q228">
            <v>5</v>
          </cell>
          <cell r="R228" t="str">
            <v>NA</v>
          </cell>
          <cell r="S228">
            <v>5</v>
          </cell>
        </row>
        <row r="229">
          <cell r="B229" t="str">
            <v>EMMC</v>
          </cell>
          <cell r="C229" t="str">
            <v>HSLB12364</v>
          </cell>
          <cell r="D229">
            <v>112068</v>
          </cell>
          <cell r="E229" t="str">
            <v>Piso Taburete Clínico</v>
          </cell>
          <cell r="F229" t="str">
            <v>NO</v>
          </cell>
          <cell r="G229" t="str">
            <v>NO</v>
          </cell>
          <cell r="H229" t="str">
            <v>BOX CARDIO OTORRINO</v>
          </cell>
          <cell r="I229">
            <v>1</v>
          </cell>
          <cell r="J229" t="str">
            <v>C.2.2.3.3</v>
          </cell>
          <cell r="K229" t="str">
            <v>Consultas Medicas Generales</v>
          </cell>
          <cell r="L229">
            <v>2</v>
          </cell>
          <cell r="M229">
            <v>46036</v>
          </cell>
          <cell r="N229">
            <v>46037</v>
          </cell>
          <cell r="O229">
            <v>1</v>
          </cell>
          <cell r="P229">
            <v>46038</v>
          </cell>
          <cell r="Q229">
            <v>5</v>
          </cell>
          <cell r="R229" t="str">
            <v>NA</v>
          </cell>
          <cell r="S229">
            <v>5</v>
          </cell>
        </row>
        <row r="230">
          <cell r="B230" t="str">
            <v>EMMC</v>
          </cell>
          <cell r="C230" t="str">
            <v>HSLB12365</v>
          </cell>
          <cell r="D230">
            <v>112068</v>
          </cell>
          <cell r="E230" t="str">
            <v>Piso Taburete Clínico</v>
          </cell>
          <cell r="F230" t="str">
            <v>NO</v>
          </cell>
          <cell r="G230" t="str">
            <v>NO</v>
          </cell>
          <cell r="H230" t="str">
            <v>BOX OFTALMO URO NEFRO (INDIFERENCIDO)</v>
          </cell>
          <cell r="I230">
            <v>2</v>
          </cell>
          <cell r="J230" t="str">
            <v>C.2.2.3.4</v>
          </cell>
          <cell r="K230" t="str">
            <v>Consultas Medicas Generales</v>
          </cell>
          <cell r="L230">
            <v>2</v>
          </cell>
          <cell r="M230">
            <v>46036</v>
          </cell>
          <cell r="N230">
            <v>46037</v>
          </cell>
          <cell r="O230">
            <v>1</v>
          </cell>
          <cell r="P230">
            <v>46038</v>
          </cell>
          <cell r="Q230">
            <v>5</v>
          </cell>
          <cell r="R230" t="str">
            <v>NA</v>
          </cell>
          <cell r="S230">
            <v>5</v>
          </cell>
        </row>
        <row r="231">
          <cell r="B231" t="str">
            <v>EMMC</v>
          </cell>
          <cell r="C231" t="str">
            <v>HSLB12366</v>
          </cell>
          <cell r="D231">
            <v>112068</v>
          </cell>
          <cell r="E231" t="str">
            <v>Piso Taburete Clínico</v>
          </cell>
          <cell r="F231" t="str">
            <v>NO</v>
          </cell>
          <cell r="G231" t="str">
            <v>NO</v>
          </cell>
          <cell r="H231" t="str">
            <v>SALA DE PROCEDIMIENTOS OFTALMO SIMPLE</v>
          </cell>
          <cell r="I231">
            <v>2</v>
          </cell>
          <cell r="J231" t="str">
            <v>C.2.2.3.6</v>
          </cell>
          <cell r="K231" t="str">
            <v>Consultas Medicas Generales</v>
          </cell>
          <cell r="L231">
            <v>2</v>
          </cell>
          <cell r="M231">
            <v>46036</v>
          </cell>
          <cell r="N231">
            <v>46037</v>
          </cell>
          <cell r="O231">
            <v>1</v>
          </cell>
          <cell r="P231">
            <v>46038</v>
          </cell>
          <cell r="Q231">
            <v>5</v>
          </cell>
          <cell r="R231" t="str">
            <v>NA</v>
          </cell>
          <cell r="S231">
            <v>5</v>
          </cell>
        </row>
        <row r="232">
          <cell r="B232" t="str">
            <v>EMMC</v>
          </cell>
          <cell r="C232" t="str">
            <v>HSLB12367</v>
          </cell>
          <cell r="D232">
            <v>112068</v>
          </cell>
          <cell r="E232" t="str">
            <v>Piso Taburete Clínico</v>
          </cell>
          <cell r="F232" t="str">
            <v>NO</v>
          </cell>
          <cell r="G232" t="str">
            <v>NO</v>
          </cell>
          <cell r="H232" t="str">
            <v>SALA DE PROCEDIMIENTOS OFTALMO COMPLEJO</v>
          </cell>
          <cell r="I232">
            <v>2</v>
          </cell>
          <cell r="J232" t="str">
            <v>C.2.2.3.7</v>
          </cell>
          <cell r="K232" t="str">
            <v>Consultas Medicas Generales</v>
          </cell>
          <cell r="L232">
            <v>2</v>
          </cell>
          <cell r="M232">
            <v>46036</v>
          </cell>
          <cell r="N232">
            <v>46037</v>
          </cell>
          <cell r="O232">
            <v>1</v>
          </cell>
          <cell r="P232">
            <v>46038</v>
          </cell>
          <cell r="Q232">
            <v>5</v>
          </cell>
          <cell r="R232" t="str">
            <v>NA</v>
          </cell>
          <cell r="S232">
            <v>5</v>
          </cell>
        </row>
        <row r="233">
          <cell r="B233" t="str">
            <v>EMMC</v>
          </cell>
          <cell r="C233" t="str">
            <v>HSLB12414</v>
          </cell>
          <cell r="D233">
            <v>112068</v>
          </cell>
          <cell r="E233" t="str">
            <v>Piso Taburete Clínico</v>
          </cell>
          <cell r="F233" t="str">
            <v>NO</v>
          </cell>
          <cell r="G233" t="str">
            <v>NO</v>
          </cell>
          <cell r="H233" t="str">
            <v>PABELLON CIRUGIA MENOR DENTAL</v>
          </cell>
          <cell r="I233">
            <v>2</v>
          </cell>
          <cell r="J233" t="str">
            <v>C.5.6.4.8</v>
          </cell>
          <cell r="K233" t="str">
            <v>Consultas Medicas Generales</v>
          </cell>
          <cell r="L233">
            <v>2</v>
          </cell>
          <cell r="M233">
            <v>46036</v>
          </cell>
          <cell r="N233">
            <v>46037</v>
          </cell>
          <cell r="O233">
            <v>1</v>
          </cell>
          <cell r="P233">
            <v>46038</v>
          </cell>
          <cell r="Q233">
            <v>5</v>
          </cell>
          <cell r="R233" t="str">
            <v>NA</v>
          </cell>
          <cell r="S233">
            <v>5</v>
          </cell>
        </row>
        <row r="234">
          <cell r="B234" t="str">
            <v>EMMC</v>
          </cell>
          <cell r="C234" t="str">
            <v>HSLB12420</v>
          </cell>
          <cell r="D234">
            <v>112069</v>
          </cell>
          <cell r="E234" t="str">
            <v>Piso Taburete Clínico con Respaldo</v>
          </cell>
          <cell r="F234" t="str">
            <v>NO</v>
          </cell>
          <cell r="G234" t="str">
            <v>NO</v>
          </cell>
          <cell r="H234" t="str">
            <v>SALA DAN</v>
          </cell>
          <cell r="I234">
            <v>2</v>
          </cell>
          <cell r="J234" t="str">
            <v>C.2.2.3.17</v>
          </cell>
          <cell r="K234" t="str">
            <v>Consultas Medicas Especialidades - Sala DAN</v>
          </cell>
          <cell r="L234">
            <v>2</v>
          </cell>
          <cell r="M234">
            <v>46038</v>
          </cell>
          <cell r="N234">
            <v>46042</v>
          </cell>
          <cell r="O234">
            <v>1</v>
          </cell>
          <cell r="P234">
            <v>46043</v>
          </cell>
          <cell r="Q234">
            <v>5</v>
          </cell>
          <cell r="R234" t="str">
            <v>NA</v>
          </cell>
          <cell r="S234">
            <v>5</v>
          </cell>
        </row>
        <row r="235">
          <cell r="B235" t="str">
            <v>EMMC</v>
          </cell>
          <cell r="C235" t="str">
            <v>HSLB12428</v>
          </cell>
          <cell r="D235">
            <v>112069</v>
          </cell>
          <cell r="E235" t="str">
            <v>Piso Taburete Clínico con Respaldo</v>
          </cell>
          <cell r="F235" t="str">
            <v>NO</v>
          </cell>
          <cell r="G235" t="str">
            <v>NO</v>
          </cell>
          <cell r="H235" t="str">
            <v>PABELLON CIRUGIA MENOR URGENCIA</v>
          </cell>
          <cell r="I235">
            <v>2</v>
          </cell>
          <cell r="J235" t="str">
            <v>C.5.6.4.10</v>
          </cell>
          <cell r="K235" t="str">
            <v>Consultas Medicas Generales</v>
          </cell>
          <cell r="L235">
            <v>2</v>
          </cell>
          <cell r="M235">
            <v>46036</v>
          </cell>
          <cell r="N235">
            <v>46037</v>
          </cell>
          <cell r="O235">
            <v>1</v>
          </cell>
          <cell r="P235">
            <v>46038</v>
          </cell>
          <cell r="Q235">
            <v>5</v>
          </cell>
          <cell r="R235" t="str">
            <v>NA</v>
          </cell>
          <cell r="S235">
            <v>5</v>
          </cell>
        </row>
        <row r="236">
          <cell r="B236" t="str">
            <v>EMMC</v>
          </cell>
          <cell r="C236" t="str">
            <v>HSLB12434</v>
          </cell>
          <cell r="D236">
            <v>112069</v>
          </cell>
          <cell r="E236" t="str">
            <v>Piso Taburete Clínico con Respaldo</v>
          </cell>
          <cell r="F236" t="str">
            <v>NO</v>
          </cell>
          <cell r="G236" t="str">
            <v>NO</v>
          </cell>
          <cell r="H236" t="str">
            <v>PABELLON CIRUGIA MENOR ELECTIVA</v>
          </cell>
          <cell r="I236">
            <v>2</v>
          </cell>
          <cell r="J236" t="str">
            <v>C.5.6.4.9</v>
          </cell>
          <cell r="K236" t="str">
            <v>Consultas Medicas Generales</v>
          </cell>
          <cell r="L236">
            <v>2</v>
          </cell>
          <cell r="M236">
            <v>46036</v>
          </cell>
          <cell r="N236">
            <v>46037</v>
          </cell>
          <cell r="O236">
            <v>1</v>
          </cell>
          <cell r="P236">
            <v>46038</v>
          </cell>
          <cell r="Q236">
            <v>5</v>
          </cell>
          <cell r="R236" t="str">
            <v>NA</v>
          </cell>
          <cell r="S236">
            <v>5</v>
          </cell>
        </row>
        <row r="237">
          <cell r="B237" t="str">
            <v>EMMC</v>
          </cell>
          <cell r="C237" t="str">
            <v>HSLB10242</v>
          </cell>
          <cell r="D237">
            <v>101059</v>
          </cell>
          <cell r="E237" t="str">
            <v>Retinoscopio</v>
          </cell>
          <cell r="F237" t="str">
            <v>NO</v>
          </cell>
          <cell r="G237" t="str">
            <v>NO</v>
          </cell>
          <cell r="H237" t="str">
            <v>BOX OFTALMO URO NEFRO (INDIFERENCIDO)</v>
          </cell>
          <cell r="I237">
            <v>1</v>
          </cell>
          <cell r="J237" t="str">
            <v>C.2.2.3.4</v>
          </cell>
          <cell r="K237" t="str">
            <v>Consultas Medicas Especialidades</v>
          </cell>
          <cell r="L237">
            <v>2</v>
          </cell>
          <cell r="M237">
            <v>46038</v>
          </cell>
          <cell r="N237">
            <v>46041</v>
          </cell>
          <cell r="O237">
            <v>1</v>
          </cell>
          <cell r="P237">
            <v>46042</v>
          </cell>
          <cell r="Q237">
            <v>5</v>
          </cell>
          <cell r="R237" t="str">
            <v>NA</v>
          </cell>
          <cell r="S237">
            <v>5</v>
          </cell>
        </row>
        <row r="238">
          <cell r="B238" t="str">
            <v>EMMC</v>
          </cell>
          <cell r="C238" t="str">
            <v>HSLB10245</v>
          </cell>
          <cell r="D238">
            <v>101061</v>
          </cell>
          <cell r="E238" t="str">
            <v>Set Mural (Oto - Óftalmo - Esfingo - Oximetría)</v>
          </cell>
          <cell r="F238" t="str">
            <v>NO</v>
          </cell>
          <cell r="G238" t="str">
            <v>NO</v>
          </cell>
          <cell r="H238" t="str">
            <v>BOX ENFERMERA POLICLÍNICO</v>
          </cell>
          <cell r="I238">
            <v>1</v>
          </cell>
          <cell r="J238" t="str">
            <v>C.2.2.2.11.1</v>
          </cell>
          <cell r="K238" t="str">
            <v>Consultas medicas generales</v>
          </cell>
          <cell r="L238">
            <v>2</v>
          </cell>
          <cell r="M238">
            <v>46036</v>
          </cell>
          <cell r="N238">
            <v>46037</v>
          </cell>
          <cell r="O238">
            <v>1</v>
          </cell>
          <cell r="P238">
            <v>46038</v>
          </cell>
          <cell r="Q238">
            <v>5</v>
          </cell>
          <cell r="R238" t="str">
            <v>NA</v>
          </cell>
          <cell r="S238">
            <v>5</v>
          </cell>
        </row>
        <row r="239">
          <cell r="B239" t="str">
            <v>EMMC</v>
          </cell>
          <cell r="C239" t="str">
            <v>HSLB10246</v>
          </cell>
          <cell r="D239">
            <v>101061</v>
          </cell>
          <cell r="E239" t="str">
            <v>Set Mural (Oto - Óftalmo - Esfingo - Oximetría)</v>
          </cell>
          <cell r="F239" t="str">
            <v>NO</v>
          </cell>
          <cell r="G239" t="str">
            <v>NO</v>
          </cell>
          <cell r="H239" t="str">
            <v>BOX ENFERMERA POLICLÍNICO</v>
          </cell>
          <cell r="I239">
            <v>1</v>
          </cell>
          <cell r="J239" t="str">
            <v>C.2.2.2.11.2</v>
          </cell>
          <cell r="K239" t="str">
            <v>Consultas medicas generales</v>
          </cell>
          <cell r="L239">
            <v>2</v>
          </cell>
          <cell r="M239">
            <v>46036</v>
          </cell>
          <cell r="N239">
            <v>46037</v>
          </cell>
          <cell r="O239">
            <v>1</v>
          </cell>
          <cell r="P239">
            <v>46038</v>
          </cell>
          <cell r="Q239">
            <v>5</v>
          </cell>
          <cell r="R239" t="str">
            <v>NA</v>
          </cell>
          <cell r="S239">
            <v>5</v>
          </cell>
        </row>
        <row r="240">
          <cell r="B240" t="str">
            <v>EMMC</v>
          </cell>
          <cell r="C240" t="str">
            <v>HSLB10247</v>
          </cell>
          <cell r="D240">
            <v>101061</v>
          </cell>
          <cell r="E240" t="str">
            <v>Set Mural (Oto - Óftalmo - Esfingo - Oximetría)</v>
          </cell>
          <cell r="F240" t="str">
            <v>NO</v>
          </cell>
          <cell r="G240" t="str">
            <v>NO</v>
          </cell>
          <cell r="H240" t="str">
            <v>BOX INFANTIL</v>
          </cell>
          <cell r="I240">
            <v>1</v>
          </cell>
          <cell r="J240" t="str">
            <v>C.2.2.2.5</v>
          </cell>
          <cell r="K240" t="str">
            <v>Consultas medicas generales</v>
          </cell>
          <cell r="L240">
            <v>2</v>
          </cell>
          <cell r="M240">
            <v>46036</v>
          </cell>
          <cell r="N240">
            <v>46037</v>
          </cell>
          <cell r="O240">
            <v>1</v>
          </cell>
          <cell r="P240">
            <v>46038</v>
          </cell>
          <cell r="Q240">
            <v>5</v>
          </cell>
          <cell r="R240" t="str">
            <v>NA</v>
          </cell>
          <cell r="S240">
            <v>5</v>
          </cell>
        </row>
        <row r="241">
          <cell r="B241" t="str">
            <v>EMMC</v>
          </cell>
          <cell r="C241" t="str">
            <v>HSLB10248</v>
          </cell>
          <cell r="D241">
            <v>101061</v>
          </cell>
          <cell r="E241" t="str">
            <v>Set Mural (Oto - Óftalmo - Esfingo - Oximetría)</v>
          </cell>
          <cell r="F241" t="str">
            <v>NO</v>
          </cell>
          <cell r="G241" t="str">
            <v>NO</v>
          </cell>
          <cell r="H241" t="str">
            <v>BOX MEDICINA ADULTOS</v>
          </cell>
          <cell r="I241">
            <v>1</v>
          </cell>
          <cell r="J241" t="str">
            <v>C.2.2.2.6.1</v>
          </cell>
          <cell r="K241" t="str">
            <v>Consultas medicas generales</v>
          </cell>
          <cell r="L241">
            <v>2</v>
          </cell>
          <cell r="M241">
            <v>46036</v>
          </cell>
          <cell r="N241">
            <v>46037</v>
          </cell>
          <cell r="O241">
            <v>1</v>
          </cell>
          <cell r="P241">
            <v>46038</v>
          </cell>
          <cell r="Q241">
            <v>5</v>
          </cell>
          <cell r="R241" t="str">
            <v>NA</v>
          </cell>
          <cell r="S241">
            <v>5</v>
          </cell>
        </row>
        <row r="242">
          <cell r="B242" t="str">
            <v>EMMC</v>
          </cell>
          <cell r="C242" t="str">
            <v>HSLB10249</v>
          </cell>
          <cell r="D242">
            <v>101061</v>
          </cell>
          <cell r="E242" t="str">
            <v>Set Mural (Oto - Óftalmo - Esfingo - Oximetría)</v>
          </cell>
          <cell r="F242" t="str">
            <v>NO</v>
          </cell>
          <cell r="G242" t="str">
            <v>NO</v>
          </cell>
          <cell r="H242" t="str">
            <v>BOX MEDICINA ADULTOS</v>
          </cell>
          <cell r="I242">
            <v>1</v>
          </cell>
          <cell r="J242" t="str">
            <v>C.2.2.2.6.2</v>
          </cell>
          <cell r="K242" t="str">
            <v>Consultas medicas generales</v>
          </cell>
          <cell r="L242">
            <v>2</v>
          </cell>
          <cell r="M242">
            <v>46036</v>
          </cell>
          <cell r="N242">
            <v>46037</v>
          </cell>
          <cell r="O242">
            <v>1</v>
          </cell>
          <cell r="P242">
            <v>46038</v>
          </cell>
          <cell r="Q242">
            <v>5</v>
          </cell>
          <cell r="R242" t="str">
            <v>NA</v>
          </cell>
          <cell r="S242">
            <v>5</v>
          </cell>
        </row>
        <row r="243">
          <cell r="B243" t="str">
            <v>EMMC</v>
          </cell>
          <cell r="C243" t="str">
            <v>HSLB10250</v>
          </cell>
          <cell r="D243">
            <v>101061</v>
          </cell>
          <cell r="E243" t="str">
            <v>Set Mural (Oto - Óftalmo - Esfingo - Oximetría)</v>
          </cell>
          <cell r="F243" t="str">
            <v>NO</v>
          </cell>
          <cell r="G243" t="str">
            <v>NO</v>
          </cell>
          <cell r="H243" t="str">
            <v>BOX MEDICINA ADULTOS</v>
          </cell>
          <cell r="I243">
            <v>1</v>
          </cell>
          <cell r="J243" t="str">
            <v>C.2.2.2.6.3</v>
          </cell>
          <cell r="K243" t="str">
            <v>Consultas medicas generales</v>
          </cell>
          <cell r="L243">
            <v>2</v>
          </cell>
          <cell r="M243">
            <v>46036</v>
          </cell>
          <cell r="N243">
            <v>46037</v>
          </cell>
          <cell r="O243">
            <v>1</v>
          </cell>
          <cell r="P243">
            <v>46038</v>
          </cell>
          <cell r="Q243">
            <v>5</v>
          </cell>
          <cell r="R243" t="str">
            <v>NA</v>
          </cell>
          <cell r="S243">
            <v>5</v>
          </cell>
        </row>
        <row r="244">
          <cell r="B244" t="str">
            <v>EMMC</v>
          </cell>
          <cell r="C244" t="str">
            <v>HSLB10251</v>
          </cell>
          <cell r="D244">
            <v>101061</v>
          </cell>
          <cell r="E244" t="str">
            <v>Set Mural (Oto - Óftalmo - Esfingo - Oximetría)</v>
          </cell>
          <cell r="F244" t="str">
            <v>NO</v>
          </cell>
          <cell r="G244" t="str">
            <v>NO</v>
          </cell>
          <cell r="H244" t="str">
            <v>BOX MEDICINA ADULTOS</v>
          </cell>
          <cell r="I244">
            <v>1</v>
          </cell>
          <cell r="J244" t="str">
            <v>C.2.2.2.6.4</v>
          </cell>
          <cell r="K244" t="str">
            <v>Consultas medicas generales</v>
          </cell>
          <cell r="L244">
            <v>2</v>
          </cell>
          <cell r="M244">
            <v>46036</v>
          </cell>
          <cell r="N244">
            <v>46037</v>
          </cell>
          <cell r="O244">
            <v>1</v>
          </cell>
          <cell r="P244">
            <v>46038</v>
          </cell>
          <cell r="Q244">
            <v>5</v>
          </cell>
          <cell r="R244" t="str">
            <v>NA</v>
          </cell>
          <cell r="S244">
            <v>5</v>
          </cell>
        </row>
        <row r="245">
          <cell r="B245" t="str">
            <v>EMMC</v>
          </cell>
          <cell r="C245" t="str">
            <v>HSLB12448</v>
          </cell>
          <cell r="D245">
            <v>112077</v>
          </cell>
          <cell r="E245" t="str">
            <v>Silla de Ruedas</v>
          </cell>
          <cell r="F245" t="str">
            <v>NO</v>
          </cell>
          <cell r="G245" t="str">
            <v>NO</v>
          </cell>
          <cell r="H245" t="str">
            <v>ESTACIONAMIENTO SILLAS DE RUEDAS</v>
          </cell>
          <cell r="I245">
            <v>1</v>
          </cell>
          <cell r="J245" t="str">
            <v>C.2.2.2.27</v>
          </cell>
          <cell r="K245" t="str">
            <v>Consultas Medicas Generales</v>
          </cell>
          <cell r="L245">
            <v>2</v>
          </cell>
          <cell r="M245">
            <v>46036</v>
          </cell>
          <cell r="N245">
            <v>46037</v>
          </cell>
          <cell r="O245">
            <v>1</v>
          </cell>
          <cell r="P245">
            <v>46038</v>
          </cell>
          <cell r="Q245">
            <v>5</v>
          </cell>
          <cell r="R245" t="str">
            <v>NA</v>
          </cell>
          <cell r="S245">
            <v>5</v>
          </cell>
        </row>
        <row r="246">
          <cell r="B246" t="str">
            <v>EMMC</v>
          </cell>
          <cell r="C246" t="str">
            <v>HSLB12449</v>
          </cell>
          <cell r="D246">
            <v>112077</v>
          </cell>
          <cell r="E246" t="str">
            <v>Silla de Ruedas</v>
          </cell>
          <cell r="F246" t="str">
            <v>NO</v>
          </cell>
          <cell r="G246" t="str">
            <v>NO</v>
          </cell>
          <cell r="H246" t="str">
            <v>AREA SUCIA</v>
          </cell>
          <cell r="I246">
            <v>4</v>
          </cell>
          <cell r="J246" t="str">
            <v>C.2.2.3.24</v>
          </cell>
          <cell r="K246" t="str">
            <v>Consultas Medicas Generales</v>
          </cell>
          <cell r="L246">
            <v>2</v>
          </cell>
          <cell r="M246">
            <v>46036</v>
          </cell>
          <cell r="N246">
            <v>46037</v>
          </cell>
          <cell r="O246">
            <v>1</v>
          </cell>
          <cell r="P246">
            <v>46038</v>
          </cell>
          <cell r="Q246">
            <v>5</v>
          </cell>
          <cell r="R246" t="str">
            <v>NA</v>
          </cell>
          <cell r="S246">
            <v>5</v>
          </cell>
        </row>
        <row r="247">
          <cell r="B247" t="str">
            <v>EMMC</v>
          </cell>
          <cell r="C247" t="str">
            <v>HSLB12600</v>
          </cell>
          <cell r="D247">
            <v>112089</v>
          </cell>
          <cell r="E247" t="str">
            <v>Soporte Universal</v>
          </cell>
          <cell r="F247" t="str">
            <v>NO</v>
          </cell>
          <cell r="G247" t="str">
            <v>NO</v>
          </cell>
          <cell r="H247" t="str">
            <v>PABELLON CIRUGIA MENOR URGENCIA</v>
          </cell>
          <cell r="I247">
            <v>2</v>
          </cell>
          <cell r="J247" t="str">
            <v>C.5.6.4.10</v>
          </cell>
          <cell r="K247" t="str">
            <v>Consultas Medicas Generales</v>
          </cell>
          <cell r="L247">
            <v>2</v>
          </cell>
          <cell r="M247">
            <v>46036</v>
          </cell>
          <cell r="N247">
            <v>46037</v>
          </cell>
          <cell r="O247">
            <v>1</v>
          </cell>
          <cell r="P247">
            <v>46038</v>
          </cell>
          <cell r="Q247">
            <v>5</v>
          </cell>
          <cell r="R247" t="str">
            <v>NA</v>
          </cell>
          <cell r="S247">
            <v>5</v>
          </cell>
        </row>
        <row r="248">
          <cell r="B248" t="str">
            <v>EMMC</v>
          </cell>
          <cell r="C248" t="str">
            <v>HSLB12611</v>
          </cell>
          <cell r="D248">
            <v>112089</v>
          </cell>
          <cell r="E248" t="str">
            <v>Soporte Universal</v>
          </cell>
          <cell r="F248" t="str">
            <v>NO</v>
          </cell>
          <cell r="G248" t="str">
            <v>NO</v>
          </cell>
          <cell r="H248" t="str">
            <v>PABELLON CIRUGIA MENOR ELECTIVA</v>
          </cell>
          <cell r="I248">
            <v>2</v>
          </cell>
          <cell r="J248" t="str">
            <v>C.5.6.4.9</v>
          </cell>
          <cell r="K248" t="str">
            <v>Consultas Medicas Generales</v>
          </cell>
          <cell r="L248">
            <v>2</v>
          </cell>
          <cell r="M248">
            <v>46036</v>
          </cell>
          <cell r="N248">
            <v>46037</v>
          </cell>
          <cell r="O248">
            <v>1</v>
          </cell>
          <cell r="P248">
            <v>46038</v>
          </cell>
          <cell r="Q248">
            <v>5</v>
          </cell>
          <cell r="R248" t="str">
            <v>NA</v>
          </cell>
          <cell r="S248">
            <v>5</v>
          </cell>
        </row>
        <row r="249">
          <cell r="B249" t="str">
            <v>EMMC</v>
          </cell>
          <cell r="C249" t="str">
            <v>HSLB11045</v>
          </cell>
          <cell r="D249">
            <v>106020</v>
          </cell>
          <cell r="E249" t="str">
            <v>Televisor 42'</v>
          </cell>
          <cell r="F249" t="str">
            <v>NO</v>
          </cell>
          <cell r="G249" t="str">
            <v>NO</v>
          </cell>
          <cell r="H249" t="str">
            <v>HALL DE ACCESO</v>
          </cell>
          <cell r="I249">
            <v>2</v>
          </cell>
          <cell r="J249" t="str">
            <v>C.2.2.1.1</v>
          </cell>
          <cell r="K249" t="str">
            <v>Consultas Medicas Generales</v>
          </cell>
          <cell r="L249">
            <v>2</v>
          </cell>
          <cell r="M249">
            <v>46036</v>
          </cell>
          <cell r="N249">
            <v>46037</v>
          </cell>
          <cell r="O249">
            <v>1</v>
          </cell>
          <cell r="P249">
            <v>46038</v>
          </cell>
          <cell r="Q249">
            <v>5</v>
          </cell>
          <cell r="R249" t="str">
            <v>NA</v>
          </cell>
          <cell r="S249">
            <v>5</v>
          </cell>
        </row>
        <row r="250">
          <cell r="B250" t="str">
            <v>EMMC</v>
          </cell>
          <cell r="C250" t="str">
            <v>HSLB11046</v>
          </cell>
          <cell r="D250">
            <v>106020</v>
          </cell>
          <cell r="E250" t="str">
            <v>Televisor 42'</v>
          </cell>
          <cell r="F250" t="str">
            <v>NO</v>
          </cell>
          <cell r="G250" t="str">
            <v>NO</v>
          </cell>
          <cell r="H250" t="str">
            <v xml:space="preserve">SALA DE ESPERA </v>
          </cell>
          <cell r="I250">
            <v>4</v>
          </cell>
          <cell r="J250" t="str">
            <v>C.2.2.2.1</v>
          </cell>
          <cell r="K250" t="str">
            <v>Consultas Medicas Generales</v>
          </cell>
          <cell r="L250">
            <v>2</v>
          </cell>
          <cell r="M250">
            <v>46036</v>
          </cell>
          <cell r="N250">
            <v>46037</v>
          </cell>
          <cell r="O250">
            <v>1</v>
          </cell>
          <cell r="P250">
            <v>46038</v>
          </cell>
          <cell r="Q250">
            <v>5</v>
          </cell>
          <cell r="R250" t="str">
            <v>NA</v>
          </cell>
          <cell r="S250">
            <v>5</v>
          </cell>
        </row>
        <row r="251">
          <cell r="B251" t="str">
            <v>EMMC</v>
          </cell>
          <cell r="C251" t="str">
            <v>HSLB11047</v>
          </cell>
          <cell r="D251">
            <v>106020</v>
          </cell>
          <cell r="E251" t="str">
            <v>Televisor 42'</v>
          </cell>
          <cell r="F251" t="str">
            <v>NO</v>
          </cell>
          <cell r="G251" t="str">
            <v>NO</v>
          </cell>
          <cell r="H251" t="str">
            <v>SALA PROCEDIMIENTOS ENDOSCOPIA INDIFERENCIADO</v>
          </cell>
          <cell r="I251">
            <v>2</v>
          </cell>
          <cell r="J251" t="str">
            <v>C.2.2.3.1</v>
          </cell>
          <cell r="K251" t="str">
            <v>Consultas Medicas Generales</v>
          </cell>
          <cell r="L251">
            <v>2</v>
          </cell>
          <cell r="M251">
            <v>46036</v>
          </cell>
          <cell r="N251">
            <v>46037</v>
          </cell>
          <cell r="O251">
            <v>1</v>
          </cell>
          <cell r="P251">
            <v>46038</v>
          </cell>
          <cell r="Q251">
            <v>5</v>
          </cell>
          <cell r="R251" t="str">
            <v>NA</v>
          </cell>
          <cell r="S251">
            <v>5</v>
          </cell>
        </row>
        <row r="252">
          <cell r="B252" t="str">
            <v>EMMC</v>
          </cell>
          <cell r="C252" t="str">
            <v>HSLB11885</v>
          </cell>
          <cell r="D252">
            <v>112029</v>
          </cell>
          <cell r="E252" t="str">
            <v>Carro Endoscopios Limpio</v>
          </cell>
          <cell r="F252" t="str">
            <v>NO</v>
          </cell>
          <cell r="G252" t="str">
            <v>NO</v>
          </cell>
          <cell r="H252" t="str">
            <v>SALA DAN</v>
          </cell>
          <cell r="I252">
            <v>1</v>
          </cell>
          <cell r="J252" t="str">
            <v>C.2.2.3.17</v>
          </cell>
          <cell r="K252" t="str">
            <v>Consultas Medicas Especialidades - Sala DAN</v>
          </cell>
          <cell r="L252">
            <v>2</v>
          </cell>
          <cell r="M252">
            <v>46038</v>
          </cell>
          <cell r="N252">
            <v>46041</v>
          </cell>
          <cell r="O252">
            <v>1</v>
          </cell>
          <cell r="P252">
            <v>46042</v>
          </cell>
          <cell r="Q252">
            <v>5</v>
          </cell>
          <cell r="R252" t="str">
            <v>NA</v>
          </cell>
          <cell r="S252">
            <v>5</v>
          </cell>
        </row>
        <row r="253">
          <cell r="B253" t="str">
            <v>EMMC</v>
          </cell>
          <cell r="C253" t="str">
            <v>HSLB11887</v>
          </cell>
          <cell r="D253">
            <v>112030</v>
          </cell>
          <cell r="E253" t="str">
            <v>Carro Endoscopios Sucio</v>
          </cell>
          <cell r="F253" t="str">
            <v>NO</v>
          </cell>
          <cell r="G253" t="str">
            <v>NO</v>
          </cell>
          <cell r="H253" t="str">
            <v>SALA DAN</v>
          </cell>
          <cell r="I253">
            <v>1</v>
          </cell>
          <cell r="J253" t="str">
            <v>C.2.2.3.17</v>
          </cell>
          <cell r="K253" t="str">
            <v>Consultas Medicas Especialidades - Sala DAN</v>
          </cell>
          <cell r="L253">
            <v>2</v>
          </cell>
          <cell r="M253">
            <v>46038</v>
          </cell>
          <cell r="N253">
            <v>46041</v>
          </cell>
          <cell r="O253">
            <v>1</v>
          </cell>
          <cell r="P253">
            <v>46042</v>
          </cell>
          <cell r="Q253">
            <v>5</v>
          </cell>
          <cell r="R253" t="str">
            <v>NA</v>
          </cell>
          <cell r="S253">
            <v>5</v>
          </cell>
        </row>
        <row r="254">
          <cell r="B254" t="str">
            <v>EMMC</v>
          </cell>
          <cell r="C254" t="str">
            <v>HSLB10068</v>
          </cell>
          <cell r="D254">
            <v>101021</v>
          </cell>
          <cell r="E254" t="str">
            <v>Colposcopio</v>
          </cell>
          <cell r="F254" t="str">
            <v>NO</v>
          </cell>
          <cell r="G254" t="str">
            <v>NO</v>
          </cell>
          <cell r="H254" t="str">
            <v>SALA PROCEDIMIENTOS GINECO-OBSTÉTRICO</v>
          </cell>
          <cell r="I254">
            <v>1</v>
          </cell>
          <cell r="J254" t="str">
            <v>C.2.2.2.15</v>
          </cell>
          <cell r="K254" t="str">
            <v>Consultas medicas generales</v>
          </cell>
          <cell r="L254">
            <v>2</v>
          </cell>
          <cell r="M254">
            <v>46036</v>
          </cell>
          <cell r="N254">
            <v>46037</v>
          </cell>
          <cell r="O254">
            <v>1</v>
          </cell>
          <cell r="P254">
            <v>46038</v>
          </cell>
          <cell r="Q254">
            <v>5</v>
          </cell>
          <cell r="R254" t="str">
            <v>NA</v>
          </cell>
          <cell r="S254">
            <v>5</v>
          </cell>
        </row>
        <row r="255">
          <cell r="B255" t="str">
            <v>EMMC</v>
          </cell>
          <cell r="C255" t="str">
            <v>HSLB11169</v>
          </cell>
          <cell r="D255">
            <v>109002</v>
          </cell>
          <cell r="E255" t="str">
            <v>Contenedor instrumental en tránsito</v>
          </cell>
          <cell r="F255" t="str">
            <v>NO</v>
          </cell>
          <cell r="G255" t="str">
            <v>NO</v>
          </cell>
          <cell r="H255" t="str">
            <v>BOX MATRONA C/BAÑO</v>
          </cell>
          <cell r="I255">
            <v>2</v>
          </cell>
          <cell r="J255" t="str">
            <v>C.2.2.2.10</v>
          </cell>
          <cell r="K255" t="str">
            <v>Consultas Medicas Generales</v>
          </cell>
          <cell r="L255">
            <v>2</v>
          </cell>
          <cell r="M255">
            <v>46036</v>
          </cell>
          <cell r="N255">
            <v>46037</v>
          </cell>
          <cell r="O255">
            <v>1</v>
          </cell>
          <cell r="P255">
            <v>46038</v>
          </cell>
          <cell r="Q255">
            <v>5</v>
          </cell>
          <cell r="R255" t="str">
            <v>NA</v>
          </cell>
          <cell r="S255">
            <v>5</v>
          </cell>
        </row>
        <row r="256">
          <cell r="B256" t="str">
            <v>EMMC</v>
          </cell>
          <cell r="C256" t="str">
            <v>HSLB11170</v>
          </cell>
          <cell r="D256">
            <v>109002</v>
          </cell>
          <cell r="E256" t="str">
            <v>Contenedor instrumental en tránsito</v>
          </cell>
          <cell r="F256" t="str">
            <v>NO</v>
          </cell>
          <cell r="G256" t="str">
            <v>NO</v>
          </cell>
          <cell r="H256" t="str">
            <v>SALA PROCEDIMIENTOS GINECO-OBSTÉTRICO</v>
          </cell>
          <cell r="I256">
            <v>2</v>
          </cell>
          <cell r="J256" t="str">
            <v>C.2.2.2.15</v>
          </cell>
          <cell r="K256" t="str">
            <v>Consultas Medicas Generales</v>
          </cell>
          <cell r="L256">
            <v>2</v>
          </cell>
          <cell r="M256">
            <v>46036</v>
          </cell>
          <cell r="N256">
            <v>46037</v>
          </cell>
          <cell r="O256">
            <v>1</v>
          </cell>
          <cell r="P256">
            <v>46038</v>
          </cell>
          <cell r="Q256">
            <v>5</v>
          </cell>
          <cell r="R256" t="str">
            <v>NA</v>
          </cell>
          <cell r="S256">
            <v>5</v>
          </cell>
        </row>
        <row r="257">
          <cell r="B257" t="str">
            <v>EMMC</v>
          </cell>
          <cell r="C257" t="str">
            <v>HSLB11171</v>
          </cell>
          <cell r="D257">
            <v>109002</v>
          </cell>
          <cell r="E257" t="str">
            <v>Contenedor instrumental en tránsito</v>
          </cell>
          <cell r="F257" t="str">
            <v>NO</v>
          </cell>
          <cell r="G257" t="str">
            <v>SI</v>
          </cell>
          <cell r="H257" t="str">
            <v>BOX GINECOLOGÍA C/BAÑO</v>
          </cell>
          <cell r="I257">
            <v>2</v>
          </cell>
          <cell r="J257" t="str">
            <v>C.2.2.2.8.1</v>
          </cell>
          <cell r="K257" t="str">
            <v>Consultas Medicas Generales</v>
          </cell>
          <cell r="L257">
            <v>2</v>
          </cell>
          <cell r="M257">
            <v>46003</v>
          </cell>
          <cell r="N257">
            <v>46006</v>
          </cell>
          <cell r="O257">
            <v>1</v>
          </cell>
          <cell r="P257">
            <v>46007</v>
          </cell>
          <cell r="Q257">
            <v>5</v>
          </cell>
          <cell r="R257" t="str">
            <v>NA</v>
          </cell>
          <cell r="S257">
            <v>5</v>
          </cell>
        </row>
        <row r="258">
          <cell r="B258" t="str">
            <v>EMMC</v>
          </cell>
          <cell r="C258" t="str">
            <v>HSLB11172</v>
          </cell>
          <cell r="D258">
            <v>109002</v>
          </cell>
          <cell r="E258" t="str">
            <v>Contenedor instrumental en tránsito</v>
          </cell>
          <cell r="F258" t="str">
            <v>NO</v>
          </cell>
          <cell r="G258" t="str">
            <v>NO</v>
          </cell>
          <cell r="H258" t="str">
            <v>BOX GINECOLOGÍA C/BAÑO</v>
          </cell>
          <cell r="I258">
            <v>2</v>
          </cell>
          <cell r="J258" t="str">
            <v>C.2.2.2.8.2</v>
          </cell>
          <cell r="K258" t="str">
            <v>Consultas Medicas Generales</v>
          </cell>
          <cell r="L258">
            <v>2</v>
          </cell>
          <cell r="M258">
            <v>46036</v>
          </cell>
          <cell r="N258">
            <v>46037</v>
          </cell>
          <cell r="O258">
            <v>1</v>
          </cell>
          <cell r="P258">
            <v>46038</v>
          </cell>
          <cell r="Q258">
            <v>5</v>
          </cell>
          <cell r="R258" t="str">
            <v>NA</v>
          </cell>
          <cell r="S258">
            <v>5</v>
          </cell>
        </row>
        <row r="259">
          <cell r="B259" t="str">
            <v>EMMC</v>
          </cell>
          <cell r="C259" t="str">
            <v>HSLB11173</v>
          </cell>
          <cell r="D259">
            <v>109002</v>
          </cell>
          <cell r="E259" t="str">
            <v>Contenedor instrumental en tránsito</v>
          </cell>
          <cell r="F259" t="str">
            <v>NO</v>
          </cell>
          <cell r="G259" t="str">
            <v>NO</v>
          </cell>
          <cell r="H259" t="str">
            <v>BOX OBSTETRICIA C/BAÑO</v>
          </cell>
          <cell r="I259">
            <v>1</v>
          </cell>
          <cell r="J259" t="str">
            <v>C.2.2.2.9</v>
          </cell>
          <cell r="K259" t="str">
            <v>Consultas Medicas Generales</v>
          </cell>
          <cell r="L259">
            <v>2</v>
          </cell>
          <cell r="M259">
            <v>46036</v>
          </cell>
          <cell r="N259">
            <v>46037</v>
          </cell>
          <cell r="O259">
            <v>1</v>
          </cell>
          <cell r="P259">
            <v>46038</v>
          </cell>
          <cell r="Q259">
            <v>5</v>
          </cell>
          <cell r="R259" t="str">
            <v>NA</v>
          </cell>
          <cell r="S259">
            <v>5</v>
          </cell>
        </row>
        <row r="260">
          <cell r="B260" t="str">
            <v>EMMC</v>
          </cell>
          <cell r="C260" t="str">
            <v>HSLB11177</v>
          </cell>
          <cell r="D260">
            <v>109003</v>
          </cell>
          <cell r="E260" t="str">
            <v>Espéculo Vaginal Grande</v>
          </cell>
          <cell r="F260" t="str">
            <v>NO</v>
          </cell>
          <cell r="G260" t="str">
            <v>NO</v>
          </cell>
          <cell r="H260" t="str">
            <v>BOX MATRONA C/BAÑO</v>
          </cell>
          <cell r="I260">
            <v>4</v>
          </cell>
          <cell r="J260" t="str">
            <v>C.2.2.2.10</v>
          </cell>
          <cell r="K260" t="str">
            <v>Consultas Medicas Generales</v>
          </cell>
          <cell r="L260">
            <v>2</v>
          </cell>
          <cell r="M260">
            <v>46036</v>
          </cell>
          <cell r="N260">
            <v>46037</v>
          </cell>
          <cell r="O260">
            <v>1</v>
          </cell>
          <cell r="P260">
            <v>46038</v>
          </cell>
          <cell r="Q260">
            <v>5</v>
          </cell>
          <cell r="R260" t="str">
            <v>NA</v>
          </cell>
          <cell r="S260">
            <v>5</v>
          </cell>
        </row>
        <row r="261">
          <cell r="B261" t="str">
            <v>EMMC</v>
          </cell>
          <cell r="C261" t="str">
            <v>HSLB11178</v>
          </cell>
          <cell r="D261">
            <v>109003</v>
          </cell>
          <cell r="E261" t="str">
            <v>Espéculo Vaginal Grande</v>
          </cell>
          <cell r="F261" t="str">
            <v>NO</v>
          </cell>
          <cell r="G261" t="str">
            <v>NO</v>
          </cell>
          <cell r="H261" t="str">
            <v>SALA PROCEDIMIENTOS GINECO-OBSTÉTRICO</v>
          </cell>
          <cell r="I261">
            <v>4</v>
          </cell>
          <cell r="J261" t="str">
            <v>C.2.2.2.15</v>
          </cell>
          <cell r="K261" t="str">
            <v>Consultas Medicas Generales</v>
          </cell>
          <cell r="L261">
            <v>2</v>
          </cell>
          <cell r="M261">
            <v>46036</v>
          </cell>
          <cell r="N261">
            <v>46037</v>
          </cell>
          <cell r="O261">
            <v>1</v>
          </cell>
          <cell r="P261">
            <v>46038</v>
          </cell>
          <cell r="Q261">
            <v>5</v>
          </cell>
          <cell r="R261" t="str">
            <v>NA</v>
          </cell>
          <cell r="S261">
            <v>5</v>
          </cell>
        </row>
        <row r="262">
          <cell r="B262" t="str">
            <v>EMMC</v>
          </cell>
          <cell r="C262" t="str">
            <v>HSLB11179</v>
          </cell>
          <cell r="D262">
            <v>109003</v>
          </cell>
          <cell r="E262" t="str">
            <v>Espéculo Vaginal Grande</v>
          </cell>
          <cell r="F262" t="str">
            <v>NO</v>
          </cell>
          <cell r="G262" t="str">
            <v>SI</v>
          </cell>
          <cell r="H262" t="str">
            <v>BOX GINECOLOGÍA C/BAÑO</v>
          </cell>
          <cell r="I262">
            <v>10</v>
          </cell>
          <cell r="J262" t="str">
            <v>C.2.2.2.8.1</v>
          </cell>
          <cell r="K262" t="str">
            <v>Consultas Medicas Generales</v>
          </cell>
          <cell r="L262">
            <v>2</v>
          </cell>
          <cell r="M262">
            <v>46003</v>
          </cell>
          <cell r="N262">
            <v>46006</v>
          </cell>
          <cell r="O262">
            <v>1</v>
          </cell>
          <cell r="P262">
            <v>46008</v>
          </cell>
          <cell r="Q262">
            <v>5</v>
          </cell>
          <cell r="R262" t="str">
            <v>NA</v>
          </cell>
          <cell r="S262">
            <v>5</v>
          </cell>
        </row>
        <row r="263">
          <cell r="B263" t="str">
            <v>EMMC</v>
          </cell>
          <cell r="C263" t="str">
            <v>HSLB11180</v>
          </cell>
          <cell r="D263">
            <v>109003</v>
          </cell>
          <cell r="E263" t="str">
            <v>Espéculo Vaginal Grande</v>
          </cell>
          <cell r="F263" t="str">
            <v>NO</v>
          </cell>
          <cell r="G263" t="str">
            <v>NO</v>
          </cell>
          <cell r="H263" t="str">
            <v>BOX GINECOLOGÍA C/BAÑO</v>
          </cell>
          <cell r="I263">
            <v>10</v>
          </cell>
          <cell r="J263" t="str">
            <v>C.2.2.2.8.2</v>
          </cell>
          <cell r="K263" t="str">
            <v>Consultas Medicas Generales</v>
          </cell>
          <cell r="L263">
            <v>2</v>
          </cell>
          <cell r="M263">
            <v>46036</v>
          </cell>
          <cell r="N263">
            <v>46037</v>
          </cell>
          <cell r="O263">
            <v>1</v>
          </cell>
          <cell r="P263">
            <v>46038</v>
          </cell>
          <cell r="Q263">
            <v>5</v>
          </cell>
          <cell r="R263" t="str">
            <v>NA</v>
          </cell>
          <cell r="S263">
            <v>5</v>
          </cell>
        </row>
        <row r="264">
          <cell r="B264" t="str">
            <v>EMMC</v>
          </cell>
          <cell r="C264" t="str">
            <v>HSLB11181</v>
          </cell>
          <cell r="D264">
            <v>109003</v>
          </cell>
          <cell r="E264" t="str">
            <v>Espéculo Vaginal Grande</v>
          </cell>
          <cell r="F264" t="str">
            <v>NO</v>
          </cell>
          <cell r="G264" t="str">
            <v>NO</v>
          </cell>
          <cell r="H264" t="str">
            <v>BOX OBSTETRICIA C/BAÑO</v>
          </cell>
          <cell r="I264">
            <v>10</v>
          </cell>
          <cell r="J264" t="str">
            <v>C.2.2.2.9</v>
          </cell>
          <cell r="K264" t="str">
            <v>Consultas Medicas Generales</v>
          </cell>
          <cell r="L264">
            <v>2</v>
          </cell>
          <cell r="M264">
            <v>46036</v>
          </cell>
          <cell r="N264">
            <v>46037</v>
          </cell>
          <cell r="O264">
            <v>1</v>
          </cell>
          <cell r="P264">
            <v>46038</v>
          </cell>
          <cell r="Q264">
            <v>5</v>
          </cell>
          <cell r="R264" t="str">
            <v>NA</v>
          </cell>
          <cell r="S264">
            <v>5</v>
          </cell>
        </row>
        <row r="265">
          <cell r="B265" t="str">
            <v>EMMC</v>
          </cell>
          <cell r="C265" t="str">
            <v>HSLB11185</v>
          </cell>
          <cell r="D265">
            <v>109004</v>
          </cell>
          <cell r="E265" t="str">
            <v>Espéculo Vaginal Mediano</v>
          </cell>
          <cell r="F265" t="str">
            <v>NO</v>
          </cell>
          <cell r="G265" t="str">
            <v>NO</v>
          </cell>
          <cell r="H265" t="str">
            <v>BOX MATRONA C/BAÑO</v>
          </cell>
          <cell r="I265">
            <v>8</v>
          </cell>
          <cell r="J265" t="str">
            <v>C.2.2.2.10</v>
          </cell>
          <cell r="K265" t="str">
            <v>Consultas Medicas Generales</v>
          </cell>
          <cell r="L265">
            <v>2</v>
          </cell>
          <cell r="M265">
            <v>46036</v>
          </cell>
          <cell r="N265">
            <v>46037</v>
          </cell>
          <cell r="O265">
            <v>1</v>
          </cell>
          <cell r="P265">
            <v>46038</v>
          </cell>
          <cell r="Q265">
            <v>5</v>
          </cell>
          <cell r="R265" t="str">
            <v>NA</v>
          </cell>
          <cell r="S265">
            <v>5</v>
          </cell>
        </row>
        <row r="266">
          <cell r="B266" t="str">
            <v>EMMC</v>
          </cell>
          <cell r="C266" t="str">
            <v>HSLB11186</v>
          </cell>
          <cell r="D266">
            <v>109004</v>
          </cell>
          <cell r="E266" t="str">
            <v>Espéculo Vaginal Mediano</v>
          </cell>
          <cell r="F266" t="str">
            <v>NO</v>
          </cell>
          <cell r="G266" t="str">
            <v>NO</v>
          </cell>
          <cell r="H266" t="str">
            <v>SALA PROCEDIMIENTOS GINECO-OBSTÉTRICO</v>
          </cell>
          <cell r="I266">
            <v>7</v>
          </cell>
          <cell r="J266" t="str">
            <v>C.2.2.2.15</v>
          </cell>
          <cell r="K266" t="str">
            <v>Consultas Medicas Generales</v>
          </cell>
          <cell r="L266">
            <v>2</v>
          </cell>
          <cell r="M266">
            <v>46036</v>
          </cell>
          <cell r="N266">
            <v>46037</v>
          </cell>
          <cell r="O266">
            <v>1</v>
          </cell>
          <cell r="P266">
            <v>46038</v>
          </cell>
          <cell r="Q266">
            <v>5</v>
          </cell>
          <cell r="R266" t="str">
            <v>NA</v>
          </cell>
          <cell r="S266">
            <v>5</v>
          </cell>
        </row>
        <row r="267">
          <cell r="B267" t="str">
            <v>EMMC</v>
          </cell>
          <cell r="C267" t="str">
            <v>HSLB11187</v>
          </cell>
          <cell r="D267">
            <v>109004</v>
          </cell>
          <cell r="E267" t="str">
            <v>Espéculo Vaginal Mediano</v>
          </cell>
          <cell r="F267" t="str">
            <v>NO</v>
          </cell>
          <cell r="G267" t="str">
            <v>SI</v>
          </cell>
          <cell r="H267" t="str">
            <v>BOX GINECOLOGÍA C/BAÑO</v>
          </cell>
          <cell r="I267">
            <v>15</v>
          </cell>
          <cell r="J267" t="str">
            <v>C.2.2.2.8.1</v>
          </cell>
          <cell r="K267" t="str">
            <v>Consultas Medicas Generales</v>
          </cell>
          <cell r="L267">
            <v>2</v>
          </cell>
          <cell r="M267">
            <v>46003</v>
          </cell>
          <cell r="N267">
            <v>46006</v>
          </cell>
          <cell r="O267">
            <v>1</v>
          </cell>
          <cell r="P267">
            <v>46007</v>
          </cell>
          <cell r="Q267">
            <v>5</v>
          </cell>
          <cell r="R267" t="str">
            <v>NA</v>
          </cell>
          <cell r="S267">
            <v>5</v>
          </cell>
        </row>
        <row r="268">
          <cell r="B268" t="str">
            <v>EMMC</v>
          </cell>
          <cell r="C268" t="str">
            <v>HSLB11188</v>
          </cell>
          <cell r="D268">
            <v>109004</v>
          </cell>
          <cell r="E268" t="str">
            <v>Espéculo Vaginal Mediano</v>
          </cell>
          <cell r="F268" t="str">
            <v>NO</v>
          </cell>
          <cell r="G268" t="str">
            <v>NO</v>
          </cell>
          <cell r="H268" t="str">
            <v>BOX GINECOLOGÍA C/BAÑO</v>
          </cell>
          <cell r="I268">
            <v>15</v>
          </cell>
          <cell r="J268" t="str">
            <v>C.2.2.2.8.2</v>
          </cell>
          <cell r="K268" t="str">
            <v>Consultas Medicas Generales</v>
          </cell>
          <cell r="L268">
            <v>2</v>
          </cell>
          <cell r="M268">
            <v>46036</v>
          </cell>
          <cell r="N268">
            <v>46037</v>
          </cell>
          <cell r="O268">
            <v>1</v>
          </cell>
          <cell r="P268">
            <v>46038</v>
          </cell>
          <cell r="Q268">
            <v>5</v>
          </cell>
          <cell r="R268" t="str">
            <v>NA</v>
          </cell>
          <cell r="S268">
            <v>5</v>
          </cell>
        </row>
        <row r="269">
          <cell r="B269" t="str">
            <v>EMMC</v>
          </cell>
          <cell r="C269" t="str">
            <v>HSLB11189</v>
          </cell>
          <cell r="D269">
            <v>109004</v>
          </cell>
          <cell r="E269" t="str">
            <v>Espéculo Vaginal Mediano</v>
          </cell>
          <cell r="F269" t="str">
            <v>NO</v>
          </cell>
          <cell r="G269" t="str">
            <v>NO</v>
          </cell>
          <cell r="H269" t="str">
            <v>BOX OBSTETRICIA C/BAÑO</v>
          </cell>
          <cell r="I269">
            <v>15</v>
          </cell>
          <cell r="J269" t="str">
            <v>C.2.2.2.9</v>
          </cell>
          <cell r="K269" t="str">
            <v>Consultas Medicas Generales</v>
          </cell>
          <cell r="L269">
            <v>2</v>
          </cell>
          <cell r="M269">
            <v>46036</v>
          </cell>
          <cell r="N269">
            <v>46037</v>
          </cell>
          <cell r="O269">
            <v>1</v>
          </cell>
          <cell r="P269">
            <v>46038</v>
          </cell>
          <cell r="Q269">
            <v>5</v>
          </cell>
          <cell r="R269" t="str">
            <v>NA</v>
          </cell>
          <cell r="S269">
            <v>5</v>
          </cell>
        </row>
        <row r="270">
          <cell r="B270" t="str">
            <v>EMMC</v>
          </cell>
          <cell r="C270" t="str">
            <v>HSLB11193</v>
          </cell>
          <cell r="D270">
            <v>109005</v>
          </cell>
          <cell r="E270" t="str">
            <v>Espéculo Vaginal Pequeño</v>
          </cell>
          <cell r="F270" t="str">
            <v>NO</v>
          </cell>
          <cell r="G270" t="str">
            <v>NO</v>
          </cell>
          <cell r="H270" t="str">
            <v>BOX MATRONA C/BAÑO</v>
          </cell>
          <cell r="I270">
            <v>4</v>
          </cell>
          <cell r="J270" t="str">
            <v>C.2.2.2.10</v>
          </cell>
          <cell r="K270" t="str">
            <v>Consultas Medicas Generales</v>
          </cell>
          <cell r="L270">
            <v>2</v>
          </cell>
          <cell r="M270">
            <v>46036</v>
          </cell>
          <cell r="N270">
            <v>46037</v>
          </cell>
          <cell r="O270">
            <v>1</v>
          </cell>
          <cell r="P270">
            <v>46038</v>
          </cell>
          <cell r="Q270">
            <v>5</v>
          </cell>
          <cell r="R270" t="str">
            <v>NA</v>
          </cell>
          <cell r="S270">
            <v>5</v>
          </cell>
        </row>
        <row r="271">
          <cell r="B271" t="str">
            <v>EMMC</v>
          </cell>
          <cell r="C271" t="str">
            <v>HSLB11194</v>
          </cell>
          <cell r="D271">
            <v>109005</v>
          </cell>
          <cell r="E271" t="str">
            <v>Espéculo Vaginal Pequeño</v>
          </cell>
          <cell r="F271" t="str">
            <v>NO</v>
          </cell>
          <cell r="G271" t="str">
            <v>NO</v>
          </cell>
          <cell r="H271" t="str">
            <v>SALA PROCEDIMIENTOS GINECO-OBSTÉTRICO</v>
          </cell>
          <cell r="I271">
            <v>4</v>
          </cell>
          <cell r="J271" t="str">
            <v>C.2.2.2.15</v>
          </cell>
          <cell r="K271" t="str">
            <v>Consultas Medicas Generales</v>
          </cell>
          <cell r="L271">
            <v>2</v>
          </cell>
          <cell r="M271">
            <v>46036</v>
          </cell>
          <cell r="N271">
            <v>46037</v>
          </cell>
          <cell r="O271">
            <v>1</v>
          </cell>
          <cell r="P271">
            <v>46038</v>
          </cell>
          <cell r="Q271">
            <v>5</v>
          </cell>
          <cell r="R271" t="str">
            <v>NA</v>
          </cell>
          <cell r="S271">
            <v>5</v>
          </cell>
        </row>
        <row r="272">
          <cell r="B272" t="str">
            <v>EMMC</v>
          </cell>
          <cell r="C272" t="str">
            <v>HSLB11195</v>
          </cell>
          <cell r="D272">
            <v>109005</v>
          </cell>
          <cell r="E272" t="str">
            <v>Espéculo Vaginal Pequeño</v>
          </cell>
          <cell r="F272" t="str">
            <v>NO</v>
          </cell>
          <cell r="G272" t="str">
            <v>SI</v>
          </cell>
          <cell r="H272" t="str">
            <v>BOX GINECOLOGÍA C/BAÑO</v>
          </cell>
          <cell r="I272">
            <v>8</v>
          </cell>
          <cell r="J272" t="str">
            <v>C.2.2.2.8.1</v>
          </cell>
          <cell r="K272" t="str">
            <v>Consultas Medicas Generales</v>
          </cell>
          <cell r="L272">
            <v>2</v>
          </cell>
          <cell r="M272">
            <v>46003</v>
          </cell>
          <cell r="N272">
            <v>46006</v>
          </cell>
          <cell r="O272">
            <v>1</v>
          </cell>
          <cell r="P272">
            <v>46007</v>
          </cell>
          <cell r="Q272">
            <v>5</v>
          </cell>
          <cell r="R272" t="str">
            <v>NA</v>
          </cell>
          <cell r="S272">
            <v>5</v>
          </cell>
        </row>
        <row r="273">
          <cell r="B273" t="str">
            <v>EMMC</v>
          </cell>
          <cell r="C273" t="str">
            <v>HSLB11196</v>
          </cell>
          <cell r="D273">
            <v>109005</v>
          </cell>
          <cell r="E273" t="str">
            <v>Espéculo Vaginal Pequeño</v>
          </cell>
          <cell r="F273" t="str">
            <v>NO</v>
          </cell>
          <cell r="G273" t="str">
            <v>NO</v>
          </cell>
          <cell r="H273" t="str">
            <v>BOX GINECOLOGÍA C/BAÑO</v>
          </cell>
          <cell r="I273">
            <v>8</v>
          </cell>
          <cell r="J273" t="str">
            <v>C.2.2.2.8.2</v>
          </cell>
          <cell r="K273" t="str">
            <v>Consultas Medicas Generales</v>
          </cell>
          <cell r="L273">
            <v>2</v>
          </cell>
          <cell r="M273">
            <v>46036</v>
          </cell>
          <cell r="N273">
            <v>46037</v>
          </cell>
          <cell r="O273">
            <v>1</v>
          </cell>
          <cell r="P273">
            <v>46038</v>
          </cell>
          <cell r="Q273">
            <v>5</v>
          </cell>
          <cell r="R273" t="str">
            <v>NA</v>
          </cell>
          <cell r="S273">
            <v>5</v>
          </cell>
        </row>
        <row r="274">
          <cell r="B274" t="str">
            <v>EMMC</v>
          </cell>
          <cell r="C274" t="str">
            <v>HSLB11197</v>
          </cell>
          <cell r="D274">
            <v>109005</v>
          </cell>
          <cell r="E274" t="str">
            <v>Espéculo Vaginal Pequeño</v>
          </cell>
          <cell r="F274" t="str">
            <v>NO</v>
          </cell>
          <cell r="G274" t="str">
            <v>NO</v>
          </cell>
          <cell r="H274" t="str">
            <v>BOX OBSTETRICIA C/BAÑO</v>
          </cell>
          <cell r="I274">
            <v>8</v>
          </cell>
          <cell r="J274" t="str">
            <v>C.2.2.2.9</v>
          </cell>
          <cell r="K274" t="str">
            <v>Consultas Medicas Generales</v>
          </cell>
          <cell r="L274">
            <v>2</v>
          </cell>
          <cell r="M274">
            <v>46036</v>
          </cell>
          <cell r="N274">
            <v>46037</v>
          </cell>
          <cell r="O274">
            <v>1</v>
          </cell>
          <cell r="P274">
            <v>46038</v>
          </cell>
          <cell r="Q274">
            <v>5</v>
          </cell>
          <cell r="R274" t="str">
            <v>NA</v>
          </cell>
          <cell r="S274">
            <v>5</v>
          </cell>
        </row>
        <row r="275">
          <cell r="B275" t="str">
            <v>EMMC</v>
          </cell>
          <cell r="C275" t="str">
            <v>HSLB11201</v>
          </cell>
          <cell r="D275">
            <v>109006</v>
          </cell>
          <cell r="E275" t="str">
            <v>Espéculo Vaginal Virginal</v>
          </cell>
          <cell r="F275" t="str">
            <v>NO</v>
          </cell>
          <cell r="G275" t="str">
            <v>NO</v>
          </cell>
          <cell r="H275" t="str">
            <v>BOX MATRONA C/BAÑO</v>
          </cell>
          <cell r="I275">
            <v>0</v>
          </cell>
          <cell r="J275" t="str">
            <v>C.2.2.2.10</v>
          </cell>
          <cell r="K275" t="str">
            <v>Consultas Medicas Generales</v>
          </cell>
          <cell r="L275">
            <v>2</v>
          </cell>
          <cell r="M275">
            <v>46036</v>
          </cell>
          <cell r="N275">
            <v>46037</v>
          </cell>
          <cell r="O275">
            <v>1</v>
          </cell>
          <cell r="P275">
            <v>46038</v>
          </cell>
          <cell r="Q275">
            <v>5</v>
          </cell>
          <cell r="R275" t="str">
            <v>NA</v>
          </cell>
          <cell r="S275">
            <v>5</v>
          </cell>
        </row>
        <row r="276">
          <cell r="B276" t="str">
            <v>EMMC</v>
          </cell>
          <cell r="C276" t="str">
            <v>HSLB11202</v>
          </cell>
          <cell r="D276">
            <v>109006</v>
          </cell>
          <cell r="E276" t="str">
            <v>Espéculo Vaginal Virginal</v>
          </cell>
          <cell r="F276" t="str">
            <v>NO</v>
          </cell>
          <cell r="G276" t="str">
            <v>NO</v>
          </cell>
          <cell r="H276" t="str">
            <v>SALA PROCEDIMIENTOS GINECO-OBSTÉTRICO</v>
          </cell>
          <cell r="I276">
            <v>0</v>
          </cell>
          <cell r="J276" t="str">
            <v>C.2.2.2.15</v>
          </cell>
          <cell r="K276" t="str">
            <v>Consultas Medicas Generales</v>
          </cell>
          <cell r="L276">
            <v>2</v>
          </cell>
          <cell r="M276">
            <v>46036</v>
          </cell>
          <cell r="N276">
            <v>46037</v>
          </cell>
          <cell r="O276">
            <v>1</v>
          </cell>
          <cell r="P276">
            <v>46038</v>
          </cell>
          <cell r="Q276">
            <v>5</v>
          </cell>
          <cell r="R276" t="str">
            <v>NA</v>
          </cell>
          <cell r="S276">
            <v>5</v>
          </cell>
        </row>
        <row r="277">
          <cell r="B277" t="str">
            <v>EMMC</v>
          </cell>
          <cell r="C277" t="str">
            <v>HSLB11203</v>
          </cell>
          <cell r="D277">
            <v>109006</v>
          </cell>
          <cell r="E277" t="str">
            <v>Espéculo Vaginal Virginal</v>
          </cell>
          <cell r="F277" t="str">
            <v>NO</v>
          </cell>
          <cell r="G277" t="str">
            <v>SI</v>
          </cell>
          <cell r="H277" t="str">
            <v>BOX GINECOLOGÍA C/BAÑO</v>
          </cell>
          <cell r="I277">
            <v>0</v>
          </cell>
          <cell r="J277" t="str">
            <v>C.2.2.2.8.1</v>
          </cell>
          <cell r="K277" t="str">
            <v>Consultas Medicas Generales</v>
          </cell>
          <cell r="L277">
            <v>2</v>
          </cell>
          <cell r="M277">
            <v>46003</v>
          </cell>
          <cell r="N277">
            <v>46006</v>
          </cell>
          <cell r="O277">
            <v>1</v>
          </cell>
          <cell r="P277">
            <v>46007</v>
          </cell>
          <cell r="Q277">
            <v>5</v>
          </cell>
          <cell r="R277" t="str">
            <v>NA</v>
          </cell>
          <cell r="S277">
            <v>5</v>
          </cell>
        </row>
        <row r="278">
          <cell r="B278" t="str">
            <v>EMMC</v>
          </cell>
          <cell r="C278" t="str">
            <v>HSLB11204</v>
          </cell>
          <cell r="D278">
            <v>109006</v>
          </cell>
          <cell r="E278" t="str">
            <v>Espéculo Vaginal Virginal</v>
          </cell>
          <cell r="F278" t="str">
            <v>NO</v>
          </cell>
          <cell r="G278" t="str">
            <v>NO</v>
          </cell>
          <cell r="H278" t="str">
            <v>BOX GINECOLOGÍA C/BAÑO</v>
          </cell>
          <cell r="I278">
            <v>0</v>
          </cell>
          <cell r="J278" t="str">
            <v>C.2.2.2.8.2</v>
          </cell>
          <cell r="K278" t="str">
            <v>Consultas Medicas Generales</v>
          </cell>
          <cell r="L278">
            <v>2</v>
          </cell>
          <cell r="M278">
            <v>46036</v>
          </cell>
          <cell r="N278">
            <v>46037</v>
          </cell>
          <cell r="O278">
            <v>1</v>
          </cell>
          <cell r="P278">
            <v>46038</v>
          </cell>
          <cell r="Q278">
            <v>5</v>
          </cell>
          <cell r="R278" t="str">
            <v>NA</v>
          </cell>
          <cell r="S278">
            <v>5</v>
          </cell>
        </row>
        <row r="279">
          <cell r="B279" t="str">
            <v>EMMC</v>
          </cell>
          <cell r="C279" t="str">
            <v>HSLB11205</v>
          </cell>
          <cell r="D279">
            <v>109006</v>
          </cell>
          <cell r="E279" t="str">
            <v>Espéculo Vaginal Virginal</v>
          </cell>
          <cell r="F279" t="str">
            <v>NO</v>
          </cell>
          <cell r="G279" t="str">
            <v>NO</v>
          </cell>
          <cell r="H279" t="str">
            <v>BOX OBSTETRICIA C/BAÑO</v>
          </cell>
          <cell r="I279">
            <v>0</v>
          </cell>
          <cell r="J279" t="str">
            <v>C.2.2.2.9</v>
          </cell>
          <cell r="K279" t="str">
            <v>Consultas Medicas Generales</v>
          </cell>
          <cell r="L279">
            <v>2</v>
          </cell>
          <cell r="M279">
            <v>46036</v>
          </cell>
          <cell r="N279">
            <v>46037</v>
          </cell>
          <cell r="O279">
            <v>1</v>
          </cell>
          <cell r="P279">
            <v>46038</v>
          </cell>
          <cell r="Q279">
            <v>5</v>
          </cell>
          <cell r="R279" t="str">
            <v>NA</v>
          </cell>
          <cell r="S279">
            <v>5</v>
          </cell>
        </row>
        <row r="280">
          <cell r="B280" t="str">
            <v>EMMC</v>
          </cell>
          <cell r="C280" t="str">
            <v>HSLB10124</v>
          </cell>
          <cell r="D280">
            <v>101036</v>
          </cell>
          <cell r="E280" t="str">
            <v>Irrigador Calórico de Aire</v>
          </cell>
          <cell r="F280" t="str">
            <v>NO</v>
          </cell>
          <cell r="G280" t="str">
            <v>NO</v>
          </cell>
          <cell r="H280" t="str">
            <v>SALA PROCEDIMIENTOS OTORRINO VIII PAR</v>
          </cell>
          <cell r="I280">
            <v>1</v>
          </cell>
          <cell r="J280" t="str">
            <v>C.2.2.3.9</v>
          </cell>
          <cell r="K280" t="str">
            <v>Consultas Medicas Especialidades</v>
          </cell>
          <cell r="L280">
            <v>2</v>
          </cell>
          <cell r="M280">
            <v>46038</v>
          </cell>
          <cell r="N280">
            <v>46041</v>
          </cell>
          <cell r="O280">
            <v>1</v>
          </cell>
          <cell r="P280">
            <v>46042</v>
          </cell>
          <cell r="Q280">
            <v>5</v>
          </cell>
          <cell r="R280" t="str">
            <v>NA</v>
          </cell>
          <cell r="S280">
            <v>5</v>
          </cell>
        </row>
        <row r="281">
          <cell r="B281" t="str">
            <v>EMMC</v>
          </cell>
          <cell r="C281" t="str">
            <v>HSLB10125</v>
          </cell>
          <cell r="D281">
            <v>101037</v>
          </cell>
          <cell r="E281" t="str">
            <v>LÁMPARA DE EXAMEN RODABLE</v>
          </cell>
          <cell r="F281" t="str">
            <v>NO</v>
          </cell>
          <cell r="G281" t="str">
            <v>NO</v>
          </cell>
          <cell r="H281" t="str">
            <v>BOX MATRONA C/BAÑO</v>
          </cell>
          <cell r="I281">
            <v>1</v>
          </cell>
          <cell r="J281" t="str">
            <v>C.2.2.2.10</v>
          </cell>
          <cell r="K281" t="str">
            <v>Consultas Medicas Generales</v>
          </cell>
          <cell r="L281">
            <v>2</v>
          </cell>
          <cell r="M281">
            <v>46036</v>
          </cell>
          <cell r="N281">
            <v>46037</v>
          </cell>
          <cell r="O281">
            <v>1</v>
          </cell>
          <cell r="P281">
            <v>46038</v>
          </cell>
          <cell r="Q281">
            <v>5</v>
          </cell>
          <cell r="R281" t="str">
            <v>NA</v>
          </cell>
          <cell r="S281">
            <v>5</v>
          </cell>
        </row>
        <row r="282">
          <cell r="B282" t="str">
            <v>EMMC</v>
          </cell>
          <cell r="C282" t="str">
            <v>HSLB10126</v>
          </cell>
          <cell r="D282">
            <v>101037</v>
          </cell>
          <cell r="E282" t="str">
            <v>LÁMPARA DE EXAMEN RODABLE</v>
          </cell>
          <cell r="F282" t="str">
            <v>NO</v>
          </cell>
          <cell r="G282" t="str">
            <v>NO</v>
          </cell>
          <cell r="H282" t="str">
            <v>SALA PROCEDIMIENTOS ENFERMERÍA INFANTIL</v>
          </cell>
          <cell r="I282">
            <v>1</v>
          </cell>
          <cell r="J282" t="str">
            <v>C.2.2.2.16</v>
          </cell>
          <cell r="K282" t="str">
            <v>Consultas Medicas Generales</v>
          </cell>
          <cell r="L282">
            <v>2</v>
          </cell>
          <cell r="M282">
            <v>46036</v>
          </cell>
          <cell r="N282">
            <v>46037</v>
          </cell>
          <cell r="O282">
            <v>1</v>
          </cell>
          <cell r="P282">
            <v>46038</v>
          </cell>
          <cell r="Q282">
            <v>5</v>
          </cell>
          <cell r="R282" t="str">
            <v>NA</v>
          </cell>
          <cell r="S282">
            <v>5</v>
          </cell>
        </row>
        <row r="283">
          <cell r="B283" t="str">
            <v>EMMC</v>
          </cell>
          <cell r="C283" t="str">
            <v>HSLB10127</v>
          </cell>
          <cell r="D283">
            <v>101037</v>
          </cell>
          <cell r="E283" t="str">
            <v>LÁMPARA DE EXAMEN RODABLE</v>
          </cell>
          <cell r="F283" t="str">
            <v>NO</v>
          </cell>
          <cell r="G283" t="str">
            <v>NO</v>
          </cell>
          <cell r="H283" t="str">
            <v>SALA DE PROCEDIMIENTOS ENFERMERÍA ADULTO</v>
          </cell>
          <cell r="I283">
            <v>1</v>
          </cell>
          <cell r="J283" t="str">
            <v>C.2.2.2.17.1</v>
          </cell>
          <cell r="K283" t="str">
            <v>Consultas Medicas Generales</v>
          </cell>
          <cell r="L283">
            <v>2</v>
          </cell>
          <cell r="M283">
            <v>46036</v>
          </cell>
          <cell r="N283">
            <v>46037</v>
          </cell>
          <cell r="O283">
            <v>1</v>
          </cell>
          <cell r="P283">
            <v>46038</v>
          </cell>
          <cell r="Q283">
            <v>5</v>
          </cell>
          <cell r="R283" t="str">
            <v>NA</v>
          </cell>
          <cell r="S283">
            <v>5</v>
          </cell>
        </row>
        <row r="284">
          <cell r="B284" t="str">
            <v>EMMC</v>
          </cell>
          <cell r="C284" t="str">
            <v>HSLB10128</v>
          </cell>
          <cell r="D284">
            <v>101037</v>
          </cell>
          <cell r="E284" t="str">
            <v>LÁMPARA DE EXAMEN RODABLE</v>
          </cell>
          <cell r="F284" t="str">
            <v>NO</v>
          </cell>
          <cell r="G284" t="str">
            <v>NO</v>
          </cell>
          <cell r="H284" t="str">
            <v>SALA DE PROCEDIMIENTOS ENFERMERÍA ADULTO</v>
          </cell>
          <cell r="I284">
            <v>1</v>
          </cell>
          <cell r="J284" t="str">
            <v>C.2.2.2.17.2</v>
          </cell>
          <cell r="K284" t="str">
            <v>Consultas Medicas Generales</v>
          </cell>
          <cell r="L284">
            <v>2</v>
          </cell>
          <cell r="M284">
            <v>46036</v>
          </cell>
          <cell r="N284">
            <v>46037</v>
          </cell>
          <cell r="O284">
            <v>1</v>
          </cell>
          <cell r="P284">
            <v>46038</v>
          </cell>
          <cell r="Q284">
            <v>5</v>
          </cell>
          <cell r="R284" t="str">
            <v>NA</v>
          </cell>
          <cell r="S284">
            <v>5</v>
          </cell>
        </row>
        <row r="285">
          <cell r="B285" t="str">
            <v>EMMC</v>
          </cell>
          <cell r="C285" t="str">
            <v>HSLB10129</v>
          </cell>
          <cell r="D285">
            <v>101037</v>
          </cell>
          <cell r="E285" t="str">
            <v>LÁMPARA DE EXAMEN RODABLE</v>
          </cell>
          <cell r="F285" t="str">
            <v>NO</v>
          </cell>
          <cell r="G285" t="str">
            <v>NO</v>
          </cell>
          <cell r="H285" t="str">
            <v>SALA DE PROCEDIMIENTOS ENFERMERÍA ADULTO</v>
          </cell>
          <cell r="I285">
            <v>1</v>
          </cell>
          <cell r="J285" t="str">
            <v>C.2.2.2.17.3</v>
          </cell>
          <cell r="K285" t="str">
            <v>Consultas Medicas Generales</v>
          </cell>
          <cell r="L285">
            <v>2</v>
          </cell>
          <cell r="M285">
            <v>46036</v>
          </cell>
          <cell r="N285">
            <v>46037</v>
          </cell>
          <cell r="O285">
            <v>1</v>
          </cell>
          <cell r="P285">
            <v>46038</v>
          </cell>
          <cell r="Q285">
            <v>5</v>
          </cell>
          <cell r="R285" t="str">
            <v>NA</v>
          </cell>
          <cell r="S285">
            <v>5</v>
          </cell>
        </row>
        <row r="286">
          <cell r="B286" t="str">
            <v>EMMC</v>
          </cell>
          <cell r="C286" t="str">
            <v>HSLB10130</v>
          </cell>
          <cell r="D286">
            <v>101037</v>
          </cell>
          <cell r="E286" t="str">
            <v>LÁMPARA DE EXAMEN RODABLE</v>
          </cell>
          <cell r="F286" t="str">
            <v>NO</v>
          </cell>
          <cell r="G286" t="str">
            <v>NO</v>
          </cell>
          <cell r="H286" t="str">
            <v>BOX GERIATRÍA</v>
          </cell>
          <cell r="I286">
            <v>1</v>
          </cell>
          <cell r="J286" t="str">
            <v>C.2.2.2.17.6</v>
          </cell>
          <cell r="K286" t="str">
            <v>Consultas Medicas Generales</v>
          </cell>
          <cell r="L286">
            <v>2</v>
          </cell>
          <cell r="M286">
            <v>46036</v>
          </cell>
          <cell r="N286">
            <v>46037</v>
          </cell>
          <cell r="O286">
            <v>1</v>
          </cell>
          <cell r="P286">
            <v>46038</v>
          </cell>
          <cell r="Q286">
            <v>5</v>
          </cell>
          <cell r="R286" t="str">
            <v>NA</v>
          </cell>
          <cell r="S286">
            <v>5</v>
          </cell>
        </row>
        <row r="287">
          <cell r="B287" t="str">
            <v>EMMC</v>
          </cell>
          <cell r="C287" t="str">
            <v>HSLB10131</v>
          </cell>
          <cell r="D287">
            <v>101037</v>
          </cell>
          <cell r="E287" t="str">
            <v>LÁMPARA DE EXAMEN RODABLE</v>
          </cell>
          <cell r="F287" t="str">
            <v>NO</v>
          </cell>
          <cell r="G287" t="str">
            <v>NO</v>
          </cell>
          <cell r="H287" t="str">
            <v>BOX CIRUGÍA ADULTOS</v>
          </cell>
          <cell r="I287">
            <v>1</v>
          </cell>
          <cell r="J287" t="str">
            <v>C.2.2.2.7.1</v>
          </cell>
          <cell r="K287" t="str">
            <v>Consultas Medicas Generales</v>
          </cell>
          <cell r="L287">
            <v>2</v>
          </cell>
          <cell r="M287">
            <v>46036</v>
          </cell>
          <cell r="N287">
            <v>46037</v>
          </cell>
          <cell r="O287">
            <v>1</v>
          </cell>
          <cell r="P287">
            <v>46038</v>
          </cell>
          <cell r="Q287">
            <v>5</v>
          </cell>
          <cell r="R287" t="str">
            <v>NA</v>
          </cell>
          <cell r="S287">
            <v>5</v>
          </cell>
        </row>
        <row r="288">
          <cell r="B288" t="str">
            <v>EMMC</v>
          </cell>
          <cell r="C288" t="str">
            <v>HSLB10132</v>
          </cell>
          <cell r="D288">
            <v>101037</v>
          </cell>
          <cell r="E288" t="str">
            <v>LÁMPARA DE EXAMEN RODABLE</v>
          </cell>
          <cell r="F288" t="str">
            <v>NO</v>
          </cell>
          <cell r="G288" t="str">
            <v>NO</v>
          </cell>
          <cell r="H288" t="str">
            <v>BOX CIRUGÍA ADULTOS</v>
          </cell>
          <cell r="I288">
            <v>1</v>
          </cell>
          <cell r="J288" t="str">
            <v>C.2.2.2.7.2</v>
          </cell>
          <cell r="K288" t="str">
            <v>Consultas Medicas Generales</v>
          </cell>
          <cell r="L288">
            <v>2</v>
          </cell>
          <cell r="M288">
            <v>46036</v>
          </cell>
          <cell r="N288">
            <v>46037</v>
          </cell>
          <cell r="O288">
            <v>1</v>
          </cell>
          <cell r="P288">
            <v>46038</v>
          </cell>
          <cell r="Q288">
            <v>5</v>
          </cell>
          <cell r="R288" t="str">
            <v>NA</v>
          </cell>
          <cell r="S288">
            <v>5</v>
          </cell>
        </row>
        <row r="289">
          <cell r="B289" t="str">
            <v>EMMC</v>
          </cell>
          <cell r="C289" t="str">
            <v>HSLB10133</v>
          </cell>
          <cell r="D289">
            <v>101037</v>
          </cell>
          <cell r="E289" t="str">
            <v>LÁMPARA DE EXAMEN RODABLE</v>
          </cell>
          <cell r="F289" t="str">
            <v>NO</v>
          </cell>
          <cell r="G289" t="str">
            <v>SI</v>
          </cell>
          <cell r="H289" t="str">
            <v>BOX GINECOLOGÍA C/BAÑO</v>
          </cell>
          <cell r="I289">
            <v>1</v>
          </cell>
          <cell r="J289" t="str">
            <v>C.2.2.2.8.1</v>
          </cell>
          <cell r="K289" t="str">
            <v>Consultas Medicas Generales</v>
          </cell>
          <cell r="L289">
            <v>2</v>
          </cell>
          <cell r="M289">
            <v>46003</v>
          </cell>
          <cell r="N289">
            <v>46006</v>
          </cell>
          <cell r="O289">
            <v>1</v>
          </cell>
          <cell r="P289">
            <v>46007</v>
          </cell>
          <cell r="Q289">
            <v>5</v>
          </cell>
          <cell r="R289" t="str">
            <v>NA</v>
          </cell>
          <cell r="S289">
            <v>5</v>
          </cell>
        </row>
        <row r="290">
          <cell r="B290" t="str">
            <v>EMMC</v>
          </cell>
          <cell r="C290" t="str">
            <v>HSLB10134</v>
          </cell>
          <cell r="D290">
            <v>101037</v>
          </cell>
          <cell r="E290" t="str">
            <v>LÁMPARA DE EXAMEN RODABLE</v>
          </cell>
          <cell r="F290" t="str">
            <v>NO</v>
          </cell>
          <cell r="G290" t="str">
            <v>NO</v>
          </cell>
          <cell r="H290" t="str">
            <v>BOX GINECOLOGÍA C/BAÑO</v>
          </cell>
          <cell r="I290">
            <v>1</v>
          </cell>
          <cell r="J290" t="str">
            <v>C.2.2.2.8.2</v>
          </cell>
          <cell r="K290" t="str">
            <v>Consultas Medicas Generales</v>
          </cell>
          <cell r="L290">
            <v>2</v>
          </cell>
          <cell r="M290">
            <v>46036</v>
          </cell>
          <cell r="N290">
            <v>46037</v>
          </cell>
          <cell r="O290">
            <v>1</v>
          </cell>
          <cell r="P290">
            <v>46038</v>
          </cell>
          <cell r="Q290">
            <v>5</v>
          </cell>
          <cell r="R290" t="str">
            <v>NA</v>
          </cell>
          <cell r="S290">
            <v>5</v>
          </cell>
        </row>
        <row r="291">
          <cell r="B291" t="str">
            <v>EMMC</v>
          </cell>
          <cell r="C291" t="str">
            <v>HSLB10135</v>
          </cell>
          <cell r="D291">
            <v>101037</v>
          </cell>
          <cell r="E291" t="str">
            <v>LÁMPARA DE EXAMEN RODABLE</v>
          </cell>
          <cell r="F291" t="str">
            <v>NO</v>
          </cell>
          <cell r="G291" t="str">
            <v>NO</v>
          </cell>
          <cell r="H291" t="str">
            <v>BOX OBSTETRICIA C/BAÑO</v>
          </cell>
          <cell r="I291">
            <v>1</v>
          </cell>
          <cell r="J291" t="str">
            <v>C.2.2.2.9</v>
          </cell>
          <cell r="K291" t="str">
            <v>Consultas Medicas Generales</v>
          </cell>
          <cell r="L291">
            <v>2</v>
          </cell>
          <cell r="M291">
            <v>46036</v>
          </cell>
          <cell r="N291">
            <v>46037</v>
          </cell>
          <cell r="O291">
            <v>1</v>
          </cell>
          <cell r="P291">
            <v>46038</v>
          </cell>
          <cell r="Q291">
            <v>5</v>
          </cell>
          <cell r="R291" t="str">
            <v>NA</v>
          </cell>
          <cell r="S291">
            <v>5</v>
          </cell>
        </row>
        <row r="292">
          <cell r="B292" t="str">
            <v>EMMC</v>
          </cell>
          <cell r="C292" t="str">
            <v>HSLB10136</v>
          </cell>
          <cell r="D292">
            <v>101037</v>
          </cell>
          <cell r="E292" t="str">
            <v>LÁMPARA DE EXAMEN RODABLE</v>
          </cell>
          <cell r="F292" t="str">
            <v>NO</v>
          </cell>
          <cell r="G292" t="str">
            <v>NO</v>
          </cell>
          <cell r="H292" t="str">
            <v>SALA PROCEDIMIENTOS TRAUMATOLOGÍA INFANTIL</v>
          </cell>
          <cell r="I292">
            <v>1</v>
          </cell>
          <cell r="J292" t="str">
            <v>C.2.2.3.10</v>
          </cell>
          <cell r="K292" t="str">
            <v>Consultas Medicas Generales</v>
          </cell>
          <cell r="L292">
            <v>2</v>
          </cell>
          <cell r="M292">
            <v>46036</v>
          </cell>
          <cell r="N292">
            <v>46037</v>
          </cell>
          <cell r="O292">
            <v>1</v>
          </cell>
          <cell r="P292">
            <v>46038</v>
          </cell>
          <cell r="Q292">
            <v>5</v>
          </cell>
          <cell r="R292" t="str">
            <v>NA</v>
          </cell>
          <cell r="S292">
            <v>5</v>
          </cell>
        </row>
        <row r="293">
          <cell r="B293" t="str">
            <v>EMMC</v>
          </cell>
          <cell r="C293" t="str">
            <v>HSLB10137</v>
          </cell>
          <cell r="D293">
            <v>101037</v>
          </cell>
          <cell r="E293" t="str">
            <v>LÁMPARA DE EXAMEN RODABLE</v>
          </cell>
          <cell r="F293" t="str">
            <v>NO</v>
          </cell>
          <cell r="G293" t="str">
            <v>NO</v>
          </cell>
          <cell r="H293" t="str">
            <v>SALA PROCEDIMIENTOS TRAUMATOLOGÍA ADULTO</v>
          </cell>
          <cell r="I293">
            <v>1</v>
          </cell>
          <cell r="J293" t="str">
            <v>C.2.2.3.11</v>
          </cell>
          <cell r="K293" t="str">
            <v>Consultas Medicas Generales</v>
          </cell>
          <cell r="L293">
            <v>2</v>
          </cell>
          <cell r="M293">
            <v>46036</v>
          </cell>
          <cell r="N293">
            <v>46037</v>
          </cell>
          <cell r="O293">
            <v>1</v>
          </cell>
          <cell r="P293">
            <v>46038</v>
          </cell>
          <cell r="Q293">
            <v>5</v>
          </cell>
          <cell r="R293" t="str">
            <v>NA</v>
          </cell>
          <cell r="S293">
            <v>5</v>
          </cell>
        </row>
        <row r="294">
          <cell r="B294" t="str">
            <v>EMMC</v>
          </cell>
          <cell r="C294" t="str">
            <v>HSLB10138</v>
          </cell>
          <cell r="D294">
            <v>101037</v>
          </cell>
          <cell r="E294" t="str">
            <v>LÁMPARA DE EXAMEN RODABLE</v>
          </cell>
          <cell r="F294" t="str">
            <v>NO</v>
          </cell>
          <cell r="G294" t="str">
            <v>NO</v>
          </cell>
          <cell r="H294" t="str">
            <v>SALA PROCEDIMIENTOS ENDOSCOPÍA INDIFERENCIADO</v>
          </cell>
          <cell r="I294">
            <v>1</v>
          </cell>
          <cell r="J294" t="str">
            <v>C.2.2.3.14.1</v>
          </cell>
          <cell r="K294" t="str">
            <v>Consultas Medicas Generales</v>
          </cell>
          <cell r="L294">
            <v>2</v>
          </cell>
          <cell r="M294">
            <v>46036</v>
          </cell>
          <cell r="N294">
            <v>46037</v>
          </cell>
          <cell r="O294">
            <v>1</v>
          </cell>
          <cell r="P294">
            <v>46038</v>
          </cell>
          <cell r="Q294">
            <v>5</v>
          </cell>
          <cell r="R294" t="str">
            <v>NA</v>
          </cell>
          <cell r="S294">
            <v>5</v>
          </cell>
        </row>
        <row r="295">
          <cell r="B295" t="str">
            <v>EMMC</v>
          </cell>
          <cell r="C295" t="str">
            <v>HSLB10517</v>
          </cell>
          <cell r="D295">
            <v>104010</v>
          </cell>
          <cell r="E295" t="str">
            <v>Lámpara de Procedimientos Rodable</v>
          </cell>
          <cell r="F295" t="str">
            <v>NO</v>
          </cell>
          <cell r="G295" t="str">
            <v>NO</v>
          </cell>
          <cell r="H295" t="str">
            <v>SALA PROCEDIMIENTOS GINECO-OBSTÉTRICO</v>
          </cell>
          <cell r="I295">
            <v>1</v>
          </cell>
          <cell r="J295" t="str">
            <v>C.2.2.2.15</v>
          </cell>
          <cell r="K295" t="str">
            <v>Consultas Medicas Generales</v>
          </cell>
          <cell r="L295">
            <v>2</v>
          </cell>
          <cell r="M295">
            <v>46036</v>
          </cell>
          <cell r="N295">
            <v>46037</v>
          </cell>
          <cell r="O295">
            <v>1</v>
          </cell>
          <cell r="P295">
            <v>46038</v>
          </cell>
          <cell r="Q295">
            <v>5</v>
          </cell>
          <cell r="R295" t="str">
            <v>NA</v>
          </cell>
          <cell r="S295">
            <v>5</v>
          </cell>
        </row>
        <row r="296">
          <cell r="B296" t="str">
            <v>EMMC</v>
          </cell>
          <cell r="C296" t="str">
            <v>HSLB10431</v>
          </cell>
          <cell r="D296">
            <v>103048</v>
          </cell>
          <cell r="E296" t="str">
            <v>Refrigerador Doméstico</v>
          </cell>
          <cell r="F296" t="str">
            <v>NO</v>
          </cell>
          <cell r="G296" t="str">
            <v>NO</v>
          </cell>
          <cell r="H296" t="str">
            <v>ESTAR PERSONAL C/ KITCHENETTE</v>
          </cell>
          <cell r="I296">
            <v>1</v>
          </cell>
          <cell r="J296" t="str">
            <v>D.2.2.6.7</v>
          </cell>
          <cell r="K296" t="str">
            <v>Consultas Medicas Generales</v>
          </cell>
          <cell r="L296">
            <v>2</v>
          </cell>
          <cell r="M296">
            <v>46036</v>
          </cell>
          <cell r="N296">
            <v>46037</v>
          </cell>
          <cell r="O296">
            <v>1</v>
          </cell>
          <cell r="P296">
            <v>46038</v>
          </cell>
          <cell r="Q296">
            <v>5</v>
          </cell>
          <cell r="R296" t="str">
            <v>NA</v>
          </cell>
          <cell r="S296">
            <v>5</v>
          </cell>
        </row>
        <row r="297">
          <cell r="B297" t="str">
            <v>EMMC</v>
          </cell>
          <cell r="C297" t="str">
            <v>HSLB11224</v>
          </cell>
          <cell r="D297">
            <v>109010</v>
          </cell>
          <cell r="E297" t="str">
            <v>Set Instrumental Curación</v>
          </cell>
          <cell r="F297" t="str">
            <v>NO</v>
          </cell>
          <cell r="G297" t="str">
            <v>NO</v>
          </cell>
          <cell r="H297" t="str">
            <v>SALA PROCEDIMIENTOS ENFERMERÍA INFANTIL</v>
          </cell>
          <cell r="I297">
            <v>5</v>
          </cell>
          <cell r="J297" t="str">
            <v>C.2.2.2.16</v>
          </cell>
          <cell r="K297" t="str">
            <v>consultas medicas generales</v>
          </cell>
          <cell r="L297">
            <v>2</v>
          </cell>
          <cell r="M297">
            <v>46036</v>
          </cell>
          <cell r="N297">
            <v>46037</v>
          </cell>
          <cell r="O297">
            <v>1</v>
          </cell>
          <cell r="P297">
            <v>46038</v>
          </cell>
          <cell r="Q297">
            <v>5</v>
          </cell>
          <cell r="R297" t="str">
            <v>NA</v>
          </cell>
          <cell r="S297">
            <v>5</v>
          </cell>
        </row>
        <row r="298">
          <cell r="B298" t="str">
            <v>EMMC</v>
          </cell>
          <cell r="C298" t="str">
            <v>HSLB11225</v>
          </cell>
          <cell r="D298">
            <v>109010</v>
          </cell>
          <cell r="E298" t="str">
            <v>Set Instrumental Curación</v>
          </cell>
          <cell r="F298" t="str">
            <v>NO</v>
          </cell>
          <cell r="G298" t="str">
            <v>NO</v>
          </cell>
          <cell r="H298" t="str">
            <v>SALA DE PROCEDIMIENTOS ENFERMERÍA ADULTO</v>
          </cell>
          <cell r="I298">
            <v>35</v>
          </cell>
          <cell r="J298" t="str">
            <v>C.2.2.2.17.1</v>
          </cell>
          <cell r="K298" t="str">
            <v>Consultas medicas generales</v>
          </cell>
          <cell r="L298">
            <v>2</v>
          </cell>
          <cell r="M298">
            <v>46036</v>
          </cell>
          <cell r="N298">
            <v>46037</v>
          </cell>
          <cell r="O298">
            <v>1</v>
          </cell>
          <cell r="P298">
            <v>46038</v>
          </cell>
          <cell r="Q298">
            <v>5</v>
          </cell>
          <cell r="R298" t="str">
            <v>NA</v>
          </cell>
          <cell r="S298">
            <v>5</v>
          </cell>
        </row>
        <row r="299">
          <cell r="B299" t="str">
            <v>EMMC</v>
          </cell>
          <cell r="C299" t="str">
            <v>HSLB11226</v>
          </cell>
          <cell r="D299">
            <v>109010</v>
          </cell>
          <cell r="E299" t="str">
            <v>Set Instrumental Curación</v>
          </cell>
          <cell r="F299" t="str">
            <v>NO</v>
          </cell>
          <cell r="G299" t="str">
            <v>NO</v>
          </cell>
          <cell r="H299" t="str">
            <v>SALA DE PROCEDIMIENTOS ENFERMERÍA ADULTO</v>
          </cell>
          <cell r="I299">
            <v>35</v>
          </cell>
          <cell r="J299" t="str">
            <v>C.2.2.2.17.2</v>
          </cell>
          <cell r="K299" t="str">
            <v>Consultas medicas generales</v>
          </cell>
          <cell r="L299">
            <v>2</v>
          </cell>
          <cell r="M299">
            <v>46036</v>
          </cell>
          <cell r="N299">
            <v>46037</v>
          </cell>
          <cell r="O299">
            <v>1</v>
          </cell>
          <cell r="P299">
            <v>46038</v>
          </cell>
          <cell r="Q299">
            <v>5</v>
          </cell>
          <cell r="R299" t="str">
            <v>NA</v>
          </cell>
          <cell r="S299">
            <v>5</v>
          </cell>
        </row>
        <row r="300">
          <cell r="B300" t="str">
            <v>EMMC</v>
          </cell>
          <cell r="C300" t="str">
            <v>HSLB11227</v>
          </cell>
          <cell r="D300">
            <v>109010</v>
          </cell>
          <cell r="E300" t="str">
            <v>Set Instrumental Curación</v>
          </cell>
          <cell r="F300" t="str">
            <v>NO</v>
          </cell>
          <cell r="G300" t="str">
            <v>NO</v>
          </cell>
          <cell r="H300" t="str">
            <v>SALA DE PROCEDIMIENTOS ENFERMERÍA ADULTO</v>
          </cell>
          <cell r="I300">
            <v>35</v>
          </cell>
          <cell r="J300" t="str">
            <v>C.2.2.2.17.3</v>
          </cell>
          <cell r="K300" t="str">
            <v>Consultas medicas generales</v>
          </cell>
          <cell r="L300">
            <v>2</v>
          </cell>
          <cell r="M300">
            <v>46036</v>
          </cell>
          <cell r="N300">
            <v>46037</v>
          </cell>
          <cell r="O300">
            <v>1</v>
          </cell>
          <cell r="P300">
            <v>46038</v>
          </cell>
          <cell r="Q300">
            <v>5</v>
          </cell>
          <cell r="R300" t="str">
            <v>NA</v>
          </cell>
          <cell r="S300">
            <v>5</v>
          </cell>
        </row>
        <row r="301">
          <cell r="B301" t="str">
            <v>EMMC</v>
          </cell>
          <cell r="C301" t="str">
            <v>HSLB11276</v>
          </cell>
          <cell r="D301">
            <v>109013</v>
          </cell>
          <cell r="E301" t="str">
            <v>Set Instrumental Extracción DIU</v>
          </cell>
          <cell r="F301" t="str">
            <v>NO</v>
          </cell>
          <cell r="G301" t="str">
            <v>NO</v>
          </cell>
          <cell r="H301" t="str">
            <v>BOX MATRONA C/BAÑO</v>
          </cell>
          <cell r="I301">
            <v>3</v>
          </cell>
          <cell r="J301" t="str">
            <v>C.2.2.2.10</v>
          </cell>
          <cell r="K301" t="str">
            <v>Consultas medicas generales</v>
          </cell>
          <cell r="L301">
            <v>2</v>
          </cell>
          <cell r="M301">
            <v>46036</v>
          </cell>
          <cell r="N301">
            <v>46037</v>
          </cell>
          <cell r="O301">
            <v>1</v>
          </cell>
          <cell r="P301">
            <v>46038</v>
          </cell>
          <cell r="Q301">
            <v>5</v>
          </cell>
          <cell r="R301" t="str">
            <v>NA</v>
          </cell>
          <cell r="S301">
            <v>5</v>
          </cell>
        </row>
        <row r="302">
          <cell r="B302" t="str">
            <v>EMMC</v>
          </cell>
          <cell r="C302" t="str">
            <v>HSLB11277</v>
          </cell>
          <cell r="D302">
            <v>109013</v>
          </cell>
          <cell r="E302" t="str">
            <v>Set Instrumental Extracción DIU</v>
          </cell>
          <cell r="F302" t="str">
            <v>NO</v>
          </cell>
          <cell r="G302" t="str">
            <v>NO</v>
          </cell>
          <cell r="H302" t="str">
            <v>SALA PROCEDIMIENTOS GINECO-OBSTÉTRICO</v>
          </cell>
          <cell r="I302">
            <v>5</v>
          </cell>
          <cell r="J302" t="str">
            <v>C.2.2.2.15</v>
          </cell>
          <cell r="K302" t="str">
            <v>Consultas medicas generales</v>
          </cell>
          <cell r="L302">
            <v>2</v>
          </cell>
          <cell r="M302">
            <v>46036</v>
          </cell>
          <cell r="N302">
            <v>46037</v>
          </cell>
          <cell r="O302">
            <v>1</v>
          </cell>
          <cell r="P302">
            <v>46038</v>
          </cell>
          <cell r="Q302">
            <v>5</v>
          </cell>
          <cell r="R302" t="str">
            <v>NA</v>
          </cell>
          <cell r="S302">
            <v>5</v>
          </cell>
        </row>
        <row r="303">
          <cell r="B303" t="str">
            <v>EMMC</v>
          </cell>
          <cell r="C303" t="str">
            <v>HSLB11279</v>
          </cell>
          <cell r="D303">
            <v>109015</v>
          </cell>
          <cell r="E303" t="str">
            <v>Set Instrumental Ginecológico</v>
          </cell>
          <cell r="F303" t="str">
            <v>NO</v>
          </cell>
          <cell r="G303" t="str">
            <v>NO</v>
          </cell>
          <cell r="H303" t="str">
            <v>BOX MATRONA C/BAÑO</v>
          </cell>
          <cell r="I303">
            <v>10</v>
          </cell>
          <cell r="J303" t="str">
            <v>C.2.2.2.10</v>
          </cell>
          <cell r="K303" t="str">
            <v>Consultas medicas generales</v>
          </cell>
          <cell r="L303">
            <v>2</v>
          </cell>
          <cell r="M303">
            <v>46036</v>
          </cell>
          <cell r="N303">
            <v>46037</v>
          </cell>
          <cell r="O303">
            <v>1</v>
          </cell>
          <cell r="P303">
            <v>46038</v>
          </cell>
          <cell r="Q303">
            <v>5</v>
          </cell>
          <cell r="R303" t="str">
            <v>NA</v>
          </cell>
          <cell r="S303">
            <v>5</v>
          </cell>
        </row>
        <row r="304">
          <cell r="B304" t="str">
            <v>EMMC</v>
          </cell>
          <cell r="C304" t="str">
            <v>HSLB11280</v>
          </cell>
          <cell r="D304">
            <v>109015</v>
          </cell>
          <cell r="E304" t="str">
            <v>Set Instrumental Ginecológico</v>
          </cell>
          <cell r="F304" t="str">
            <v>NO</v>
          </cell>
          <cell r="G304" t="str">
            <v>NO</v>
          </cell>
          <cell r="H304" t="str">
            <v>SALA PROCEDIMIENTOS GINECO-OBSTÉTRICO</v>
          </cell>
          <cell r="I304">
            <v>15</v>
          </cell>
          <cell r="J304" t="str">
            <v>C.2.2.2.15</v>
          </cell>
          <cell r="K304" t="str">
            <v>Consultas medicas generales</v>
          </cell>
          <cell r="L304">
            <v>2</v>
          </cell>
          <cell r="M304">
            <v>46036</v>
          </cell>
          <cell r="N304">
            <v>46037</v>
          </cell>
          <cell r="O304">
            <v>1</v>
          </cell>
          <cell r="P304">
            <v>46038</v>
          </cell>
          <cell r="Q304">
            <v>5</v>
          </cell>
          <cell r="R304" t="str">
            <v>NA</v>
          </cell>
          <cell r="S304">
            <v>5</v>
          </cell>
        </row>
        <row r="305">
          <cell r="B305" t="str">
            <v>EMMC</v>
          </cell>
          <cell r="C305" t="str">
            <v>HSLB11281</v>
          </cell>
          <cell r="D305">
            <v>109015</v>
          </cell>
          <cell r="E305" t="str">
            <v>Set Instrumental Ginecológico</v>
          </cell>
          <cell r="F305" t="str">
            <v>NO</v>
          </cell>
          <cell r="G305" t="str">
            <v>SI</v>
          </cell>
          <cell r="H305" t="str">
            <v>BOX GINECOLOGÍA C/BAÑO</v>
          </cell>
          <cell r="I305">
            <v>5</v>
          </cell>
          <cell r="J305" t="str">
            <v>C.2.2.2.8.1</v>
          </cell>
          <cell r="K305" t="str">
            <v>Consultas medicas generales</v>
          </cell>
          <cell r="L305">
            <v>2</v>
          </cell>
          <cell r="M305">
            <v>46003</v>
          </cell>
          <cell r="N305">
            <v>46006</v>
          </cell>
          <cell r="O305">
            <v>1</v>
          </cell>
          <cell r="P305">
            <v>46007</v>
          </cell>
          <cell r="Q305">
            <v>5</v>
          </cell>
          <cell r="R305" t="str">
            <v>NA</v>
          </cell>
          <cell r="S305">
            <v>5</v>
          </cell>
        </row>
        <row r="306">
          <cell r="B306" t="str">
            <v>EMMC</v>
          </cell>
          <cell r="C306" t="str">
            <v>HSLB11282</v>
          </cell>
          <cell r="D306">
            <v>109015</v>
          </cell>
          <cell r="E306" t="str">
            <v>Set Instrumental Ginecológico</v>
          </cell>
          <cell r="F306" t="str">
            <v>NO</v>
          </cell>
          <cell r="G306" t="str">
            <v>NO</v>
          </cell>
          <cell r="H306" t="str">
            <v>BOX GINECOLOGÍA C/BAÑO</v>
          </cell>
          <cell r="I306">
            <v>5</v>
          </cell>
          <cell r="J306" t="str">
            <v>C.2.2.2.8.2</v>
          </cell>
          <cell r="K306" t="str">
            <v>Consultas medicas generales</v>
          </cell>
          <cell r="L306">
            <v>2</v>
          </cell>
          <cell r="M306">
            <v>46036</v>
          </cell>
          <cell r="N306">
            <v>46037</v>
          </cell>
          <cell r="O306">
            <v>1</v>
          </cell>
          <cell r="P306">
            <v>46038</v>
          </cell>
          <cell r="Q306">
            <v>5</v>
          </cell>
          <cell r="R306" t="str">
            <v>NA</v>
          </cell>
          <cell r="S306">
            <v>5</v>
          </cell>
        </row>
        <row r="307">
          <cell r="B307" t="str">
            <v>EMMC</v>
          </cell>
          <cell r="C307" t="str">
            <v>HSLB11283</v>
          </cell>
          <cell r="D307">
            <v>109015</v>
          </cell>
          <cell r="E307" t="str">
            <v>Set Instrumental Ginecológico</v>
          </cell>
          <cell r="F307" t="str">
            <v>NO</v>
          </cell>
          <cell r="G307" t="str">
            <v>NO</v>
          </cell>
          <cell r="H307" t="str">
            <v>BOX OBSTETRICIA C/BAÑO</v>
          </cell>
          <cell r="I307">
            <v>2</v>
          </cell>
          <cell r="J307" t="str">
            <v>C.2.2.2.9</v>
          </cell>
          <cell r="K307" t="str">
            <v>Consultas medicas generales</v>
          </cell>
          <cell r="L307">
            <v>2</v>
          </cell>
          <cell r="M307">
            <v>46036</v>
          </cell>
          <cell r="N307">
            <v>46037</v>
          </cell>
          <cell r="O307">
            <v>1</v>
          </cell>
          <cell r="P307">
            <v>46038</v>
          </cell>
          <cell r="Q307">
            <v>5</v>
          </cell>
          <cell r="R307" t="str">
            <v>NA</v>
          </cell>
          <cell r="S307">
            <v>5</v>
          </cell>
        </row>
        <row r="308">
          <cell r="B308" t="str">
            <v>EMMC</v>
          </cell>
          <cell r="C308" t="str">
            <v>HSLB12470</v>
          </cell>
          <cell r="D308">
            <v>112078</v>
          </cell>
          <cell r="E308" t="str">
            <v>Silla de Ruedas Bariátrica</v>
          </cell>
          <cell r="F308" t="str">
            <v>NO</v>
          </cell>
          <cell r="G308" t="str">
            <v>NO</v>
          </cell>
          <cell r="H308" t="str">
            <v>ESTACIONAMIENTO SILLAS DE RUEDAS</v>
          </cell>
          <cell r="I308">
            <v>1</v>
          </cell>
          <cell r="J308" t="str">
            <v>C.2.2.2.27</v>
          </cell>
          <cell r="K308" t="str">
            <v>Consultas medicas generales</v>
          </cell>
          <cell r="L308">
            <v>2</v>
          </cell>
          <cell r="M308">
            <v>46036</v>
          </cell>
          <cell r="N308">
            <v>46037</v>
          </cell>
          <cell r="O308">
            <v>1</v>
          </cell>
          <cell r="P308">
            <v>46038</v>
          </cell>
          <cell r="Q308">
            <v>5</v>
          </cell>
          <cell r="R308" t="str">
            <v>NA</v>
          </cell>
          <cell r="S308">
            <v>5</v>
          </cell>
        </row>
        <row r="309">
          <cell r="B309" t="str">
            <v>EMMC</v>
          </cell>
          <cell r="C309" t="str">
            <v>HSLB12495</v>
          </cell>
          <cell r="D309">
            <v>112085</v>
          </cell>
          <cell r="E309" t="str">
            <v>Sillón Otorrinolaringología</v>
          </cell>
          <cell r="F309" t="str">
            <v>NO</v>
          </cell>
          <cell r="G309" t="str">
            <v>NO</v>
          </cell>
          <cell r="H309" t="str">
            <v>SALA PROCEDIMIENTOS OTORRINO VIII PAR</v>
          </cell>
          <cell r="I309">
            <v>1</v>
          </cell>
          <cell r="J309" t="str">
            <v>C.2.2.3.9</v>
          </cell>
          <cell r="K309" t="str">
            <v>Consultas Medicas Especialidades</v>
          </cell>
          <cell r="L309">
            <v>2</v>
          </cell>
          <cell r="M309">
            <v>46038</v>
          </cell>
          <cell r="N309">
            <v>46041</v>
          </cell>
          <cell r="O309">
            <v>1</v>
          </cell>
          <cell r="P309">
            <v>46042</v>
          </cell>
          <cell r="Q309">
            <v>5</v>
          </cell>
          <cell r="R309" t="str">
            <v>NA</v>
          </cell>
          <cell r="S309">
            <v>5</v>
          </cell>
        </row>
        <row r="310">
          <cell r="B310" t="str">
            <v>EMMC</v>
          </cell>
          <cell r="C310" t="str">
            <v>HSLB10269</v>
          </cell>
          <cell r="D310">
            <v>102005</v>
          </cell>
          <cell r="E310" t="str">
            <v>Tester de Hermeticidad</v>
          </cell>
          <cell r="F310" t="str">
            <v>NO</v>
          </cell>
          <cell r="G310" t="str">
            <v>NO</v>
          </cell>
          <cell r="H310" t="str">
            <v>SALA DAN</v>
          </cell>
          <cell r="I310">
            <v>1</v>
          </cell>
          <cell r="J310" t="str">
            <v>C.2.2.3.17</v>
          </cell>
          <cell r="K310" t="str">
            <v>Consultas Medicas Especialidades - Sala DAN</v>
          </cell>
          <cell r="L310">
            <v>2</v>
          </cell>
          <cell r="M310">
            <v>46038</v>
          </cell>
          <cell r="N310">
            <v>46041</v>
          </cell>
          <cell r="O310">
            <v>1</v>
          </cell>
          <cell r="P310">
            <v>46042</v>
          </cell>
          <cell r="Q310">
            <v>5</v>
          </cell>
          <cell r="R310" t="str">
            <v>NA</v>
          </cell>
          <cell r="S310">
            <v>5</v>
          </cell>
        </row>
        <row r="311">
          <cell r="B311" t="str">
            <v>EMMC</v>
          </cell>
          <cell r="C311" t="str">
            <v>HSLB10001</v>
          </cell>
          <cell r="D311">
            <v>101002</v>
          </cell>
          <cell r="E311" t="str">
            <v>Angiógrafo Retinal</v>
          </cell>
          <cell r="F311" t="str">
            <v>NO</v>
          </cell>
          <cell r="G311" t="str">
            <v>NO</v>
          </cell>
          <cell r="H311" t="str">
            <v>SALA DE PROCEDIMIENTOS OFTALMO COMPLEJO</v>
          </cell>
          <cell r="I311">
            <v>1</v>
          </cell>
          <cell r="J311" t="str">
            <v>C.2.2.3.7</v>
          </cell>
          <cell r="K311" t="str">
            <v>Consultas Medicas Especialidades</v>
          </cell>
          <cell r="L311">
            <v>2</v>
          </cell>
          <cell r="M311">
            <v>46038</v>
          </cell>
          <cell r="N311">
            <v>46041</v>
          </cell>
          <cell r="O311">
            <v>1</v>
          </cell>
          <cell r="P311">
            <v>46042</v>
          </cell>
          <cell r="Q311">
            <v>5</v>
          </cell>
          <cell r="R311" t="str">
            <v>NA</v>
          </cell>
          <cell r="S311">
            <v>5</v>
          </cell>
        </row>
        <row r="312">
          <cell r="B312" t="str">
            <v>EMMC</v>
          </cell>
          <cell r="C312" t="str">
            <v>HSLB10002</v>
          </cell>
          <cell r="D312">
            <v>101003</v>
          </cell>
          <cell r="E312" t="str">
            <v>Audiómetro</v>
          </cell>
          <cell r="F312" t="str">
            <v>NO</v>
          </cell>
          <cell r="G312" t="str">
            <v>NO</v>
          </cell>
          <cell r="H312" t="str">
            <v>SALA PROCEDIMIENTOS OTORRINO ESTUDIOS AUDITIVOS</v>
          </cell>
          <cell r="I312">
            <v>1</v>
          </cell>
          <cell r="J312" t="str">
            <v>C.2.2.3.8</v>
          </cell>
          <cell r="K312" t="str">
            <v>Consultas Medicas Especialidades</v>
          </cell>
          <cell r="L312">
            <v>2</v>
          </cell>
          <cell r="M312">
            <v>46038</v>
          </cell>
          <cell r="N312">
            <v>46041</v>
          </cell>
          <cell r="O312">
            <v>1</v>
          </cell>
          <cell r="P312">
            <v>46042</v>
          </cell>
          <cell r="Q312">
            <v>5</v>
          </cell>
          <cell r="R312" t="str">
            <v>NA</v>
          </cell>
          <cell r="S312">
            <v>5</v>
          </cell>
        </row>
        <row r="313">
          <cell r="B313" t="str">
            <v>EMMC</v>
          </cell>
          <cell r="C313" t="str">
            <v>HSLB10003</v>
          </cell>
          <cell r="D313">
            <v>101004</v>
          </cell>
          <cell r="E313" t="str">
            <v>Autorefractómetro/ Autoqueratómetro</v>
          </cell>
          <cell r="F313" t="str">
            <v>NO</v>
          </cell>
          <cell r="G313" t="str">
            <v>NO</v>
          </cell>
          <cell r="H313" t="str">
            <v>SALA DE PROCEDIMIENTOS OFTALMO SIMPLE</v>
          </cell>
          <cell r="I313">
            <v>1</v>
          </cell>
          <cell r="J313" t="str">
            <v>C.2.2.3.6</v>
          </cell>
          <cell r="K313" t="str">
            <v>Consultas Medicas Especialidades</v>
          </cell>
          <cell r="L313">
            <v>2</v>
          </cell>
          <cell r="M313">
            <v>46038</v>
          </cell>
          <cell r="N313">
            <v>46041</v>
          </cell>
          <cell r="O313">
            <v>1</v>
          </cell>
          <cell r="P313">
            <v>46042</v>
          </cell>
          <cell r="Q313">
            <v>5</v>
          </cell>
          <cell r="R313" t="str">
            <v>NA</v>
          </cell>
          <cell r="S313">
            <v>5</v>
          </cell>
        </row>
        <row r="314">
          <cell r="B314" t="str">
            <v>EMMC</v>
          </cell>
          <cell r="C314" t="str">
            <v>HSLB10295</v>
          </cell>
          <cell r="D314">
            <v>103007</v>
          </cell>
          <cell r="E314" t="str">
            <v>Batidora Eléctrica</v>
          </cell>
          <cell r="F314" t="str">
            <v>NO</v>
          </cell>
          <cell r="G314" t="str">
            <v>NO</v>
          </cell>
          <cell r="H314" t="str">
            <v>TALLER DE COCINA</v>
          </cell>
          <cell r="I314">
            <v>1</v>
          </cell>
          <cell r="J314" t="str">
            <v>C.2.5.2.14</v>
          </cell>
          <cell r="K314" t="str">
            <v>Psiquiatría</v>
          </cell>
          <cell r="L314">
            <v>2</v>
          </cell>
          <cell r="M314">
            <v>46015</v>
          </cell>
          <cell r="N314">
            <v>46017</v>
          </cell>
          <cell r="O314">
            <v>1</v>
          </cell>
          <cell r="P314">
            <v>46020</v>
          </cell>
          <cell r="Q314">
            <v>5</v>
          </cell>
          <cell r="R314" t="str">
            <v>NA</v>
          </cell>
          <cell r="S314">
            <v>5</v>
          </cell>
        </row>
        <row r="315">
          <cell r="B315" t="str">
            <v>EMMC</v>
          </cell>
          <cell r="C315" t="str">
            <v>HSLB10296</v>
          </cell>
          <cell r="D315">
            <v>103007</v>
          </cell>
          <cell r="E315" t="str">
            <v>Batidora Eléctrica</v>
          </cell>
          <cell r="F315" t="str">
            <v>NO</v>
          </cell>
          <cell r="G315" t="str">
            <v>NO</v>
          </cell>
          <cell r="H315" t="str">
            <v>ACT. DE LA VIDA DIARIA C/ KITCH Y REPOSTERO</v>
          </cell>
          <cell r="I315">
            <v>1</v>
          </cell>
          <cell r="J315" t="str">
            <v>C.2.5.4.18</v>
          </cell>
          <cell r="K315" t="str">
            <v>Psiquiatría</v>
          </cell>
          <cell r="L315">
            <v>2</v>
          </cell>
          <cell r="M315">
            <v>46015</v>
          </cell>
          <cell r="N315">
            <v>46017</v>
          </cell>
          <cell r="O315">
            <v>1</v>
          </cell>
          <cell r="P315">
            <v>46020</v>
          </cell>
          <cell r="Q315">
            <v>5</v>
          </cell>
          <cell r="R315" t="str">
            <v>NA</v>
          </cell>
          <cell r="S315">
            <v>5</v>
          </cell>
        </row>
        <row r="316">
          <cell r="B316" t="str">
            <v>EMMC</v>
          </cell>
          <cell r="C316" t="str">
            <v>HSLB10297</v>
          </cell>
          <cell r="D316">
            <v>103008</v>
          </cell>
          <cell r="E316" t="str">
            <v>Batidora Industrial 20 l</v>
          </cell>
          <cell r="F316" t="str">
            <v>NO</v>
          </cell>
          <cell r="G316" t="str">
            <v>NO</v>
          </cell>
          <cell r="H316" t="str">
            <v>ZONA COCINA SEMI-INDUSTRIAL</v>
          </cell>
          <cell r="I316">
            <v>1</v>
          </cell>
          <cell r="J316" t="str">
            <v>C.5.8.2.26</v>
          </cell>
          <cell r="K316" t="str">
            <v xml:space="preserve">Central de Alimentación </v>
          </cell>
          <cell r="L316">
            <v>2</v>
          </cell>
          <cell r="M316">
            <v>46003</v>
          </cell>
          <cell r="N316">
            <v>46006</v>
          </cell>
          <cell r="O316">
            <v>1</v>
          </cell>
          <cell r="P316">
            <v>46007</v>
          </cell>
          <cell r="Q316">
            <v>5</v>
          </cell>
          <cell r="R316" t="str">
            <v>NA</v>
          </cell>
          <cell r="S316">
            <v>5</v>
          </cell>
        </row>
        <row r="317">
          <cell r="B317" t="str">
            <v>EMMC</v>
          </cell>
          <cell r="C317" t="str">
            <v>HSLB10299</v>
          </cell>
          <cell r="D317">
            <v>103009</v>
          </cell>
          <cell r="E317" t="str">
            <v>Batidora Industrial 60 l</v>
          </cell>
          <cell r="F317" t="str">
            <v>NO</v>
          </cell>
          <cell r="G317" t="str">
            <v>NO</v>
          </cell>
          <cell r="H317" t="str">
            <v>ZONA COCINA SEMI-INDUSTRIAL</v>
          </cell>
          <cell r="I317">
            <v>1</v>
          </cell>
          <cell r="J317" t="str">
            <v>C.5.8.2.26</v>
          </cell>
          <cell r="K317" t="str">
            <v xml:space="preserve">Central de Alimentación </v>
          </cell>
          <cell r="L317">
            <v>2</v>
          </cell>
          <cell r="M317">
            <v>46003</v>
          </cell>
          <cell r="N317">
            <v>46006</v>
          </cell>
          <cell r="O317">
            <v>1</v>
          </cell>
          <cell r="P317">
            <v>46007</v>
          </cell>
          <cell r="Q317">
            <v>5</v>
          </cell>
          <cell r="R317" t="str">
            <v>NA</v>
          </cell>
          <cell r="S317">
            <v>5</v>
          </cell>
        </row>
        <row r="318">
          <cell r="B318" t="str">
            <v>EMMC</v>
          </cell>
          <cell r="C318" t="str">
            <v>HSLB10060</v>
          </cell>
          <cell r="D318">
            <v>101014</v>
          </cell>
          <cell r="E318" t="str">
            <v>Biómetro Óptico</v>
          </cell>
          <cell r="F318" t="str">
            <v>NO</v>
          </cell>
          <cell r="G318" t="str">
            <v>NO</v>
          </cell>
          <cell r="H318" t="str">
            <v>SALA DE PROCEDIMIENTOS OFTALMO SIMPLE</v>
          </cell>
          <cell r="I318">
            <v>1</v>
          </cell>
          <cell r="J318" t="str">
            <v>C.2.2.3.6</v>
          </cell>
          <cell r="K318" t="str">
            <v>Consultas Medicas Especialidades</v>
          </cell>
          <cell r="L318">
            <v>2</v>
          </cell>
          <cell r="M318">
            <v>46038</v>
          </cell>
          <cell r="N318">
            <v>46041</v>
          </cell>
          <cell r="O318">
            <v>1</v>
          </cell>
          <cell r="P318">
            <v>46042</v>
          </cell>
          <cell r="Q318">
            <v>5</v>
          </cell>
          <cell r="R318" t="str">
            <v>NA</v>
          </cell>
          <cell r="S318">
            <v>5</v>
          </cell>
        </row>
        <row r="319">
          <cell r="B319" t="str">
            <v>EMMC</v>
          </cell>
          <cell r="C319" t="str">
            <v>HSLB11815</v>
          </cell>
          <cell r="D319">
            <v>112022</v>
          </cell>
          <cell r="E319" t="str">
            <v>Carro de Paro</v>
          </cell>
          <cell r="F319" t="str">
            <v>NO</v>
          </cell>
          <cell r="G319" t="str">
            <v>NO</v>
          </cell>
          <cell r="H319" t="str">
            <v>SALA DE PROCEDIMIENTO</v>
          </cell>
          <cell r="I319">
            <v>1</v>
          </cell>
          <cell r="J319" t="str">
            <v>C.2.5.4.13</v>
          </cell>
          <cell r="K319" t="str">
            <v>Psiquiatría</v>
          </cell>
          <cell r="L319">
            <v>2</v>
          </cell>
          <cell r="M319">
            <v>46015</v>
          </cell>
          <cell r="N319">
            <v>46017</v>
          </cell>
          <cell r="O319">
            <v>1</v>
          </cell>
          <cell r="P319">
            <v>46020</v>
          </cell>
          <cell r="Q319">
            <v>5</v>
          </cell>
          <cell r="R319" t="str">
            <v>NA</v>
          </cell>
          <cell r="S319">
            <v>5</v>
          </cell>
        </row>
        <row r="320">
          <cell r="B320" t="str">
            <v>EMMC</v>
          </cell>
          <cell r="C320" t="str">
            <v>HSLB10072</v>
          </cell>
          <cell r="D320">
            <v>101023</v>
          </cell>
          <cell r="E320" t="str">
            <v>DETECTOR DE LATIDOS CARDIOFETALES</v>
          </cell>
          <cell r="F320" t="str">
            <v>NO</v>
          </cell>
          <cell r="G320" t="str">
            <v>NO</v>
          </cell>
          <cell r="H320" t="str">
            <v>BOX MATRONA C/BAÑO</v>
          </cell>
          <cell r="I320">
            <v>1</v>
          </cell>
          <cell r="J320" t="str">
            <v>C.2.2.2.10</v>
          </cell>
          <cell r="K320" t="str">
            <v>Consultas Medicas Generales</v>
          </cell>
          <cell r="L320">
            <v>2</v>
          </cell>
          <cell r="M320">
            <v>46036</v>
          </cell>
          <cell r="N320">
            <v>46037</v>
          </cell>
          <cell r="O320">
            <v>1</v>
          </cell>
          <cell r="P320">
            <v>46038</v>
          </cell>
          <cell r="Q320">
            <v>5</v>
          </cell>
          <cell r="R320" t="str">
            <v>NA</v>
          </cell>
          <cell r="S320">
            <v>5</v>
          </cell>
        </row>
        <row r="321">
          <cell r="B321" t="str">
            <v>EMMC</v>
          </cell>
          <cell r="C321" t="str">
            <v>HSLB10073</v>
          </cell>
          <cell r="D321">
            <v>101023</v>
          </cell>
          <cell r="E321" t="str">
            <v>DETECTOR DE LATIDOS CARDIOFETALES</v>
          </cell>
          <cell r="F321" t="str">
            <v>NO</v>
          </cell>
          <cell r="G321" t="str">
            <v>NO</v>
          </cell>
          <cell r="H321" t="str">
            <v>BOX OBSTETRICIA C/BAÑO</v>
          </cell>
          <cell r="I321">
            <v>1</v>
          </cell>
          <cell r="J321" t="str">
            <v>C.2.2.2.9</v>
          </cell>
          <cell r="K321" t="str">
            <v>Consultas Medicas Generales</v>
          </cell>
          <cell r="L321">
            <v>2</v>
          </cell>
          <cell r="M321">
            <v>46036</v>
          </cell>
          <cell r="N321">
            <v>46037</v>
          </cell>
          <cell r="O321">
            <v>1</v>
          </cell>
          <cell r="P321">
            <v>46038</v>
          </cell>
          <cell r="Q321">
            <v>5</v>
          </cell>
          <cell r="R321" t="str">
            <v>NA</v>
          </cell>
          <cell r="S321">
            <v>5</v>
          </cell>
        </row>
        <row r="322">
          <cell r="B322" t="str">
            <v>EMMC</v>
          </cell>
          <cell r="C322" t="str">
            <v>HSLB10180</v>
          </cell>
          <cell r="D322">
            <v>101047</v>
          </cell>
          <cell r="E322" t="str">
            <v>MICROSCOPIO OTORRINO CONSULTA</v>
          </cell>
          <cell r="F322" t="str">
            <v>NO</v>
          </cell>
          <cell r="G322" t="str">
            <v>NO</v>
          </cell>
          <cell r="H322" t="str">
            <v>BOX CARDIO OTORRINO</v>
          </cell>
          <cell r="I322">
            <v>1</v>
          </cell>
          <cell r="J322" t="str">
            <v>C.2.2.3.3</v>
          </cell>
          <cell r="K322" t="str">
            <v>Consultas Medicas Especialidades</v>
          </cell>
          <cell r="L322">
            <v>2</v>
          </cell>
          <cell r="M322">
            <v>46038</v>
          </cell>
          <cell r="N322">
            <v>46041</v>
          </cell>
          <cell r="O322">
            <v>1</v>
          </cell>
          <cell r="P322">
            <v>46042</v>
          </cell>
          <cell r="Q322">
            <v>5</v>
          </cell>
          <cell r="R322" t="str">
            <v>NA</v>
          </cell>
          <cell r="S322">
            <v>5</v>
          </cell>
        </row>
        <row r="323">
          <cell r="B323" t="str">
            <v>EMMC</v>
          </cell>
          <cell r="C323" t="str">
            <v>HSLB10239</v>
          </cell>
          <cell r="D323">
            <v>101057</v>
          </cell>
          <cell r="E323" t="str">
            <v>Paquímetro</v>
          </cell>
          <cell r="F323" t="str">
            <v>NO</v>
          </cell>
          <cell r="G323" t="str">
            <v>NO</v>
          </cell>
          <cell r="H323" t="str">
            <v>SALA DE PROCEDIMIENTOS OFTALMO SIMPLE</v>
          </cell>
          <cell r="I323">
            <v>1</v>
          </cell>
          <cell r="J323" t="str">
            <v>C.2.2.3.6</v>
          </cell>
          <cell r="K323" t="str">
            <v>Consultas Medicas Especialidades</v>
          </cell>
          <cell r="L323">
            <v>2</v>
          </cell>
          <cell r="M323">
            <v>46038</v>
          </cell>
          <cell r="N323">
            <v>46041</v>
          </cell>
          <cell r="O323">
            <v>1</v>
          </cell>
          <cell r="P323">
            <v>46042</v>
          </cell>
          <cell r="Q323">
            <v>5</v>
          </cell>
          <cell r="R323" t="str">
            <v>NA</v>
          </cell>
          <cell r="S323">
            <v>5</v>
          </cell>
        </row>
        <row r="324">
          <cell r="B324" t="str">
            <v>EMMC</v>
          </cell>
          <cell r="C324" t="str">
            <v>HSLB10252</v>
          </cell>
          <cell r="D324">
            <v>101062</v>
          </cell>
          <cell r="E324" t="str">
            <v>Sistema Holter ECG</v>
          </cell>
          <cell r="F324" t="str">
            <v>NO</v>
          </cell>
          <cell r="G324" t="str">
            <v>NO</v>
          </cell>
          <cell r="H324" t="str">
            <v>SALA DE PROCEDIMIENTOS CARDIOLÓGICOS</v>
          </cell>
          <cell r="I324">
            <v>1</v>
          </cell>
          <cell r="J324" t="str">
            <v>C.2.2.3.13</v>
          </cell>
          <cell r="K324" t="str">
            <v>Consultas Medicas Especialidades</v>
          </cell>
          <cell r="L324">
            <v>2</v>
          </cell>
          <cell r="M324">
            <v>46038</v>
          </cell>
          <cell r="N324">
            <v>46041</v>
          </cell>
          <cell r="O324">
            <v>1</v>
          </cell>
          <cell r="P324">
            <v>46042</v>
          </cell>
          <cell r="Q324">
            <v>5</v>
          </cell>
          <cell r="R324" t="str">
            <v>NA</v>
          </cell>
          <cell r="S324">
            <v>5</v>
          </cell>
        </row>
        <row r="325">
          <cell r="B325" t="str">
            <v>EMMC</v>
          </cell>
          <cell r="C325" t="str">
            <v>HSLB10253</v>
          </cell>
          <cell r="D325">
            <v>101063</v>
          </cell>
          <cell r="E325" t="str">
            <v>Sistema Holter Presión</v>
          </cell>
          <cell r="F325" t="str">
            <v>NO</v>
          </cell>
          <cell r="G325" t="str">
            <v>NO</v>
          </cell>
          <cell r="H325" t="str">
            <v>SALA DE PROCEDIMIENTOS CARDIOLÓGICOS</v>
          </cell>
          <cell r="I325">
            <v>1</v>
          </cell>
          <cell r="J325" t="str">
            <v>C.2.2.3.13</v>
          </cell>
          <cell r="K325" t="str">
            <v>Consultas Medicas Especialidades</v>
          </cell>
          <cell r="L325">
            <v>2</v>
          </cell>
          <cell r="M325">
            <v>46038</v>
          </cell>
          <cell r="N325">
            <v>46041</v>
          </cell>
          <cell r="O325">
            <v>1</v>
          </cell>
          <cell r="P325">
            <v>46042</v>
          </cell>
          <cell r="Q325">
            <v>5</v>
          </cell>
          <cell r="R325" t="str">
            <v>NA</v>
          </cell>
          <cell r="S325">
            <v>5</v>
          </cell>
        </row>
        <row r="326">
          <cell r="B326" t="str">
            <v>EMMC</v>
          </cell>
          <cell r="C326" t="str">
            <v>HSLB10258</v>
          </cell>
          <cell r="D326">
            <v>101067</v>
          </cell>
          <cell r="E326" t="str">
            <v>Topógrafo corneal</v>
          </cell>
          <cell r="F326" t="str">
            <v>NO</v>
          </cell>
          <cell r="G326" t="str">
            <v>NO</v>
          </cell>
          <cell r="H326" t="str">
            <v>SALA DE PROCEDIMIENTOS OFTALMO COMPLEJO</v>
          </cell>
          <cell r="I326">
            <v>1</v>
          </cell>
          <cell r="J326" t="str">
            <v>C.2.2.3.7</v>
          </cell>
          <cell r="K326" t="str">
            <v>Consultas Medicas Especialidades</v>
          </cell>
          <cell r="L326">
            <v>2</v>
          </cell>
          <cell r="M326">
            <v>46038</v>
          </cell>
          <cell r="N326">
            <v>46041</v>
          </cell>
          <cell r="O326">
            <v>1</v>
          </cell>
          <cell r="P326">
            <v>46042</v>
          </cell>
          <cell r="Q326">
            <v>5</v>
          </cell>
          <cell r="R326" t="str">
            <v>NA</v>
          </cell>
          <cell r="S326">
            <v>5</v>
          </cell>
        </row>
        <row r="327">
          <cell r="B327" t="str">
            <v>EMMC</v>
          </cell>
          <cell r="C327" t="str">
            <v>HSLB12897</v>
          </cell>
          <cell r="D327">
            <v>114011</v>
          </cell>
          <cell r="E327" t="str">
            <v>Ultrasonido Dental</v>
          </cell>
          <cell r="F327" t="str">
            <v>NO</v>
          </cell>
          <cell r="G327" t="str">
            <v>NO</v>
          </cell>
          <cell r="H327" t="str">
            <v>BOX DENTAL POLIFUNCIONAL(4)</v>
          </cell>
          <cell r="I327">
            <v>1</v>
          </cell>
          <cell r="J327" t="str">
            <v>C.2.2.4.7.4</v>
          </cell>
          <cell r="K327" t="str">
            <v>Odontología</v>
          </cell>
          <cell r="L327">
            <v>2</v>
          </cell>
          <cell r="M327">
            <v>46010</v>
          </cell>
          <cell r="N327">
            <v>46013</v>
          </cell>
          <cell r="O327">
            <v>1</v>
          </cell>
          <cell r="P327">
            <v>46014</v>
          </cell>
          <cell r="Q327">
            <v>5</v>
          </cell>
          <cell r="R327" t="str">
            <v>NA</v>
          </cell>
          <cell r="S327">
            <v>5</v>
          </cell>
        </row>
        <row r="328">
          <cell r="B328" t="str">
            <v>EMMC</v>
          </cell>
          <cell r="C328" t="str">
            <v>HSLB12879</v>
          </cell>
          <cell r="D328">
            <v>114002</v>
          </cell>
          <cell r="E328" t="str">
            <v>Kit de Mecheros de Vidrio</v>
          </cell>
          <cell r="F328" t="str">
            <v>NO</v>
          </cell>
          <cell r="G328" t="str">
            <v>NO</v>
          </cell>
          <cell r="H328" t="str">
            <v>BOX DENTAL POLIFUNCIONAL(2)</v>
          </cell>
          <cell r="I328">
            <v>2</v>
          </cell>
          <cell r="J328" t="str">
            <v>C.2.2.4.7.2</v>
          </cell>
          <cell r="K328" t="str">
            <v>Odontología</v>
          </cell>
          <cell r="L328">
            <v>2</v>
          </cell>
          <cell r="M328">
            <v>46010</v>
          </cell>
          <cell r="N328">
            <v>46013</v>
          </cell>
          <cell r="O328">
            <v>1</v>
          </cell>
          <cell r="P328">
            <v>46014</v>
          </cell>
          <cell r="Q328">
            <v>5</v>
          </cell>
          <cell r="R328" t="str">
            <v>NA</v>
          </cell>
          <cell r="S328">
            <v>5</v>
          </cell>
        </row>
        <row r="329">
          <cell r="B329" t="str">
            <v>EMMC</v>
          </cell>
          <cell r="C329" t="str">
            <v>HSLB12369</v>
          </cell>
          <cell r="D329">
            <v>112068</v>
          </cell>
          <cell r="E329" t="str">
            <v>Piso Taburete Clínico</v>
          </cell>
          <cell r="F329" t="str">
            <v>NO</v>
          </cell>
          <cell r="G329" t="str">
            <v>NO</v>
          </cell>
          <cell r="H329" t="str">
            <v>BOX DENTAL POLIFUNCIONAL(1)</v>
          </cell>
          <cell r="I329">
            <v>0</v>
          </cell>
          <cell r="J329" t="str">
            <v>C.2.2.4.7.1</v>
          </cell>
          <cell r="K329" t="str">
            <v>Odontología</v>
          </cell>
          <cell r="L329">
            <v>2</v>
          </cell>
          <cell r="M329">
            <v>46010</v>
          </cell>
          <cell r="N329">
            <v>46013</v>
          </cell>
          <cell r="O329">
            <v>1</v>
          </cell>
          <cell r="P329">
            <v>46014</v>
          </cell>
          <cell r="Q329">
            <v>5</v>
          </cell>
          <cell r="R329" t="str">
            <v>NA</v>
          </cell>
          <cell r="S329">
            <v>5</v>
          </cell>
        </row>
        <row r="330">
          <cell r="B330" t="str">
            <v>EMMC</v>
          </cell>
          <cell r="C330" t="str">
            <v>HSLB12370</v>
          </cell>
          <cell r="D330">
            <v>112068</v>
          </cell>
          <cell r="E330" t="str">
            <v>Piso Taburete Clínico</v>
          </cell>
          <cell r="F330" t="str">
            <v>NO</v>
          </cell>
          <cell r="G330" t="str">
            <v>NO</v>
          </cell>
          <cell r="H330" t="str">
            <v>BOX DENTAL POLIFUNCIONAL(2)</v>
          </cell>
          <cell r="I330">
            <v>0</v>
          </cell>
          <cell r="J330" t="str">
            <v>C.2.2.4.7.2</v>
          </cell>
          <cell r="K330" t="str">
            <v>Odontología</v>
          </cell>
          <cell r="L330">
            <v>2</v>
          </cell>
          <cell r="M330">
            <v>46010</v>
          </cell>
          <cell r="N330">
            <v>46013</v>
          </cell>
          <cell r="O330">
            <v>1</v>
          </cell>
          <cell r="P330">
            <v>46014</v>
          </cell>
          <cell r="Q330">
            <v>5</v>
          </cell>
          <cell r="R330" t="str">
            <v>NA</v>
          </cell>
          <cell r="S330">
            <v>5</v>
          </cell>
        </row>
        <row r="331">
          <cell r="B331" t="str">
            <v>EMMC</v>
          </cell>
          <cell r="C331" t="str">
            <v>HSLB12880</v>
          </cell>
          <cell r="D331">
            <v>114003</v>
          </cell>
          <cell r="E331" t="str">
            <v>Lámpara de Fotocurado</v>
          </cell>
          <cell r="F331" t="str">
            <v>NO</v>
          </cell>
          <cell r="G331" t="str">
            <v>NO</v>
          </cell>
          <cell r="H331" t="str">
            <v>BOX DENTAL POLIFUNCIONAL(1)</v>
          </cell>
          <cell r="I331">
            <v>1</v>
          </cell>
          <cell r="J331" t="str">
            <v>C.2.2.4.7.1</v>
          </cell>
          <cell r="K331" t="str">
            <v>Odontología</v>
          </cell>
          <cell r="L331">
            <v>2</v>
          </cell>
          <cell r="M331">
            <v>46010</v>
          </cell>
          <cell r="N331">
            <v>46013</v>
          </cell>
          <cell r="O331">
            <v>1</v>
          </cell>
          <cell r="P331">
            <v>46014</v>
          </cell>
          <cell r="Q331">
            <v>5</v>
          </cell>
          <cell r="R331" t="str">
            <v>NA</v>
          </cell>
          <cell r="S331">
            <v>5</v>
          </cell>
        </row>
        <row r="332">
          <cell r="B332" t="str">
            <v>EMMC</v>
          </cell>
          <cell r="C332" t="str">
            <v>HSLB12881</v>
          </cell>
          <cell r="D332">
            <v>114003</v>
          </cell>
          <cell r="E332" t="str">
            <v>Lámpara de Fotocurado</v>
          </cell>
          <cell r="F332" t="str">
            <v>NO</v>
          </cell>
          <cell r="G332" t="str">
            <v>NO</v>
          </cell>
          <cell r="H332" t="str">
            <v>BOX DENTAL POLIFUNCIONAL(2)</v>
          </cell>
          <cell r="I332">
            <v>1</v>
          </cell>
          <cell r="J332" t="str">
            <v>C.2.2.4.7.2</v>
          </cell>
          <cell r="K332" t="str">
            <v>Odontología</v>
          </cell>
          <cell r="L332">
            <v>2</v>
          </cell>
          <cell r="M332">
            <v>46010</v>
          </cell>
          <cell r="N332">
            <v>46013</v>
          </cell>
          <cell r="O332">
            <v>1</v>
          </cell>
          <cell r="P332">
            <v>46014</v>
          </cell>
          <cell r="Q332">
            <v>5</v>
          </cell>
          <cell r="R332" t="str">
            <v>NA</v>
          </cell>
          <cell r="S332">
            <v>5</v>
          </cell>
        </row>
        <row r="333">
          <cell r="B333" t="str">
            <v>EMMC</v>
          </cell>
          <cell r="C333" t="str">
            <v>HSLB12893</v>
          </cell>
          <cell r="D333">
            <v>114010</v>
          </cell>
          <cell r="E333" t="str">
            <v>Sistema de Irrigación para Endodoncia</v>
          </cell>
          <cell r="F333" t="str">
            <v>NO</v>
          </cell>
          <cell r="G333" t="str">
            <v>NO</v>
          </cell>
          <cell r="H333" t="str">
            <v>BOX DENTAL POLIFUNCIONAL(2)</v>
          </cell>
          <cell r="I333">
            <v>1</v>
          </cell>
          <cell r="J333" t="str">
            <v>C.2.2.4.7.2</v>
          </cell>
          <cell r="K333" t="str">
            <v>Odontología</v>
          </cell>
          <cell r="L333">
            <v>2</v>
          </cell>
          <cell r="M333">
            <v>46010</v>
          </cell>
          <cell r="N333">
            <v>46013</v>
          </cell>
          <cell r="O333">
            <v>1</v>
          </cell>
          <cell r="P333">
            <v>46014</v>
          </cell>
          <cell r="Q333">
            <v>5</v>
          </cell>
          <cell r="R333" t="str">
            <v>NA</v>
          </cell>
          <cell r="S333">
            <v>5</v>
          </cell>
        </row>
        <row r="334">
          <cell r="B334" t="str">
            <v>EMMC</v>
          </cell>
          <cell r="C334" t="str">
            <v>HSLB12898</v>
          </cell>
          <cell r="D334">
            <v>114011</v>
          </cell>
          <cell r="E334" t="str">
            <v>Ultrasonido Dental</v>
          </cell>
          <cell r="F334" t="str">
            <v>NO</v>
          </cell>
          <cell r="G334" t="str">
            <v>NO</v>
          </cell>
          <cell r="H334" t="str">
            <v>BOX DENTAL POLIFUNCIONAL(5)</v>
          </cell>
          <cell r="I334">
            <v>1</v>
          </cell>
          <cell r="J334" t="str">
            <v>C.2.2.4.7.5</v>
          </cell>
          <cell r="K334" t="str">
            <v>Odontología</v>
          </cell>
          <cell r="L334">
            <v>2</v>
          </cell>
          <cell r="M334">
            <v>46010</v>
          </cell>
          <cell r="N334">
            <v>46013</v>
          </cell>
          <cell r="O334">
            <v>1</v>
          </cell>
          <cell r="P334">
            <v>46014</v>
          </cell>
          <cell r="Q334">
            <v>5</v>
          </cell>
          <cell r="R334" t="str">
            <v>NA</v>
          </cell>
          <cell r="S334">
            <v>5</v>
          </cell>
        </row>
        <row r="335">
          <cell r="B335" t="str">
            <v>EMMC</v>
          </cell>
          <cell r="C335" t="str">
            <v>HSLB10287</v>
          </cell>
          <cell r="D335">
            <v>103002</v>
          </cell>
          <cell r="E335" t="str">
            <v>Abridor de Latas</v>
          </cell>
          <cell r="F335" t="str">
            <v>NO</v>
          </cell>
          <cell r="G335" t="str">
            <v>NO</v>
          </cell>
          <cell r="H335" t="str">
            <v>ÁREA ARMADO DESAYUNOS, POSTRES Y COLACIONES</v>
          </cell>
          <cell r="I335">
            <v>1</v>
          </cell>
          <cell r="J335" t="str">
            <v>C.5.8.2.31</v>
          </cell>
          <cell r="K335" t="str">
            <v xml:space="preserve">Central de Alimentación </v>
          </cell>
          <cell r="L335">
            <v>2</v>
          </cell>
          <cell r="M335">
            <v>46003</v>
          </cell>
          <cell r="N335">
            <v>46006</v>
          </cell>
          <cell r="O335">
            <v>1</v>
          </cell>
          <cell r="P335">
            <v>46008</v>
          </cell>
          <cell r="Q335">
            <v>5</v>
          </cell>
          <cell r="R335" t="str">
            <v>NA</v>
          </cell>
          <cell r="S335">
            <v>5</v>
          </cell>
        </row>
        <row r="336">
          <cell r="B336" t="str">
            <v>EMMC</v>
          </cell>
          <cell r="C336" t="str">
            <v>HSLB10288</v>
          </cell>
          <cell r="D336">
            <v>103003</v>
          </cell>
          <cell r="E336" t="str">
            <v>Balanza Digital 20 kg</v>
          </cell>
          <cell r="F336" t="str">
            <v>NO</v>
          </cell>
          <cell r="G336" t="str">
            <v>SI</v>
          </cell>
          <cell r="H336" t="str">
            <v>BODEGA DIARIA ALIMENTOS NO PERECIBLES (ABARROTES)</v>
          </cell>
          <cell r="I336">
            <v>1</v>
          </cell>
          <cell r="J336" t="str">
            <v>C.5.8.2.14</v>
          </cell>
          <cell r="K336" t="str">
            <v xml:space="preserve">Central de Alimentación </v>
          </cell>
          <cell r="L336">
            <v>2</v>
          </cell>
          <cell r="M336">
            <v>46003</v>
          </cell>
          <cell r="N336">
            <v>46006</v>
          </cell>
          <cell r="O336">
            <v>1</v>
          </cell>
          <cell r="P336">
            <v>46008</v>
          </cell>
          <cell r="Q336">
            <v>5</v>
          </cell>
          <cell r="R336" t="str">
            <v>NA</v>
          </cell>
          <cell r="S336">
            <v>5</v>
          </cell>
        </row>
        <row r="337">
          <cell r="B337" t="str">
            <v>EMMC</v>
          </cell>
          <cell r="C337" t="str">
            <v>HSLB10289</v>
          </cell>
          <cell r="D337">
            <v>103003</v>
          </cell>
          <cell r="E337" t="str">
            <v>Balanza Digital 20 kg</v>
          </cell>
          <cell r="F337" t="str">
            <v>NO</v>
          </cell>
          <cell r="G337" t="str">
            <v>NO</v>
          </cell>
          <cell r="H337" t="str">
            <v>PREPARACIÓN TUBÉRCULOS Y PAPAS</v>
          </cell>
          <cell r="I337">
            <v>1</v>
          </cell>
          <cell r="J337" t="str">
            <v>C.5.8.2.21</v>
          </cell>
          <cell r="K337" t="str">
            <v xml:space="preserve">Central de Alimentación </v>
          </cell>
          <cell r="L337">
            <v>2</v>
          </cell>
          <cell r="M337">
            <v>46003</v>
          </cell>
          <cell r="N337">
            <v>46006</v>
          </cell>
          <cell r="O337">
            <v>1</v>
          </cell>
          <cell r="P337">
            <v>46008</v>
          </cell>
          <cell r="Q337">
            <v>5</v>
          </cell>
          <cell r="R337" t="str">
            <v>NA</v>
          </cell>
          <cell r="S337">
            <v>5</v>
          </cell>
        </row>
        <row r="338">
          <cell r="B338" t="str">
            <v>EMMC</v>
          </cell>
          <cell r="C338" t="str">
            <v>HSLB10290</v>
          </cell>
          <cell r="D338">
            <v>103003</v>
          </cell>
          <cell r="E338" t="str">
            <v>Balanza Digital 20 kg</v>
          </cell>
          <cell r="F338" t="str">
            <v>NO</v>
          </cell>
          <cell r="G338" t="str">
            <v>NO</v>
          </cell>
          <cell r="H338" t="str">
            <v>PREPARACIÓN DE CARNES Y PESCADOS</v>
          </cell>
          <cell r="I338">
            <v>1</v>
          </cell>
          <cell r="J338" t="str">
            <v>C.5.8.2.22</v>
          </cell>
          <cell r="K338" t="str">
            <v xml:space="preserve">Central de Alimentación </v>
          </cell>
          <cell r="L338">
            <v>2</v>
          </cell>
          <cell r="M338">
            <v>46003</v>
          </cell>
          <cell r="N338">
            <v>46006</v>
          </cell>
          <cell r="O338">
            <v>1</v>
          </cell>
          <cell r="P338">
            <v>46007</v>
          </cell>
          <cell r="Q338">
            <v>5</v>
          </cell>
          <cell r="R338" t="str">
            <v>NA</v>
          </cell>
          <cell r="S338">
            <v>5</v>
          </cell>
        </row>
        <row r="339">
          <cell r="B339" t="str">
            <v>EMMC</v>
          </cell>
          <cell r="C339" t="str">
            <v>HSLB10291</v>
          </cell>
          <cell r="D339">
            <v>103003</v>
          </cell>
          <cell r="E339" t="str">
            <v>Balanza Digital 20 kg</v>
          </cell>
          <cell r="F339" t="str">
            <v>NO</v>
          </cell>
          <cell r="G339" t="str">
            <v>NO</v>
          </cell>
          <cell r="H339" t="str">
            <v>ÁREA ARMADO DESAYUNOS, POSTRES Y COLACIONES</v>
          </cell>
          <cell r="I339">
            <v>1</v>
          </cell>
          <cell r="J339" t="str">
            <v>C.5.8.2.31</v>
          </cell>
          <cell r="K339" t="str">
            <v xml:space="preserve">Central de Alimentación </v>
          </cell>
          <cell r="L339">
            <v>2</v>
          </cell>
          <cell r="M339">
            <v>46003</v>
          </cell>
          <cell r="N339">
            <v>46006</v>
          </cell>
          <cell r="O339">
            <v>1</v>
          </cell>
          <cell r="P339">
            <v>46007</v>
          </cell>
          <cell r="Q339">
            <v>5</v>
          </cell>
          <cell r="R339" t="str">
            <v>NA</v>
          </cell>
          <cell r="S339">
            <v>5</v>
          </cell>
        </row>
        <row r="340">
          <cell r="B340" t="str">
            <v>EMMC</v>
          </cell>
          <cell r="C340" t="str">
            <v>HSLB10292</v>
          </cell>
          <cell r="D340">
            <v>103004</v>
          </cell>
          <cell r="E340" t="str">
            <v>Balanza Digital 400 kg</v>
          </cell>
          <cell r="F340" t="str">
            <v>NO</v>
          </cell>
          <cell r="G340" t="str">
            <v>NO</v>
          </cell>
          <cell r="H340" t="str">
            <v>PESAJE, REGISTRO E INSPECCIÓN</v>
          </cell>
          <cell r="I340">
            <v>1</v>
          </cell>
          <cell r="J340" t="str">
            <v>C.5.8.2.10</v>
          </cell>
          <cell r="K340" t="str">
            <v xml:space="preserve">Central de Alimentación </v>
          </cell>
          <cell r="L340">
            <v>2</v>
          </cell>
          <cell r="M340">
            <v>46003</v>
          </cell>
          <cell r="N340">
            <v>46006</v>
          </cell>
          <cell r="O340">
            <v>1</v>
          </cell>
          <cell r="P340">
            <v>46008</v>
          </cell>
          <cell r="Q340">
            <v>5</v>
          </cell>
          <cell r="R340" t="str">
            <v>NA</v>
          </cell>
          <cell r="S340">
            <v>5</v>
          </cell>
        </row>
        <row r="341">
          <cell r="B341" t="str">
            <v>EMMC</v>
          </cell>
          <cell r="C341" t="str">
            <v>HSLB10336</v>
          </cell>
          <cell r="D341">
            <v>103022</v>
          </cell>
          <cell r="E341" t="str">
            <v>Congelador Vertical 600 l</v>
          </cell>
          <cell r="F341" t="str">
            <v>NO</v>
          </cell>
          <cell r="G341" t="str">
            <v>NO</v>
          </cell>
          <cell r="H341" t="str">
            <v>AREA GUARDADO PRODUCTOS FRIOS</v>
          </cell>
          <cell r="I341">
            <v>1</v>
          </cell>
          <cell r="J341" t="str">
            <v>C.5.8.2.40</v>
          </cell>
          <cell r="K341" t="str">
            <v xml:space="preserve">Central de Alimentación </v>
          </cell>
          <cell r="L341">
            <v>2</v>
          </cell>
          <cell r="M341">
            <v>46003</v>
          </cell>
          <cell r="N341">
            <v>46006</v>
          </cell>
          <cell r="O341">
            <v>1</v>
          </cell>
          <cell r="P341">
            <v>46008</v>
          </cell>
          <cell r="Q341">
            <v>5</v>
          </cell>
          <cell r="R341" t="str">
            <v>NA</v>
          </cell>
          <cell r="S341">
            <v>5</v>
          </cell>
        </row>
        <row r="342">
          <cell r="B342" t="str">
            <v>EMMC</v>
          </cell>
          <cell r="C342" t="str">
            <v>HSLB11349</v>
          </cell>
          <cell r="D342">
            <v>110018</v>
          </cell>
          <cell r="E342" t="str">
            <v>Desblisteadora</v>
          </cell>
          <cell r="F342" t="str">
            <v>NO</v>
          </cell>
          <cell r="G342" t="str">
            <v>NO</v>
          </cell>
          <cell r="H342" t="str">
            <v>FRACCIONAMIENTO Y REENVASADO</v>
          </cell>
          <cell r="I342">
            <v>1</v>
          </cell>
          <cell r="J342" t="str">
            <v>C.5.4.11</v>
          </cell>
          <cell r="K342" t="str">
            <v>Farmacia</v>
          </cell>
          <cell r="L342">
            <v>2</v>
          </cell>
          <cell r="M342">
            <v>46038</v>
          </cell>
          <cell r="N342">
            <v>46041</v>
          </cell>
          <cell r="O342">
            <v>1</v>
          </cell>
          <cell r="P342">
            <v>46042</v>
          </cell>
          <cell r="Q342">
            <v>5</v>
          </cell>
          <cell r="R342" t="str">
            <v>NA</v>
          </cell>
          <cell r="S342">
            <v>5</v>
          </cell>
        </row>
        <row r="343">
          <cell r="B343" t="str">
            <v>EMMC</v>
          </cell>
          <cell r="C343" t="str">
            <v>HSLB10337</v>
          </cell>
          <cell r="D343">
            <v>103023</v>
          </cell>
          <cell r="E343" t="str">
            <v>Dispensador de Bebestible Doble</v>
          </cell>
          <cell r="F343" t="str">
            <v>NO</v>
          </cell>
          <cell r="G343" t="str">
            <v>SI</v>
          </cell>
          <cell r="H343" t="str">
            <v>AREA AUTOSERVICIO</v>
          </cell>
          <cell r="I343">
            <v>2</v>
          </cell>
          <cell r="J343" t="str">
            <v>E.3.4</v>
          </cell>
          <cell r="K343" t="str">
            <v>Comedor para Funcionarios y Público</v>
          </cell>
          <cell r="L343">
            <v>2</v>
          </cell>
          <cell r="M343">
            <v>46003</v>
          </cell>
          <cell r="N343">
            <v>46006</v>
          </cell>
          <cell r="O343">
            <v>1</v>
          </cell>
          <cell r="P343">
            <v>46008</v>
          </cell>
          <cell r="Q343">
            <v>5</v>
          </cell>
          <cell r="R343" t="str">
            <v>NA</v>
          </cell>
          <cell r="S343">
            <v>5</v>
          </cell>
        </row>
        <row r="344">
          <cell r="B344" t="str">
            <v>EMMC</v>
          </cell>
          <cell r="C344" t="str">
            <v>HSLB11324</v>
          </cell>
          <cell r="D344">
            <v>110002</v>
          </cell>
          <cell r="E344" t="str">
            <v>Agitador Magnético</v>
          </cell>
          <cell r="F344" t="str">
            <v>NO</v>
          </cell>
          <cell r="G344" t="str">
            <v>NO</v>
          </cell>
          <cell r="H344" t="str">
            <v>LÍQUIDOS</v>
          </cell>
          <cell r="I344">
            <v>1</v>
          </cell>
          <cell r="J344" t="str">
            <v>C.5.4.13</v>
          </cell>
          <cell r="K344" t="str">
            <v>Farmacia</v>
          </cell>
          <cell r="L344">
            <v>2</v>
          </cell>
          <cell r="M344">
            <v>46038</v>
          </cell>
          <cell r="N344">
            <v>46041</v>
          </cell>
          <cell r="O344">
            <v>1</v>
          </cell>
          <cell r="P344">
            <v>46042</v>
          </cell>
          <cell r="Q344">
            <v>5</v>
          </cell>
          <cell r="R344" t="str">
            <v>NA</v>
          </cell>
          <cell r="S344">
            <v>5</v>
          </cell>
        </row>
        <row r="345">
          <cell r="B345" t="str">
            <v>EMMC</v>
          </cell>
          <cell r="C345" t="str">
            <v>HSLB11330</v>
          </cell>
          <cell r="D345">
            <v>110006</v>
          </cell>
          <cell r="E345" t="str">
            <v>Balanza Analítica</v>
          </cell>
          <cell r="F345" t="str">
            <v>NO</v>
          </cell>
          <cell r="G345" t="str">
            <v>NO</v>
          </cell>
          <cell r="H345" t="str">
            <v>SOLIDOS</v>
          </cell>
          <cell r="I345">
            <v>1</v>
          </cell>
          <cell r="J345" t="str">
            <v>C.5.4.12</v>
          </cell>
          <cell r="K345" t="str">
            <v>Farmacia</v>
          </cell>
          <cell r="L345">
            <v>2</v>
          </cell>
          <cell r="M345">
            <v>46038</v>
          </cell>
          <cell r="N345">
            <v>46041</v>
          </cell>
          <cell r="O345">
            <v>1</v>
          </cell>
          <cell r="P345">
            <v>46042</v>
          </cell>
          <cell r="Q345">
            <v>5</v>
          </cell>
          <cell r="R345" t="str">
            <v>NA</v>
          </cell>
          <cell r="S345">
            <v>5</v>
          </cell>
        </row>
        <row r="346">
          <cell r="B346" t="str">
            <v>EMMC</v>
          </cell>
          <cell r="C346" t="str">
            <v>HSLB11331</v>
          </cell>
          <cell r="D346">
            <v>110006</v>
          </cell>
          <cell r="E346" t="str">
            <v>Balanza Analítica</v>
          </cell>
          <cell r="F346" t="str">
            <v>NO</v>
          </cell>
          <cell r="G346" t="str">
            <v>NO</v>
          </cell>
          <cell r="H346" t="str">
            <v>LÍQUIDOS</v>
          </cell>
          <cell r="I346">
            <v>0</v>
          </cell>
          <cell r="J346" t="str">
            <v>C.5.4.13</v>
          </cell>
          <cell r="K346" t="str">
            <v>Farmacia</v>
          </cell>
          <cell r="L346">
            <v>2</v>
          </cell>
          <cell r="M346">
            <v>46038</v>
          </cell>
          <cell r="N346">
            <v>46041</v>
          </cell>
          <cell r="O346">
            <v>1</v>
          </cell>
          <cell r="P346">
            <v>46042</v>
          </cell>
          <cell r="Q346">
            <v>5</v>
          </cell>
          <cell r="R346" t="str">
            <v>NA</v>
          </cell>
          <cell r="S346">
            <v>5</v>
          </cell>
        </row>
        <row r="347">
          <cell r="B347" t="str">
            <v>EMMC</v>
          </cell>
          <cell r="C347" t="str">
            <v>HSLB11889</v>
          </cell>
          <cell r="D347">
            <v>112031</v>
          </cell>
          <cell r="E347" t="str">
            <v>Carro Nodriza Dosis Unitaria</v>
          </cell>
          <cell r="F347" t="str">
            <v>NO</v>
          </cell>
          <cell r="G347" t="str">
            <v>NO</v>
          </cell>
          <cell r="H347" t="str">
            <v>DESPACHO Y ESTACIONAMIENTO DE CARROS</v>
          </cell>
          <cell r="I347">
            <v>2</v>
          </cell>
          <cell r="J347" t="str">
            <v>C.5.4.10</v>
          </cell>
          <cell r="K347" t="str">
            <v>Farmacia</v>
          </cell>
          <cell r="L347">
            <v>2</v>
          </cell>
          <cell r="M347">
            <v>46038</v>
          </cell>
          <cell r="N347">
            <v>46041</v>
          </cell>
          <cell r="O347">
            <v>1</v>
          </cell>
          <cell r="P347">
            <v>46042</v>
          </cell>
          <cell r="Q347">
            <v>5</v>
          </cell>
          <cell r="R347" t="str">
            <v>NA</v>
          </cell>
          <cell r="S347">
            <v>5</v>
          </cell>
        </row>
        <row r="348">
          <cell r="B348" t="str">
            <v>EMMC</v>
          </cell>
          <cell r="C348" t="str">
            <v>HSLB10306</v>
          </cell>
          <cell r="D348">
            <v>103015</v>
          </cell>
          <cell r="E348" t="str">
            <v>Carro Térmico</v>
          </cell>
          <cell r="F348" t="str">
            <v>NO</v>
          </cell>
          <cell r="G348" t="str">
            <v>NO</v>
          </cell>
          <cell r="H348" t="str">
            <v>ZONA DE CARRO DE TRANSPORTE</v>
          </cell>
          <cell r="I348">
            <v>6</v>
          </cell>
          <cell r="J348" t="str">
            <v>C.5.8.2.38</v>
          </cell>
          <cell r="K348" t="str">
            <v xml:space="preserve">Central de Alimentación </v>
          </cell>
          <cell r="L348">
            <v>2</v>
          </cell>
          <cell r="M348">
            <v>46003</v>
          </cell>
          <cell r="N348">
            <v>46006</v>
          </cell>
          <cell r="O348">
            <v>1</v>
          </cell>
          <cell r="P348">
            <v>46007</v>
          </cell>
          <cell r="Q348">
            <v>5</v>
          </cell>
          <cell r="R348" t="str">
            <v>NA</v>
          </cell>
          <cell r="S348">
            <v>5</v>
          </cell>
        </row>
        <row r="349">
          <cell r="B349" t="str">
            <v>EMMC</v>
          </cell>
          <cell r="C349" t="str">
            <v>HSLB11927</v>
          </cell>
          <cell r="D349">
            <v>112043</v>
          </cell>
          <cell r="E349" t="str">
            <v>Carro Utilitario Grande 2 niveles</v>
          </cell>
          <cell r="F349" t="str">
            <v>NO</v>
          </cell>
          <cell r="G349" t="str">
            <v>NO</v>
          </cell>
          <cell r="H349" t="str">
            <v>BODEGA ACTIVA DE SUEROS</v>
          </cell>
          <cell r="I349">
            <v>2</v>
          </cell>
          <cell r="J349" t="str">
            <v>C.5.4.30</v>
          </cell>
          <cell r="K349" t="str">
            <v>Farmacia</v>
          </cell>
          <cell r="L349">
            <v>2</v>
          </cell>
          <cell r="M349">
            <v>46038</v>
          </cell>
          <cell r="N349">
            <v>46041</v>
          </cell>
          <cell r="O349">
            <v>1</v>
          </cell>
          <cell r="P349">
            <v>46042</v>
          </cell>
          <cell r="Q349">
            <v>5</v>
          </cell>
          <cell r="R349" t="str">
            <v>NA</v>
          </cell>
          <cell r="S349">
            <v>5</v>
          </cell>
        </row>
        <row r="350">
          <cell r="B350" t="str">
            <v>EMMC</v>
          </cell>
          <cell r="C350" t="str">
            <v>HSLB11928</v>
          </cell>
          <cell r="D350">
            <v>112044</v>
          </cell>
          <cell r="E350" t="str">
            <v>Carro Utilitario Pequeño 2 niveles</v>
          </cell>
          <cell r="F350" t="str">
            <v>NO</v>
          </cell>
          <cell r="G350" t="str">
            <v>NO</v>
          </cell>
          <cell r="H350" t="str">
            <v>BODEGA ACTIVA DE SUEROS</v>
          </cell>
          <cell r="I350">
            <v>1</v>
          </cell>
          <cell r="J350" t="str">
            <v>C.5.4.30</v>
          </cell>
          <cell r="K350" t="str">
            <v>Farmacia</v>
          </cell>
          <cell r="L350">
            <v>2</v>
          </cell>
          <cell r="M350">
            <v>46038</v>
          </cell>
          <cell r="N350">
            <v>46041</v>
          </cell>
          <cell r="O350">
            <v>1</v>
          </cell>
          <cell r="P350">
            <v>46042</v>
          </cell>
          <cell r="Q350">
            <v>5</v>
          </cell>
          <cell r="R350" t="str">
            <v>NA</v>
          </cell>
          <cell r="S350">
            <v>5</v>
          </cell>
        </row>
        <row r="351">
          <cell r="B351" t="str">
            <v>EMMC</v>
          </cell>
          <cell r="C351" t="str">
            <v>HSLB10781</v>
          </cell>
          <cell r="D351">
            <v>106007</v>
          </cell>
          <cell r="E351" t="str">
            <v>Hervidor Eléctrico</v>
          </cell>
          <cell r="F351" t="str">
            <v>NO</v>
          </cell>
          <cell r="G351" t="str">
            <v>NO</v>
          </cell>
          <cell r="H351" t="str">
            <v>KITCHENETTE</v>
          </cell>
          <cell r="I351">
            <v>1</v>
          </cell>
          <cell r="J351" t="str">
            <v>C.2.6.3</v>
          </cell>
          <cell r="K351" t="str">
            <v>Comedor para Funcionarios y Público</v>
          </cell>
          <cell r="L351">
            <v>2</v>
          </cell>
          <cell r="M351">
            <v>46003</v>
          </cell>
          <cell r="N351">
            <v>46006</v>
          </cell>
          <cell r="O351">
            <v>1</v>
          </cell>
          <cell r="P351">
            <v>46007</v>
          </cell>
          <cell r="Q351">
            <v>5</v>
          </cell>
          <cell r="R351" t="str">
            <v>NA</v>
          </cell>
          <cell r="S351">
            <v>5</v>
          </cell>
        </row>
        <row r="352">
          <cell r="B352" t="str">
            <v>EMMC</v>
          </cell>
          <cell r="C352" t="str">
            <v>HSLB10807</v>
          </cell>
          <cell r="D352">
            <v>106007</v>
          </cell>
          <cell r="E352" t="str">
            <v>Hervidor Eléctrico</v>
          </cell>
          <cell r="F352" t="str">
            <v>NO</v>
          </cell>
          <cell r="G352" t="str">
            <v>NO</v>
          </cell>
          <cell r="H352" t="str">
            <v>ESTAR PERSONAL C/ KITCHENETTE</v>
          </cell>
          <cell r="I352">
            <v>1</v>
          </cell>
          <cell r="J352" t="str">
            <v>C.5.4.20</v>
          </cell>
          <cell r="K352" t="str">
            <v>Farmacia</v>
          </cell>
          <cell r="L352">
            <v>2</v>
          </cell>
          <cell r="M352">
            <v>46038</v>
          </cell>
          <cell r="N352">
            <v>46041</v>
          </cell>
          <cell r="O352">
            <v>1</v>
          </cell>
          <cell r="P352">
            <v>46042</v>
          </cell>
          <cell r="Q352">
            <v>5</v>
          </cell>
          <cell r="R352" t="str">
            <v>NA</v>
          </cell>
          <cell r="S352">
            <v>5</v>
          </cell>
        </row>
        <row r="353">
          <cell r="B353" t="str">
            <v>EMMC</v>
          </cell>
          <cell r="C353" t="str">
            <v>HSLB10812</v>
          </cell>
          <cell r="D353">
            <v>106007</v>
          </cell>
          <cell r="E353" t="str">
            <v>Hervidor Eléctrico</v>
          </cell>
          <cell r="F353" t="str">
            <v>NO</v>
          </cell>
          <cell r="G353" t="str">
            <v>NO</v>
          </cell>
          <cell r="H353" t="str">
            <v>ESTAR PERSONAL C/ KITCHENETTE</v>
          </cell>
          <cell r="I353">
            <v>1</v>
          </cell>
          <cell r="J353" t="str">
            <v>C.5.8.2.7</v>
          </cell>
          <cell r="K353" t="str">
            <v xml:space="preserve">Central de Alimentación </v>
          </cell>
          <cell r="L353">
            <v>2</v>
          </cell>
          <cell r="M353">
            <v>46003</v>
          </cell>
          <cell r="N353">
            <v>46006</v>
          </cell>
          <cell r="O353">
            <v>1</v>
          </cell>
          <cell r="P353">
            <v>46008</v>
          </cell>
          <cell r="Q353">
            <v>5</v>
          </cell>
          <cell r="R353" t="str">
            <v>NA</v>
          </cell>
          <cell r="S353">
            <v>5</v>
          </cell>
        </row>
        <row r="354">
          <cell r="B354" t="str">
            <v>EMMC</v>
          </cell>
          <cell r="C354" t="str">
            <v>HSLB10825</v>
          </cell>
          <cell r="D354">
            <v>106007</v>
          </cell>
          <cell r="E354" t="str">
            <v>Hervidor Eléctrico</v>
          </cell>
          <cell r="F354" t="str">
            <v>NO</v>
          </cell>
          <cell r="G354" t="str">
            <v>NO</v>
          </cell>
          <cell r="H354" t="str">
            <v>SALA DE REUNIONES C/KITCHENETTE</v>
          </cell>
          <cell r="I354">
            <v>1</v>
          </cell>
          <cell r="J354" t="str">
            <v>E.5.2.1</v>
          </cell>
          <cell r="K354" t="str">
            <v>Comedor para Funcionarios y Público</v>
          </cell>
          <cell r="L354">
            <v>2</v>
          </cell>
          <cell r="M354">
            <v>46003</v>
          </cell>
          <cell r="N354">
            <v>46006</v>
          </cell>
          <cell r="O354">
            <v>1</v>
          </cell>
          <cell r="P354">
            <v>46008</v>
          </cell>
          <cell r="Q354">
            <v>5</v>
          </cell>
          <cell r="R354" t="str">
            <v>NA</v>
          </cell>
          <cell r="S354">
            <v>5</v>
          </cell>
        </row>
        <row r="355">
          <cell r="B355" t="str">
            <v>EMMC</v>
          </cell>
          <cell r="C355" t="str">
            <v>HSLB10826</v>
          </cell>
          <cell r="D355">
            <v>106007</v>
          </cell>
          <cell r="E355" t="str">
            <v>Hervidor Eléctrico</v>
          </cell>
          <cell r="F355" t="str">
            <v>NO</v>
          </cell>
          <cell r="G355" t="str">
            <v>NO</v>
          </cell>
          <cell r="H355" t="str">
            <v>SALA DE REUNIONES C/KITCHENETTE</v>
          </cell>
          <cell r="I355">
            <v>1</v>
          </cell>
          <cell r="J355" t="str">
            <v>E.5.2.2</v>
          </cell>
          <cell r="K355" t="str">
            <v>Comedor para Funcionarios y Público</v>
          </cell>
          <cell r="L355">
            <v>2</v>
          </cell>
          <cell r="M355">
            <v>46003</v>
          </cell>
          <cell r="N355">
            <v>46006</v>
          </cell>
          <cell r="O355">
            <v>1</v>
          </cell>
          <cell r="P355">
            <v>46008</v>
          </cell>
          <cell r="Q355">
            <v>5</v>
          </cell>
          <cell r="R355" t="str">
            <v>NA</v>
          </cell>
          <cell r="S355">
            <v>5</v>
          </cell>
        </row>
        <row r="356">
          <cell r="B356" t="str">
            <v>EMMC</v>
          </cell>
          <cell r="C356" t="str">
            <v>HSLB10348</v>
          </cell>
          <cell r="D356">
            <v>103026</v>
          </cell>
          <cell r="E356" t="str">
            <v>Exprimidor Eléctrico</v>
          </cell>
          <cell r="F356" t="str">
            <v>NO</v>
          </cell>
          <cell r="G356" t="str">
            <v>NO</v>
          </cell>
          <cell r="H356" t="str">
            <v>ÁREA ARMADO DESAYUNOS, POSTRES Y COLACIONES</v>
          </cell>
          <cell r="I356">
            <v>1</v>
          </cell>
          <cell r="J356" t="str">
            <v>C.5.8.2.31</v>
          </cell>
          <cell r="K356" t="str">
            <v xml:space="preserve">Central de Alimentación </v>
          </cell>
          <cell r="L356">
            <v>2</v>
          </cell>
          <cell r="M356">
            <v>46003</v>
          </cell>
          <cell r="N356">
            <v>46006</v>
          </cell>
          <cell r="O356">
            <v>1</v>
          </cell>
          <cell r="P356">
            <v>46007</v>
          </cell>
          <cell r="Q356">
            <v>5</v>
          </cell>
          <cell r="R356" t="str">
            <v>NA</v>
          </cell>
          <cell r="S356">
            <v>5</v>
          </cell>
        </row>
        <row r="357">
          <cell r="B357" t="str">
            <v>EMMC</v>
          </cell>
          <cell r="C357" t="str">
            <v>HSLB10827</v>
          </cell>
          <cell r="D357">
            <v>106007</v>
          </cell>
          <cell r="E357" t="str">
            <v>Hervidor Eléctrico</v>
          </cell>
          <cell r="F357" t="str">
            <v>NO</v>
          </cell>
          <cell r="G357" t="str">
            <v>NO</v>
          </cell>
          <cell r="H357" t="str">
            <v>SALA DE REUNIONES C/KITCHENETTE</v>
          </cell>
          <cell r="I357">
            <v>1</v>
          </cell>
          <cell r="J357" t="str">
            <v>E.5.2.3</v>
          </cell>
          <cell r="K357" t="str">
            <v>Comedor para Funcionarios y Público</v>
          </cell>
          <cell r="L357">
            <v>2</v>
          </cell>
          <cell r="M357">
            <v>46003</v>
          </cell>
          <cell r="N357">
            <v>46006</v>
          </cell>
          <cell r="O357">
            <v>1</v>
          </cell>
          <cell r="P357">
            <v>46007</v>
          </cell>
          <cell r="Q357">
            <v>5</v>
          </cell>
          <cell r="R357" t="str">
            <v>NA</v>
          </cell>
          <cell r="S357">
            <v>5</v>
          </cell>
        </row>
        <row r="358">
          <cell r="B358" t="str">
            <v>EMMC</v>
          </cell>
          <cell r="C358" t="str">
            <v>HSLB10828</v>
          </cell>
          <cell r="D358">
            <v>106007</v>
          </cell>
          <cell r="E358" t="str">
            <v>Hervidor Eléctrico</v>
          </cell>
          <cell r="F358" t="str">
            <v>NO</v>
          </cell>
          <cell r="G358" t="str">
            <v>NO</v>
          </cell>
          <cell r="H358" t="str">
            <v>SALA DE REUNIONES C/KITCHENETTE</v>
          </cell>
          <cell r="I358">
            <v>1</v>
          </cell>
          <cell r="J358" t="str">
            <v>E.5.2.4</v>
          </cell>
          <cell r="K358" t="str">
            <v>Comedor para Funcionarios y Público</v>
          </cell>
          <cell r="L358">
            <v>2</v>
          </cell>
          <cell r="M358">
            <v>46003</v>
          </cell>
          <cell r="N358">
            <v>46006</v>
          </cell>
          <cell r="O358">
            <v>1</v>
          </cell>
          <cell r="P358">
            <v>46007</v>
          </cell>
          <cell r="Q358">
            <v>5</v>
          </cell>
          <cell r="R358" t="str">
            <v>NA</v>
          </cell>
          <cell r="S358">
            <v>5</v>
          </cell>
        </row>
        <row r="359">
          <cell r="B359" t="str">
            <v>EMMC</v>
          </cell>
          <cell r="C359" t="str">
            <v>HSLB11378</v>
          </cell>
          <cell r="D359">
            <v>110032</v>
          </cell>
          <cell r="E359" t="str">
            <v>Lupa Iluminada Laboratorio</v>
          </cell>
          <cell r="F359" t="str">
            <v>NO</v>
          </cell>
          <cell r="G359" t="str">
            <v>NO</v>
          </cell>
          <cell r="H359" t="str">
            <v>SOLIDOS</v>
          </cell>
          <cell r="I359">
            <v>1</v>
          </cell>
          <cell r="J359" t="str">
            <v>C.5.4.12</v>
          </cell>
          <cell r="K359" t="str">
            <v>Farmacia</v>
          </cell>
          <cell r="L359">
            <v>2</v>
          </cell>
          <cell r="M359">
            <v>46038</v>
          </cell>
          <cell r="N359">
            <v>46041</v>
          </cell>
          <cell r="O359">
            <v>1</v>
          </cell>
          <cell r="P359">
            <v>46042</v>
          </cell>
          <cell r="Q359">
            <v>5</v>
          </cell>
          <cell r="R359" t="str">
            <v>NA</v>
          </cell>
          <cell r="S359">
            <v>5</v>
          </cell>
        </row>
        <row r="360">
          <cell r="B360" t="str">
            <v>EMMC</v>
          </cell>
          <cell r="C360" t="str">
            <v>HSLB11379</v>
          </cell>
          <cell r="D360">
            <v>110033</v>
          </cell>
          <cell r="E360" t="str">
            <v>Mechero Eléctrico</v>
          </cell>
          <cell r="F360" t="str">
            <v>NO</v>
          </cell>
          <cell r="G360" t="str">
            <v>NO</v>
          </cell>
          <cell r="H360" t="str">
            <v>LÍQUIDOS</v>
          </cell>
          <cell r="I360">
            <v>1</v>
          </cell>
          <cell r="J360" t="str">
            <v>C.5.4.13</v>
          </cell>
          <cell r="K360" t="str">
            <v>Farmacia</v>
          </cell>
          <cell r="L360">
            <v>2</v>
          </cell>
          <cell r="M360">
            <v>46038</v>
          </cell>
          <cell r="N360">
            <v>46041</v>
          </cell>
          <cell r="O360">
            <v>1</v>
          </cell>
          <cell r="P360">
            <v>46042</v>
          </cell>
          <cell r="Q360">
            <v>5</v>
          </cell>
          <cell r="R360" t="str">
            <v>NA</v>
          </cell>
          <cell r="S360">
            <v>5</v>
          </cell>
        </row>
        <row r="361">
          <cell r="B361" t="str">
            <v>EMMC</v>
          </cell>
          <cell r="C361" t="str">
            <v>HSLB11380</v>
          </cell>
          <cell r="D361">
            <v>110034</v>
          </cell>
          <cell r="E361" t="str">
            <v>Medidor de pH</v>
          </cell>
          <cell r="F361" t="str">
            <v>NO</v>
          </cell>
          <cell r="G361" t="str">
            <v>NO</v>
          </cell>
          <cell r="H361" t="str">
            <v>LÍQUIDOS</v>
          </cell>
          <cell r="I361">
            <v>1</v>
          </cell>
          <cell r="J361" t="str">
            <v>C.5.4.13</v>
          </cell>
          <cell r="K361" t="str">
            <v>Farmacia</v>
          </cell>
          <cell r="L361">
            <v>2</v>
          </cell>
          <cell r="M361">
            <v>46038</v>
          </cell>
          <cell r="N361">
            <v>46041</v>
          </cell>
          <cell r="O361">
            <v>1</v>
          </cell>
          <cell r="P361">
            <v>46042</v>
          </cell>
          <cell r="Q361">
            <v>5</v>
          </cell>
          <cell r="R361" t="str">
            <v>NA</v>
          </cell>
          <cell r="S361">
            <v>5</v>
          </cell>
        </row>
        <row r="362">
          <cell r="B362" t="str">
            <v>EMMC</v>
          </cell>
          <cell r="C362" t="str">
            <v>HSLB10839</v>
          </cell>
          <cell r="D362">
            <v>106010</v>
          </cell>
          <cell r="E362" t="str">
            <v>Microondas</v>
          </cell>
          <cell r="F362" t="str">
            <v>NO</v>
          </cell>
          <cell r="G362" t="str">
            <v>NO</v>
          </cell>
          <cell r="H362" t="str">
            <v>KITCHENETTE</v>
          </cell>
          <cell r="I362">
            <v>1</v>
          </cell>
          <cell r="J362" t="str">
            <v>C.2.6.3</v>
          </cell>
          <cell r="K362" t="str">
            <v>Comedor para Funcionarios y Público</v>
          </cell>
          <cell r="L362">
            <v>2</v>
          </cell>
          <cell r="M362">
            <v>46003</v>
          </cell>
          <cell r="N362">
            <v>46006</v>
          </cell>
          <cell r="O362">
            <v>1</v>
          </cell>
          <cell r="P362">
            <v>46007</v>
          </cell>
          <cell r="Q362">
            <v>5</v>
          </cell>
          <cell r="R362" t="str">
            <v>NA</v>
          </cell>
          <cell r="S362">
            <v>5</v>
          </cell>
        </row>
        <row r="363">
          <cell r="B363" t="str">
            <v>EMMC</v>
          </cell>
          <cell r="C363" t="str">
            <v>HSLB10860</v>
          </cell>
          <cell r="D363">
            <v>106010</v>
          </cell>
          <cell r="E363" t="str">
            <v>Microondas</v>
          </cell>
          <cell r="F363" t="str">
            <v>NO</v>
          </cell>
          <cell r="G363" t="str">
            <v>NO</v>
          </cell>
          <cell r="H363" t="str">
            <v>ESTAR PERSONAL C/ KITCHENETTE</v>
          </cell>
          <cell r="I363">
            <v>1</v>
          </cell>
          <cell r="J363" t="str">
            <v>C.5.4.20</v>
          </cell>
          <cell r="K363" t="str">
            <v>Farmacia</v>
          </cell>
          <cell r="L363">
            <v>2</v>
          </cell>
          <cell r="M363">
            <v>46038</v>
          </cell>
          <cell r="N363">
            <v>46041</v>
          </cell>
          <cell r="O363">
            <v>1</v>
          </cell>
          <cell r="P363">
            <v>46042</v>
          </cell>
          <cell r="Q363">
            <v>5</v>
          </cell>
          <cell r="R363" t="str">
            <v>NA</v>
          </cell>
          <cell r="S363">
            <v>5</v>
          </cell>
        </row>
        <row r="364">
          <cell r="B364" t="str">
            <v>EMMC</v>
          </cell>
          <cell r="C364" t="str">
            <v>HSLB10865</v>
          </cell>
          <cell r="D364">
            <v>106010</v>
          </cell>
          <cell r="E364" t="str">
            <v>Microondas</v>
          </cell>
          <cell r="F364" t="str">
            <v>NO</v>
          </cell>
          <cell r="G364" t="str">
            <v>NO</v>
          </cell>
          <cell r="H364" t="str">
            <v>ESTAR PERSONAL C/ KITCHENETTE</v>
          </cell>
          <cell r="I364">
            <v>1</v>
          </cell>
          <cell r="J364" t="str">
            <v>C.5.8.2.7</v>
          </cell>
          <cell r="K364" t="str">
            <v xml:space="preserve">Central de Alimentación </v>
          </cell>
          <cell r="L364">
            <v>2</v>
          </cell>
          <cell r="M364">
            <v>46003</v>
          </cell>
          <cell r="N364">
            <v>46006</v>
          </cell>
          <cell r="O364">
            <v>1</v>
          </cell>
          <cell r="P364">
            <v>46007</v>
          </cell>
          <cell r="Q364">
            <v>5</v>
          </cell>
          <cell r="R364" t="str">
            <v>NA</v>
          </cell>
          <cell r="S364">
            <v>5</v>
          </cell>
        </row>
        <row r="365">
          <cell r="B365" t="str">
            <v>EMMC</v>
          </cell>
          <cell r="C365" t="str">
            <v>HSLB10904</v>
          </cell>
          <cell r="D365">
            <v>106013</v>
          </cell>
          <cell r="E365" t="str">
            <v>Proyector</v>
          </cell>
          <cell r="F365" t="str">
            <v>NO</v>
          </cell>
          <cell r="G365" t="str">
            <v>NO</v>
          </cell>
          <cell r="H365" t="str">
            <v>SALA DE REUNIONES</v>
          </cell>
          <cell r="I365">
            <v>1</v>
          </cell>
          <cell r="J365" t="str">
            <v>C.2.6.2.1</v>
          </cell>
          <cell r="K365" t="str">
            <v>Comedor para Funcionarios y Público</v>
          </cell>
          <cell r="L365">
            <v>2</v>
          </cell>
          <cell r="M365">
            <v>46003</v>
          </cell>
          <cell r="N365">
            <v>46006</v>
          </cell>
          <cell r="O365">
            <v>1</v>
          </cell>
          <cell r="P365">
            <v>46007</v>
          </cell>
          <cell r="Q365">
            <v>5</v>
          </cell>
          <cell r="R365" t="str">
            <v>NA</v>
          </cell>
          <cell r="S365">
            <v>5</v>
          </cell>
        </row>
        <row r="366">
          <cell r="B366" t="str">
            <v>EMMC</v>
          </cell>
          <cell r="C366" t="str">
            <v>HSLB10905</v>
          </cell>
          <cell r="D366">
            <v>106013</v>
          </cell>
          <cell r="E366" t="str">
            <v>Proyector</v>
          </cell>
          <cell r="F366" t="str">
            <v>NO</v>
          </cell>
          <cell r="G366" t="str">
            <v>NO</v>
          </cell>
          <cell r="H366" t="str">
            <v>SALA DE REUNIONES</v>
          </cell>
          <cell r="I366">
            <v>1</v>
          </cell>
          <cell r="J366" t="str">
            <v>C.2.6.2.2</v>
          </cell>
          <cell r="K366" t="str">
            <v>Comedor para Funcionarios y Público</v>
          </cell>
          <cell r="L366">
            <v>2</v>
          </cell>
          <cell r="M366">
            <v>46003</v>
          </cell>
          <cell r="N366">
            <v>46006</v>
          </cell>
          <cell r="O366">
            <v>1</v>
          </cell>
          <cell r="P366">
            <v>46007</v>
          </cell>
          <cell r="Q366">
            <v>5</v>
          </cell>
          <cell r="R366" t="str">
            <v>NA</v>
          </cell>
          <cell r="S366">
            <v>5</v>
          </cell>
        </row>
        <row r="367">
          <cell r="B367" t="str">
            <v>EMMC</v>
          </cell>
          <cell r="C367" t="str">
            <v>HSLB10914</v>
          </cell>
          <cell r="D367">
            <v>106013</v>
          </cell>
          <cell r="E367" t="str">
            <v>Proyector</v>
          </cell>
          <cell r="F367" t="str">
            <v>NO</v>
          </cell>
          <cell r="G367" t="str">
            <v>NO</v>
          </cell>
          <cell r="H367" t="str">
            <v>SALA DE TRABAJO GRUPAL</v>
          </cell>
          <cell r="I367">
            <v>1</v>
          </cell>
          <cell r="J367" t="str">
            <v>C.5.4.3</v>
          </cell>
          <cell r="K367" t="str">
            <v>Farmacia</v>
          </cell>
          <cell r="L367">
            <v>2</v>
          </cell>
          <cell r="M367">
            <v>46038</v>
          </cell>
          <cell r="N367">
            <v>46041</v>
          </cell>
          <cell r="O367">
            <v>1</v>
          </cell>
          <cell r="P367">
            <v>46042</v>
          </cell>
          <cell r="Q367">
            <v>5</v>
          </cell>
          <cell r="R367" t="str">
            <v>NA</v>
          </cell>
          <cell r="S367">
            <v>5</v>
          </cell>
        </row>
        <row r="368">
          <cell r="B368" t="str">
            <v>EMMC</v>
          </cell>
          <cell r="C368" t="str">
            <v>HSLB10925</v>
          </cell>
          <cell r="D368">
            <v>106013</v>
          </cell>
          <cell r="E368" t="str">
            <v>Proyector</v>
          </cell>
          <cell r="F368" t="str">
            <v>NO</v>
          </cell>
          <cell r="G368" t="str">
            <v>NO</v>
          </cell>
          <cell r="H368" t="str">
            <v>SALA DE REUNIONES C/KITCHENETTE</v>
          </cell>
          <cell r="I368">
            <v>1</v>
          </cell>
          <cell r="J368" t="str">
            <v>E.5.2.1</v>
          </cell>
          <cell r="K368" t="str">
            <v>Comedor para Funcionarios y Público</v>
          </cell>
          <cell r="L368">
            <v>2</v>
          </cell>
          <cell r="M368">
            <v>46003</v>
          </cell>
          <cell r="N368">
            <v>46006</v>
          </cell>
          <cell r="O368">
            <v>1</v>
          </cell>
          <cell r="P368">
            <v>46007</v>
          </cell>
          <cell r="Q368">
            <v>5</v>
          </cell>
          <cell r="R368" t="str">
            <v>NA</v>
          </cell>
          <cell r="S368">
            <v>5</v>
          </cell>
        </row>
        <row r="369">
          <cell r="B369" t="str">
            <v>EMMC</v>
          </cell>
          <cell r="C369" t="str">
            <v>HSLB10926</v>
          </cell>
          <cell r="D369">
            <v>106013</v>
          </cell>
          <cell r="E369" t="str">
            <v>Proyector</v>
          </cell>
          <cell r="F369" t="str">
            <v>NO</v>
          </cell>
          <cell r="G369" t="str">
            <v>NO</v>
          </cell>
          <cell r="H369" t="str">
            <v>SALA DE REUNIONES C/KITCHENETTE</v>
          </cell>
          <cell r="I369">
            <v>1</v>
          </cell>
          <cell r="J369" t="str">
            <v>E.5.2.2</v>
          </cell>
          <cell r="K369" t="str">
            <v>Comedor para Funcionarios y Público</v>
          </cell>
          <cell r="L369">
            <v>2</v>
          </cell>
          <cell r="M369">
            <v>46003</v>
          </cell>
          <cell r="N369">
            <v>46006</v>
          </cell>
          <cell r="O369">
            <v>1</v>
          </cell>
          <cell r="P369">
            <v>46007</v>
          </cell>
          <cell r="Q369">
            <v>5</v>
          </cell>
          <cell r="R369" t="str">
            <v>NA</v>
          </cell>
          <cell r="S369">
            <v>5</v>
          </cell>
        </row>
        <row r="370">
          <cell r="B370" t="str">
            <v>EMMC</v>
          </cell>
          <cell r="C370" t="str">
            <v>HSLB10927</v>
          </cell>
          <cell r="D370">
            <v>106013</v>
          </cell>
          <cell r="E370" t="str">
            <v>Proyector</v>
          </cell>
          <cell r="F370" t="str">
            <v>NO</v>
          </cell>
          <cell r="G370" t="str">
            <v>NO</v>
          </cell>
          <cell r="H370" t="str">
            <v>SALA DE REUNIONES C/KITCHENETTE</v>
          </cell>
          <cell r="I370">
            <v>1</v>
          </cell>
          <cell r="J370" t="str">
            <v>E.5.2.3</v>
          </cell>
          <cell r="K370" t="str">
            <v>Comedor para Funcionarios y Público</v>
          </cell>
          <cell r="L370">
            <v>2</v>
          </cell>
          <cell r="M370">
            <v>46003</v>
          </cell>
          <cell r="N370">
            <v>46006</v>
          </cell>
          <cell r="O370">
            <v>1</v>
          </cell>
          <cell r="P370">
            <v>46007</v>
          </cell>
          <cell r="Q370">
            <v>5</v>
          </cell>
          <cell r="R370" t="str">
            <v>NA</v>
          </cell>
          <cell r="S370">
            <v>5</v>
          </cell>
        </row>
        <row r="371">
          <cell r="B371" t="str">
            <v>EMMC</v>
          </cell>
          <cell r="C371" t="str">
            <v>HSLB10928</v>
          </cell>
          <cell r="D371">
            <v>106013</v>
          </cell>
          <cell r="E371" t="str">
            <v>Proyector</v>
          </cell>
          <cell r="F371" t="str">
            <v>NO</v>
          </cell>
          <cell r="G371" t="str">
            <v>NO</v>
          </cell>
          <cell r="H371" t="str">
            <v>SALA DE REUNIONES C/KITCHENETTE</v>
          </cell>
          <cell r="I371">
            <v>1</v>
          </cell>
          <cell r="J371" t="str">
            <v>E.5.2.4</v>
          </cell>
          <cell r="K371" t="str">
            <v>Comedor para Funcionarios y Público</v>
          </cell>
          <cell r="L371">
            <v>2</v>
          </cell>
          <cell r="M371">
            <v>46003</v>
          </cell>
          <cell r="N371">
            <v>46006</v>
          </cell>
          <cell r="O371">
            <v>1</v>
          </cell>
          <cell r="P371">
            <v>46007</v>
          </cell>
          <cell r="Q371">
            <v>5</v>
          </cell>
          <cell r="R371" t="str">
            <v>NA</v>
          </cell>
          <cell r="S371">
            <v>5</v>
          </cell>
        </row>
        <row r="372">
          <cell r="B372" t="str">
            <v>EMMC</v>
          </cell>
          <cell r="C372" t="str">
            <v>HSLB12441</v>
          </cell>
          <cell r="D372">
            <v>112073</v>
          </cell>
          <cell r="E372" t="str">
            <v>Set de Cajetines</v>
          </cell>
          <cell r="F372" t="str">
            <v>NO</v>
          </cell>
          <cell r="G372" t="str">
            <v>NO</v>
          </cell>
          <cell r="H372" t="str">
            <v>DESPACHO Y ESTACIONAMIENTO DE CARROS</v>
          </cell>
          <cell r="I372">
            <v>1</v>
          </cell>
          <cell r="J372" t="str">
            <v>C.5.4.10</v>
          </cell>
          <cell r="K372" t="str">
            <v>Farmacia</v>
          </cell>
          <cell r="L372">
            <v>2</v>
          </cell>
          <cell r="M372">
            <v>46038</v>
          </cell>
          <cell r="N372">
            <v>46041</v>
          </cell>
          <cell r="O372">
            <v>1</v>
          </cell>
          <cell r="P372">
            <v>46042</v>
          </cell>
          <cell r="Q372">
            <v>5</v>
          </cell>
          <cell r="R372" t="str">
            <v>NA</v>
          </cell>
          <cell r="S372">
            <v>5</v>
          </cell>
        </row>
        <row r="373">
          <cell r="B373" t="str">
            <v>EMMC</v>
          </cell>
          <cell r="C373" t="str">
            <v>HSLB10945</v>
          </cell>
          <cell r="D373">
            <v>106019</v>
          </cell>
          <cell r="E373" t="str">
            <v>Televisor 32'</v>
          </cell>
          <cell r="F373" t="str">
            <v>NO</v>
          </cell>
          <cell r="G373" t="str">
            <v>NO</v>
          </cell>
          <cell r="H373" t="str">
            <v>SALA DE ESPERA</v>
          </cell>
          <cell r="I373">
            <v>1</v>
          </cell>
          <cell r="J373" t="str">
            <v>C.3.3.2</v>
          </cell>
          <cell r="K373" t="str">
            <v>Farmacia</v>
          </cell>
          <cell r="L373">
            <v>2</v>
          </cell>
          <cell r="M373">
            <v>46038</v>
          </cell>
          <cell r="N373">
            <v>46041</v>
          </cell>
          <cell r="O373">
            <v>1</v>
          </cell>
          <cell r="P373">
            <v>46042</v>
          </cell>
          <cell r="Q373">
            <v>5</v>
          </cell>
          <cell r="R373" t="str">
            <v>NA</v>
          </cell>
          <cell r="S373">
            <v>5</v>
          </cell>
        </row>
        <row r="374">
          <cell r="B374" t="str">
            <v>EMMC</v>
          </cell>
          <cell r="C374" t="str">
            <v>HSLB11040</v>
          </cell>
          <cell r="D374">
            <v>106019</v>
          </cell>
          <cell r="E374" t="str">
            <v>Televisor 32'</v>
          </cell>
          <cell r="F374" t="str">
            <v>NO</v>
          </cell>
          <cell r="G374" t="str">
            <v>NO</v>
          </cell>
          <cell r="H374" t="str">
            <v>SALA DE ESPERA FARMACIA AMBULATORIA</v>
          </cell>
          <cell r="I374">
            <v>1</v>
          </cell>
          <cell r="J374" t="str">
            <v>C.5.4.1</v>
          </cell>
          <cell r="K374" t="str">
            <v>Farmacia</v>
          </cell>
          <cell r="L374">
            <v>2</v>
          </cell>
          <cell r="M374">
            <v>46038</v>
          </cell>
          <cell r="N374">
            <v>46041</v>
          </cell>
          <cell r="O374">
            <v>1</v>
          </cell>
          <cell r="P374">
            <v>46042</v>
          </cell>
          <cell r="Q374">
            <v>5</v>
          </cell>
          <cell r="R374" t="str">
            <v>NA</v>
          </cell>
          <cell r="S374">
            <v>5</v>
          </cell>
        </row>
        <row r="375">
          <cell r="B375" t="str">
            <v>EMMC</v>
          </cell>
          <cell r="C375" t="str">
            <v>HSLB11091</v>
          </cell>
          <cell r="D375">
            <v>106021</v>
          </cell>
          <cell r="E375" t="str">
            <v>Telón</v>
          </cell>
          <cell r="F375" t="str">
            <v>NO</v>
          </cell>
          <cell r="G375" t="str">
            <v>NO</v>
          </cell>
          <cell r="H375" t="str">
            <v>SALA DE REUNIONES</v>
          </cell>
          <cell r="I375">
            <v>1</v>
          </cell>
          <cell r="J375" t="str">
            <v>C.2.6.2.1</v>
          </cell>
          <cell r="K375" t="str">
            <v>Comedor para Funcionarios y Público</v>
          </cell>
          <cell r="L375">
            <v>2</v>
          </cell>
          <cell r="M375">
            <v>46003</v>
          </cell>
          <cell r="N375">
            <v>46006</v>
          </cell>
          <cell r="O375">
            <v>1</v>
          </cell>
          <cell r="P375">
            <v>46007</v>
          </cell>
          <cell r="Q375">
            <v>5</v>
          </cell>
          <cell r="R375" t="str">
            <v>NA</v>
          </cell>
          <cell r="S375">
            <v>5</v>
          </cell>
        </row>
        <row r="376">
          <cell r="B376" t="str">
            <v>EMMC</v>
          </cell>
          <cell r="C376" t="str">
            <v>HSLB11092</v>
          </cell>
          <cell r="D376">
            <v>106021</v>
          </cell>
          <cell r="E376" t="str">
            <v>Telón</v>
          </cell>
          <cell r="F376" t="str">
            <v>NO</v>
          </cell>
          <cell r="G376" t="str">
            <v>NO</v>
          </cell>
          <cell r="H376" t="str">
            <v>SALA DE REUNIONES</v>
          </cell>
          <cell r="I376">
            <v>1</v>
          </cell>
          <cell r="J376" t="str">
            <v>C.2.6.2.2</v>
          </cell>
          <cell r="K376" t="str">
            <v>Comedor para Funcionarios y Público</v>
          </cell>
          <cell r="L376">
            <v>2</v>
          </cell>
          <cell r="M376">
            <v>46003</v>
          </cell>
          <cell r="N376">
            <v>46006</v>
          </cell>
          <cell r="O376">
            <v>1</v>
          </cell>
          <cell r="P376">
            <v>46007</v>
          </cell>
          <cell r="Q376">
            <v>5</v>
          </cell>
          <cell r="R376" t="str">
            <v>NA</v>
          </cell>
          <cell r="S376">
            <v>5</v>
          </cell>
        </row>
        <row r="377">
          <cell r="B377" t="str">
            <v>EMMC</v>
          </cell>
          <cell r="C377" t="str">
            <v>HSLB11101</v>
          </cell>
          <cell r="D377">
            <v>106021</v>
          </cell>
          <cell r="E377" t="str">
            <v>Telón</v>
          </cell>
          <cell r="F377" t="str">
            <v>NO</v>
          </cell>
          <cell r="G377" t="str">
            <v>NO</v>
          </cell>
          <cell r="H377" t="str">
            <v>SALA DE TRABAJO GRUPAL</v>
          </cell>
          <cell r="I377">
            <v>1</v>
          </cell>
          <cell r="J377" t="str">
            <v>C.5.4.3</v>
          </cell>
          <cell r="K377" t="str">
            <v>Farmacia</v>
          </cell>
          <cell r="L377">
            <v>2</v>
          </cell>
          <cell r="M377">
            <v>46038</v>
          </cell>
          <cell r="N377">
            <v>46041</v>
          </cell>
          <cell r="O377">
            <v>1</v>
          </cell>
          <cell r="P377">
            <v>46042</v>
          </cell>
          <cell r="Q377">
            <v>5</v>
          </cell>
          <cell r="R377" t="str">
            <v>NA</v>
          </cell>
          <cell r="S377">
            <v>5</v>
          </cell>
        </row>
        <row r="378">
          <cell r="B378" t="str">
            <v>EMMC</v>
          </cell>
          <cell r="C378" t="str">
            <v>HSLB11112</v>
          </cell>
          <cell r="D378">
            <v>106021</v>
          </cell>
          <cell r="E378" t="str">
            <v>Telón</v>
          </cell>
          <cell r="F378" t="str">
            <v>NO</v>
          </cell>
          <cell r="G378" t="str">
            <v>NO</v>
          </cell>
          <cell r="H378" t="str">
            <v>SALA DE REUNIONES C/KITCHENETTE</v>
          </cell>
          <cell r="I378">
            <v>1</v>
          </cell>
          <cell r="J378" t="str">
            <v>E.5.2.1</v>
          </cell>
          <cell r="K378" t="str">
            <v>Comedor para Funcionarios y Público</v>
          </cell>
          <cell r="L378">
            <v>2</v>
          </cell>
          <cell r="M378">
            <v>46003</v>
          </cell>
          <cell r="N378">
            <v>46006</v>
          </cell>
          <cell r="O378">
            <v>1</v>
          </cell>
          <cell r="P378">
            <v>46007</v>
          </cell>
          <cell r="Q378">
            <v>5</v>
          </cell>
          <cell r="R378" t="str">
            <v>NA</v>
          </cell>
          <cell r="S378">
            <v>5</v>
          </cell>
        </row>
        <row r="379">
          <cell r="B379" t="str">
            <v>EMMC</v>
          </cell>
          <cell r="C379" t="str">
            <v>HSLB11113</v>
          </cell>
          <cell r="D379">
            <v>106021</v>
          </cell>
          <cell r="E379" t="str">
            <v>Telón</v>
          </cell>
          <cell r="F379" t="str">
            <v>NO</v>
          </cell>
          <cell r="G379" t="str">
            <v>NO</v>
          </cell>
          <cell r="H379" t="str">
            <v>SALA DE REUNIONES C/KITCHENETTE</v>
          </cell>
          <cell r="I379">
            <v>1</v>
          </cell>
          <cell r="J379" t="str">
            <v>E.5.2.2</v>
          </cell>
          <cell r="K379" t="str">
            <v>Comedor para Funcionarios y Público</v>
          </cell>
          <cell r="L379">
            <v>2</v>
          </cell>
          <cell r="M379">
            <v>46003</v>
          </cell>
          <cell r="N379">
            <v>46006</v>
          </cell>
          <cell r="O379">
            <v>1</v>
          </cell>
          <cell r="P379">
            <v>46007</v>
          </cell>
          <cell r="Q379">
            <v>5</v>
          </cell>
          <cell r="R379" t="str">
            <v>NA</v>
          </cell>
          <cell r="S379">
            <v>5</v>
          </cell>
        </row>
        <row r="380">
          <cell r="B380" t="str">
            <v>EMMC</v>
          </cell>
          <cell r="C380" t="str">
            <v>HSLB11114</v>
          </cell>
          <cell r="D380">
            <v>106021</v>
          </cell>
          <cell r="E380" t="str">
            <v>Telón</v>
          </cell>
          <cell r="F380" t="str">
            <v>NO</v>
          </cell>
          <cell r="G380" t="str">
            <v>NO</v>
          </cell>
          <cell r="H380" t="str">
            <v>SALA DE REUNIONES C/KITCHENETTE</v>
          </cell>
          <cell r="I380">
            <v>1</v>
          </cell>
          <cell r="J380" t="str">
            <v>E.5.2.3</v>
          </cell>
          <cell r="K380" t="str">
            <v>Comedor para Funcionarios y Público</v>
          </cell>
          <cell r="L380">
            <v>2</v>
          </cell>
          <cell r="M380">
            <v>46003</v>
          </cell>
          <cell r="N380">
            <v>46006</v>
          </cell>
          <cell r="O380">
            <v>1</v>
          </cell>
          <cell r="P380">
            <v>46007</v>
          </cell>
          <cell r="Q380">
            <v>5</v>
          </cell>
          <cell r="R380" t="str">
            <v>NA</v>
          </cell>
          <cell r="S380">
            <v>5</v>
          </cell>
        </row>
        <row r="381">
          <cell r="B381" t="str">
            <v>EMMC</v>
          </cell>
          <cell r="C381" t="str">
            <v>HSLB11115</v>
          </cell>
          <cell r="D381">
            <v>106021</v>
          </cell>
          <cell r="E381" t="str">
            <v>Telón</v>
          </cell>
          <cell r="F381" t="str">
            <v>NO</v>
          </cell>
          <cell r="G381" t="str">
            <v>NO</v>
          </cell>
          <cell r="H381" t="str">
            <v>SALA DE REUNIONES C/KITCHENETTE</v>
          </cell>
          <cell r="I381">
            <v>1</v>
          </cell>
          <cell r="J381" t="str">
            <v>E.5.2.4</v>
          </cell>
          <cell r="K381" t="str">
            <v>Comedor para Funcionarios y Público</v>
          </cell>
          <cell r="L381">
            <v>2</v>
          </cell>
          <cell r="M381">
            <v>46003</v>
          </cell>
          <cell r="N381">
            <v>46006</v>
          </cell>
          <cell r="O381">
            <v>1</v>
          </cell>
          <cell r="P381">
            <v>46007</v>
          </cell>
          <cell r="Q381">
            <v>5</v>
          </cell>
          <cell r="R381" t="str">
            <v>NA</v>
          </cell>
          <cell r="S381">
            <v>5</v>
          </cell>
        </row>
        <row r="382">
          <cell r="B382" t="str">
            <v>EMMC</v>
          </cell>
          <cell r="C382" t="str">
            <v>HSLB10350</v>
          </cell>
          <cell r="D382">
            <v>103027</v>
          </cell>
          <cell r="E382" t="str">
            <v>Hervidor Eléctrico Mantenedor de Agua 20 l</v>
          </cell>
          <cell r="F382" t="str">
            <v>NO</v>
          </cell>
          <cell r="G382" t="str">
            <v>NO</v>
          </cell>
          <cell r="H382" t="str">
            <v>ZONA DE MICROONDA Y CALENTADORES DE AGUA</v>
          </cell>
          <cell r="I382">
            <v>2</v>
          </cell>
          <cell r="J382" t="str">
            <v>E.3.6</v>
          </cell>
          <cell r="K382" t="str">
            <v>Comedor para Funcionarios y Público</v>
          </cell>
          <cell r="L382">
            <v>2</v>
          </cell>
          <cell r="M382">
            <v>46003</v>
          </cell>
          <cell r="N382">
            <v>46006</v>
          </cell>
          <cell r="O382">
            <v>1</v>
          </cell>
          <cell r="P382">
            <v>46007</v>
          </cell>
          <cell r="Q382">
            <v>5</v>
          </cell>
          <cell r="R382" t="str">
            <v>NA</v>
          </cell>
          <cell r="S382">
            <v>5</v>
          </cell>
        </row>
        <row r="383">
          <cell r="B383" t="str">
            <v>EMMC</v>
          </cell>
          <cell r="C383" t="str">
            <v>HSLB10351</v>
          </cell>
          <cell r="D383">
            <v>103028</v>
          </cell>
          <cell r="E383" t="str">
            <v>Hervidor Eléctrico Mantenedor de Agua 45 l</v>
          </cell>
          <cell r="F383" t="str">
            <v>NO</v>
          </cell>
          <cell r="G383" t="str">
            <v>NO</v>
          </cell>
          <cell r="H383" t="str">
            <v>ZONA HERVODIRES DE AGUA</v>
          </cell>
          <cell r="I383">
            <v>3</v>
          </cell>
          <cell r="J383" t="str">
            <v>C.5.8.2.29</v>
          </cell>
          <cell r="K383" t="str">
            <v xml:space="preserve">Central de Alimentación </v>
          </cell>
          <cell r="L383">
            <v>2</v>
          </cell>
          <cell r="M383">
            <v>46003</v>
          </cell>
          <cell r="N383">
            <v>46006</v>
          </cell>
          <cell r="O383">
            <v>1</v>
          </cell>
          <cell r="P383">
            <v>46007</v>
          </cell>
          <cell r="Q383">
            <v>5</v>
          </cell>
          <cell r="R383" t="str">
            <v>NA</v>
          </cell>
          <cell r="S383">
            <v>5</v>
          </cell>
        </row>
        <row r="384">
          <cell r="B384" t="str">
            <v>EMMC</v>
          </cell>
          <cell r="C384" t="str">
            <v>HSLB10377</v>
          </cell>
          <cell r="D384">
            <v>103034</v>
          </cell>
          <cell r="E384" t="str">
            <v>Licuadora Industrial 10 l</v>
          </cell>
          <cell r="F384" t="str">
            <v>NO</v>
          </cell>
          <cell r="G384" t="str">
            <v>NO</v>
          </cell>
          <cell r="H384" t="str">
            <v>ÁREA ARMADO DESAYUNOS, POSTRES Y COLACIONES</v>
          </cell>
          <cell r="I384">
            <v>1</v>
          </cell>
          <cell r="J384" t="str">
            <v>C.5.8.2.31</v>
          </cell>
          <cell r="K384" t="str">
            <v xml:space="preserve">Central de Alimentación </v>
          </cell>
          <cell r="L384">
            <v>2</v>
          </cell>
          <cell r="M384">
            <v>46003</v>
          </cell>
          <cell r="N384">
            <v>46006</v>
          </cell>
          <cell r="O384">
            <v>1</v>
          </cell>
          <cell r="P384">
            <v>46007</v>
          </cell>
          <cell r="Q384">
            <v>5</v>
          </cell>
          <cell r="R384" t="str">
            <v>NA</v>
          </cell>
          <cell r="S384">
            <v>5</v>
          </cell>
        </row>
        <row r="385">
          <cell r="B385" t="str">
            <v>EMMC</v>
          </cell>
          <cell r="C385" t="str">
            <v>HSLB10378</v>
          </cell>
          <cell r="D385">
            <v>103035</v>
          </cell>
          <cell r="E385" t="str">
            <v>Licuadora Industrial 15 l</v>
          </cell>
          <cell r="F385" t="str">
            <v>NO</v>
          </cell>
          <cell r="G385" t="str">
            <v>NO</v>
          </cell>
          <cell r="H385" t="str">
            <v>ZONA COCINA SEMI-INDUSTRIAL</v>
          </cell>
          <cell r="I385">
            <v>1</v>
          </cell>
          <cell r="J385" t="str">
            <v>C.5.8.2.26</v>
          </cell>
          <cell r="K385" t="str">
            <v xml:space="preserve">Central de Alimentación </v>
          </cell>
          <cell r="L385">
            <v>2</v>
          </cell>
          <cell r="M385">
            <v>46003</v>
          </cell>
          <cell r="N385">
            <v>46006</v>
          </cell>
          <cell r="O385">
            <v>1</v>
          </cell>
          <cell r="P385">
            <v>46007</v>
          </cell>
          <cell r="Q385">
            <v>5</v>
          </cell>
          <cell r="R385" t="str">
            <v>NA</v>
          </cell>
          <cell r="S385">
            <v>5</v>
          </cell>
        </row>
        <row r="386">
          <cell r="B386" t="str">
            <v>EMMC</v>
          </cell>
          <cell r="C386" t="str">
            <v>HSLB10380</v>
          </cell>
          <cell r="D386">
            <v>103036</v>
          </cell>
          <cell r="E386" t="str">
            <v>Licuadora Industrial 4 l</v>
          </cell>
          <cell r="F386" t="str">
            <v>NO</v>
          </cell>
          <cell r="G386" t="str">
            <v>NO</v>
          </cell>
          <cell r="H386" t="str">
            <v>ÁREA ARMADO DESAYUNOS, POSTRES Y COLACIONES</v>
          </cell>
          <cell r="I386">
            <v>1</v>
          </cell>
          <cell r="J386" t="str">
            <v>C.5.8.2.31</v>
          </cell>
          <cell r="K386" t="str">
            <v xml:space="preserve">Central de Alimentación </v>
          </cell>
          <cell r="L386">
            <v>2</v>
          </cell>
          <cell r="M386">
            <v>46003</v>
          </cell>
          <cell r="N386">
            <v>46006</v>
          </cell>
          <cell r="O386">
            <v>1</v>
          </cell>
          <cell r="P386">
            <v>46007</v>
          </cell>
          <cell r="Q386">
            <v>5</v>
          </cell>
          <cell r="R386" t="str">
            <v>NA</v>
          </cell>
          <cell r="S386">
            <v>5</v>
          </cell>
        </row>
        <row r="387">
          <cell r="B387" t="str">
            <v>EMMC</v>
          </cell>
          <cell r="C387" t="str">
            <v>HSLB10381</v>
          </cell>
          <cell r="D387">
            <v>103037</v>
          </cell>
          <cell r="E387" t="str">
            <v>Mantenedor de Alimentos</v>
          </cell>
          <cell r="F387" t="str">
            <v>NO</v>
          </cell>
          <cell r="G387" t="str">
            <v>NO</v>
          </cell>
          <cell r="H387" t="str">
            <v>ZONA DE TERMOS GASTRONOMICOS</v>
          </cell>
          <cell r="I387">
            <v>2</v>
          </cell>
          <cell r="J387" t="str">
            <v>C.5.8.2.28</v>
          </cell>
          <cell r="K387" t="str">
            <v xml:space="preserve">Central de Alimentación </v>
          </cell>
          <cell r="L387">
            <v>2</v>
          </cell>
          <cell r="M387">
            <v>46003</v>
          </cell>
          <cell r="N387">
            <v>46006</v>
          </cell>
          <cell r="O387">
            <v>1</v>
          </cell>
          <cell r="P387">
            <v>46008</v>
          </cell>
          <cell r="Q387">
            <v>5</v>
          </cell>
          <cell r="R387" t="str">
            <v>NA</v>
          </cell>
          <cell r="S387">
            <v>5</v>
          </cell>
        </row>
        <row r="388">
          <cell r="B388" t="str">
            <v>EMMC</v>
          </cell>
          <cell r="C388" t="str">
            <v>HSLB10382</v>
          </cell>
          <cell r="D388">
            <v>103037</v>
          </cell>
          <cell r="E388" t="str">
            <v>Mantenedor de Alimentos</v>
          </cell>
          <cell r="F388" t="str">
            <v>NO</v>
          </cell>
          <cell r="G388" t="str">
            <v>NO</v>
          </cell>
          <cell r="H388" t="str">
            <v>AREA GUARDADO PRODUCTOS CALIENTES</v>
          </cell>
          <cell r="I388">
            <v>2</v>
          </cell>
          <cell r="J388" t="str">
            <v>C.5.8.2.41</v>
          </cell>
          <cell r="K388" t="str">
            <v xml:space="preserve">Central de Alimentación </v>
          </cell>
          <cell r="L388">
            <v>2</v>
          </cell>
          <cell r="M388">
            <v>46003</v>
          </cell>
          <cell r="N388">
            <v>46006</v>
          </cell>
          <cell r="O388">
            <v>1</v>
          </cell>
          <cell r="P388">
            <v>46008</v>
          </cell>
          <cell r="Q388">
            <v>5</v>
          </cell>
          <cell r="R388" t="str">
            <v>NA</v>
          </cell>
          <cell r="S388">
            <v>5</v>
          </cell>
        </row>
        <row r="389">
          <cell r="B389" t="str">
            <v>EMMC</v>
          </cell>
          <cell r="C389" t="str">
            <v>HSLB10383</v>
          </cell>
          <cell r="D389">
            <v>103037</v>
          </cell>
          <cell r="E389" t="str">
            <v>Mantenedor de Alimentos</v>
          </cell>
          <cell r="F389" t="str">
            <v>NO</v>
          </cell>
          <cell r="G389" t="str">
            <v>SI</v>
          </cell>
          <cell r="H389" t="str">
            <v>AREA AUTOSERVICIO</v>
          </cell>
          <cell r="I389">
            <v>1</v>
          </cell>
          <cell r="J389" t="str">
            <v>E.3.4</v>
          </cell>
          <cell r="K389" t="str">
            <v>Comedor para Funcionarios y Público</v>
          </cell>
          <cell r="L389">
            <v>2</v>
          </cell>
          <cell r="M389">
            <v>46003</v>
          </cell>
          <cell r="N389">
            <v>46006</v>
          </cell>
          <cell r="O389">
            <v>1</v>
          </cell>
          <cell r="P389">
            <v>46008</v>
          </cell>
          <cell r="Q389">
            <v>5</v>
          </cell>
          <cell r="R389" t="str">
            <v>NA</v>
          </cell>
          <cell r="S389">
            <v>5</v>
          </cell>
        </row>
        <row r="390">
          <cell r="B390" t="str">
            <v>EMMC</v>
          </cell>
          <cell r="C390" t="str">
            <v>HSLB10384</v>
          </cell>
          <cell r="D390">
            <v>103037</v>
          </cell>
          <cell r="E390" t="str">
            <v>Mantenedor de Alimentos</v>
          </cell>
          <cell r="F390" t="str">
            <v>NO</v>
          </cell>
          <cell r="G390" t="str">
            <v>SI</v>
          </cell>
          <cell r="H390" t="str">
            <v>AREA AUTOSERVICIO</v>
          </cell>
          <cell r="I390">
            <v>1</v>
          </cell>
          <cell r="J390" t="str">
            <v>E.3.4</v>
          </cell>
          <cell r="K390" t="str">
            <v>Comedor para Funcionarios y Público</v>
          </cell>
          <cell r="L390">
            <v>2</v>
          </cell>
          <cell r="M390">
            <v>46003</v>
          </cell>
          <cell r="N390">
            <v>46006</v>
          </cell>
          <cell r="O390">
            <v>1</v>
          </cell>
          <cell r="P390">
            <v>46008</v>
          </cell>
          <cell r="Q390">
            <v>5</v>
          </cell>
          <cell r="R390" t="str">
            <v>NA</v>
          </cell>
          <cell r="S390">
            <v>5</v>
          </cell>
        </row>
        <row r="391">
          <cell r="B391" t="str">
            <v>EMMC</v>
          </cell>
          <cell r="C391" t="str">
            <v>HSLB10387</v>
          </cell>
          <cell r="D391">
            <v>103040</v>
          </cell>
          <cell r="E391" t="str">
            <v>Módulo Dispensador</v>
          </cell>
          <cell r="F391" t="str">
            <v>NO</v>
          </cell>
          <cell r="G391" t="str">
            <v>SI</v>
          </cell>
          <cell r="H391" t="str">
            <v>AREA AUTOSERVICIO</v>
          </cell>
          <cell r="I391">
            <v>2</v>
          </cell>
          <cell r="J391" t="str">
            <v>E.3.4</v>
          </cell>
          <cell r="K391" t="str">
            <v>Comedor para Funcionarios y Público</v>
          </cell>
          <cell r="L391">
            <v>2</v>
          </cell>
          <cell r="M391">
            <v>46003</v>
          </cell>
          <cell r="N391">
            <v>46006</v>
          </cell>
          <cell r="O391">
            <v>1</v>
          </cell>
          <cell r="P391">
            <v>46008</v>
          </cell>
          <cell r="Q391">
            <v>5</v>
          </cell>
          <cell r="R391" t="str">
            <v>NA</v>
          </cell>
          <cell r="S391">
            <v>5</v>
          </cell>
        </row>
        <row r="392">
          <cell r="B392" t="str">
            <v>EMMC</v>
          </cell>
          <cell r="C392" t="str">
            <v>HSLB10389</v>
          </cell>
          <cell r="D392">
            <v>103042</v>
          </cell>
          <cell r="E392" t="str">
            <v>Moledora de Carne</v>
          </cell>
          <cell r="F392" t="str">
            <v>NO</v>
          </cell>
          <cell r="G392" t="str">
            <v>NO</v>
          </cell>
          <cell r="H392" t="str">
            <v>PREPARACIÓN DE CARNES Y PESCADOS</v>
          </cell>
          <cell r="I392">
            <v>1</v>
          </cell>
          <cell r="J392" t="str">
            <v>C.5.8.2.22</v>
          </cell>
          <cell r="K392" t="str">
            <v xml:space="preserve">Central de Alimentación </v>
          </cell>
          <cell r="L392">
            <v>2</v>
          </cell>
          <cell r="M392">
            <v>46003</v>
          </cell>
          <cell r="N392">
            <v>46006</v>
          </cell>
          <cell r="O392">
            <v>1</v>
          </cell>
          <cell r="P392">
            <v>46008</v>
          </cell>
          <cell r="Q392">
            <v>5</v>
          </cell>
          <cell r="R392" t="str">
            <v>NA</v>
          </cell>
          <cell r="S392">
            <v>5</v>
          </cell>
        </row>
        <row r="393">
          <cell r="B393" t="str">
            <v>EMMC</v>
          </cell>
          <cell r="C393" t="str">
            <v>HSLB10390</v>
          </cell>
          <cell r="D393">
            <v>103043</v>
          </cell>
          <cell r="E393" t="str">
            <v>Peladora de Papas</v>
          </cell>
          <cell r="F393" t="str">
            <v>NO</v>
          </cell>
          <cell r="G393" t="str">
            <v>NO</v>
          </cell>
          <cell r="H393" t="str">
            <v>PREPARACIÓN TUBÉRCULOS Y PAPAS</v>
          </cell>
          <cell r="I393">
            <v>1</v>
          </cell>
          <cell r="J393" t="str">
            <v>C.5.8.2.21</v>
          </cell>
          <cell r="K393" t="str">
            <v xml:space="preserve">Central de Alimentación </v>
          </cell>
          <cell r="L393">
            <v>2</v>
          </cell>
          <cell r="M393">
            <v>46003</v>
          </cell>
          <cell r="N393">
            <v>46006</v>
          </cell>
          <cell r="O393">
            <v>1</v>
          </cell>
          <cell r="P393">
            <v>46008</v>
          </cell>
          <cell r="Q393">
            <v>5</v>
          </cell>
          <cell r="R393" t="str">
            <v>NA</v>
          </cell>
          <cell r="S393">
            <v>5</v>
          </cell>
        </row>
        <row r="394">
          <cell r="B394" t="str">
            <v>EMMC</v>
          </cell>
          <cell r="C394" t="str">
            <v>HSLB10391</v>
          </cell>
          <cell r="D394">
            <v>103044</v>
          </cell>
          <cell r="E394" t="str">
            <v>Perol de Sopa</v>
          </cell>
          <cell r="F394" t="str">
            <v>NO</v>
          </cell>
          <cell r="G394" t="str">
            <v>SI</v>
          </cell>
          <cell r="H394" t="str">
            <v>AREA AUTOSERVICIO</v>
          </cell>
          <cell r="I394">
            <v>1</v>
          </cell>
          <cell r="J394" t="str">
            <v>E.3.4</v>
          </cell>
          <cell r="K394" t="str">
            <v>Comedor para Funcionarios y Público</v>
          </cell>
          <cell r="L394">
            <v>2</v>
          </cell>
          <cell r="M394">
            <v>46003</v>
          </cell>
          <cell r="N394">
            <v>46006</v>
          </cell>
          <cell r="O394">
            <v>1</v>
          </cell>
          <cell r="P394">
            <v>46008</v>
          </cell>
          <cell r="Q394">
            <v>5</v>
          </cell>
          <cell r="R394" t="str">
            <v>NA</v>
          </cell>
          <cell r="S394">
            <v>5</v>
          </cell>
        </row>
        <row r="395">
          <cell r="B395" t="str">
            <v>EMMC</v>
          </cell>
          <cell r="C395" t="str">
            <v>HSLB10394</v>
          </cell>
          <cell r="D395">
            <v>103047</v>
          </cell>
          <cell r="E395" t="str">
            <v>Procesador de Vegetales</v>
          </cell>
          <cell r="F395" t="str">
            <v>NO</v>
          </cell>
          <cell r="G395" t="str">
            <v>NO</v>
          </cell>
          <cell r="H395" t="str">
            <v>ÁREA ARMADO DESAYUNOS, POSTRES Y COLACIONES</v>
          </cell>
          <cell r="I395">
            <v>1</v>
          </cell>
          <cell r="J395" t="str">
            <v>C.5.8.2.31</v>
          </cell>
          <cell r="K395" t="str">
            <v xml:space="preserve">Central de Alimentación </v>
          </cell>
          <cell r="L395">
            <v>2</v>
          </cell>
          <cell r="M395">
            <v>46003</v>
          </cell>
          <cell r="N395">
            <v>46006</v>
          </cell>
          <cell r="O395">
            <v>1</v>
          </cell>
          <cell r="P395">
            <v>46008</v>
          </cell>
          <cell r="Q395">
            <v>5</v>
          </cell>
          <cell r="R395" t="str">
            <v>NA</v>
          </cell>
          <cell r="S395">
            <v>5</v>
          </cell>
        </row>
        <row r="396">
          <cell r="B396" t="str">
            <v>EMMC</v>
          </cell>
          <cell r="C396" t="str">
            <v>HSLB10395</v>
          </cell>
          <cell r="D396">
            <v>103047</v>
          </cell>
          <cell r="E396" t="str">
            <v>Procesador de Vegetales</v>
          </cell>
          <cell r="F396" t="str">
            <v>NO</v>
          </cell>
          <cell r="G396" t="str">
            <v>NO</v>
          </cell>
          <cell r="H396" t="str">
            <v>PREPARACIÓN FRUTAS Y VERDURAS</v>
          </cell>
          <cell r="I396">
            <v>1</v>
          </cell>
          <cell r="J396" t="str">
            <v>C.5.8.2.20</v>
          </cell>
          <cell r="K396" t="str">
            <v xml:space="preserve">Central de Alimentación </v>
          </cell>
          <cell r="L396">
            <v>2</v>
          </cell>
          <cell r="M396">
            <v>46003</v>
          </cell>
          <cell r="N396">
            <v>46006</v>
          </cell>
          <cell r="O396">
            <v>1</v>
          </cell>
          <cell r="P396">
            <v>46008</v>
          </cell>
          <cell r="Q396">
            <v>5</v>
          </cell>
          <cell r="R396" t="str">
            <v>NA</v>
          </cell>
          <cell r="S396">
            <v>5</v>
          </cell>
        </row>
        <row r="397">
          <cell r="B397" t="str">
            <v>EMMC</v>
          </cell>
          <cell r="C397" t="str">
            <v>HSLB11406</v>
          </cell>
          <cell r="D397">
            <v>110048</v>
          </cell>
          <cell r="E397" t="str">
            <v>Refrigerador Clínico 300 l</v>
          </cell>
          <cell r="F397" t="str">
            <v>NO</v>
          </cell>
          <cell r="G397" t="str">
            <v>NO</v>
          </cell>
          <cell r="H397" t="str">
            <v>ÁREA PREPARACIÓN DE RECETAS</v>
          </cell>
          <cell r="I397">
            <v>1</v>
          </cell>
          <cell r="J397" t="str">
            <v>C.5.4.6</v>
          </cell>
          <cell r="K397" t="str">
            <v>Farmacia</v>
          </cell>
          <cell r="L397">
            <v>2</v>
          </cell>
          <cell r="M397">
            <v>46038</v>
          </cell>
          <cell r="N397">
            <v>46041</v>
          </cell>
          <cell r="O397">
            <v>1</v>
          </cell>
          <cell r="P397">
            <v>46042</v>
          </cell>
          <cell r="Q397">
            <v>5</v>
          </cell>
          <cell r="R397" t="str">
            <v>NA</v>
          </cell>
          <cell r="S397">
            <v>5</v>
          </cell>
        </row>
        <row r="398">
          <cell r="B398" t="str">
            <v>EMMC</v>
          </cell>
          <cell r="C398" t="str">
            <v>HSLB11407</v>
          </cell>
          <cell r="D398">
            <v>110048</v>
          </cell>
          <cell r="E398" t="str">
            <v>Refrigerador Clínico 300 l</v>
          </cell>
          <cell r="F398" t="str">
            <v>NO</v>
          </cell>
          <cell r="G398" t="str">
            <v>NO</v>
          </cell>
          <cell r="H398" t="str">
            <v>DISPENSACION (TRABAJO Y ARMADO DE CARROS)</v>
          </cell>
          <cell r="I398">
            <v>1</v>
          </cell>
          <cell r="J398" t="str">
            <v>C.5.4.9</v>
          </cell>
          <cell r="K398" t="str">
            <v>Farmacia</v>
          </cell>
          <cell r="L398">
            <v>2</v>
          </cell>
          <cell r="M398">
            <v>46038</v>
          </cell>
          <cell r="N398">
            <v>46041</v>
          </cell>
          <cell r="O398">
            <v>1</v>
          </cell>
          <cell r="P398">
            <v>46042</v>
          </cell>
          <cell r="Q398">
            <v>5</v>
          </cell>
          <cell r="R398" t="str">
            <v>NA</v>
          </cell>
          <cell r="S398">
            <v>5</v>
          </cell>
        </row>
        <row r="399">
          <cell r="B399" t="str">
            <v>EMMC</v>
          </cell>
          <cell r="C399" t="str">
            <v>HSLB11410</v>
          </cell>
          <cell r="D399">
            <v>110050</v>
          </cell>
          <cell r="E399" t="str">
            <v>Refrigerador Clínico 500 l</v>
          </cell>
          <cell r="F399" t="str">
            <v>NO</v>
          </cell>
          <cell r="G399" t="str">
            <v>NO</v>
          </cell>
          <cell r="H399" t="str">
            <v>AREA REFRIGERADORES</v>
          </cell>
          <cell r="I399">
            <v>2</v>
          </cell>
          <cell r="J399" t="str">
            <v>C.5.4.32</v>
          </cell>
          <cell r="K399" t="str">
            <v>Farmacia</v>
          </cell>
          <cell r="L399">
            <v>2</v>
          </cell>
          <cell r="M399">
            <v>46038</v>
          </cell>
          <cell r="N399">
            <v>46041</v>
          </cell>
          <cell r="O399">
            <v>1</v>
          </cell>
          <cell r="P399">
            <v>46042</v>
          </cell>
          <cell r="Q399">
            <v>5</v>
          </cell>
          <cell r="R399" t="str">
            <v>NA</v>
          </cell>
          <cell r="S399">
            <v>5</v>
          </cell>
        </row>
        <row r="400">
          <cell r="B400" t="str">
            <v>EMMC</v>
          </cell>
          <cell r="C400" t="str">
            <v>HSLB11411</v>
          </cell>
          <cell r="D400">
            <v>110050</v>
          </cell>
          <cell r="E400" t="str">
            <v>Refrigerador Clínico 500 l</v>
          </cell>
          <cell r="F400" t="str">
            <v>NO</v>
          </cell>
          <cell r="G400" t="str">
            <v>NO</v>
          </cell>
          <cell r="H400" t="str">
            <v>BODEGA ACTIVA</v>
          </cell>
          <cell r="I400">
            <v>1</v>
          </cell>
          <cell r="J400" t="str">
            <v>C.5.4.7</v>
          </cell>
          <cell r="K400" t="str">
            <v>Farmacia</v>
          </cell>
          <cell r="L400">
            <v>2</v>
          </cell>
          <cell r="M400">
            <v>46038</v>
          </cell>
          <cell r="N400">
            <v>46041</v>
          </cell>
          <cell r="O400">
            <v>1</v>
          </cell>
          <cell r="P400">
            <v>46042</v>
          </cell>
          <cell r="Q400">
            <v>5</v>
          </cell>
          <cell r="R400" t="str">
            <v>NA</v>
          </cell>
          <cell r="S400">
            <v>5</v>
          </cell>
        </row>
        <row r="401">
          <cell r="B401" t="str">
            <v>EMMC</v>
          </cell>
          <cell r="C401" t="str">
            <v>HSLB11435</v>
          </cell>
          <cell r="D401">
            <v>110053</v>
          </cell>
          <cell r="E401" t="str">
            <v>Refrigerador Clínico con Congelador 150 l</v>
          </cell>
          <cell r="F401" t="str">
            <v>NO</v>
          </cell>
          <cell r="G401" t="str">
            <v>NO</v>
          </cell>
          <cell r="H401" t="str">
            <v>LÍQUIDOS</v>
          </cell>
          <cell r="I401">
            <v>1</v>
          </cell>
          <cell r="J401" t="str">
            <v>C.5.4.13</v>
          </cell>
          <cell r="K401" t="str">
            <v>Farmacia</v>
          </cell>
          <cell r="L401">
            <v>2</v>
          </cell>
          <cell r="M401">
            <v>46038</v>
          </cell>
          <cell r="N401">
            <v>46041</v>
          </cell>
          <cell r="O401">
            <v>1</v>
          </cell>
          <cell r="P401">
            <v>46042</v>
          </cell>
          <cell r="Q401">
            <v>5</v>
          </cell>
          <cell r="R401" t="str">
            <v>NA</v>
          </cell>
          <cell r="S401">
            <v>5</v>
          </cell>
        </row>
        <row r="402">
          <cell r="B402" t="str">
            <v>EMMC</v>
          </cell>
          <cell r="C402" t="str">
            <v>HSLB10399</v>
          </cell>
          <cell r="D402">
            <v>103048</v>
          </cell>
          <cell r="E402" t="str">
            <v>Refrigerador Doméstico</v>
          </cell>
          <cell r="F402" t="str">
            <v>NO</v>
          </cell>
          <cell r="G402" t="str">
            <v>NO</v>
          </cell>
          <cell r="H402" t="str">
            <v>KITCHENETTE</v>
          </cell>
          <cell r="I402">
            <v>1</v>
          </cell>
          <cell r="J402" t="str">
            <v>C.2.6.3</v>
          </cell>
          <cell r="K402" t="str">
            <v>Comedor para Funcionarios y Público</v>
          </cell>
          <cell r="L402">
            <v>2</v>
          </cell>
          <cell r="M402">
            <v>46003</v>
          </cell>
          <cell r="N402">
            <v>46006</v>
          </cell>
          <cell r="O402">
            <v>1</v>
          </cell>
          <cell r="P402">
            <v>46008</v>
          </cell>
          <cell r="Q402">
            <v>5</v>
          </cell>
          <cell r="R402" t="str">
            <v>NA</v>
          </cell>
          <cell r="S402">
            <v>5</v>
          </cell>
        </row>
        <row r="403">
          <cell r="B403" t="str">
            <v>EMMC</v>
          </cell>
          <cell r="C403" t="str">
            <v>HSLB10420</v>
          </cell>
          <cell r="D403">
            <v>103048</v>
          </cell>
          <cell r="E403" t="str">
            <v>Refrigerador Doméstico</v>
          </cell>
          <cell r="F403" t="str">
            <v>NO</v>
          </cell>
          <cell r="G403" t="str">
            <v>NO</v>
          </cell>
          <cell r="H403" t="str">
            <v>ESTAR PERSONAL C/ KITCHENETTE</v>
          </cell>
          <cell r="I403">
            <v>1</v>
          </cell>
          <cell r="J403" t="str">
            <v>C.5.4.20</v>
          </cell>
          <cell r="K403" t="str">
            <v>Farmacia</v>
          </cell>
          <cell r="L403">
            <v>2</v>
          </cell>
          <cell r="M403">
            <v>46038</v>
          </cell>
          <cell r="N403">
            <v>46041</v>
          </cell>
          <cell r="O403">
            <v>1</v>
          </cell>
          <cell r="P403">
            <v>46042</v>
          </cell>
          <cell r="Q403">
            <v>5</v>
          </cell>
          <cell r="R403" t="str">
            <v>NA</v>
          </cell>
          <cell r="S403">
            <v>5</v>
          </cell>
        </row>
        <row r="404">
          <cell r="B404" t="str">
            <v>EMMC</v>
          </cell>
          <cell r="C404" t="str">
            <v>HSLB10425</v>
          </cell>
          <cell r="D404">
            <v>103048</v>
          </cell>
          <cell r="E404" t="str">
            <v>Refrigerador Doméstico</v>
          </cell>
          <cell r="F404" t="str">
            <v>NO</v>
          </cell>
          <cell r="G404" t="str">
            <v>NO</v>
          </cell>
          <cell r="H404" t="str">
            <v>ESTAR PERSONAL C/ KITCHENETTE</v>
          </cell>
          <cell r="I404">
            <v>1</v>
          </cell>
          <cell r="J404" t="str">
            <v>C.5.8.2.7</v>
          </cell>
          <cell r="K404" t="str">
            <v xml:space="preserve">Central de Alimentación </v>
          </cell>
          <cell r="L404">
            <v>2</v>
          </cell>
          <cell r="M404">
            <v>46003</v>
          </cell>
          <cell r="N404">
            <v>46006</v>
          </cell>
          <cell r="O404">
            <v>1</v>
          </cell>
          <cell r="P404">
            <v>46008</v>
          </cell>
          <cell r="Q404">
            <v>5</v>
          </cell>
          <cell r="R404" t="str">
            <v>NA</v>
          </cell>
          <cell r="S404">
            <v>5</v>
          </cell>
        </row>
        <row r="405">
          <cell r="B405" t="str">
            <v>EMMC</v>
          </cell>
          <cell r="C405" t="str">
            <v>HSLB11146</v>
          </cell>
          <cell r="D405">
            <v>107014</v>
          </cell>
          <cell r="E405" t="str">
            <v>Selladora</v>
          </cell>
          <cell r="F405" t="str">
            <v>NO</v>
          </cell>
          <cell r="G405" t="str">
            <v>NO</v>
          </cell>
          <cell r="H405" t="str">
            <v>FRACCIONAMIENTO Y REENVASADO</v>
          </cell>
          <cell r="I405">
            <v>1</v>
          </cell>
          <cell r="J405" t="str">
            <v>C.5.4.11</v>
          </cell>
          <cell r="K405" t="str">
            <v>Farmacia</v>
          </cell>
          <cell r="L405">
            <v>2</v>
          </cell>
          <cell r="M405">
            <v>46038</v>
          </cell>
          <cell r="N405">
            <v>46041</v>
          </cell>
          <cell r="O405">
            <v>1</v>
          </cell>
          <cell r="P405">
            <v>46042</v>
          </cell>
          <cell r="Q405">
            <v>5</v>
          </cell>
          <cell r="R405" t="str">
            <v>NA</v>
          </cell>
          <cell r="S405">
            <v>5</v>
          </cell>
        </row>
        <row r="406">
          <cell r="B406" t="str">
            <v>EMMC</v>
          </cell>
          <cell r="C406" t="str">
            <v>HSLB11147</v>
          </cell>
          <cell r="D406">
            <v>107014</v>
          </cell>
          <cell r="E406" t="str">
            <v>Selladora</v>
          </cell>
          <cell r="F406" t="str">
            <v>NO</v>
          </cell>
          <cell r="G406" t="str">
            <v>NO</v>
          </cell>
          <cell r="H406" t="str">
            <v>SOLIDOS</v>
          </cell>
          <cell r="I406">
            <v>1</v>
          </cell>
          <cell r="J406" t="str">
            <v>C.5.4.12</v>
          </cell>
          <cell r="K406" t="str">
            <v>Farmacia</v>
          </cell>
          <cell r="L406">
            <v>2</v>
          </cell>
          <cell r="M406">
            <v>46038</v>
          </cell>
          <cell r="N406">
            <v>46041</v>
          </cell>
          <cell r="O406">
            <v>1</v>
          </cell>
          <cell r="P406">
            <v>46042</v>
          </cell>
          <cell r="Q406">
            <v>5</v>
          </cell>
          <cell r="R406" t="str">
            <v>NA</v>
          </cell>
          <cell r="S406">
            <v>5</v>
          </cell>
        </row>
        <row r="407">
          <cell r="B407" t="str">
            <v>EMMC</v>
          </cell>
          <cell r="C407" t="str">
            <v>HSLB11437</v>
          </cell>
          <cell r="D407">
            <v>110056</v>
          </cell>
          <cell r="E407" t="str">
            <v>Sistema de corte y reenvasado de medicamentos</v>
          </cell>
          <cell r="F407" t="str">
            <v>NO</v>
          </cell>
          <cell r="G407" t="str">
            <v>NO</v>
          </cell>
          <cell r="H407" t="str">
            <v>FRACCIONAMIENTO Y REENVASADO</v>
          </cell>
          <cell r="I407">
            <v>1</v>
          </cell>
          <cell r="J407" t="str">
            <v>C.5.4.11</v>
          </cell>
          <cell r="K407" t="str">
            <v>Farmacia</v>
          </cell>
          <cell r="L407">
            <v>2</v>
          </cell>
          <cell r="M407">
            <v>46038</v>
          </cell>
          <cell r="N407">
            <v>46041</v>
          </cell>
          <cell r="O407">
            <v>1</v>
          </cell>
          <cell r="P407">
            <v>46042</v>
          </cell>
          <cell r="Q407">
            <v>5</v>
          </cell>
          <cell r="R407" t="str">
            <v>NA</v>
          </cell>
          <cell r="S407">
            <v>5</v>
          </cell>
        </row>
        <row r="408">
          <cell r="B408" t="str">
            <v>EMMC</v>
          </cell>
          <cell r="C408" t="str">
            <v>HSLB12499</v>
          </cell>
          <cell r="D408">
            <v>112087</v>
          </cell>
          <cell r="E408" t="str">
            <v>Sistema de Transporte Refrigerado para Medicamentos 20 L</v>
          </cell>
          <cell r="F408" t="str">
            <v>NO</v>
          </cell>
          <cell r="G408" t="str">
            <v>NO</v>
          </cell>
          <cell r="H408" t="str">
            <v>DESPACHO Y ESTACIONAMIENTO DE CARROS</v>
          </cell>
          <cell r="I408">
            <v>2</v>
          </cell>
          <cell r="J408" t="str">
            <v>C.5.4.10</v>
          </cell>
          <cell r="K408" t="str">
            <v>Farmacia</v>
          </cell>
          <cell r="L408">
            <v>2</v>
          </cell>
          <cell r="M408">
            <v>46038</v>
          </cell>
          <cell r="N408">
            <v>46041</v>
          </cell>
          <cell r="O408">
            <v>1</v>
          </cell>
          <cell r="P408">
            <v>46042</v>
          </cell>
          <cell r="Q408">
            <v>5</v>
          </cell>
          <cell r="R408" t="str">
            <v>NA</v>
          </cell>
          <cell r="S408">
            <v>5</v>
          </cell>
        </row>
        <row r="409">
          <cell r="B409" t="str">
            <v>EMMC</v>
          </cell>
          <cell r="C409" t="str">
            <v>HSLB10446</v>
          </cell>
          <cell r="D409">
            <v>103051</v>
          </cell>
          <cell r="E409" t="str">
            <v>Vitrina Postres</v>
          </cell>
          <cell r="F409" t="str">
            <v>NO</v>
          </cell>
          <cell r="G409" t="str">
            <v>NO</v>
          </cell>
          <cell r="H409" t="str">
            <v>CAJA Y VENTAS DE PRODUCTOS</v>
          </cell>
          <cell r="I409">
            <v>1</v>
          </cell>
          <cell r="J409" t="str">
            <v>E.3.3</v>
          </cell>
          <cell r="K409" t="str">
            <v>Comedor para Funcionarios y Público</v>
          </cell>
          <cell r="L409">
            <v>2</v>
          </cell>
          <cell r="M409">
            <v>46003</v>
          </cell>
          <cell r="N409">
            <v>46006</v>
          </cell>
          <cell r="O409">
            <v>1</v>
          </cell>
          <cell r="P409">
            <v>46008</v>
          </cell>
          <cell r="Q409">
            <v>5</v>
          </cell>
          <cell r="R409" t="str">
            <v>NA</v>
          </cell>
          <cell r="S409">
            <v>5</v>
          </cell>
        </row>
        <row r="410">
          <cell r="B410" t="str">
            <v>EMMC</v>
          </cell>
          <cell r="C410" t="str">
            <v>HSLB10447</v>
          </cell>
          <cell r="D410">
            <v>103051</v>
          </cell>
          <cell r="E410" t="str">
            <v>Vitrina Postres</v>
          </cell>
          <cell r="F410" t="str">
            <v>NO</v>
          </cell>
          <cell r="G410" t="str">
            <v>SI</v>
          </cell>
          <cell r="H410" t="str">
            <v>AREA AUTOSERVICIO</v>
          </cell>
          <cell r="I410">
            <v>1</v>
          </cell>
          <cell r="J410" t="str">
            <v>E.3.4</v>
          </cell>
          <cell r="K410" t="str">
            <v>Comedor para Funcionarios y Público</v>
          </cell>
          <cell r="L410">
            <v>2</v>
          </cell>
          <cell r="M410">
            <v>46003</v>
          </cell>
          <cell r="N410">
            <v>46006</v>
          </cell>
          <cell r="O410">
            <v>1</v>
          </cell>
          <cell r="P410">
            <v>46008</v>
          </cell>
          <cell r="Q410">
            <v>5</v>
          </cell>
          <cell r="R410" t="str">
            <v>NA</v>
          </cell>
          <cell r="S410">
            <v>5</v>
          </cell>
        </row>
        <row r="411">
          <cell r="B411" t="str">
            <v>EMMC</v>
          </cell>
          <cell r="C411" t="str">
            <v>HSLB12899</v>
          </cell>
          <cell r="D411">
            <v>114011</v>
          </cell>
          <cell r="E411" t="str">
            <v>Ultrasonido Dental</v>
          </cell>
          <cell r="F411" t="str">
            <v>NO</v>
          </cell>
          <cell r="G411" t="str">
            <v>NO</v>
          </cell>
          <cell r="H411" t="str">
            <v>BOX DENTAL POLIFUNCIONAL(6)</v>
          </cell>
          <cell r="I411">
            <v>1</v>
          </cell>
          <cell r="J411" t="str">
            <v>C.2.2.4.7.6</v>
          </cell>
          <cell r="K411" t="str">
            <v>Odontología</v>
          </cell>
          <cell r="L411">
            <v>2</v>
          </cell>
          <cell r="M411">
            <v>46010</v>
          </cell>
          <cell r="N411">
            <v>46013</v>
          </cell>
          <cell r="O411">
            <v>1</v>
          </cell>
          <cell r="P411">
            <v>46014</v>
          </cell>
          <cell r="Q411">
            <v>5</v>
          </cell>
          <cell r="R411" t="str">
            <v>NA</v>
          </cell>
          <cell r="S411">
            <v>5</v>
          </cell>
        </row>
        <row r="412">
          <cell r="B412" t="str">
            <v>EMMC</v>
          </cell>
          <cell r="C412" t="str">
            <v>HSLB10067</v>
          </cell>
          <cell r="D412">
            <v>102015</v>
          </cell>
          <cell r="E412" t="str">
            <v>Cistoscopio</v>
          </cell>
          <cell r="F412" t="str">
            <v>NO</v>
          </cell>
          <cell r="G412" t="str">
            <v>NO</v>
          </cell>
          <cell r="H412" t="str">
            <v>SALA PROCEDIMIENTOS ENDOSCOPÍA INDIFERENCIADO</v>
          </cell>
          <cell r="I412">
            <v>4</v>
          </cell>
          <cell r="J412" t="str">
            <v>C.2.2.3.14.1</v>
          </cell>
          <cell r="K412" t="str">
            <v>Consultas Medicas Especialidades</v>
          </cell>
          <cell r="L412">
            <v>2</v>
          </cell>
          <cell r="M412">
            <v>46038</v>
          </cell>
          <cell r="N412">
            <v>46041</v>
          </cell>
          <cell r="O412">
            <v>1</v>
          </cell>
          <cell r="P412">
            <v>46042</v>
          </cell>
          <cell r="Q412">
            <v>5</v>
          </cell>
          <cell r="R412" t="str">
            <v>NA</v>
          </cell>
          <cell r="S412">
            <v>5</v>
          </cell>
        </row>
        <row r="413">
          <cell r="B413" t="str">
            <v>EMMC</v>
          </cell>
          <cell r="C413" t="str">
            <v>HSLB11323</v>
          </cell>
          <cell r="D413">
            <v>110001</v>
          </cell>
          <cell r="E413" t="str">
            <v>Agitador de Plaquetas con Incubador</v>
          </cell>
          <cell r="F413" t="str">
            <v>NO</v>
          </cell>
          <cell r="G413" t="str">
            <v>NO</v>
          </cell>
          <cell r="H413" t="str">
            <v>OFICINA TECNOLOGO</v>
          </cell>
          <cell r="I413">
            <v>1</v>
          </cell>
          <cell r="J413" t="str">
            <v>C.5.2.33</v>
          </cell>
          <cell r="K413" t="str">
            <v>Laboratorio UMT</v>
          </cell>
          <cell r="L413">
            <v>2</v>
          </cell>
          <cell r="M413">
            <v>46024</v>
          </cell>
          <cell r="N413">
            <v>46027</v>
          </cell>
          <cell r="O413">
            <v>1</v>
          </cell>
          <cell r="P413">
            <v>46028</v>
          </cell>
          <cell r="Q413">
            <v>5</v>
          </cell>
          <cell r="R413" t="str">
            <v>NA</v>
          </cell>
          <cell r="S413">
            <v>5</v>
          </cell>
        </row>
        <row r="414">
          <cell r="B414" t="str">
            <v>EMMC</v>
          </cell>
          <cell r="C414" t="str">
            <v>HSLB11325</v>
          </cell>
          <cell r="D414">
            <v>110003</v>
          </cell>
          <cell r="E414" t="str">
            <v>Agitador Orbital</v>
          </cell>
          <cell r="F414" t="str">
            <v>NO</v>
          </cell>
          <cell r="G414" t="str">
            <v>NO</v>
          </cell>
          <cell r="H414" t="str">
            <v>SECCIÓN HEMATOLOGÍA Y COAGULACIÓN</v>
          </cell>
          <cell r="I414">
            <v>1</v>
          </cell>
          <cell r="J414" t="str">
            <v>C.5.2.18</v>
          </cell>
          <cell r="K414" t="str">
            <v>Laboratorio</v>
          </cell>
          <cell r="L414">
            <v>2</v>
          </cell>
          <cell r="M414">
            <v>46024</v>
          </cell>
          <cell r="N414">
            <v>46027</v>
          </cell>
          <cell r="O414">
            <v>1</v>
          </cell>
          <cell r="P414">
            <v>46028</v>
          </cell>
          <cell r="Q414">
            <v>5</v>
          </cell>
          <cell r="R414" t="str">
            <v>NA</v>
          </cell>
          <cell r="S414">
            <v>5</v>
          </cell>
        </row>
        <row r="415">
          <cell r="B415" t="str">
            <v>EMMC</v>
          </cell>
          <cell r="C415" t="str">
            <v>HSLB11326</v>
          </cell>
          <cell r="D415">
            <v>110004</v>
          </cell>
          <cell r="E415" t="str">
            <v>Agitador Orbital VDRL</v>
          </cell>
          <cell r="F415" t="str">
            <v>NO</v>
          </cell>
          <cell r="G415" t="str">
            <v>NO</v>
          </cell>
          <cell r="H415" t="str">
            <v>SECCIÓN VDRL</v>
          </cell>
          <cell r="I415">
            <v>1</v>
          </cell>
          <cell r="J415" t="str">
            <v>C.5.2.25</v>
          </cell>
          <cell r="K415" t="str">
            <v>Laboratorio</v>
          </cell>
          <cell r="L415">
            <v>2</v>
          </cell>
          <cell r="M415">
            <v>46024</v>
          </cell>
          <cell r="N415">
            <v>46027</v>
          </cell>
          <cell r="O415">
            <v>1</v>
          </cell>
          <cell r="P415">
            <v>46028</v>
          </cell>
          <cell r="Q415">
            <v>5</v>
          </cell>
          <cell r="R415" t="str">
            <v>NA</v>
          </cell>
          <cell r="S415">
            <v>5</v>
          </cell>
        </row>
        <row r="416">
          <cell r="B416" t="str">
            <v>EMMC</v>
          </cell>
          <cell r="C416" t="str">
            <v>HSLB11327</v>
          </cell>
          <cell r="D416">
            <v>110005</v>
          </cell>
          <cell r="E416" t="str">
            <v>Agitador Tubos Vortex</v>
          </cell>
          <cell r="F416" t="str">
            <v>NO</v>
          </cell>
          <cell r="G416" t="str">
            <v>NO</v>
          </cell>
          <cell r="H416" t="str">
            <v>SECCIÓN BACTERIOLOGÍA</v>
          </cell>
          <cell r="I416">
            <v>1</v>
          </cell>
          <cell r="J416" t="str">
            <v>C.5.2.23</v>
          </cell>
          <cell r="K416" t="str">
            <v>Laboratorio</v>
          </cell>
          <cell r="L416">
            <v>2</v>
          </cell>
          <cell r="M416">
            <v>46024</v>
          </cell>
          <cell r="N416">
            <v>46027</v>
          </cell>
          <cell r="O416">
            <v>1</v>
          </cell>
          <cell r="P416">
            <v>46028</v>
          </cell>
          <cell r="Q416">
            <v>5</v>
          </cell>
          <cell r="R416" t="str">
            <v>NA</v>
          </cell>
          <cell r="S416">
            <v>5</v>
          </cell>
        </row>
        <row r="417">
          <cell r="B417" t="str">
            <v>EMMC</v>
          </cell>
          <cell r="C417" t="str">
            <v>HSLB11328</v>
          </cell>
          <cell r="D417">
            <v>110005</v>
          </cell>
          <cell r="E417" t="str">
            <v>Agitador Tubos Vortex</v>
          </cell>
          <cell r="F417" t="str">
            <v>NO</v>
          </cell>
          <cell r="G417" t="str">
            <v>NO</v>
          </cell>
          <cell r="H417" t="str">
            <v>SECCIÓN VDRL</v>
          </cell>
          <cell r="I417">
            <v>1</v>
          </cell>
          <cell r="J417" t="str">
            <v>C.5.2.25</v>
          </cell>
          <cell r="K417" t="str">
            <v>Laboratorio</v>
          </cell>
          <cell r="L417">
            <v>2</v>
          </cell>
          <cell r="M417">
            <v>46024</v>
          </cell>
          <cell r="N417">
            <v>46027</v>
          </cell>
          <cell r="O417">
            <v>1</v>
          </cell>
          <cell r="P417">
            <v>46028</v>
          </cell>
          <cell r="Q417">
            <v>5</v>
          </cell>
          <cell r="R417" t="str">
            <v>NA</v>
          </cell>
          <cell r="S417">
            <v>5</v>
          </cell>
        </row>
        <row r="418">
          <cell r="B418" t="str">
            <v>EMMC</v>
          </cell>
          <cell r="C418" t="str">
            <v>HSLB11329</v>
          </cell>
          <cell r="D418">
            <v>110005</v>
          </cell>
          <cell r="E418" t="str">
            <v>Agitador Tubos Vortex</v>
          </cell>
          <cell r="F418" t="str">
            <v>NO</v>
          </cell>
          <cell r="G418" t="str">
            <v>SI</v>
          </cell>
          <cell r="H418" t="str">
            <v>SECCIÓN BACILOSCOPÍA Y TBC</v>
          </cell>
          <cell r="I418">
            <v>1</v>
          </cell>
          <cell r="J418" t="str">
            <v>C.5.2.27</v>
          </cell>
          <cell r="K418" t="str">
            <v>Laboratorio</v>
          </cell>
          <cell r="L418">
            <v>2</v>
          </cell>
          <cell r="M418">
            <v>46003</v>
          </cell>
          <cell r="N418">
            <v>46006</v>
          </cell>
          <cell r="O418">
            <v>1</v>
          </cell>
          <cell r="P418">
            <v>46008</v>
          </cell>
          <cell r="Q418">
            <v>5</v>
          </cell>
          <cell r="R418" t="str">
            <v>NA</v>
          </cell>
          <cell r="S418">
            <v>5</v>
          </cell>
        </row>
        <row r="419">
          <cell r="B419" t="str">
            <v>EMMC</v>
          </cell>
          <cell r="C419" t="str">
            <v>HSLB11808</v>
          </cell>
          <cell r="D419">
            <v>112021</v>
          </cell>
          <cell r="E419" t="str">
            <v>Carro Curación</v>
          </cell>
          <cell r="F419" t="str">
            <v>NO</v>
          </cell>
          <cell r="G419" t="str">
            <v>NO</v>
          </cell>
          <cell r="H419" t="str">
            <v>SALA DE TRANSFUSIÓN AMBULATORIA</v>
          </cell>
          <cell r="I419">
            <v>1</v>
          </cell>
          <cell r="J419" t="str">
            <v>C.5.2.6</v>
          </cell>
          <cell r="K419" t="str">
            <v>Laboratorio UMT</v>
          </cell>
          <cell r="L419">
            <v>2</v>
          </cell>
          <cell r="M419">
            <v>46024</v>
          </cell>
          <cell r="N419">
            <v>46027</v>
          </cell>
          <cell r="O419">
            <v>1</v>
          </cell>
          <cell r="P419">
            <v>46028</v>
          </cell>
          <cell r="Q419">
            <v>5</v>
          </cell>
          <cell r="R419" t="str">
            <v>NA</v>
          </cell>
          <cell r="S419">
            <v>5</v>
          </cell>
        </row>
        <row r="420">
          <cell r="B420" t="str">
            <v>EMMC</v>
          </cell>
          <cell r="C420" t="str">
            <v>HSLB11902</v>
          </cell>
          <cell r="D420">
            <v>112036</v>
          </cell>
          <cell r="E420" t="str">
            <v>Carro Transporte Material Limpio</v>
          </cell>
          <cell r="F420" t="str">
            <v>NO</v>
          </cell>
          <cell r="G420" t="str">
            <v>NO</v>
          </cell>
          <cell r="H420" t="str">
            <v>DESPACHO MATERIAL LIMPIO</v>
          </cell>
          <cell r="I420">
            <v>1</v>
          </cell>
          <cell r="J420" t="str">
            <v>C.5.2.35</v>
          </cell>
          <cell r="K420" t="str">
            <v>Laboratorio</v>
          </cell>
          <cell r="L420">
            <v>2</v>
          </cell>
          <cell r="M420">
            <v>46024</v>
          </cell>
          <cell r="N420">
            <v>46027</v>
          </cell>
          <cell r="O420">
            <v>1</v>
          </cell>
          <cell r="P420">
            <v>46028</v>
          </cell>
          <cell r="Q420">
            <v>5</v>
          </cell>
          <cell r="R420" t="str">
            <v>NA</v>
          </cell>
          <cell r="S420">
            <v>5</v>
          </cell>
        </row>
        <row r="421">
          <cell r="B421" t="str">
            <v>EMMC</v>
          </cell>
          <cell r="C421" t="str">
            <v>HSLB11904</v>
          </cell>
          <cell r="D421">
            <v>112037</v>
          </cell>
          <cell r="E421" t="str">
            <v>Carro Transporte Material Sucio</v>
          </cell>
          <cell r="F421" t="str">
            <v>NO</v>
          </cell>
          <cell r="G421" t="str">
            <v>NO</v>
          </cell>
          <cell r="H421" t="str">
            <v>RECEPCION MATERIAL SUCIO</v>
          </cell>
          <cell r="I421">
            <v>1</v>
          </cell>
          <cell r="J421" t="str">
            <v>C.5.2.34</v>
          </cell>
          <cell r="K421" t="str">
            <v>Laboratorio</v>
          </cell>
          <cell r="L421">
            <v>2</v>
          </cell>
          <cell r="M421">
            <v>46024</v>
          </cell>
          <cell r="N421">
            <v>46027</v>
          </cell>
          <cell r="O421">
            <v>1</v>
          </cell>
          <cell r="P421">
            <v>46028</v>
          </cell>
          <cell r="Q421">
            <v>5</v>
          </cell>
          <cell r="R421" t="str">
            <v>NA</v>
          </cell>
          <cell r="S421">
            <v>5</v>
          </cell>
        </row>
        <row r="422">
          <cell r="B422" t="str">
            <v>EMMC</v>
          </cell>
          <cell r="C422" t="str">
            <v>HSLB10316</v>
          </cell>
          <cell r="D422">
            <v>103017</v>
          </cell>
          <cell r="E422" t="str">
            <v>Carro Utilitario</v>
          </cell>
          <cell r="F422" t="str">
            <v>NO</v>
          </cell>
          <cell r="G422" t="str">
            <v>NO</v>
          </cell>
          <cell r="H422" t="str">
            <v>SECCIÓN BACTERIOLOGÍA</v>
          </cell>
          <cell r="I422">
            <v>1</v>
          </cell>
          <cell r="J422" t="str">
            <v>C.5.2.23</v>
          </cell>
          <cell r="K422" t="str">
            <v>Laboratorio</v>
          </cell>
          <cell r="L422">
            <v>2</v>
          </cell>
          <cell r="M422">
            <v>46024</v>
          </cell>
          <cell r="N422">
            <v>46027</v>
          </cell>
          <cell r="O422">
            <v>1</v>
          </cell>
          <cell r="P422">
            <v>46028</v>
          </cell>
          <cell r="Q422">
            <v>5</v>
          </cell>
          <cell r="R422" t="str">
            <v>NA</v>
          </cell>
          <cell r="S422">
            <v>5</v>
          </cell>
        </row>
        <row r="423">
          <cell r="B423" t="str">
            <v>EMMC</v>
          </cell>
          <cell r="C423" t="str">
            <v>HSLB10317</v>
          </cell>
          <cell r="D423">
            <v>103017</v>
          </cell>
          <cell r="E423" t="str">
            <v>Carro Utilitario</v>
          </cell>
          <cell r="F423" t="str">
            <v>NO</v>
          </cell>
          <cell r="G423" t="str">
            <v>NO</v>
          </cell>
          <cell r="H423" t="str">
            <v>RECEPCIÓN HEMOCOMPONENTES</v>
          </cell>
          <cell r="I423">
            <v>1</v>
          </cell>
          <cell r="J423" t="str">
            <v>C.5.2.30</v>
          </cell>
          <cell r="K423" t="str">
            <v>Laboratorio UMT</v>
          </cell>
          <cell r="L423">
            <v>2</v>
          </cell>
          <cell r="M423">
            <v>46024</v>
          </cell>
          <cell r="N423">
            <v>46027</v>
          </cell>
          <cell r="O423">
            <v>1</v>
          </cell>
          <cell r="P423">
            <v>46028</v>
          </cell>
          <cell r="Q423">
            <v>5</v>
          </cell>
          <cell r="R423" t="str">
            <v>NA</v>
          </cell>
          <cell r="S423">
            <v>5</v>
          </cell>
        </row>
        <row r="424">
          <cell r="B424" t="str">
            <v>EMMC</v>
          </cell>
          <cell r="C424" t="str">
            <v>HSLB10805</v>
          </cell>
          <cell r="D424">
            <v>106007</v>
          </cell>
          <cell r="E424" t="str">
            <v>Hervidor Eléctrico</v>
          </cell>
          <cell r="F424" t="str">
            <v>NO</v>
          </cell>
          <cell r="G424" t="str">
            <v>NO</v>
          </cell>
          <cell r="H424" t="str">
            <v>ESTAR PERSONAL C/ KITCHENETTE</v>
          </cell>
          <cell r="I424">
            <v>1</v>
          </cell>
          <cell r="J424" t="str">
            <v>C.5.2.14</v>
          </cell>
          <cell r="K424" t="str">
            <v>Laboratorio</v>
          </cell>
          <cell r="L424">
            <v>2</v>
          </cell>
          <cell r="M424">
            <v>46024</v>
          </cell>
          <cell r="N424">
            <v>46027</v>
          </cell>
          <cell r="O424">
            <v>1</v>
          </cell>
          <cell r="P424">
            <v>46028</v>
          </cell>
          <cell r="Q424">
            <v>5</v>
          </cell>
          <cell r="R424" t="str">
            <v>NA</v>
          </cell>
          <cell r="S424">
            <v>5</v>
          </cell>
        </row>
        <row r="425">
          <cell r="B425" t="str">
            <v>EMMC</v>
          </cell>
          <cell r="C425" t="str">
            <v>HSLB10858</v>
          </cell>
          <cell r="D425">
            <v>106010</v>
          </cell>
          <cell r="E425" t="str">
            <v>Microondas</v>
          </cell>
          <cell r="F425" t="str">
            <v>NO</v>
          </cell>
          <cell r="G425" t="str">
            <v>NO</v>
          </cell>
          <cell r="H425" t="str">
            <v>ESTAR PERSONAL C/ KITCHENETTE</v>
          </cell>
          <cell r="I425">
            <v>1</v>
          </cell>
          <cell r="J425" t="str">
            <v>C.5.2.14</v>
          </cell>
          <cell r="K425" t="str">
            <v>Laboratorio</v>
          </cell>
          <cell r="L425">
            <v>2</v>
          </cell>
          <cell r="M425">
            <v>46024</v>
          </cell>
          <cell r="N425">
            <v>46027</v>
          </cell>
          <cell r="O425">
            <v>1</v>
          </cell>
          <cell r="P425">
            <v>46028</v>
          </cell>
          <cell r="Q425">
            <v>5</v>
          </cell>
          <cell r="R425" t="str">
            <v>NA</v>
          </cell>
          <cell r="S425">
            <v>5</v>
          </cell>
        </row>
        <row r="426">
          <cell r="B426" t="str">
            <v>EMMC</v>
          </cell>
          <cell r="C426" t="str">
            <v>HSLB11393</v>
          </cell>
          <cell r="D426">
            <v>110040</v>
          </cell>
          <cell r="E426" t="str">
            <v>Piano Contador de Células</v>
          </cell>
          <cell r="F426" t="str">
            <v>NO</v>
          </cell>
          <cell r="G426" t="str">
            <v>NO</v>
          </cell>
          <cell r="H426" t="str">
            <v>SECCIÓN HEMATOLOGÍA Y COAGULACIÓN</v>
          </cell>
          <cell r="I426">
            <v>2</v>
          </cell>
          <cell r="J426" t="str">
            <v>C.5.2.18</v>
          </cell>
          <cell r="K426" t="str">
            <v>Laboratorio</v>
          </cell>
          <cell r="L426">
            <v>2</v>
          </cell>
          <cell r="M426">
            <v>46024</v>
          </cell>
          <cell r="N426">
            <v>46027</v>
          </cell>
          <cell r="O426">
            <v>1</v>
          </cell>
          <cell r="P426">
            <v>46028</v>
          </cell>
          <cell r="Q426">
            <v>5</v>
          </cell>
          <cell r="R426" t="str">
            <v>NA</v>
          </cell>
          <cell r="S426">
            <v>5</v>
          </cell>
        </row>
        <row r="427">
          <cell r="B427" t="str">
            <v>EMMC</v>
          </cell>
          <cell r="C427" t="str">
            <v>HSLB10913</v>
          </cell>
          <cell r="D427">
            <v>106013</v>
          </cell>
          <cell r="E427" t="str">
            <v>Proyector</v>
          </cell>
          <cell r="F427" t="str">
            <v>NO</v>
          </cell>
          <cell r="G427" t="str">
            <v>NO</v>
          </cell>
          <cell r="H427" t="str">
            <v>SALA DE ESPERA SECUNDARIA Y REUNIONES</v>
          </cell>
          <cell r="I427">
            <v>1</v>
          </cell>
          <cell r="J427" t="str">
            <v>C.5.2.10</v>
          </cell>
          <cell r="K427" t="str">
            <v>Laboratorio</v>
          </cell>
          <cell r="L427">
            <v>2</v>
          </cell>
          <cell r="M427">
            <v>46024</v>
          </cell>
          <cell r="N427">
            <v>46027</v>
          </cell>
          <cell r="O427">
            <v>1</v>
          </cell>
          <cell r="P427">
            <v>46028</v>
          </cell>
          <cell r="Q427">
            <v>5</v>
          </cell>
          <cell r="R427" t="str">
            <v>NA</v>
          </cell>
          <cell r="S427">
            <v>5</v>
          </cell>
        </row>
        <row r="428">
          <cell r="B428" t="str">
            <v>EMMC</v>
          </cell>
          <cell r="C428" t="str">
            <v>HSLB11436</v>
          </cell>
          <cell r="D428">
            <v>110054</v>
          </cell>
          <cell r="E428" t="str">
            <v>Secador de Láminas</v>
          </cell>
          <cell r="F428" t="str">
            <v>NO</v>
          </cell>
          <cell r="G428" t="str">
            <v>NO</v>
          </cell>
          <cell r="H428" t="str">
            <v>INMUNOFLUORECENCIA Y VIROLOGÍA</v>
          </cell>
          <cell r="I428">
            <v>1</v>
          </cell>
          <cell r="J428" t="str">
            <v>C.5.2.26</v>
          </cell>
          <cell r="K428" t="str">
            <v>Laboratorio</v>
          </cell>
          <cell r="L428">
            <v>2</v>
          </cell>
          <cell r="M428">
            <v>46024</v>
          </cell>
          <cell r="N428">
            <v>46027</v>
          </cell>
          <cell r="O428">
            <v>1</v>
          </cell>
          <cell r="P428">
            <v>46028</v>
          </cell>
          <cell r="Q428">
            <v>5</v>
          </cell>
          <cell r="R428" t="str">
            <v>NA</v>
          </cell>
          <cell r="S428">
            <v>5</v>
          </cell>
        </row>
        <row r="429">
          <cell r="B429" t="str">
            <v>EMMC</v>
          </cell>
          <cell r="C429" t="str">
            <v>HSLB11034</v>
          </cell>
          <cell r="D429">
            <v>106019</v>
          </cell>
          <cell r="E429" t="str">
            <v>Televisor 32'</v>
          </cell>
          <cell r="F429" t="str">
            <v>NO</v>
          </cell>
          <cell r="G429" t="str">
            <v>NO</v>
          </cell>
          <cell r="H429" t="str">
            <v>SALA DE TRANSFUSIÓN AMBULATORIA</v>
          </cell>
          <cell r="I429">
            <v>1</v>
          </cell>
          <cell r="J429" t="str">
            <v>C.5.2.6</v>
          </cell>
          <cell r="K429" t="str">
            <v>Laboratorio UMT</v>
          </cell>
          <cell r="L429">
            <v>2</v>
          </cell>
          <cell r="M429">
            <v>46024</v>
          </cell>
          <cell r="N429">
            <v>46027</v>
          </cell>
          <cell r="O429">
            <v>1</v>
          </cell>
          <cell r="P429">
            <v>46028</v>
          </cell>
          <cell r="Q429">
            <v>5</v>
          </cell>
          <cell r="R429" t="str">
            <v>NA</v>
          </cell>
          <cell r="S429">
            <v>5</v>
          </cell>
        </row>
        <row r="430">
          <cell r="B430" t="str">
            <v>EMMC</v>
          </cell>
          <cell r="C430" t="str">
            <v>HSLB11073</v>
          </cell>
          <cell r="D430">
            <v>106020</v>
          </cell>
          <cell r="E430" t="str">
            <v>Televisor 42'</v>
          </cell>
          <cell r="F430" t="str">
            <v>NO</v>
          </cell>
          <cell r="G430" t="str">
            <v>NO</v>
          </cell>
          <cell r="H430" t="str">
            <v>SALA DE ESPERA SECUNDARIA Y REUNIONES</v>
          </cell>
          <cell r="I430">
            <v>1</v>
          </cell>
          <cell r="J430" t="str">
            <v>C.5.2.10</v>
          </cell>
          <cell r="K430" t="str">
            <v>Laboratorio</v>
          </cell>
          <cell r="L430">
            <v>2</v>
          </cell>
          <cell r="M430">
            <v>46024</v>
          </cell>
          <cell r="N430">
            <v>46027</v>
          </cell>
          <cell r="O430">
            <v>1</v>
          </cell>
          <cell r="P430">
            <v>46028</v>
          </cell>
          <cell r="Q430">
            <v>5</v>
          </cell>
          <cell r="R430" t="str">
            <v>NA</v>
          </cell>
          <cell r="S430">
            <v>5</v>
          </cell>
        </row>
        <row r="431">
          <cell r="B431" t="str">
            <v>EMMC</v>
          </cell>
          <cell r="C431" t="str">
            <v>HSLB11100</v>
          </cell>
          <cell r="D431">
            <v>106021</v>
          </cell>
          <cell r="E431" t="str">
            <v>Telón</v>
          </cell>
          <cell r="F431" t="str">
            <v>NO</v>
          </cell>
          <cell r="G431" t="str">
            <v>NO</v>
          </cell>
          <cell r="H431" t="str">
            <v>SALA DE ESPERA SECUNDARIA Y REUNIONES</v>
          </cell>
          <cell r="I431">
            <v>1</v>
          </cell>
          <cell r="J431" t="str">
            <v>C.5.2.10</v>
          </cell>
          <cell r="K431" t="str">
            <v>Laboratorio</v>
          </cell>
          <cell r="L431">
            <v>2</v>
          </cell>
          <cell r="M431">
            <v>46024</v>
          </cell>
          <cell r="N431">
            <v>46027</v>
          </cell>
          <cell r="O431">
            <v>1</v>
          </cell>
          <cell r="P431">
            <v>46028</v>
          </cell>
          <cell r="Q431">
            <v>5</v>
          </cell>
          <cell r="R431" t="str">
            <v>NA</v>
          </cell>
          <cell r="S431">
            <v>5</v>
          </cell>
        </row>
        <row r="432">
          <cell r="B432" t="str">
            <v>EMMC</v>
          </cell>
          <cell r="C432" t="str">
            <v>HSLB11404</v>
          </cell>
          <cell r="D432">
            <v>110048</v>
          </cell>
          <cell r="E432" t="str">
            <v>Refrigerador Clínico 300 l</v>
          </cell>
          <cell r="F432" t="str">
            <v>NO</v>
          </cell>
          <cell r="G432" t="str">
            <v>NO</v>
          </cell>
          <cell r="H432" t="str">
            <v>BODEGA VACUNAS</v>
          </cell>
          <cell r="I432">
            <v>1</v>
          </cell>
          <cell r="J432" t="str">
            <v>C.2.2.3.18.2</v>
          </cell>
          <cell r="K432" t="str">
            <v>Consultas Medicas Especialidades</v>
          </cell>
          <cell r="L432">
            <v>2</v>
          </cell>
          <cell r="M432">
            <v>46038</v>
          </cell>
          <cell r="N432">
            <v>46041</v>
          </cell>
          <cell r="O432">
            <v>1</v>
          </cell>
          <cell r="P432">
            <v>46042</v>
          </cell>
          <cell r="Q432">
            <v>5</v>
          </cell>
          <cell r="R432" t="str">
            <v>NA</v>
          </cell>
          <cell r="S432">
            <v>5</v>
          </cell>
        </row>
        <row r="433">
          <cell r="B433" t="str">
            <v>EMMC</v>
          </cell>
          <cell r="C433" t="str">
            <v>HSLB12900</v>
          </cell>
          <cell r="D433">
            <v>114011</v>
          </cell>
          <cell r="E433" t="str">
            <v>Ultrasonido Dental</v>
          </cell>
          <cell r="F433" t="str">
            <v>NO</v>
          </cell>
          <cell r="G433" t="str">
            <v>NO</v>
          </cell>
          <cell r="H433" t="str">
            <v>BOX DENTAL POLIFUNCIONAL(7)</v>
          </cell>
          <cell r="I433">
            <v>1</v>
          </cell>
          <cell r="J433" t="str">
            <v>C.2.2.4.7.7</v>
          </cell>
          <cell r="K433" t="str">
            <v>Odontología</v>
          </cell>
          <cell r="L433">
            <v>2</v>
          </cell>
          <cell r="M433">
            <v>46010</v>
          </cell>
          <cell r="N433">
            <v>46013</v>
          </cell>
          <cell r="O433">
            <v>1</v>
          </cell>
          <cell r="P433">
            <v>46014</v>
          </cell>
          <cell r="Q433">
            <v>5</v>
          </cell>
          <cell r="R433" t="str">
            <v>NA</v>
          </cell>
          <cell r="S433">
            <v>5</v>
          </cell>
        </row>
        <row r="434">
          <cell r="B434" t="str">
            <v>EMMC</v>
          </cell>
          <cell r="C434" t="str">
            <v>HSLB10010</v>
          </cell>
          <cell r="D434">
            <v>101005</v>
          </cell>
          <cell r="E434" t="str">
            <v>Balanza Adulto con Tallímetro</v>
          </cell>
          <cell r="F434" t="str">
            <v>NO</v>
          </cell>
          <cell r="G434" t="str">
            <v>NO</v>
          </cell>
          <cell r="H434" t="str">
            <v>BOX ENFERMERA SALUD MENTAL</v>
          </cell>
          <cell r="I434">
            <v>1</v>
          </cell>
          <cell r="J434" t="str">
            <v>C.2.5.2.10</v>
          </cell>
          <cell r="K434" t="str">
            <v>Psiquiatría</v>
          </cell>
          <cell r="L434">
            <v>2</v>
          </cell>
          <cell r="M434">
            <v>46015</v>
          </cell>
          <cell r="N434">
            <v>46017</v>
          </cell>
          <cell r="O434">
            <v>1</v>
          </cell>
          <cell r="P434">
            <v>46020</v>
          </cell>
          <cell r="Q434">
            <v>5</v>
          </cell>
          <cell r="R434" t="str">
            <v>NA</v>
          </cell>
          <cell r="S434">
            <v>5</v>
          </cell>
        </row>
        <row r="435">
          <cell r="B435" t="str">
            <v>EMMC</v>
          </cell>
          <cell r="C435" t="str">
            <v>HSLB10011</v>
          </cell>
          <cell r="D435">
            <v>101005</v>
          </cell>
          <cell r="E435" t="str">
            <v>Balanza Adulto con Tallímetro</v>
          </cell>
          <cell r="F435" t="str">
            <v>NO</v>
          </cell>
          <cell r="G435" t="str">
            <v>NO</v>
          </cell>
          <cell r="H435" t="str">
            <v>BOX ENFERMERA INFANTO JUVENIL</v>
          </cell>
          <cell r="I435">
            <v>1</v>
          </cell>
          <cell r="J435" t="str">
            <v>C.2.5.2.20</v>
          </cell>
          <cell r="K435" t="str">
            <v>Psiquiatría</v>
          </cell>
          <cell r="L435">
            <v>2</v>
          </cell>
          <cell r="M435">
            <v>46015</v>
          </cell>
          <cell r="N435">
            <v>46017</v>
          </cell>
          <cell r="O435">
            <v>1</v>
          </cell>
          <cell r="P435">
            <v>46020</v>
          </cell>
          <cell r="Q435">
            <v>5</v>
          </cell>
          <cell r="R435" t="str">
            <v>NA</v>
          </cell>
          <cell r="S435">
            <v>5</v>
          </cell>
        </row>
        <row r="436">
          <cell r="B436" t="str">
            <v>EMMC</v>
          </cell>
          <cell r="C436" t="str">
            <v>HSLB10015</v>
          </cell>
          <cell r="D436">
            <v>101005</v>
          </cell>
          <cell r="E436" t="str">
            <v>Balanza Adulto con Tallímetro</v>
          </cell>
          <cell r="F436" t="str">
            <v>NO</v>
          </cell>
          <cell r="G436" t="str">
            <v>NO</v>
          </cell>
          <cell r="H436" t="str">
            <v xml:space="preserve">BOX 2 MULTIPROPOSITO </v>
          </cell>
          <cell r="I436">
            <v>1</v>
          </cell>
          <cell r="J436" t="str">
            <v>C.2.5.4.11.1</v>
          </cell>
          <cell r="K436" t="str">
            <v>Psiquiatría</v>
          </cell>
          <cell r="L436">
            <v>2</v>
          </cell>
          <cell r="M436">
            <v>46015</v>
          </cell>
          <cell r="N436">
            <v>46017</v>
          </cell>
          <cell r="O436">
            <v>1</v>
          </cell>
          <cell r="P436">
            <v>46020</v>
          </cell>
          <cell r="Q436">
            <v>5</v>
          </cell>
          <cell r="R436" t="str">
            <v>NA</v>
          </cell>
          <cell r="S436">
            <v>5</v>
          </cell>
        </row>
        <row r="437">
          <cell r="B437" t="str">
            <v>EMMC</v>
          </cell>
          <cell r="C437" t="str">
            <v>HSLB10016</v>
          </cell>
          <cell r="D437">
            <v>101005</v>
          </cell>
          <cell r="E437" t="str">
            <v>Balanza Adulto con Tallímetro</v>
          </cell>
          <cell r="F437" t="str">
            <v>NO</v>
          </cell>
          <cell r="G437" t="str">
            <v>NO</v>
          </cell>
          <cell r="H437" t="str">
            <v>SALA DE PROCEDIMIENTO</v>
          </cell>
          <cell r="I437">
            <v>1</v>
          </cell>
          <cell r="J437" t="str">
            <v>C.2.5.4.13</v>
          </cell>
          <cell r="K437" t="str">
            <v>Psiquiatría</v>
          </cell>
          <cell r="L437">
            <v>2</v>
          </cell>
          <cell r="M437">
            <v>46015</v>
          </cell>
          <cell r="N437">
            <v>46017</v>
          </cell>
          <cell r="O437">
            <v>1</v>
          </cell>
          <cell r="P437">
            <v>46020</v>
          </cell>
          <cell r="Q437">
            <v>5</v>
          </cell>
          <cell r="R437" t="str">
            <v>NA</v>
          </cell>
          <cell r="S437">
            <v>5</v>
          </cell>
        </row>
        <row r="438">
          <cell r="B438" t="str">
            <v>EMMC</v>
          </cell>
          <cell r="C438" t="str">
            <v>HSLB10065</v>
          </cell>
          <cell r="D438">
            <v>101018</v>
          </cell>
          <cell r="E438" t="str">
            <v>Cámara Silente</v>
          </cell>
          <cell r="F438" t="str">
            <v>NO</v>
          </cell>
          <cell r="G438" t="str">
            <v>NO</v>
          </cell>
          <cell r="H438" t="str">
            <v>SALA PROCEDIMIENTOS OTORRINO ESTUDIOS AUDITIVOS</v>
          </cell>
          <cell r="I438">
            <v>1</v>
          </cell>
          <cell r="J438" t="str">
            <v>C.2.2.3.8</v>
          </cell>
          <cell r="K438" t="str">
            <v>Consultas Medicas Especialidades</v>
          </cell>
          <cell r="L438">
            <v>2</v>
          </cell>
          <cell r="M438">
            <v>46038</v>
          </cell>
          <cell r="N438">
            <v>46041</v>
          </cell>
          <cell r="O438">
            <v>1</v>
          </cell>
          <cell r="P438">
            <v>46042</v>
          </cell>
          <cell r="Q438">
            <v>5</v>
          </cell>
          <cell r="R438" t="str">
            <v>NA</v>
          </cell>
          <cell r="S438">
            <v>5</v>
          </cell>
        </row>
        <row r="439">
          <cell r="B439" t="str">
            <v>EMMC</v>
          </cell>
          <cell r="C439" t="str">
            <v>HSLB11667</v>
          </cell>
          <cell r="D439">
            <v>112009</v>
          </cell>
          <cell r="E439" t="str">
            <v>Camilla Examen Ajustable en Altura</v>
          </cell>
          <cell r="F439" t="str">
            <v>NO</v>
          </cell>
          <cell r="G439" t="str">
            <v>NO</v>
          </cell>
          <cell r="H439" t="str">
            <v>TOMA DE MUESTRA PEDIÁTRICA (1CUPO)</v>
          </cell>
          <cell r="I439">
            <v>1</v>
          </cell>
          <cell r="J439" t="str">
            <v>C.5.2.4.5</v>
          </cell>
          <cell r="K439" t="str">
            <v>Toma de muestras</v>
          </cell>
          <cell r="L439">
            <v>2</v>
          </cell>
          <cell r="M439">
            <v>46038</v>
          </cell>
          <cell r="N439">
            <v>46041</v>
          </cell>
          <cell r="O439">
            <v>1</v>
          </cell>
          <cell r="P439">
            <v>46042</v>
          </cell>
          <cell r="Q439">
            <v>5</v>
          </cell>
          <cell r="R439" t="str">
            <v>NA</v>
          </cell>
          <cell r="S439">
            <v>5</v>
          </cell>
        </row>
        <row r="440">
          <cell r="B440" t="str">
            <v>EMMC</v>
          </cell>
          <cell r="C440" t="str">
            <v>HSLB11668</v>
          </cell>
          <cell r="D440">
            <v>112009</v>
          </cell>
          <cell r="E440" t="str">
            <v>Camilla Examen Ajustable en Altura</v>
          </cell>
          <cell r="F440" t="str">
            <v>NO</v>
          </cell>
          <cell r="G440" t="str">
            <v>NO</v>
          </cell>
          <cell r="H440" t="str">
            <v>TOMA DE MUESTRA PEDIÁTRICA (1CUPO)</v>
          </cell>
          <cell r="I440">
            <v>1</v>
          </cell>
          <cell r="J440" t="str">
            <v>C.5.2.4.6</v>
          </cell>
          <cell r="K440" t="str">
            <v>Toma de muestras</v>
          </cell>
          <cell r="L440">
            <v>2</v>
          </cell>
          <cell r="M440">
            <v>46038</v>
          </cell>
          <cell r="N440">
            <v>46041</v>
          </cell>
          <cell r="O440">
            <v>1</v>
          </cell>
          <cell r="P440">
            <v>46042</v>
          </cell>
          <cell r="Q440">
            <v>5</v>
          </cell>
          <cell r="R440" t="str">
            <v>NA</v>
          </cell>
          <cell r="S440">
            <v>5</v>
          </cell>
        </row>
        <row r="441">
          <cell r="B441" t="str">
            <v>EMMC</v>
          </cell>
          <cell r="C441" t="str">
            <v>HSLB11686</v>
          </cell>
          <cell r="D441">
            <v>112011</v>
          </cell>
          <cell r="E441" t="str">
            <v>Camilla Ginecológica Convertible</v>
          </cell>
          <cell r="F441" t="str">
            <v>NO</v>
          </cell>
          <cell r="G441" t="str">
            <v>SI</v>
          </cell>
          <cell r="H441" t="str">
            <v>TOMA DE MUESTRA URGO GINE</v>
          </cell>
          <cell r="I441">
            <v>1</v>
          </cell>
          <cell r="J441" t="str">
            <v>C.5.2.4.7</v>
          </cell>
          <cell r="K441" t="str">
            <v>Toma de muestras</v>
          </cell>
          <cell r="L441">
            <v>2</v>
          </cell>
          <cell r="M441">
            <v>46003</v>
          </cell>
          <cell r="N441">
            <v>46006</v>
          </cell>
          <cell r="O441">
            <v>1</v>
          </cell>
          <cell r="P441">
            <v>46008</v>
          </cell>
          <cell r="Q441">
            <v>5</v>
          </cell>
          <cell r="R441" t="str">
            <v>NA</v>
          </cell>
          <cell r="S441">
            <v>5</v>
          </cell>
        </row>
        <row r="442">
          <cell r="B442" t="str">
            <v>EMMC</v>
          </cell>
          <cell r="C442" t="str">
            <v>HSLB11705</v>
          </cell>
          <cell r="D442">
            <v>112016</v>
          </cell>
          <cell r="E442" t="str">
            <v>Camilla Transporte Paciente</v>
          </cell>
          <cell r="F442" t="str">
            <v>NO</v>
          </cell>
          <cell r="G442" t="str">
            <v>NO</v>
          </cell>
          <cell r="H442" t="str">
            <v>SALA TRABAJO GRUPAL ADULTO</v>
          </cell>
          <cell r="I442">
            <v>1</v>
          </cell>
          <cell r="J442" t="str">
            <v>C.2.5.2.16</v>
          </cell>
          <cell r="K442" t="str">
            <v>Psiquiatría</v>
          </cell>
          <cell r="L442">
            <v>2</v>
          </cell>
          <cell r="M442">
            <v>46015</v>
          </cell>
          <cell r="N442">
            <v>46017</v>
          </cell>
          <cell r="O442">
            <v>1</v>
          </cell>
          <cell r="P442">
            <v>46020</v>
          </cell>
          <cell r="Q442">
            <v>5</v>
          </cell>
          <cell r="R442" t="str">
            <v>NA</v>
          </cell>
          <cell r="S442">
            <v>5</v>
          </cell>
        </row>
        <row r="443">
          <cell r="B443" t="str">
            <v>EMMC</v>
          </cell>
          <cell r="C443" t="str">
            <v>HSLB11707</v>
          </cell>
          <cell r="D443">
            <v>112016</v>
          </cell>
          <cell r="E443" t="str">
            <v>Camilla Transporte Paciente</v>
          </cell>
          <cell r="F443" t="str">
            <v>NO</v>
          </cell>
          <cell r="G443" t="str">
            <v>NO</v>
          </cell>
          <cell r="H443" t="str">
            <v>SALA DE PROCEDIMIENTO</v>
          </cell>
          <cell r="I443">
            <v>1</v>
          </cell>
          <cell r="J443" t="str">
            <v>C.2.5.4.13</v>
          </cell>
          <cell r="K443" t="str">
            <v>Psiquiatría</v>
          </cell>
          <cell r="L443">
            <v>2</v>
          </cell>
          <cell r="M443">
            <v>46015</v>
          </cell>
          <cell r="N443">
            <v>46017</v>
          </cell>
          <cell r="O443">
            <v>1</v>
          </cell>
          <cell r="P443">
            <v>46020</v>
          </cell>
          <cell r="Q443">
            <v>5</v>
          </cell>
          <cell r="R443" t="str">
            <v>NA</v>
          </cell>
          <cell r="S443">
            <v>5</v>
          </cell>
        </row>
        <row r="444">
          <cell r="B444" t="str">
            <v>EMMC</v>
          </cell>
          <cell r="C444" t="str">
            <v>HSLB10339</v>
          </cell>
          <cell r="D444">
            <v>103024</v>
          </cell>
          <cell r="E444" t="str">
            <v>Encimera Eléctrica</v>
          </cell>
          <cell r="F444" t="str">
            <v>SI</v>
          </cell>
          <cell r="G444" t="str">
            <v>NO</v>
          </cell>
          <cell r="H444" t="str">
            <v>TALLER DE COCINA</v>
          </cell>
          <cell r="I444">
            <v>1</v>
          </cell>
          <cell r="J444" t="str">
            <v>C.2.5.2.14</v>
          </cell>
          <cell r="K444" t="str">
            <v>Psiquiatría</v>
          </cell>
          <cell r="L444">
            <v>2</v>
          </cell>
          <cell r="M444">
            <v>46048</v>
          </cell>
          <cell r="N444">
            <v>46049</v>
          </cell>
          <cell r="O444">
            <v>4</v>
          </cell>
          <cell r="P444">
            <v>46055</v>
          </cell>
          <cell r="Q444">
            <v>5</v>
          </cell>
          <cell r="R444" t="str">
            <v>NA</v>
          </cell>
          <cell r="S444">
            <v>5</v>
          </cell>
        </row>
        <row r="445">
          <cell r="B445" t="str">
            <v>EMMC</v>
          </cell>
          <cell r="C445" t="str">
            <v>HSLB10340</v>
          </cell>
          <cell r="D445">
            <v>103024</v>
          </cell>
          <cell r="E445" t="str">
            <v>Encimera Eléctrica</v>
          </cell>
          <cell r="F445" t="str">
            <v>SI</v>
          </cell>
          <cell r="G445" t="str">
            <v>SI</v>
          </cell>
          <cell r="H445" t="str">
            <v>SALA TRABAJO GRUPAL</v>
          </cell>
          <cell r="I445">
            <v>1</v>
          </cell>
          <cell r="J445" t="str">
            <v>C.2.5.2.22</v>
          </cell>
          <cell r="K445" t="str">
            <v>Psiquiatría</v>
          </cell>
          <cell r="L445">
            <v>2</v>
          </cell>
          <cell r="M445">
            <v>46003</v>
          </cell>
          <cell r="N445">
            <v>46006</v>
          </cell>
          <cell r="O445">
            <v>4</v>
          </cell>
          <cell r="P445">
            <v>46013</v>
          </cell>
          <cell r="Q445">
            <v>5</v>
          </cell>
          <cell r="R445" t="str">
            <v>NA</v>
          </cell>
          <cell r="S445">
            <v>5</v>
          </cell>
        </row>
        <row r="446">
          <cell r="B446" t="str">
            <v>EMMC</v>
          </cell>
          <cell r="C446" t="str">
            <v>HSLB10342</v>
          </cell>
          <cell r="D446">
            <v>103024</v>
          </cell>
          <cell r="E446" t="str">
            <v>Encimera Eléctrica</v>
          </cell>
          <cell r="F446" t="str">
            <v>SI</v>
          </cell>
          <cell r="G446" t="str">
            <v>NO</v>
          </cell>
          <cell r="H446" t="str">
            <v>ACT. DE LA VIDA DIARIA C/ KITCH Y REPOSTERO</v>
          </cell>
          <cell r="I446">
            <v>1</v>
          </cell>
          <cell r="J446" t="str">
            <v>C.2.5.4.18</v>
          </cell>
          <cell r="K446" t="str">
            <v>Psiquiatría</v>
          </cell>
          <cell r="L446">
            <v>2</v>
          </cell>
          <cell r="M446">
            <v>46048</v>
          </cell>
          <cell r="N446">
            <v>46049</v>
          </cell>
          <cell r="O446">
            <v>4</v>
          </cell>
          <cell r="P446">
            <v>46055</v>
          </cell>
          <cell r="Q446">
            <v>5</v>
          </cell>
          <cell r="R446" t="str">
            <v>NA</v>
          </cell>
          <cell r="S446">
            <v>5</v>
          </cell>
        </row>
        <row r="447">
          <cell r="B447" t="str">
            <v>EMMC</v>
          </cell>
          <cell r="C447" t="str">
            <v>HSLB11457</v>
          </cell>
          <cell r="D447">
            <v>111009</v>
          </cell>
          <cell r="E447" t="str">
            <v>Bicicleta estática</v>
          </cell>
          <cell r="F447" t="str">
            <v>NO</v>
          </cell>
          <cell r="G447" t="str">
            <v>NO</v>
          </cell>
          <cell r="H447" t="str">
            <v>PATIO CUBIERTO</v>
          </cell>
          <cell r="I447">
            <v>2</v>
          </cell>
          <cell r="J447" t="str">
            <v>C.2.5.4.20</v>
          </cell>
          <cell r="K447" t="str">
            <v>Psiquiatría</v>
          </cell>
          <cell r="L447">
            <v>2</v>
          </cell>
          <cell r="M447">
            <v>46015</v>
          </cell>
          <cell r="N447">
            <v>46017</v>
          </cell>
          <cell r="O447">
            <v>1</v>
          </cell>
          <cell r="P447">
            <v>46020</v>
          </cell>
          <cell r="Q447">
            <v>5</v>
          </cell>
          <cell r="R447" t="str">
            <v>NA</v>
          </cell>
          <cell r="S447">
            <v>5</v>
          </cell>
        </row>
        <row r="448">
          <cell r="B448" t="str">
            <v>EMMC</v>
          </cell>
          <cell r="C448" t="str">
            <v>HSLB12912</v>
          </cell>
          <cell r="D448">
            <v>101068</v>
          </cell>
          <cell r="E448" t="str">
            <v>Bolso Hospitalización Domiciliaria</v>
          </cell>
          <cell r="F448" t="str">
            <v>NO</v>
          </cell>
          <cell r="G448" t="str">
            <v>NO</v>
          </cell>
          <cell r="H448" t="str">
            <v>BODEGA DE EQUIPOS MEDICOS</v>
          </cell>
          <cell r="I448">
            <v>3</v>
          </cell>
          <cell r="J448" t="str">
            <v>C.3.3.9</v>
          </cell>
          <cell r="K448" t="str">
            <v>Atención Domiciliaria</v>
          </cell>
          <cell r="L448">
            <v>2</v>
          </cell>
          <cell r="M448">
            <v>46036</v>
          </cell>
          <cell r="N448">
            <v>46037</v>
          </cell>
          <cell r="O448">
            <v>1</v>
          </cell>
          <cell r="P448">
            <v>46038</v>
          </cell>
          <cell r="Q448">
            <v>5</v>
          </cell>
          <cell r="R448" t="str">
            <v>NA</v>
          </cell>
          <cell r="S448">
            <v>5</v>
          </cell>
        </row>
        <row r="449">
          <cell r="B449" t="str">
            <v>EMMC</v>
          </cell>
          <cell r="C449" t="str">
            <v>HSLB11628</v>
          </cell>
          <cell r="D449">
            <v>112008</v>
          </cell>
          <cell r="E449" t="str">
            <v>Camilla Examen</v>
          </cell>
          <cell r="F449" t="str">
            <v>NO</v>
          </cell>
          <cell r="G449" t="str">
            <v>NO</v>
          </cell>
          <cell r="H449" t="str">
            <v>BOX ENFERMERA SALUD MENTAL</v>
          </cell>
          <cell r="I449">
            <v>1</v>
          </cell>
          <cell r="J449" t="str">
            <v>C.2.5.2.10</v>
          </cell>
          <cell r="K449" t="str">
            <v>Psiquiatría</v>
          </cell>
          <cell r="L449">
            <v>2</v>
          </cell>
          <cell r="M449">
            <v>46015</v>
          </cell>
          <cell r="N449">
            <v>46017</v>
          </cell>
          <cell r="O449">
            <v>1</v>
          </cell>
          <cell r="P449">
            <v>46020</v>
          </cell>
          <cell r="Q449">
            <v>5</v>
          </cell>
          <cell r="R449" t="str">
            <v>NA</v>
          </cell>
          <cell r="S449">
            <v>5</v>
          </cell>
        </row>
        <row r="450">
          <cell r="B450" t="str">
            <v>EMMC</v>
          </cell>
          <cell r="C450" t="str">
            <v>HSLB11629</v>
          </cell>
          <cell r="D450">
            <v>112008</v>
          </cell>
          <cell r="E450" t="str">
            <v>Camilla Examen</v>
          </cell>
          <cell r="F450" t="str">
            <v>NO</v>
          </cell>
          <cell r="G450" t="str">
            <v>NO</v>
          </cell>
          <cell r="H450" t="str">
            <v>BOX PSIQUIATRÍA INFANTO JUVENIL</v>
          </cell>
          <cell r="I450">
            <v>1</v>
          </cell>
          <cell r="J450" t="str">
            <v>C.2.5.2.18</v>
          </cell>
          <cell r="K450" t="str">
            <v>Psiquiatría</v>
          </cell>
          <cell r="L450">
            <v>2</v>
          </cell>
          <cell r="M450">
            <v>46015</v>
          </cell>
          <cell r="N450">
            <v>46017</v>
          </cell>
          <cell r="O450">
            <v>1</v>
          </cell>
          <cell r="P450">
            <v>46020</v>
          </cell>
          <cell r="Q450">
            <v>5</v>
          </cell>
          <cell r="R450" t="str">
            <v>NA</v>
          </cell>
          <cell r="S450">
            <v>5</v>
          </cell>
        </row>
        <row r="451">
          <cell r="B451" t="str">
            <v>EMMC</v>
          </cell>
          <cell r="C451" t="str">
            <v>HSLB11630</v>
          </cell>
          <cell r="D451">
            <v>112008</v>
          </cell>
          <cell r="E451" t="str">
            <v>Camilla Examen</v>
          </cell>
          <cell r="F451" t="str">
            <v>NO</v>
          </cell>
          <cell r="G451" t="str">
            <v>NO</v>
          </cell>
          <cell r="H451" t="str">
            <v>BOX ENFERMERA INFANTO JUVENIL</v>
          </cell>
          <cell r="I451">
            <v>1</v>
          </cell>
          <cell r="J451" t="str">
            <v>C.2.5.2.20</v>
          </cell>
          <cell r="K451" t="str">
            <v>Psiquiatría</v>
          </cell>
          <cell r="L451">
            <v>2</v>
          </cell>
          <cell r="M451">
            <v>46015</v>
          </cell>
          <cell r="N451">
            <v>46017</v>
          </cell>
          <cell r="O451">
            <v>1</v>
          </cell>
          <cell r="P451">
            <v>46020</v>
          </cell>
          <cell r="Q451">
            <v>5</v>
          </cell>
          <cell r="R451" t="str">
            <v>NA</v>
          </cell>
          <cell r="S451">
            <v>5</v>
          </cell>
        </row>
        <row r="452">
          <cell r="B452" t="str">
            <v>EMMC</v>
          </cell>
          <cell r="C452" t="str">
            <v>HSLB11631</v>
          </cell>
          <cell r="D452">
            <v>112008</v>
          </cell>
          <cell r="E452" t="str">
            <v>Camilla Examen</v>
          </cell>
          <cell r="F452" t="str">
            <v>NO</v>
          </cell>
          <cell r="G452" t="str">
            <v>NO</v>
          </cell>
          <cell r="H452" t="str">
            <v>BOX PSIQUIATRÍA ADULTO</v>
          </cell>
          <cell r="I452">
            <v>1</v>
          </cell>
          <cell r="J452" t="str">
            <v>C.2.5.2.9.1</v>
          </cell>
          <cell r="K452" t="str">
            <v>Psiquiatría</v>
          </cell>
          <cell r="L452">
            <v>2</v>
          </cell>
          <cell r="M452">
            <v>46015</v>
          </cell>
          <cell r="N452">
            <v>46017</v>
          </cell>
          <cell r="O452">
            <v>1</v>
          </cell>
          <cell r="P452">
            <v>46020</v>
          </cell>
          <cell r="Q452">
            <v>5</v>
          </cell>
          <cell r="R452" t="str">
            <v>NA</v>
          </cell>
          <cell r="S452">
            <v>5</v>
          </cell>
        </row>
        <row r="453">
          <cell r="B453" t="str">
            <v>EMMC</v>
          </cell>
          <cell r="C453" t="str">
            <v>HSLB11632</v>
          </cell>
          <cell r="D453">
            <v>112008</v>
          </cell>
          <cell r="E453" t="str">
            <v>Camilla Examen</v>
          </cell>
          <cell r="F453" t="str">
            <v>NO</v>
          </cell>
          <cell r="G453" t="str">
            <v>NO</v>
          </cell>
          <cell r="H453" t="str">
            <v>BOX PSIQUIATRÍA ADULTO</v>
          </cell>
          <cell r="I453">
            <v>1</v>
          </cell>
          <cell r="J453" t="str">
            <v>C.2.5.2.9.2</v>
          </cell>
          <cell r="K453" t="str">
            <v>Psiquiatría</v>
          </cell>
          <cell r="L453">
            <v>2</v>
          </cell>
          <cell r="M453">
            <v>46015</v>
          </cell>
          <cell r="N453">
            <v>46017</v>
          </cell>
          <cell r="O453">
            <v>1</v>
          </cell>
          <cell r="P453">
            <v>46020</v>
          </cell>
          <cell r="Q453">
            <v>5</v>
          </cell>
          <cell r="R453" t="str">
            <v>NA</v>
          </cell>
          <cell r="S453">
            <v>5</v>
          </cell>
        </row>
        <row r="454">
          <cell r="B454" t="str">
            <v>EMMC</v>
          </cell>
          <cell r="C454" t="str">
            <v>HSLB11635</v>
          </cell>
          <cell r="D454">
            <v>112008</v>
          </cell>
          <cell r="E454" t="str">
            <v>Camilla Examen</v>
          </cell>
          <cell r="F454" t="str">
            <v>NO</v>
          </cell>
          <cell r="G454" t="str">
            <v>NO</v>
          </cell>
          <cell r="H454" t="str">
            <v xml:space="preserve">BOX ATENCIÓN </v>
          </cell>
          <cell r="I454">
            <v>1</v>
          </cell>
          <cell r="J454" t="str">
            <v>C.2.5.4.10</v>
          </cell>
          <cell r="K454" t="str">
            <v>Psiquiatría</v>
          </cell>
          <cell r="L454">
            <v>2</v>
          </cell>
          <cell r="M454">
            <v>46015</v>
          </cell>
          <cell r="N454">
            <v>46017</v>
          </cell>
          <cell r="O454">
            <v>1</v>
          </cell>
          <cell r="P454">
            <v>46020</v>
          </cell>
          <cell r="Q454">
            <v>5</v>
          </cell>
          <cell r="R454" t="str">
            <v>NA</v>
          </cell>
          <cell r="S454">
            <v>5</v>
          </cell>
        </row>
        <row r="455">
          <cell r="B455" t="str">
            <v>EMMC</v>
          </cell>
          <cell r="C455" t="str">
            <v>HSLB11636</v>
          </cell>
          <cell r="D455">
            <v>112008</v>
          </cell>
          <cell r="E455" t="str">
            <v>Camilla Examen</v>
          </cell>
          <cell r="F455" t="str">
            <v>NO</v>
          </cell>
          <cell r="G455" t="str">
            <v>NO</v>
          </cell>
          <cell r="H455" t="str">
            <v xml:space="preserve">BOX 2 MULTIPROPOSITO </v>
          </cell>
          <cell r="I455">
            <v>1</v>
          </cell>
          <cell r="J455" t="str">
            <v>C.2.5.4.11.1</v>
          </cell>
          <cell r="K455" t="str">
            <v>Psiquiatría</v>
          </cell>
          <cell r="L455">
            <v>2</v>
          </cell>
          <cell r="M455">
            <v>46015</v>
          </cell>
          <cell r="N455">
            <v>46017</v>
          </cell>
          <cell r="O455">
            <v>1</v>
          </cell>
          <cell r="P455">
            <v>46020</v>
          </cell>
          <cell r="Q455">
            <v>5</v>
          </cell>
          <cell r="R455" t="str">
            <v>NA</v>
          </cell>
          <cell r="S455">
            <v>5</v>
          </cell>
        </row>
        <row r="456">
          <cell r="B456" t="str">
            <v>EMMC</v>
          </cell>
          <cell r="C456" t="str">
            <v>HSLB10355</v>
          </cell>
          <cell r="D456">
            <v>103031</v>
          </cell>
          <cell r="E456" t="str">
            <v>Horno Eléctrico Empotrado</v>
          </cell>
          <cell r="F456" t="str">
            <v>SI</v>
          </cell>
          <cell r="G456" t="str">
            <v>NO</v>
          </cell>
          <cell r="H456" t="str">
            <v>TALLER DE COCINA</v>
          </cell>
          <cell r="I456">
            <v>1</v>
          </cell>
          <cell r="J456" t="str">
            <v>C.2.5.2.14</v>
          </cell>
          <cell r="K456" t="str">
            <v>Psiquiatría</v>
          </cell>
          <cell r="L456">
            <v>2</v>
          </cell>
          <cell r="M456">
            <v>46048</v>
          </cell>
          <cell r="N456">
            <v>46049</v>
          </cell>
          <cell r="O456">
            <v>2</v>
          </cell>
          <cell r="P456">
            <v>46051</v>
          </cell>
          <cell r="Q456">
            <v>5</v>
          </cell>
          <cell r="R456" t="str">
            <v>NA</v>
          </cell>
          <cell r="S456">
            <v>5</v>
          </cell>
        </row>
        <row r="457">
          <cell r="B457" t="str">
            <v>EMMC</v>
          </cell>
          <cell r="C457" t="str">
            <v>HSLB10356</v>
          </cell>
          <cell r="D457">
            <v>103031</v>
          </cell>
          <cell r="E457" t="str">
            <v>Horno Eléctrico Empotrado</v>
          </cell>
          <cell r="F457" t="str">
            <v>SI</v>
          </cell>
          <cell r="G457" t="str">
            <v>SI</v>
          </cell>
          <cell r="H457" t="str">
            <v>SALA TRABAJO GRUPAL</v>
          </cell>
          <cell r="I457">
            <v>1</v>
          </cell>
          <cell r="J457" t="str">
            <v>C.2.5.2.22</v>
          </cell>
          <cell r="K457" t="str">
            <v>Psiquiatría</v>
          </cell>
          <cell r="L457">
            <v>2</v>
          </cell>
          <cell r="M457">
            <v>46003</v>
          </cell>
          <cell r="N457">
            <v>46006</v>
          </cell>
          <cell r="O457">
            <v>2</v>
          </cell>
          <cell r="P457">
            <v>46009</v>
          </cell>
          <cell r="Q457">
            <v>5</v>
          </cell>
          <cell r="R457" t="str">
            <v>NA</v>
          </cell>
          <cell r="S457">
            <v>5</v>
          </cell>
        </row>
        <row r="458">
          <cell r="B458" t="str">
            <v>EMMC</v>
          </cell>
          <cell r="C458" t="str">
            <v>HSLB10358</v>
          </cell>
          <cell r="D458">
            <v>103031</v>
          </cell>
          <cell r="E458" t="str">
            <v>Horno Eléctrico Empotrado</v>
          </cell>
          <cell r="F458" t="str">
            <v>SI</v>
          </cell>
          <cell r="G458" t="str">
            <v>NO</v>
          </cell>
          <cell r="H458" t="str">
            <v>ACT. DE LA VIDA DIARIA C/ KITCH Y REPOSTERO</v>
          </cell>
          <cell r="I458">
            <v>1</v>
          </cell>
          <cell r="J458" t="str">
            <v>C.2.5.4.18</v>
          </cell>
          <cell r="K458" t="str">
            <v>Psiquiatría</v>
          </cell>
          <cell r="L458">
            <v>2</v>
          </cell>
          <cell r="M458">
            <v>46048</v>
          </cell>
          <cell r="N458">
            <v>46049</v>
          </cell>
          <cell r="O458">
            <v>2</v>
          </cell>
          <cell r="P458">
            <v>46051</v>
          </cell>
          <cell r="Q458">
            <v>5</v>
          </cell>
          <cell r="R458" t="str">
            <v>NA</v>
          </cell>
          <cell r="S458">
            <v>5</v>
          </cell>
        </row>
        <row r="459">
          <cell r="B459" t="str">
            <v>EMMC</v>
          </cell>
          <cell r="C459" t="str">
            <v>HSLB11637</v>
          </cell>
          <cell r="D459">
            <v>112008</v>
          </cell>
          <cell r="E459" t="str">
            <v>Camilla Examen</v>
          </cell>
          <cell r="F459" t="str">
            <v>NO</v>
          </cell>
          <cell r="G459" t="str">
            <v>NO</v>
          </cell>
          <cell r="H459" t="str">
            <v xml:space="preserve">BOX 2 MULTIPROPOSITO </v>
          </cell>
          <cell r="I459">
            <v>1</v>
          </cell>
          <cell r="J459" t="str">
            <v>C.2.5.4.11.2</v>
          </cell>
          <cell r="K459" t="str">
            <v>Psiquiatría</v>
          </cell>
          <cell r="L459">
            <v>2</v>
          </cell>
          <cell r="M459">
            <v>46015</v>
          </cell>
          <cell r="N459">
            <v>46017</v>
          </cell>
          <cell r="O459">
            <v>1</v>
          </cell>
          <cell r="P459">
            <v>46020</v>
          </cell>
          <cell r="Q459">
            <v>5</v>
          </cell>
          <cell r="R459" t="str">
            <v>NA</v>
          </cell>
          <cell r="S459">
            <v>5</v>
          </cell>
        </row>
        <row r="460">
          <cell r="B460" t="str">
            <v>EMMC</v>
          </cell>
          <cell r="C460" t="str">
            <v>HSLB11654</v>
          </cell>
          <cell r="D460">
            <v>112008</v>
          </cell>
          <cell r="E460" t="str">
            <v>Camilla Examen</v>
          </cell>
          <cell r="F460" t="str">
            <v>NO</v>
          </cell>
          <cell r="G460" t="str">
            <v>NO</v>
          </cell>
          <cell r="H460" t="str">
            <v>SALA TELEMEDICINA</v>
          </cell>
          <cell r="I460">
            <v>1</v>
          </cell>
          <cell r="J460" t="str">
            <v>C.2.6.1.1</v>
          </cell>
          <cell r="K460" t="str">
            <v>Telemedicina</v>
          </cell>
          <cell r="L460">
            <v>2</v>
          </cell>
          <cell r="M460">
            <v>46038</v>
          </cell>
          <cell r="N460">
            <v>46041</v>
          </cell>
          <cell r="O460">
            <v>1</v>
          </cell>
          <cell r="P460">
            <v>46042</v>
          </cell>
          <cell r="Q460">
            <v>5</v>
          </cell>
          <cell r="R460" t="str">
            <v>NA</v>
          </cell>
          <cell r="S460">
            <v>5</v>
          </cell>
        </row>
        <row r="461">
          <cell r="B461" t="str">
            <v>EMMC</v>
          </cell>
          <cell r="C461" t="str">
            <v>HSLB11655</v>
          </cell>
          <cell r="D461">
            <v>112008</v>
          </cell>
          <cell r="E461" t="str">
            <v>Camilla Examen</v>
          </cell>
          <cell r="F461" t="str">
            <v>NO</v>
          </cell>
          <cell r="G461" t="str">
            <v>NO</v>
          </cell>
          <cell r="H461" t="str">
            <v>SALA TELEMEDICINA</v>
          </cell>
          <cell r="I461">
            <v>1</v>
          </cell>
          <cell r="J461" t="str">
            <v>C.2.6.1.2</v>
          </cell>
          <cell r="K461" t="str">
            <v>Telemedicina</v>
          </cell>
          <cell r="L461">
            <v>2</v>
          </cell>
          <cell r="M461">
            <v>46038</v>
          </cell>
          <cell r="N461">
            <v>46041</v>
          </cell>
          <cell r="O461">
            <v>1</v>
          </cell>
          <cell r="P461">
            <v>46042</v>
          </cell>
          <cell r="Q461">
            <v>5</v>
          </cell>
          <cell r="R461" t="str">
            <v>NA</v>
          </cell>
          <cell r="S461">
            <v>5</v>
          </cell>
        </row>
        <row r="462">
          <cell r="B462" t="str">
            <v>EMMC</v>
          </cell>
          <cell r="C462" t="str">
            <v>HSLB11788</v>
          </cell>
          <cell r="D462">
            <v>112021</v>
          </cell>
          <cell r="E462" t="str">
            <v>Carro Curación</v>
          </cell>
          <cell r="F462" t="str">
            <v>NO</v>
          </cell>
          <cell r="G462" t="str">
            <v>NO</v>
          </cell>
          <cell r="H462" t="str">
            <v>SALA TRABAJO GRUPAL ADULTO</v>
          </cell>
          <cell r="I462">
            <v>1</v>
          </cell>
          <cell r="J462" t="str">
            <v>C.2.5.2.16</v>
          </cell>
          <cell r="K462" t="str">
            <v>Psiquiatría</v>
          </cell>
          <cell r="L462">
            <v>2</v>
          </cell>
          <cell r="M462">
            <v>46015</v>
          </cell>
          <cell r="N462">
            <v>46017</v>
          </cell>
          <cell r="O462">
            <v>1</v>
          </cell>
          <cell r="P462">
            <v>46020</v>
          </cell>
          <cell r="Q462">
            <v>5</v>
          </cell>
          <cell r="R462" t="str">
            <v>NA</v>
          </cell>
          <cell r="S462">
            <v>5</v>
          </cell>
        </row>
        <row r="463">
          <cell r="B463" t="str">
            <v>EMMC</v>
          </cell>
          <cell r="C463" t="str">
            <v>HSLB10318</v>
          </cell>
          <cell r="D463">
            <v>103017</v>
          </cell>
          <cell r="E463" t="str">
            <v>Carro Utilitario</v>
          </cell>
          <cell r="F463" t="str">
            <v>NO</v>
          </cell>
          <cell r="G463" t="str">
            <v>SI</v>
          </cell>
          <cell r="H463" t="str">
            <v>TOMA DE MUESTRA URGO GINE</v>
          </cell>
          <cell r="I463">
            <v>1</v>
          </cell>
          <cell r="J463" t="str">
            <v>C.5.2.4.7</v>
          </cell>
          <cell r="K463" t="str">
            <v>Toma de muestras</v>
          </cell>
          <cell r="L463">
            <v>2</v>
          </cell>
          <cell r="M463">
            <v>46003</v>
          </cell>
          <cell r="N463">
            <v>46006</v>
          </cell>
          <cell r="O463">
            <v>1</v>
          </cell>
          <cell r="P463">
            <v>46008</v>
          </cell>
          <cell r="Q463">
            <v>5</v>
          </cell>
          <cell r="R463" t="str">
            <v>NA</v>
          </cell>
          <cell r="S463">
            <v>5</v>
          </cell>
        </row>
        <row r="464">
          <cell r="B464" t="str">
            <v>EMMC</v>
          </cell>
          <cell r="C464" t="str">
            <v>HSLB10741</v>
          </cell>
          <cell r="D464">
            <v>106003</v>
          </cell>
          <cell r="E464" t="str">
            <v>Equipo de Música</v>
          </cell>
          <cell r="F464" t="str">
            <v>NO</v>
          </cell>
          <cell r="G464" t="str">
            <v>NO</v>
          </cell>
          <cell r="H464" t="str">
            <v>SALA TRABAJO GRUPAL ADULTO</v>
          </cell>
          <cell r="I464">
            <v>1</v>
          </cell>
          <cell r="J464" t="str">
            <v>C.2.5.2.15</v>
          </cell>
          <cell r="K464" t="str">
            <v>Psiquiatría</v>
          </cell>
          <cell r="L464">
            <v>2</v>
          </cell>
          <cell r="M464">
            <v>46015</v>
          </cell>
          <cell r="N464">
            <v>46017</v>
          </cell>
          <cell r="O464">
            <v>1</v>
          </cell>
          <cell r="P464">
            <v>46020</v>
          </cell>
          <cell r="Q464">
            <v>5</v>
          </cell>
          <cell r="R464" t="str">
            <v>NA</v>
          </cell>
          <cell r="S464">
            <v>5</v>
          </cell>
        </row>
        <row r="465">
          <cell r="B465" t="str">
            <v>EMMC</v>
          </cell>
          <cell r="C465" t="str">
            <v>HSLB10742</v>
          </cell>
          <cell r="D465">
            <v>106003</v>
          </cell>
          <cell r="E465" t="str">
            <v>Equipo de Música</v>
          </cell>
          <cell r="F465" t="str">
            <v>NO</v>
          </cell>
          <cell r="G465" t="str">
            <v>SI</v>
          </cell>
          <cell r="H465" t="str">
            <v>SALA TRABAJO GRUPAL</v>
          </cell>
          <cell r="I465">
            <v>1</v>
          </cell>
          <cell r="J465" t="str">
            <v>C.2.5.2.22</v>
          </cell>
          <cell r="K465" t="str">
            <v>Psiquiatría</v>
          </cell>
          <cell r="L465">
            <v>2</v>
          </cell>
          <cell r="M465">
            <v>46003</v>
          </cell>
          <cell r="N465">
            <v>46006</v>
          </cell>
          <cell r="O465">
            <v>1</v>
          </cell>
          <cell r="P465">
            <v>46008</v>
          </cell>
          <cell r="Q465">
            <v>5</v>
          </cell>
          <cell r="R465" t="str">
            <v>NA</v>
          </cell>
          <cell r="S465">
            <v>5</v>
          </cell>
        </row>
        <row r="466">
          <cell r="B466" t="str">
            <v>EMMC</v>
          </cell>
          <cell r="C466" t="str">
            <v>HSLB10746</v>
          </cell>
          <cell r="D466">
            <v>106003</v>
          </cell>
          <cell r="E466" t="str">
            <v>Equipo de Música</v>
          </cell>
          <cell r="F466" t="str">
            <v>NO</v>
          </cell>
          <cell r="G466" t="str">
            <v>SI</v>
          </cell>
          <cell r="H466" t="str">
            <v>SALA MULTIUSO</v>
          </cell>
          <cell r="I466">
            <v>1</v>
          </cell>
          <cell r="J466" t="str">
            <v>C.2.5.4.15.1</v>
          </cell>
          <cell r="K466" t="str">
            <v>Psiquiatría</v>
          </cell>
          <cell r="L466">
            <v>2</v>
          </cell>
          <cell r="M466">
            <v>46003</v>
          </cell>
          <cell r="N466">
            <v>46006</v>
          </cell>
          <cell r="O466">
            <v>1</v>
          </cell>
          <cell r="P466">
            <v>46008</v>
          </cell>
          <cell r="Q466">
            <v>5</v>
          </cell>
          <cell r="R466" t="str">
            <v>NA</v>
          </cell>
          <cell r="S466">
            <v>5</v>
          </cell>
        </row>
        <row r="467">
          <cell r="B467" t="str">
            <v>EMMC</v>
          </cell>
          <cell r="C467" t="str">
            <v>HSLB10747</v>
          </cell>
          <cell r="D467">
            <v>106003</v>
          </cell>
          <cell r="E467" t="str">
            <v>Equipo de Música</v>
          </cell>
          <cell r="F467" t="str">
            <v>NO</v>
          </cell>
          <cell r="G467" t="str">
            <v>SI</v>
          </cell>
          <cell r="H467" t="str">
            <v>SALA MULTIUSO</v>
          </cell>
          <cell r="I467">
            <v>1</v>
          </cell>
          <cell r="J467" t="str">
            <v>C.2.5.4.15.2</v>
          </cell>
          <cell r="K467" t="str">
            <v>Psiquiatría</v>
          </cell>
          <cell r="L467">
            <v>2</v>
          </cell>
          <cell r="M467">
            <v>46003</v>
          </cell>
          <cell r="N467">
            <v>46006</v>
          </cell>
          <cell r="O467">
            <v>1</v>
          </cell>
          <cell r="P467">
            <v>46008</v>
          </cell>
          <cell r="Q467">
            <v>5</v>
          </cell>
          <cell r="R467" t="str">
            <v>NA</v>
          </cell>
          <cell r="S467">
            <v>5</v>
          </cell>
        </row>
        <row r="468">
          <cell r="B468" t="str">
            <v>EMMC</v>
          </cell>
          <cell r="C468" t="str">
            <v>HSLB10748</v>
          </cell>
          <cell r="D468">
            <v>106003</v>
          </cell>
          <cell r="E468" t="str">
            <v>Equipo de Música</v>
          </cell>
          <cell r="F468" t="str">
            <v>NO</v>
          </cell>
          <cell r="G468" t="str">
            <v>NO</v>
          </cell>
          <cell r="H468" t="str">
            <v>SALA DE ESTAR /COMEDOR</v>
          </cell>
          <cell r="I468">
            <v>1</v>
          </cell>
          <cell r="J468" t="str">
            <v>C.2.5.4.17</v>
          </cell>
          <cell r="K468" t="str">
            <v>Psiquiatría</v>
          </cell>
          <cell r="L468">
            <v>2</v>
          </cell>
          <cell r="M468">
            <v>46015</v>
          </cell>
          <cell r="N468">
            <v>46017</v>
          </cell>
          <cell r="O468">
            <v>1</v>
          </cell>
          <cell r="P468">
            <v>46020</v>
          </cell>
          <cell r="Q468">
            <v>5</v>
          </cell>
          <cell r="R468" t="str">
            <v>NA</v>
          </cell>
          <cell r="S468">
            <v>5</v>
          </cell>
        </row>
        <row r="469">
          <cell r="B469" t="str">
            <v>EMMC</v>
          </cell>
          <cell r="C469" t="str">
            <v>HSLB12067</v>
          </cell>
          <cell r="D469">
            <v>112054</v>
          </cell>
          <cell r="E469" t="str">
            <v>Escabel</v>
          </cell>
          <cell r="F469" t="str">
            <v>NO</v>
          </cell>
          <cell r="G469" t="str">
            <v>NO</v>
          </cell>
          <cell r="H469" t="str">
            <v>BOX ENFERMERA SALUD MENTAL</v>
          </cell>
          <cell r="I469">
            <v>1</v>
          </cell>
          <cell r="J469" t="str">
            <v>C.2.5.2.10</v>
          </cell>
          <cell r="K469" t="str">
            <v>Psiquiatría</v>
          </cell>
          <cell r="L469">
            <v>2</v>
          </cell>
          <cell r="M469">
            <v>46015</v>
          </cell>
          <cell r="N469">
            <v>46017</v>
          </cell>
          <cell r="O469">
            <v>1</v>
          </cell>
          <cell r="P469">
            <v>46020</v>
          </cell>
          <cell r="Q469">
            <v>5</v>
          </cell>
          <cell r="R469" t="str">
            <v>NA</v>
          </cell>
          <cell r="S469">
            <v>5</v>
          </cell>
        </row>
        <row r="470">
          <cell r="B470" t="str">
            <v>EMMC</v>
          </cell>
          <cell r="C470" t="str">
            <v>HSLB12068</v>
          </cell>
          <cell r="D470">
            <v>112054</v>
          </cell>
          <cell r="E470" t="str">
            <v>Escabel</v>
          </cell>
          <cell r="F470" t="str">
            <v>NO</v>
          </cell>
          <cell r="G470" t="str">
            <v>NO</v>
          </cell>
          <cell r="H470" t="str">
            <v>SALA TRABAJO GRUPAL ADULTO</v>
          </cell>
          <cell r="I470">
            <v>1</v>
          </cell>
          <cell r="J470" t="str">
            <v>C.2.5.2.16</v>
          </cell>
          <cell r="K470" t="str">
            <v>Psiquiatría</v>
          </cell>
          <cell r="L470">
            <v>2</v>
          </cell>
          <cell r="M470">
            <v>46015</v>
          </cell>
          <cell r="N470">
            <v>46017</v>
          </cell>
          <cell r="O470">
            <v>1</v>
          </cell>
          <cell r="P470">
            <v>46020</v>
          </cell>
          <cell r="Q470">
            <v>5</v>
          </cell>
          <cell r="R470" t="str">
            <v>NA</v>
          </cell>
          <cell r="S470">
            <v>5</v>
          </cell>
        </row>
        <row r="471">
          <cell r="B471" t="str">
            <v>EMMC</v>
          </cell>
          <cell r="C471" t="str">
            <v>HSLB12069</v>
          </cell>
          <cell r="D471">
            <v>112054</v>
          </cell>
          <cell r="E471" t="str">
            <v>Escabel</v>
          </cell>
          <cell r="F471" t="str">
            <v>NO</v>
          </cell>
          <cell r="G471" t="str">
            <v>NO</v>
          </cell>
          <cell r="H471" t="str">
            <v>BOX PSIQUIATRÍA INFANTO JUVENIL</v>
          </cell>
          <cell r="I471">
            <v>1</v>
          </cell>
          <cell r="J471" t="str">
            <v>C.2.5.2.18</v>
          </cell>
          <cell r="K471" t="str">
            <v>Psiquiatría</v>
          </cell>
          <cell r="L471">
            <v>2</v>
          </cell>
          <cell r="M471">
            <v>46015</v>
          </cell>
          <cell r="N471">
            <v>46017</v>
          </cell>
          <cell r="O471">
            <v>1</v>
          </cell>
          <cell r="P471">
            <v>46020</v>
          </cell>
          <cell r="Q471">
            <v>5</v>
          </cell>
          <cell r="R471" t="str">
            <v>NA</v>
          </cell>
          <cell r="S471">
            <v>5</v>
          </cell>
        </row>
        <row r="472">
          <cell r="B472" t="str">
            <v>EMMC</v>
          </cell>
          <cell r="C472" t="str">
            <v>HSLB12070</v>
          </cell>
          <cell r="D472">
            <v>112054</v>
          </cell>
          <cell r="E472" t="str">
            <v>Escabel</v>
          </cell>
          <cell r="F472" t="str">
            <v>NO</v>
          </cell>
          <cell r="G472" t="str">
            <v>NO</v>
          </cell>
          <cell r="H472" t="str">
            <v>BOX ENFERMERA INFANTO JUVENIL</v>
          </cell>
          <cell r="I472">
            <v>1</v>
          </cell>
          <cell r="J472" t="str">
            <v>C.2.5.2.20</v>
          </cell>
          <cell r="K472" t="str">
            <v>Psiquiatría</v>
          </cell>
          <cell r="L472">
            <v>2</v>
          </cell>
          <cell r="M472">
            <v>46015</v>
          </cell>
          <cell r="N472">
            <v>46017</v>
          </cell>
          <cell r="O472">
            <v>1</v>
          </cell>
          <cell r="P472">
            <v>46020</v>
          </cell>
          <cell r="Q472">
            <v>5</v>
          </cell>
          <cell r="R472" t="str">
            <v>NA</v>
          </cell>
          <cell r="S472">
            <v>5</v>
          </cell>
        </row>
        <row r="473">
          <cell r="B473" t="str">
            <v>EMMC</v>
          </cell>
          <cell r="C473" t="str">
            <v>HSLB12071</v>
          </cell>
          <cell r="D473">
            <v>112054</v>
          </cell>
          <cell r="E473" t="str">
            <v>Escabel</v>
          </cell>
          <cell r="F473" t="str">
            <v>NO</v>
          </cell>
          <cell r="G473" t="str">
            <v>NO</v>
          </cell>
          <cell r="H473" t="str">
            <v>BOX PSIQUIATRÍA ADULTO</v>
          </cell>
          <cell r="I473">
            <v>1</v>
          </cell>
          <cell r="J473" t="str">
            <v>C.2.5.2.9.1</v>
          </cell>
          <cell r="K473" t="str">
            <v>Psiquiatría</v>
          </cell>
          <cell r="L473">
            <v>2</v>
          </cell>
          <cell r="M473">
            <v>46015</v>
          </cell>
          <cell r="N473">
            <v>46017</v>
          </cell>
          <cell r="O473">
            <v>1</v>
          </cell>
          <cell r="P473">
            <v>46020</v>
          </cell>
          <cell r="Q473">
            <v>5</v>
          </cell>
          <cell r="R473" t="str">
            <v>NA</v>
          </cell>
          <cell r="S473">
            <v>5</v>
          </cell>
        </row>
        <row r="474">
          <cell r="B474" t="str">
            <v>EMMC</v>
          </cell>
          <cell r="C474" t="str">
            <v>HSLB10141</v>
          </cell>
          <cell r="D474">
            <v>101037</v>
          </cell>
          <cell r="E474" t="str">
            <v>LÁMPARA DE EXAMEN RODABLE</v>
          </cell>
          <cell r="F474" t="str">
            <v>NO</v>
          </cell>
          <cell r="G474" t="str">
            <v>NO</v>
          </cell>
          <cell r="H474" t="str">
            <v>SALA TRABAJO GRUPAL ADULTO</v>
          </cell>
          <cell r="I474">
            <v>1</v>
          </cell>
          <cell r="J474" t="str">
            <v>C.2.5.2.16</v>
          </cell>
          <cell r="K474" t="str">
            <v>Psiquiatría</v>
          </cell>
          <cell r="L474">
            <v>2</v>
          </cell>
          <cell r="M474">
            <v>46015</v>
          </cell>
          <cell r="N474">
            <v>46017</v>
          </cell>
          <cell r="O474">
            <v>1</v>
          </cell>
          <cell r="P474">
            <v>46020</v>
          </cell>
          <cell r="Q474">
            <v>5</v>
          </cell>
          <cell r="R474" t="str">
            <v>NA</v>
          </cell>
          <cell r="S474">
            <v>5</v>
          </cell>
        </row>
        <row r="475">
          <cell r="B475" t="str">
            <v>EMMC</v>
          </cell>
          <cell r="C475" t="str">
            <v>HSLB10164</v>
          </cell>
          <cell r="D475">
            <v>101037</v>
          </cell>
          <cell r="E475" t="str">
            <v>LÁMPARA DE EXAMEN RODABLE</v>
          </cell>
          <cell r="F475" t="str">
            <v>NO</v>
          </cell>
          <cell r="G475" t="str">
            <v>SI</v>
          </cell>
          <cell r="H475" t="str">
            <v>TOMA DE MUESTRA URGO GINE</v>
          </cell>
          <cell r="I475">
            <v>1</v>
          </cell>
          <cell r="J475" t="str">
            <v>C.5.2.4.7</v>
          </cell>
          <cell r="K475" t="str">
            <v>Toma de muestras</v>
          </cell>
          <cell r="L475">
            <v>2</v>
          </cell>
          <cell r="M475">
            <v>46003</v>
          </cell>
          <cell r="N475">
            <v>46006</v>
          </cell>
          <cell r="O475">
            <v>1</v>
          </cell>
          <cell r="P475">
            <v>46008</v>
          </cell>
          <cell r="Q475">
            <v>5</v>
          </cell>
          <cell r="R475" t="str">
            <v>NA</v>
          </cell>
          <cell r="S475">
            <v>5</v>
          </cell>
        </row>
        <row r="476">
          <cell r="B476" t="str">
            <v>EMMC</v>
          </cell>
          <cell r="C476" t="str">
            <v>HSLB12882</v>
          </cell>
          <cell r="D476">
            <v>114003</v>
          </cell>
          <cell r="E476" t="str">
            <v>Lámpara de Fotocurado</v>
          </cell>
          <cell r="F476" t="str">
            <v>NO</v>
          </cell>
          <cell r="G476" t="str">
            <v>NO</v>
          </cell>
          <cell r="H476" t="str">
            <v>BOX DENTAL POLIFUNCIONAL(3)</v>
          </cell>
          <cell r="I476">
            <v>1</v>
          </cell>
          <cell r="J476" t="str">
            <v>C.2.2.4.7.3</v>
          </cell>
          <cell r="K476" t="str">
            <v>Odontología</v>
          </cell>
          <cell r="L476">
            <v>2</v>
          </cell>
          <cell r="M476">
            <v>46010</v>
          </cell>
          <cell r="N476">
            <v>46013</v>
          </cell>
          <cell r="O476">
            <v>1</v>
          </cell>
          <cell r="P476">
            <v>46014</v>
          </cell>
          <cell r="Q476">
            <v>5</v>
          </cell>
          <cell r="R476" t="str">
            <v>NA</v>
          </cell>
          <cell r="S476">
            <v>5</v>
          </cell>
        </row>
        <row r="477">
          <cell r="B477" t="str">
            <v>EMMC</v>
          </cell>
          <cell r="C477" t="str">
            <v>HSLB12883</v>
          </cell>
          <cell r="D477">
            <v>114003</v>
          </cell>
          <cell r="E477" t="str">
            <v>Lámpara de Fotocurado</v>
          </cell>
          <cell r="F477" t="str">
            <v>NO</v>
          </cell>
          <cell r="G477" t="str">
            <v>NO</v>
          </cell>
          <cell r="H477" t="str">
            <v>BOX DENTAL POLIFUNCIONAL(4)</v>
          </cell>
          <cell r="I477">
            <v>1</v>
          </cell>
          <cell r="J477" t="str">
            <v>C.2.2.4.7.4</v>
          </cell>
          <cell r="K477" t="str">
            <v>Odontología</v>
          </cell>
          <cell r="L477">
            <v>2</v>
          </cell>
          <cell r="M477">
            <v>46010</v>
          </cell>
          <cell r="N477">
            <v>46013</v>
          </cell>
          <cell r="O477">
            <v>1</v>
          </cell>
          <cell r="P477">
            <v>46014</v>
          </cell>
          <cell r="Q477">
            <v>5</v>
          </cell>
          <cell r="R477" t="str">
            <v>NA</v>
          </cell>
          <cell r="S477">
            <v>5</v>
          </cell>
        </row>
        <row r="478">
          <cell r="B478" t="str">
            <v>EMMC</v>
          </cell>
          <cell r="C478" t="str">
            <v>HSLB10521</v>
          </cell>
          <cell r="D478">
            <v>104010</v>
          </cell>
          <cell r="E478" t="str">
            <v>Lámpara de Procedimientos Rodable</v>
          </cell>
          <cell r="F478" t="str">
            <v>NO</v>
          </cell>
          <cell r="G478" t="str">
            <v>NO</v>
          </cell>
          <cell r="H478" t="str">
            <v>SALA DE PROCEDIMIENTO</v>
          </cell>
          <cell r="I478">
            <v>1</v>
          </cell>
          <cell r="J478" t="str">
            <v>C.2.5.4.13</v>
          </cell>
          <cell r="K478" t="str">
            <v>Psiquiatría</v>
          </cell>
          <cell r="L478">
            <v>2</v>
          </cell>
          <cell r="M478">
            <v>46015</v>
          </cell>
          <cell r="N478">
            <v>46017</v>
          </cell>
          <cell r="O478">
            <v>1</v>
          </cell>
          <cell r="P478">
            <v>46020</v>
          </cell>
          <cell r="Q478">
            <v>5</v>
          </cell>
          <cell r="R478" t="str">
            <v>NA</v>
          </cell>
          <cell r="S478">
            <v>5</v>
          </cell>
        </row>
        <row r="479">
          <cell r="B479" t="str">
            <v>EMMC</v>
          </cell>
          <cell r="C479" t="str">
            <v>HSLB12072</v>
          </cell>
          <cell r="D479">
            <v>112054</v>
          </cell>
          <cell r="E479" t="str">
            <v>Escabel</v>
          </cell>
          <cell r="F479" t="str">
            <v>NO</v>
          </cell>
          <cell r="G479" t="str">
            <v>NO</v>
          </cell>
          <cell r="H479" t="str">
            <v>BOX PSIQUIATRÍA ADULTO</v>
          </cell>
          <cell r="I479">
            <v>1</v>
          </cell>
          <cell r="J479" t="str">
            <v>C.2.5.2.9.2</v>
          </cell>
          <cell r="K479" t="str">
            <v>Psiquiatría</v>
          </cell>
          <cell r="L479">
            <v>2</v>
          </cell>
          <cell r="M479">
            <v>46015</v>
          </cell>
          <cell r="N479">
            <v>46017</v>
          </cell>
          <cell r="O479">
            <v>1</v>
          </cell>
          <cell r="P479">
            <v>46020</v>
          </cell>
          <cell r="Q479">
            <v>5</v>
          </cell>
          <cell r="R479" t="str">
            <v>NA</v>
          </cell>
          <cell r="S479">
            <v>5</v>
          </cell>
        </row>
        <row r="480">
          <cell r="B480" t="str">
            <v>EMMC</v>
          </cell>
          <cell r="C480" t="str">
            <v>HSLB12076</v>
          </cell>
          <cell r="D480">
            <v>112054</v>
          </cell>
          <cell r="E480" t="str">
            <v>Escabel</v>
          </cell>
          <cell r="F480" t="str">
            <v>NO</v>
          </cell>
          <cell r="G480" t="str">
            <v>NO</v>
          </cell>
          <cell r="H480" t="str">
            <v xml:space="preserve">BOX ATENCIÓN </v>
          </cell>
          <cell r="I480">
            <v>1</v>
          </cell>
          <cell r="J480" t="str">
            <v>C.2.5.4.10</v>
          </cell>
          <cell r="K480" t="str">
            <v>Psiquiatría</v>
          </cell>
          <cell r="L480">
            <v>2</v>
          </cell>
          <cell r="M480">
            <v>46015</v>
          </cell>
          <cell r="N480">
            <v>46017</v>
          </cell>
          <cell r="O480">
            <v>1</v>
          </cell>
          <cell r="P480">
            <v>46020</v>
          </cell>
          <cell r="Q480">
            <v>5</v>
          </cell>
          <cell r="R480" t="str">
            <v>NA</v>
          </cell>
          <cell r="S480">
            <v>5</v>
          </cell>
        </row>
        <row r="481">
          <cell r="B481" t="str">
            <v>EMMC</v>
          </cell>
          <cell r="C481" t="str">
            <v>HSLB12077</v>
          </cell>
          <cell r="D481">
            <v>112054</v>
          </cell>
          <cell r="E481" t="str">
            <v>Escabel</v>
          </cell>
          <cell r="F481" t="str">
            <v>NO</v>
          </cell>
          <cell r="G481" t="str">
            <v>NO</v>
          </cell>
          <cell r="H481" t="str">
            <v xml:space="preserve">BOX 2 MULTIPROPOSITO </v>
          </cell>
          <cell r="I481">
            <v>1</v>
          </cell>
          <cell r="J481" t="str">
            <v>C.2.5.4.11.1</v>
          </cell>
          <cell r="K481" t="str">
            <v>Psiquiatría</v>
          </cell>
          <cell r="L481">
            <v>2</v>
          </cell>
          <cell r="M481">
            <v>46015</v>
          </cell>
          <cell r="N481">
            <v>46017</v>
          </cell>
          <cell r="O481">
            <v>1</v>
          </cell>
          <cell r="P481">
            <v>46020</v>
          </cell>
          <cell r="Q481">
            <v>5</v>
          </cell>
          <cell r="R481" t="str">
            <v>NA</v>
          </cell>
          <cell r="S481">
            <v>5</v>
          </cell>
        </row>
        <row r="482">
          <cell r="B482" t="str">
            <v>EMMC</v>
          </cell>
          <cell r="C482" t="str">
            <v>HSLB12078</v>
          </cell>
          <cell r="D482">
            <v>112054</v>
          </cell>
          <cell r="E482" t="str">
            <v>Escabel</v>
          </cell>
          <cell r="F482" t="str">
            <v>NO</v>
          </cell>
          <cell r="G482" t="str">
            <v>NO</v>
          </cell>
          <cell r="H482" t="str">
            <v xml:space="preserve">BOX 2 MULTIPROPOSITO </v>
          </cell>
          <cell r="I482">
            <v>1</v>
          </cell>
          <cell r="J482" t="str">
            <v>C.2.5.4.11.2</v>
          </cell>
          <cell r="K482" t="str">
            <v>Psiquiatría</v>
          </cell>
          <cell r="L482">
            <v>2</v>
          </cell>
          <cell r="M482">
            <v>46015</v>
          </cell>
          <cell r="N482">
            <v>46017</v>
          </cell>
          <cell r="O482">
            <v>1</v>
          </cell>
          <cell r="P482">
            <v>46020</v>
          </cell>
          <cell r="Q482">
            <v>5</v>
          </cell>
          <cell r="R482" t="str">
            <v>NA</v>
          </cell>
          <cell r="S482">
            <v>5</v>
          </cell>
        </row>
        <row r="483">
          <cell r="B483" t="str">
            <v>EMMC</v>
          </cell>
          <cell r="C483" t="str">
            <v>HSLB12079</v>
          </cell>
          <cell r="D483">
            <v>112054</v>
          </cell>
          <cell r="E483" t="str">
            <v>Escabel</v>
          </cell>
          <cell r="F483" t="str">
            <v>NO</v>
          </cell>
          <cell r="G483" t="str">
            <v>NO</v>
          </cell>
          <cell r="H483" t="str">
            <v>SALA DE PROCEDIMIENTO</v>
          </cell>
          <cell r="I483">
            <v>1</v>
          </cell>
          <cell r="J483" t="str">
            <v>C.2.5.4.13</v>
          </cell>
          <cell r="K483" t="str">
            <v>Psiquiatría</v>
          </cell>
          <cell r="L483">
            <v>2</v>
          </cell>
          <cell r="M483">
            <v>46015</v>
          </cell>
          <cell r="N483">
            <v>46017</v>
          </cell>
          <cell r="O483">
            <v>1</v>
          </cell>
          <cell r="P483">
            <v>46020</v>
          </cell>
          <cell r="Q483">
            <v>5</v>
          </cell>
          <cell r="R483" t="str">
            <v>NA</v>
          </cell>
          <cell r="S483">
            <v>5</v>
          </cell>
        </row>
        <row r="484">
          <cell r="B484" t="str">
            <v>EMMC</v>
          </cell>
          <cell r="C484" t="str">
            <v>HSLB12172</v>
          </cell>
          <cell r="D484">
            <v>112054</v>
          </cell>
          <cell r="E484" t="str">
            <v>Escabel</v>
          </cell>
          <cell r="F484" t="str">
            <v>NO</v>
          </cell>
          <cell r="G484" t="str">
            <v>NO</v>
          </cell>
          <cell r="H484" t="str">
            <v>TOMA DE MUESTRA PEDIÁTRICA (1CUPO)</v>
          </cell>
          <cell r="I484">
            <v>2</v>
          </cell>
          <cell r="J484" t="str">
            <v>C.5.2.4.5</v>
          </cell>
          <cell r="K484" t="str">
            <v>Toma de muestras</v>
          </cell>
          <cell r="L484">
            <v>2</v>
          </cell>
          <cell r="M484">
            <v>46038</v>
          </cell>
          <cell r="N484">
            <v>46041</v>
          </cell>
          <cell r="O484">
            <v>1</v>
          </cell>
          <cell r="P484">
            <v>46042</v>
          </cell>
          <cell r="Q484">
            <v>5</v>
          </cell>
          <cell r="R484" t="str">
            <v>NA</v>
          </cell>
          <cell r="S484">
            <v>5</v>
          </cell>
        </row>
        <row r="485">
          <cell r="B485" t="str">
            <v>EMMC</v>
          </cell>
          <cell r="C485" t="str">
            <v>HSLB10776</v>
          </cell>
          <cell r="D485">
            <v>106007</v>
          </cell>
          <cell r="E485" t="str">
            <v>Hervidor Eléctrico</v>
          </cell>
          <cell r="F485" t="str">
            <v>NO</v>
          </cell>
          <cell r="G485" t="str">
            <v>NO</v>
          </cell>
          <cell r="H485" t="str">
            <v>TALLER DE COCINA</v>
          </cell>
          <cell r="I485">
            <v>1</v>
          </cell>
          <cell r="J485" t="str">
            <v>C.2.5.2.14</v>
          </cell>
          <cell r="K485" t="str">
            <v>Psiquiatría</v>
          </cell>
          <cell r="L485">
            <v>2</v>
          </cell>
          <cell r="M485">
            <v>46015</v>
          </cell>
          <cell r="N485">
            <v>46017</v>
          </cell>
          <cell r="O485">
            <v>1</v>
          </cell>
          <cell r="P485">
            <v>46020</v>
          </cell>
          <cell r="Q485">
            <v>5</v>
          </cell>
          <cell r="R485" t="str">
            <v>NA</v>
          </cell>
          <cell r="S485">
            <v>5</v>
          </cell>
        </row>
        <row r="486">
          <cell r="B486" t="str">
            <v>EMMC</v>
          </cell>
          <cell r="C486" t="str">
            <v>HSLB10777</v>
          </cell>
          <cell r="D486">
            <v>106007</v>
          </cell>
          <cell r="E486" t="str">
            <v>Hervidor Eléctrico</v>
          </cell>
          <cell r="F486" t="str">
            <v>NO</v>
          </cell>
          <cell r="G486" t="str">
            <v>NO</v>
          </cell>
          <cell r="H486" t="str">
            <v>KITCHENETTE</v>
          </cell>
          <cell r="I486">
            <v>1</v>
          </cell>
          <cell r="J486" t="str">
            <v>C.2.5.2.29</v>
          </cell>
          <cell r="K486" t="str">
            <v>Psiquiatría</v>
          </cell>
          <cell r="L486">
            <v>2</v>
          </cell>
          <cell r="M486">
            <v>46015</v>
          </cell>
          <cell r="N486">
            <v>46017</v>
          </cell>
          <cell r="O486">
            <v>1</v>
          </cell>
          <cell r="P486">
            <v>46020</v>
          </cell>
          <cell r="Q486">
            <v>5</v>
          </cell>
          <cell r="R486" t="str">
            <v>NA</v>
          </cell>
          <cell r="S486">
            <v>5</v>
          </cell>
        </row>
        <row r="487">
          <cell r="B487" t="str">
            <v>EMMC</v>
          </cell>
          <cell r="C487" t="str">
            <v>HSLB10780</v>
          </cell>
          <cell r="D487">
            <v>106007</v>
          </cell>
          <cell r="E487" t="str">
            <v>Hervidor Eléctrico</v>
          </cell>
          <cell r="F487" t="str">
            <v>NO</v>
          </cell>
          <cell r="G487" t="str">
            <v>NO</v>
          </cell>
          <cell r="H487" t="str">
            <v>ACT. DE LA VIDA DIARIA C/ KITCH Y REPOSTERO</v>
          </cell>
          <cell r="I487">
            <v>1</v>
          </cell>
          <cell r="J487" t="str">
            <v>C.2.5.4.18</v>
          </cell>
          <cell r="K487" t="str">
            <v>Psiquiatría</v>
          </cell>
          <cell r="L487">
            <v>2</v>
          </cell>
          <cell r="M487">
            <v>46015</v>
          </cell>
          <cell r="N487">
            <v>46017</v>
          </cell>
          <cell r="O487">
            <v>1</v>
          </cell>
          <cell r="P487">
            <v>46020</v>
          </cell>
          <cell r="Q487">
            <v>5</v>
          </cell>
          <cell r="R487" t="str">
            <v>NA</v>
          </cell>
          <cell r="S487">
            <v>5</v>
          </cell>
        </row>
        <row r="488">
          <cell r="B488" t="str">
            <v>EMMC</v>
          </cell>
          <cell r="C488" t="str">
            <v>HSLB10814</v>
          </cell>
          <cell r="D488">
            <v>106007</v>
          </cell>
          <cell r="E488" t="str">
            <v>Hervidor Eléctrico</v>
          </cell>
          <cell r="F488" t="str">
            <v>NO</v>
          </cell>
          <cell r="G488" t="str">
            <v>NO</v>
          </cell>
          <cell r="H488" t="str">
            <v>ESTAR PERSONAL C/ KITCHENETTE</v>
          </cell>
          <cell r="I488">
            <v>1</v>
          </cell>
          <cell r="J488" t="str">
            <v>D.1.2.6</v>
          </cell>
          <cell r="K488" t="str">
            <v>Gestión</v>
          </cell>
          <cell r="L488">
            <v>2</v>
          </cell>
          <cell r="M488">
            <v>46039</v>
          </cell>
          <cell r="N488">
            <v>46041</v>
          </cell>
          <cell r="O488">
            <v>1</v>
          </cell>
          <cell r="P488">
            <v>46042</v>
          </cell>
          <cell r="Q488">
            <v>5</v>
          </cell>
          <cell r="R488" t="str">
            <v>NA</v>
          </cell>
          <cell r="S488">
            <v>5</v>
          </cell>
        </row>
        <row r="489">
          <cell r="B489" t="str">
            <v>EMMC</v>
          </cell>
          <cell r="C489" t="str">
            <v>HSLB11501</v>
          </cell>
          <cell r="D489">
            <v>111045</v>
          </cell>
          <cell r="E489" t="str">
            <v>Kit Multifuncional</v>
          </cell>
          <cell r="F489" t="str">
            <v>NO</v>
          </cell>
          <cell r="G489" t="str">
            <v>NO</v>
          </cell>
          <cell r="H489" t="str">
            <v>SALA DE REHABILITACIÓN INFANTIL</v>
          </cell>
          <cell r="I489">
            <v>1</v>
          </cell>
          <cell r="J489" t="str">
            <v>C.2.5.2.21</v>
          </cell>
          <cell r="K489" t="str">
            <v>Psiquiatría</v>
          </cell>
          <cell r="L489">
            <v>2</v>
          </cell>
          <cell r="M489">
            <v>46015</v>
          </cell>
          <cell r="N489">
            <v>46017</v>
          </cell>
          <cell r="O489">
            <v>1</v>
          </cell>
          <cell r="P489">
            <v>46020</v>
          </cell>
          <cell r="Q489">
            <v>5</v>
          </cell>
          <cell r="R489" t="str">
            <v>NA</v>
          </cell>
          <cell r="S489">
            <v>5</v>
          </cell>
        </row>
        <row r="490">
          <cell r="B490" t="str">
            <v>EMMC</v>
          </cell>
          <cell r="C490" t="str">
            <v>HSLB10832</v>
          </cell>
          <cell r="D490">
            <v>106008</v>
          </cell>
          <cell r="E490" t="str">
            <v>Licuadora</v>
          </cell>
          <cell r="F490" t="str">
            <v>NO</v>
          </cell>
          <cell r="G490" t="str">
            <v>NO</v>
          </cell>
          <cell r="H490" t="str">
            <v>TALLER DE COCINA</v>
          </cell>
          <cell r="I490">
            <v>1</v>
          </cell>
          <cell r="J490" t="str">
            <v>C.2.5.2.14</v>
          </cell>
          <cell r="K490" t="str">
            <v>Psiquiatría</v>
          </cell>
          <cell r="L490">
            <v>2</v>
          </cell>
          <cell r="M490">
            <v>46015</v>
          </cell>
          <cell r="N490">
            <v>46017</v>
          </cell>
          <cell r="O490">
            <v>1</v>
          </cell>
          <cell r="P490">
            <v>46020</v>
          </cell>
          <cell r="Q490">
            <v>5</v>
          </cell>
          <cell r="R490" t="str">
            <v>NA</v>
          </cell>
          <cell r="S490">
            <v>5</v>
          </cell>
        </row>
        <row r="491">
          <cell r="B491" t="str">
            <v>EMMC</v>
          </cell>
          <cell r="C491" t="str">
            <v>HSLB10833</v>
          </cell>
          <cell r="D491">
            <v>106008</v>
          </cell>
          <cell r="E491" t="str">
            <v>Licuadora</v>
          </cell>
          <cell r="F491" t="str">
            <v>NO</v>
          </cell>
          <cell r="G491" t="str">
            <v>NO</v>
          </cell>
          <cell r="H491" t="str">
            <v>ACT. DE LA VIDA DIARIA C/ KITCH Y REPOSTERO</v>
          </cell>
          <cell r="I491">
            <v>1</v>
          </cell>
          <cell r="J491" t="str">
            <v>C.2.5.4.18</v>
          </cell>
          <cell r="K491" t="str">
            <v>Psiquiatría</v>
          </cell>
          <cell r="L491">
            <v>2</v>
          </cell>
          <cell r="M491">
            <v>46015</v>
          </cell>
          <cell r="N491">
            <v>46017</v>
          </cell>
          <cell r="O491">
            <v>1</v>
          </cell>
          <cell r="P491">
            <v>46020</v>
          </cell>
          <cell r="Q491">
            <v>5</v>
          </cell>
          <cell r="R491" t="str">
            <v>NA</v>
          </cell>
          <cell r="S491">
            <v>5</v>
          </cell>
        </row>
        <row r="492">
          <cell r="B492" t="str">
            <v>EMMC</v>
          </cell>
          <cell r="C492" t="str">
            <v>HSLB12312</v>
          </cell>
          <cell r="D492">
            <v>112063</v>
          </cell>
          <cell r="E492" t="str">
            <v>Mesa Mayo</v>
          </cell>
          <cell r="F492" t="str">
            <v>NO</v>
          </cell>
          <cell r="G492" t="str">
            <v>NO</v>
          </cell>
          <cell r="H492" t="str">
            <v>SALA TRABAJO GRUPAL ADULTO</v>
          </cell>
          <cell r="I492">
            <v>1</v>
          </cell>
          <cell r="J492" t="str">
            <v>C.2.5.2.16</v>
          </cell>
          <cell r="K492" t="str">
            <v>Psiquiatría</v>
          </cell>
          <cell r="L492">
            <v>2</v>
          </cell>
          <cell r="M492">
            <v>46015</v>
          </cell>
          <cell r="N492">
            <v>46017</v>
          </cell>
          <cell r="O492">
            <v>1</v>
          </cell>
          <cell r="P492">
            <v>46020</v>
          </cell>
          <cell r="Q492">
            <v>5</v>
          </cell>
          <cell r="R492" t="str">
            <v>NA</v>
          </cell>
          <cell r="S492">
            <v>5</v>
          </cell>
        </row>
        <row r="493">
          <cell r="B493" t="str">
            <v>EMMC</v>
          </cell>
          <cell r="C493" t="str">
            <v>HSLB12314</v>
          </cell>
          <cell r="D493">
            <v>112063</v>
          </cell>
          <cell r="E493" t="str">
            <v>Mesa Mayo</v>
          </cell>
          <cell r="F493" t="str">
            <v>NO</v>
          </cell>
          <cell r="G493" t="str">
            <v>NO</v>
          </cell>
          <cell r="H493" t="str">
            <v>SALA DE PROCEDIMIENTO</v>
          </cell>
          <cell r="I493">
            <v>1</v>
          </cell>
          <cell r="J493" t="str">
            <v>C.2.5.4.13</v>
          </cell>
          <cell r="K493" t="str">
            <v>Psiquiatría</v>
          </cell>
          <cell r="L493">
            <v>2</v>
          </cell>
          <cell r="M493">
            <v>46015</v>
          </cell>
          <cell r="N493">
            <v>46017</v>
          </cell>
          <cell r="O493">
            <v>1</v>
          </cell>
          <cell r="P493">
            <v>46020</v>
          </cell>
          <cell r="Q493">
            <v>5</v>
          </cell>
          <cell r="R493" t="str">
            <v>NA</v>
          </cell>
          <cell r="S493">
            <v>5</v>
          </cell>
        </row>
        <row r="494">
          <cell r="B494" t="str">
            <v>EMMC</v>
          </cell>
          <cell r="C494" t="str">
            <v>HSLB12327</v>
          </cell>
          <cell r="D494">
            <v>112063</v>
          </cell>
          <cell r="E494" t="str">
            <v>Mesa Mayo</v>
          </cell>
          <cell r="F494" t="str">
            <v>NO</v>
          </cell>
          <cell r="G494" t="str">
            <v>SI</v>
          </cell>
          <cell r="H494" t="str">
            <v>TOMA DE MUESTRA URGO GINE</v>
          </cell>
          <cell r="I494">
            <v>1</v>
          </cell>
          <cell r="J494" t="str">
            <v>C.5.2.4.7</v>
          </cell>
          <cell r="K494" t="str">
            <v>Toma de muestras</v>
          </cell>
          <cell r="L494">
            <v>2</v>
          </cell>
          <cell r="M494">
            <v>46003</v>
          </cell>
          <cell r="N494">
            <v>46006</v>
          </cell>
          <cell r="O494">
            <v>1</v>
          </cell>
          <cell r="P494">
            <v>46007</v>
          </cell>
          <cell r="Q494">
            <v>5</v>
          </cell>
          <cell r="R494" t="str">
            <v>NA</v>
          </cell>
          <cell r="S494">
            <v>5</v>
          </cell>
        </row>
        <row r="495">
          <cell r="B495" t="str">
            <v>EMMC</v>
          </cell>
          <cell r="C495" t="str">
            <v>HSLB12345</v>
          </cell>
          <cell r="D495">
            <v>112066</v>
          </cell>
          <cell r="E495" t="str">
            <v>Mesa Toma de Muestra</v>
          </cell>
          <cell r="F495" t="str">
            <v>NO</v>
          </cell>
          <cell r="G495" t="str">
            <v>NO</v>
          </cell>
          <cell r="H495" t="str">
            <v>TOMA DE MUESTRA COMUN</v>
          </cell>
          <cell r="I495">
            <v>1</v>
          </cell>
          <cell r="J495" t="str">
            <v>C.5.2.4.1</v>
          </cell>
          <cell r="K495" t="str">
            <v>Toma de muestras</v>
          </cell>
          <cell r="L495">
            <v>2</v>
          </cell>
          <cell r="M495">
            <v>46038</v>
          </cell>
          <cell r="N495">
            <v>46041</v>
          </cell>
          <cell r="O495">
            <v>1</v>
          </cell>
          <cell r="P495">
            <v>46042</v>
          </cell>
          <cell r="Q495">
            <v>5</v>
          </cell>
          <cell r="R495" t="str">
            <v>NA</v>
          </cell>
          <cell r="S495">
            <v>5</v>
          </cell>
        </row>
        <row r="496">
          <cell r="B496" t="str">
            <v>EMMC</v>
          </cell>
          <cell r="C496" t="str">
            <v>HSLB12346</v>
          </cell>
          <cell r="D496">
            <v>112066</v>
          </cell>
          <cell r="E496" t="str">
            <v>Mesa Toma de Muestra</v>
          </cell>
          <cell r="F496" t="str">
            <v>NO</v>
          </cell>
          <cell r="G496" t="str">
            <v>NO</v>
          </cell>
          <cell r="H496" t="str">
            <v>TOMA DE MUESTRA COMUN</v>
          </cell>
          <cell r="I496">
            <v>1</v>
          </cell>
          <cell r="J496" t="str">
            <v>C.5.2.4.2</v>
          </cell>
          <cell r="K496" t="str">
            <v>Toma de muestras</v>
          </cell>
          <cell r="L496">
            <v>2</v>
          </cell>
          <cell r="M496">
            <v>46038</v>
          </cell>
          <cell r="N496">
            <v>46041</v>
          </cell>
          <cell r="O496">
            <v>1</v>
          </cell>
          <cell r="P496">
            <v>46042</v>
          </cell>
          <cell r="Q496">
            <v>5</v>
          </cell>
          <cell r="R496" t="str">
            <v>NA</v>
          </cell>
          <cell r="S496">
            <v>5</v>
          </cell>
        </row>
        <row r="497">
          <cell r="B497" t="str">
            <v>EMMC</v>
          </cell>
          <cell r="C497" t="str">
            <v>HSLB12347</v>
          </cell>
          <cell r="D497">
            <v>112066</v>
          </cell>
          <cell r="E497" t="str">
            <v>Mesa Toma de Muestra</v>
          </cell>
          <cell r="F497" t="str">
            <v>NO</v>
          </cell>
          <cell r="G497" t="str">
            <v>NO</v>
          </cell>
          <cell r="H497" t="str">
            <v>TOMA DE MUESTRA COMUN</v>
          </cell>
          <cell r="I497">
            <v>1</v>
          </cell>
          <cell r="J497" t="str">
            <v>C.5.2.4.3</v>
          </cell>
          <cell r="K497" t="str">
            <v>Toma de muestras</v>
          </cell>
          <cell r="L497">
            <v>2</v>
          </cell>
          <cell r="M497">
            <v>46038</v>
          </cell>
          <cell r="N497">
            <v>46041</v>
          </cell>
          <cell r="O497">
            <v>1</v>
          </cell>
          <cell r="P497">
            <v>46042</v>
          </cell>
          <cell r="Q497">
            <v>5</v>
          </cell>
          <cell r="R497" t="str">
            <v>NA</v>
          </cell>
          <cell r="S497">
            <v>5</v>
          </cell>
        </row>
        <row r="498">
          <cell r="B498" t="str">
            <v>EMMC</v>
          </cell>
          <cell r="C498" t="str">
            <v>HSLB12348</v>
          </cell>
          <cell r="D498">
            <v>112066</v>
          </cell>
          <cell r="E498" t="str">
            <v>Mesa Toma de Muestra</v>
          </cell>
          <cell r="F498" t="str">
            <v>NO</v>
          </cell>
          <cell r="G498" t="str">
            <v>NO</v>
          </cell>
          <cell r="H498" t="str">
            <v>TOMA DE MUESTRA COMUN</v>
          </cell>
          <cell r="I498">
            <v>1</v>
          </cell>
          <cell r="J498" t="str">
            <v>C.5.2.4.4</v>
          </cell>
          <cell r="K498" t="str">
            <v>Toma de muestras</v>
          </cell>
          <cell r="L498">
            <v>2</v>
          </cell>
          <cell r="M498">
            <v>46038</v>
          </cell>
          <cell r="N498">
            <v>46041</v>
          </cell>
          <cell r="O498">
            <v>1</v>
          </cell>
          <cell r="P498">
            <v>46042</v>
          </cell>
          <cell r="Q498">
            <v>5</v>
          </cell>
          <cell r="R498" t="str">
            <v>NA</v>
          </cell>
          <cell r="S498">
            <v>5</v>
          </cell>
        </row>
        <row r="499">
          <cell r="B499" t="str">
            <v>EMMC</v>
          </cell>
          <cell r="C499" t="str">
            <v>HSLB10837</v>
          </cell>
          <cell r="D499">
            <v>106010</v>
          </cell>
          <cell r="E499" t="str">
            <v>Microondas</v>
          </cell>
          <cell r="F499" t="str">
            <v>NO</v>
          </cell>
          <cell r="G499" t="str">
            <v>NO</v>
          </cell>
          <cell r="H499" t="str">
            <v>KITCHENETTE</v>
          </cell>
          <cell r="I499">
            <v>1</v>
          </cell>
          <cell r="J499" t="str">
            <v>C.2.5.2.29</v>
          </cell>
          <cell r="K499" t="str">
            <v>Psiquiatría</v>
          </cell>
          <cell r="L499">
            <v>2</v>
          </cell>
          <cell r="M499">
            <v>46015</v>
          </cell>
          <cell r="N499">
            <v>46017</v>
          </cell>
          <cell r="O499">
            <v>1</v>
          </cell>
          <cell r="P499">
            <v>46020</v>
          </cell>
          <cell r="Q499">
            <v>5</v>
          </cell>
          <cell r="R499" t="str">
            <v>NA</v>
          </cell>
          <cell r="S499">
            <v>5</v>
          </cell>
        </row>
        <row r="500">
          <cell r="B500" t="str">
            <v>EMMC</v>
          </cell>
          <cell r="C500" t="str">
            <v>HSLB10867</v>
          </cell>
          <cell r="D500">
            <v>106010</v>
          </cell>
          <cell r="E500" t="str">
            <v>Microondas</v>
          </cell>
          <cell r="F500" t="str">
            <v>NO</v>
          </cell>
          <cell r="G500" t="str">
            <v>NO</v>
          </cell>
          <cell r="H500" t="str">
            <v>ESTAR PERSONAL C/ KITCHENETTE</v>
          </cell>
          <cell r="I500">
            <v>1</v>
          </cell>
          <cell r="J500" t="str">
            <v>D.1.2.6</v>
          </cell>
          <cell r="K500" t="str">
            <v>Gestión</v>
          </cell>
          <cell r="L500">
            <v>2</v>
          </cell>
          <cell r="M500">
            <v>46039</v>
          </cell>
          <cell r="N500">
            <v>46041</v>
          </cell>
          <cell r="O500">
            <v>1</v>
          </cell>
          <cell r="P500">
            <v>46042</v>
          </cell>
          <cell r="Q500">
            <v>5</v>
          </cell>
          <cell r="R500" t="str">
            <v>NA</v>
          </cell>
          <cell r="S500">
            <v>5</v>
          </cell>
        </row>
        <row r="501">
          <cell r="B501" t="str">
            <v>EMMC</v>
          </cell>
          <cell r="C501" t="str">
            <v>HSLB10880</v>
          </cell>
          <cell r="D501">
            <v>106010</v>
          </cell>
          <cell r="E501" t="str">
            <v>Microondas</v>
          </cell>
          <cell r="F501" t="str">
            <v>NO</v>
          </cell>
          <cell r="G501" t="str">
            <v>NO</v>
          </cell>
          <cell r="H501" t="str">
            <v>CAFETERÍA</v>
          </cell>
          <cell r="I501">
            <v>1</v>
          </cell>
          <cell r="J501" t="str">
            <v>A.1.7.2</v>
          </cell>
          <cell r="K501" t="str">
            <v>Toma de muestras</v>
          </cell>
          <cell r="L501">
            <v>2</v>
          </cell>
          <cell r="M501">
            <v>46038</v>
          </cell>
          <cell r="N501">
            <v>46041</v>
          </cell>
          <cell r="O501">
            <v>1</v>
          </cell>
          <cell r="P501">
            <v>46042</v>
          </cell>
          <cell r="Q501">
            <v>5</v>
          </cell>
          <cell r="R501" t="str">
            <v>NA</v>
          </cell>
          <cell r="S501">
            <v>5</v>
          </cell>
        </row>
        <row r="502">
          <cell r="B502" t="str">
            <v>EMMC</v>
          </cell>
          <cell r="C502" t="str">
            <v>HSLB10881</v>
          </cell>
          <cell r="D502">
            <v>106010</v>
          </cell>
          <cell r="E502" t="str">
            <v>Microondas</v>
          </cell>
          <cell r="F502" t="str">
            <v>NO</v>
          </cell>
          <cell r="G502" t="str">
            <v>NO</v>
          </cell>
          <cell r="H502" t="str">
            <v>TALLER DE COCINA</v>
          </cell>
          <cell r="I502">
            <v>1</v>
          </cell>
          <cell r="J502" t="str">
            <v>C.2.5.2.14</v>
          </cell>
          <cell r="K502" t="str">
            <v>Psiquiatría</v>
          </cell>
          <cell r="L502">
            <v>2</v>
          </cell>
          <cell r="M502">
            <v>46015</v>
          </cell>
          <cell r="N502">
            <v>46017</v>
          </cell>
          <cell r="O502">
            <v>1</v>
          </cell>
          <cell r="P502">
            <v>46020</v>
          </cell>
          <cell r="Q502">
            <v>5</v>
          </cell>
          <cell r="R502" t="str">
            <v>NA</v>
          </cell>
          <cell r="S502">
            <v>5</v>
          </cell>
        </row>
        <row r="503">
          <cell r="B503" t="str">
            <v>EMMC</v>
          </cell>
          <cell r="C503" t="str">
            <v>HSLB10883</v>
          </cell>
          <cell r="D503">
            <v>106010</v>
          </cell>
          <cell r="E503" t="str">
            <v>Microondas</v>
          </cell>
          <cell r="F503" t="str">
            <v>NO</v>
          </cell>
          <cell r="G503" t="str">
            <v>NO</v>
          </cell>
          <cell r="H503" t="str">
            <v>ACT. DE LA VIDA DIARIA C/ KITCH Y REPOSTERO</v>
          </cell>
          <cell r="I503">
            <v>1</v>
          </cell>
          <cell r="J503" t="str">
            <v>C.2.5.4.18</v>
          </cell>
          <cell r="K503" t="str">
            <v>Psiquiatría</v>
          </cell>
          <cell r="L503">
            <v>2</v>
          </cell>
          <cell r="M503">
            <v>46015</v>
          </cell>
          <cell r="N503">
            <v>46017</v>
          </cell>
          <cell r="O503">
            <v>1</v>
          </cell>
          <cell r="P503">
            <v>46020</v>
          </cell>
          <cell r="Q503">
            <v>5</v>
          </cell>
          <cell r="R503" t="str">
            <v>NA</v>
          </cell>
          <cell r="S503">
            <v>5</v>
          </cell>
        </row>
        <row r="504">
          <cell r="B504" t="str">
            <v>EMMC</v>
          </cell>
          <cell r="C504" t="str">
            <v>HSLB11517</v>
          </cell>
          <cell r="D504">
            <v>111111</v>
          </cell>
          <cell r="E504" t="str">
            <v xml:space="preserve">Piscina Sensorial </v>
          </cell>
          <cell r="F504" t="str">
            <v>NO</v>
          </cell>
          <cell r="G504" t="str">
            <v>NO</v>
          </cell>
          <cell r="H504" t="str">
            <v>SALA DE REHABILITACIÓN INFANTIL</v>
          </cell>
          <cell r="I504">
            <v>1</v>
          </cell>
          <cell r="J504" t="str">
            <v>C.2.5.2.21</v>
          </cell>
          <cell r="K504" t="str">
            <v>Psiquiatría</v>
          </cell>
          <cell r="L504">
            <v>2</v>
          </cell>
          <cell r="M504">
            <v>46015</v>
          </cell>
          <cell r="N504">
            <v>46017</v>
          </cell>
          <cell r="O504">
            <v>1</v>
          </cell>
          <cell r="P504">
            <v>46020</v>
          </cell>
          <cell r="Q504">
            <v>5</v>
          </cell>
          <cell r="R504" t="str">
            <v>NA</v>
          </cell>
          <cell r="S504">
            <v>5</v>
          </cell>
        </row>
        <row r="505">
          <cell r="B505" t="str">
            <v>EMMC</v>
          </cell>
          <cell r="C505" t="str">
            <v>HSLB12371</v>
          </cell>
          <cell r="D505">
            <v>112068</v>
          </cell>
          <cell r="E505" t="str">
            <v>Piso Taburete Clínico</v>
          </cell>
          <cell r="F505" t="str">
            <v>NO</v>
          </cell>
          <cell r="G505" t="str">
            <v>NO</v>
          </cell>
          <cell r="H505" t="str">
            <v>BOX DENTAL POLIFUNCIONAL(3)</v>
          </cell>
          <cell r="I505">
            <v>0</v>
          </cell>
          <cell r="J505" t="str">
            <v>C.2.2.4.7.3</v>
          </cell>
          <cell r="K505" t="str">
            <v>Odontología</v>
          </cell>
          <cell r="L505">
            <v>2</v>
          </cell>
          <cell r="M505">
            <v>46010</v>
          </cell>
          <cell r="N505">
            <v>46013</v>
          </cell>
          <cell r="O505">
            <v>1</v>
          </cell>
          <cell r="P505">
            <v>46014</v>
          </cell>
          <cell r="Q505">
            <v>5</v>
          </cell>
          <cell r="R505" t="str">
            <v>NA</v>
          </cell>
          <cell r="S505">
            <v>5</v>
          </cell>
        </row>
        <row r="506">
          <cell r="B506" t="str">
            <v>EMMC</v>
          </cell>
          <cell r="C506" t="str">
            <v>HSLB12372</v>
          </cell>
          <cell r="D506">
            <v>112068</v>
          </cell>
          <cell r="E506" t="str">
            <v>Piso Taburete Clínico</v>
          </cell>
          <cell r="F506" t="str">
            <v>NO</v>
          </cell>
          <cell r="G506" t="str">
            <v>NO</v>
          </cell>
          <cell r="H506" t="str">
            <v>BOX DENTAL POLIFUNCIONAL(4)</v>
          </cell>
          <cell r="I506">
            <v>0</v>
          </cell>
          <cell r="J506" t="str">
            <v>C.2.2.4.7.4</v>
          </cell>
          <cell r="K506" t="str">
            <v>Odontología</v>
          </cell>
          <cell r="L506">
            <v>2</v>
          </cell>
          <cell r="M506">
            <v>46010</v>
          </cell>
          <cell r="N506">
            <v>46013</v>
          </cell>
          <cell r="O506">
            <v>1</v>
          </cell>
          <cell r="P506">
            <v>46014</v>
          </cell>
          <cell r="Q506">
            <v>5</v>
          </cell>
          <cell r="R506" t="str">
            <v>NA</v>
          </cell>
          <cell r="S506">
            <v>5</v>
          </cell>
        </row>
        <row r="507">
          <cell r="B507" t="str">
            <v>EMMC</v>
          </cell>
          <cell r="C507" t="str">
            <v>HSLB12379</v>
          </cell>
          <cell r="D507">
            <v>112068</v>
          </cell>
          <cell r="E507" t="str">
            <v>Piso Taburete Clínico</v>
          </cell>
          <cell r="F507" t="str">
            <v>NO</v>
          </cell>
          <cell r="G507" t="str">
            <v>NO</v>
          </cell>
          <cell r="H507" t="str">
            <v>SALA DE PROCEDIMIENTO</v>
          </cell>
          <cell r="I507">
            <v>2</v>
          </cell>
          <cell r="J507" t="str">
            <v>C.2.5.4.13</v>
          </cell>
          <cell r="K507" t="str">
            <v>Psiquiatría</v>
          </cell>
          <cell r="L507">
            <v>2</v>
          </cell>
          <cell r="M507">
            <v>46015</v>
          </cell>
          <cell r="N507">
            <v>46017</v>
          </cell>
          <cell r="O507">
            <v>1</v>
          </cell>
          <cell r="P507">
            <v>46020</v>
          </cell>
          <cell r="Q507">
            <v>5</v>
          </cell>
          <cell r="R507" t="str">
            <v>NA</v>
          </cell>
          <cell r="S507">
            <v>5</v>
          </cell>
        </row>
        <row r="508">
          <cell r="B508" t="str">
            <v>EMMC</v>
          </cell>
          <cell r="C508" t="str">
            <v>HSLB12396</v>
          </cell>
          <cell r="D508">
            <v>112068</v>
          </cell>
          <cell r="E508" t="str">
            <v>Piso Taburete Clínico</v>
          </cell>
          <cell r="F508" t="str">
            <v>NO</v>
          </cell>
          <cell r="G508" t="str">
            <v>NO</v>
          </cell>
          <cell r="H508" t="str">
            <v>TOMA DE MUESTRA COMUN</v>
          </cell>
          <cell r="I508">
            <v>1</v>
          </cell>
          <cell r="J508" t="str">
            <v>C.5.2.4.1</v>
          </cell>
          <cell r="K508" t="str">
            <v>Toma de muestras</v>
          </cell>
          <cell r="L508">
            <v>2</v>
          </cell>
          <cell r="M508">
            <v>46038</v>
          </cell>
          <cell r="N508">
            <v>46041</v>
          </cell>
          <cell r="O508">
            <v>1</v>
          </cell>
          <cell r="P508">
            <v>46042</v>
          </cell>
          <cell r="Q508">
            <v>5</v>
          </cell>
          <cell r="R508" t="str">
            <v>NA</v>
          </cell>
          <cell r="S508">
            <v>5</v>
          </cell>
        </row>
        <row r="509">
          <cell r="B509" t="str">
            <v>EMMC</v>
          </cell>
          <cell r="C509" t="str">
            <v>HSLB12397</v>
          </cell>
          <cell r="D509">
            <v>112068</v>
          </cell>
          <cell r="E509" t="str">
            <v>Piso Taburete Clínico</v>
          </cell>
          <cell r="F509" t="str">
            <v>NO</v>
          </cell>
          <cell r="G509" t="str">
            <v>NO</v>
          </cell>
          <cell r="H509" t="str">
            <v>TOMA DE MUESTRA COMUN</v>
          </cell>
          <cell r="I509">
            <v>1</v>
          </cell>
          <cell r="J509" t="str">
            <v>C.5.2.4.2</v>
          </cell>
          <cell r="K509" t="str">
            <v>Toma de muestras</v>
          </cell>
          <cell r="L509">
            <v>2</v>
          </cell>
          <cell r="M509">
            <v>46038</v>
          </cell>
          <cell r="N509">
            <v>46041</v>
          </cell>
          <cell r="O509">
            <v>1</v>
          </cell>
          <cell r="P509">
            <v>46042</v>
          </cell>
          <cell r="Q509">
            <v>5</v>
          </cell>
          <cell r="R509" t="str">
            <v>NA</v>
          </cell>
          <cell r="S509">
            <v>5</v>
          </cell>
        </row>
        <row r="510">
          <cell r="B510" t="str">
            <v>EMMC</v>
          </cell>
          <cell r="C510" t="str">
            <v>HSLB12398</v>
          </cell>
          <cell r="D510">
            <v>112068</v>
          </cell>
          <cell r="E510" t="str">
            <v>Piso Taburete Clínico</v>
          </cell>
          <cell r="F510" t="str">
            <v>NO</v>
          </cell>
          <cell r="G510" t="str">
            <v>NO</v>
          </cell>
          <cell r="H510" t="str">
            <v>TOMA DE MUESTRA COMUN</v>
          </cell>
          <cell r="I510">
            <v>1</v>
          </cell>
          <cell r="J510" t="str">
            <v>C.5.2.4.3</v>
          </cell>
          <cell r="K510" t="str">
            <v>Toma de muestras</v>
          </cell>
          <cell r="L510">
            <v>2</v>
          </cell>
          <cell r="M510">
            <v>46038</v>
          </cell>
          <cell r="N510">
            <v>46041</v>
          </cell>
          <cell r="O510">
            <v>1</v>
          </cell>
          <cell r="P510">
            <v>46042</v>
          </cell>
          <cell r="Q510">
            <v>5</v>
          </cell>
          <cell r="R510" t="str">
            <v>NA</v>
          </cell>
          <cell r="S510">
            <v>5</v>
          </cell>
        </row>
        <row r="511">
          <cell r="B511" t="str">
            <v>EMMC</v>
          </cell>
          <cell r="C511" t="str">
            <v>HSLB12399</v>
          </cell>
          <cell r="D511">
            <v>112068</v>
          </cell>
          <cell r="E511" t="str">
            <v>Piso Taburete Clínico</v>
          </cell>
          <cell r="F511" t="str">
            <v>NO</v>
          </cell>
          <cell r="G511" t="str">
            <v>NO</v>
          </cell>
          <cell r="H511" t="str">
            <v>TOMA DE MUESTRA COMUN</v>
          </cell>
          <cell r="I511">
            <v>1</v>
          </cell>
          <cell r="J511" t="str">
            <v>C.5.2.4.4</v>
          </cell>
          <cell r="K511" t="str">
            <v>Toma de muestras</v>
          </cell>
          <cell r="L511">
            <v>2</v>
          </cell>
          <cell r="M511">
            <v>46038</v>
          </cell>
          <cell r="N511">
            <v>46041</v>
          </cell>
          <cell r="O511">
            <v>1</v>
          </cell>
          <cell r="P511">
            <v>46042</v>
          </cell>
          <cell r="Q511">
            <v>5</v>
          </cell>
          <cell r="R511" t="str">
            <v>NA</v>
          </cell>
          <cell r="S511">
            <v>5</v>
          </cell>
        </row>
        <row r="512">
          <cell r="B512" t="str">
            <v>EMMC</v>
          </cell>
          <cell r="C512" t="str">
            <v>HSLB12400</v>
          </cell>
          <cell r="D512">
            <v>112068</v>
          </cell>
          <cell r="E512" t="str">
            <v>Piso Taburete Clínico</v>
          </cell>
          <cell r="F512" t="str">
            <v>NO</v>
          </cell>
          <cell r="G512" t="str">
            <v>NO</v>
          </cell>
          <cell r="H512" t="str">
            <v>TOMA DE MUESTRA PEDIÁTRICA (1CUPO)</v>
          </cell>
          <cell r="I512">
            <v>1</v>
          </cell>
          <cell r="J512" t="str">
            <v>C.5.2.4.5</v>
          </cell>
          <cell r="K512" t="str">
            <v>Toma de muestras</v>
          </cell>
          <cell r="L512">
            <v>2</v>
          </cell>
          <cell r="M512">
            <v>46038</v>
          </cell>
          <cell r="N512">
            <v>46041</v>
          </cell>
          <cell r="O512">
            <v>1</v>
          </cell>
          <cell r="P512">
            <v>46042</v>
          </cell>
          <cell r="Q512">
            <v>5</v>
          </cell>
          <cell r="R512" t="str">
            <v>NA</v>
          </cell>
          <cell r="S512">
            <v>5</v>
          </cell>
        </row>
        <row r="513">
          <cell r="B513" t="str">
            <v>EMMC</v>
          </cell>
          <cell r="C513" t="str">
            <v>HSLB12401</v>
          </cell>
          <cell r="D513">
            <v>112068</v>
          </cell>
          <cell r="E513" t="str">
            <v>Piso Taburete Clínico</v>
          </cell>
          <cell r="F513" t="str">
            <v>NO</v>
          </cell>
          <cell r="G513" t="str">
            <v>NO</v>
          </cell>
          <cell r="H513" t="str">
            <v>TOMA DE MUESTRA PEDIÁTRICA (1CUPO)</v>
          </cell>
          <cell r="I513">
            <v>1</v>
          </cell>
          <cell r="J513" t="str">
            <v>C.5.2.4.6</v>
          </cell>
          <cell r="K513" t="str">
            <v>Toma de muestras</v>
          </cell>
          <cell r="L513">
            <v>2</v>
          </cell>
          <cell r="M513">
            <v>46038</v>
          </cell>
          <cell r="N513">
            <v>46041</v>
          </cell>
          <cell r="O513">
            <v>1</v>
          </cell>
          <cell r="P513">
            <v>46042</v>
          </cell>
          <cell r="Q513">
            <v>5</v>
          </cell>
          <cell r="R513" t="str">
            <v>NA</v>
          </cell>
          <cell r="S513">
            <v>5</v>
          </cell>
        </row>
        <row r="514">
          <cell r="B514" t="str">
            <v>EMMC</v>
          </cell>
          <cell r="C514" t="str">
            <v>HSLB12402</v>
          </cell>
          <cell r="D514">
            <v>112068</v>
          </cell>
          <cell r="E514" t="str">
            <v>Piso Taburete Clínico</v>
          </cell>
          <cell r="F514" t="str">
            <v>NO</v>
          </cell>
          <cell r="G514" t="str">
            <v>SI</v>
          </cell>
          <cell r="H514" t="str">
            <v>TOMA DE MUESTRA URGO GINE</v>
          </cell>
          <cell r="I514">
            <v>1</v>
          </cell>
          <cell r="J514" t="str">
            <v>C.5.2.4.7</v>
          </cell>
          <cell r="K514" t="str">
            <v>Toma de muestras</v>
          </cell>
          <cell r="L514">
            <v>2</v>
          </cell>
          <cell r="M514">
            <v>46003</v>
          </cell>
          <cell r="N514">
            <v>46006</v>
          </cell>
          <cell r="O514">
            <v>1</v>
          </cell>
          <cell r="P514">
            <v>46008</v>
          </cell>
          <cell r="Q514">
            <v>5</v>
          </cell>
          <cell r="R514" t="str">
            <v>NA</v>
          </cell>
          <cell r="S514">
            <v>5</v>
          </cell>
        </row>
        <row r="515">
          <cell r="B515" t="str">
            <v>EMMC</v>
          </cell>
          <cell r="C515" t="str">
            <v>HSLB12421</v>
          </cell>
          <cell r="D515">
            <v>112069</v>
          </cell>
          <cell r="E515" t="str">
            <v>Piso Taburete Clínico con Respaldo</v>
          </cell>
          <cell r="F515" t="str">
            <v>NO</v>
          </cell>
          <cell r="G515" t="str">
            <v>NO</v>
          </cell>
          <cell r="H515" t="str">
            <v>SALA TRABAJO GRUPAL ADULTO</v>
          </cell>
          <cell r="I515">
            <v>2</v>
          </cell>
          <cell r="J515" t="str">
            <v>C.2.5.2.16</v>
          </cell>
          <cell r="K515" t="str">
            <v>Psiquiatría</v>
          </cell>
          <cell r="L515">
            <v>2</v>
          </cell>
          <cell r="M515">
            <v>46015</v>
          </cell>
          <cell r="N515">
            <v>46017</v>
          </cell>
          <cell r="O515">
            <v>1</v>
          </cell>
          <cell r="P515">
            <v>46020</v>
          </cell>
          <cell r="Q515">
            <v>5</v>
          </cell>
          <cell r="R515" t="str">
            <v>NA</v>
          </cell>
          <cell r="S515">
            <v>5</v>
          </cell>
        </row>
        <row r="516">
          <cell r="B516" t="str">
            <v>EMMC</v>
          </cell>
          <cell r="C516" t="str">
            <v>HSLB10896</v>
          </cell>
          <cell r="D516">
            <v>106013</v>
          </cell>
          <cell r="E516" t="str">
            <v>Proyector</v>
          </cell>
          <cell r="F516" t="str">
            <v>NO</v>
          </cell>
          <cell r="G516" t="str">
            <v>NO</v>
          </cell>
          <cell r="H516" t="str">
            <v>SALA TRABAJO GRUPAL ADULTO</v>
          </cell>
          <cell r="I516">
            <v>1</v>
          </cell>
          <cell r="J516" t="str">
            <v>C.2.5.2.15</v>
          </cell>
          <cell r="K516" t="str">
            <v>Psiquiatría</v>
          </cell>
          <cell r="L516">
            <v>2</v>
          </cell>
          <cell r="M516">
            <v>46015</v>
          </cell>
          <cell r="N516">
            <v>46017</v>
          </cell>
          <cell r="O516">
            <v>1</v>
          </cell>
          <cell r="P516">
            <v>46020</v>
          </cell>
          <cell r="Q516">
            <v>5</v>
          </cell>
          <cell r="R516" t="str">
            <v>NA</v>
          </cell>
          <cell r="S516">
            <v>5</v>
          </cell>
        </row>
        <row r="517">
          <cell r="B517" t="str">
            <v>EMMC</v>
          </cell>
          <cell r="C517" t="str">
            <v>HSLB10897</v>
          </cell>
          <cell r="D517">
            <v>106013</v>
          </cell>
          <cell r="E517" t="str">
            <v>Proyector</v>
          </cell>
          <cell r="F517" t="str">
            <v>NO</v>
          </cell>
          <cell r="G517" t="str">
            <v>SI</v>
          </cell>
          <cell r="H517" t="str">
            <v>SALA TRABAJO GRUPAL</v>
          </cell>
          <cell r="I517">
            <v>1</v>
          </cell>
          <cell r="J517" t="str">
            <v>C.2.5.2.22</v>
          </cell>
          <cell r="K517" t="str">
            <v>Psiquiatría</v>
          </cell>
          <cell r="L517">
            <v>2</v>
          </cell>
          <cell r="M517">
            <v>46003</v>
          </cell>
          <cell r="N517">
            <v>46006</v>
          </cell>
          <cell r="O517">
            <v>1</v>
          </cell>
          <cell r="P517">
            <v>46008</v>
          </cell>
          <cell r="Q517">
            <v>5</v>
          </cell>
          <cell r="R517" t="str">
            <v>NA</v>
          </cell>
          <cell r="S517">
            <v>5</v>
          </cell>
        </row>
        <row r="518">
          <cell r="B518" t="str">
            <v>EMMC</v>
          </cell>
          <cell r="C518" t="str">
            <v>HSLB10902</v>
          </cell>
          <cell r="D518">
            <v>106013</v>
          </cell>
          <cell r="E518" t="str">
            <v>Proyector</v>
          </cell>
          <cell r="F518" t="str">
            <v>NO</v>
          </cell>
          <cell r="G518" t="str">
            <v>NO</v>
          </cell>
          <cell r="H518" t="str">
            <v>TALLER DE COMPUTACIÓN</v>
          </cell>
          <cell r="I518">
            <v>1</v>
          </cell>
          <cell r="J518" t="str">
            <v>C.2.5.4.16</v>
          </cell>
          <cell r="K518" t="str">
            <v>Psiquiatría</v>
          </cell>
          <cell r="L518">
            <v>2</v>
          </cell>
          <cell r="M518">
            <v>46015</v>
          </cell>
          <cell r="N518">
            <v>46017</v>
          </cell>
          <cell r="O518">
            <v>1</v>
          </cell>
          <cell r="P518">
            <v>46020</v>
          </cell>
          <cell r="Q518">
            <v>5</v>
          </cell>
          <cell r="R518" t="str">
            <v>NA</v>
          </cell>
          <cell r="S518">
            <v>5</v>
          </cell>
        </row>
        <row r="519">
          <cell r="B519" t="str">
            <v>EMMC</v>
          </cell>
          <cell r="C519" t="str">
            <v>HSLB10903</v>
          </cell>
          <cell r="D519">
            <v>106013</v>
          </cell>
          <cell r="E519" t="str">
            <v>Proyector</v>
          </cell>
          <cell r="F519" t="str">
            <v>NO</v>
          </cell>
          <cell r="G519" t="str">
            <v>NO</v>
          </cell>
          <cell r="H519" t="str">
            <v>SALA DE REUNIONES</v>
          </cell>
          <cell r="I519">
            <v>1</v>
          </cell>
          <cell r="J519" t="str">
            <v>C.2.5.4.8</v>
          </cell>
          <cell r="K519" t="str">
            <v>Psiquiatría</v>
          </cell>
          <cell r="L519">
            <v>2</v>
          </cell>
          <cell r="M519">
            <v>46015</v>
          </cell>
          <cell r="N519">
            <v>46017</v>
          </cell>
          <cell r="O519">
            <v>1</v>
          </cell>
          <cell r="P519">
            <v>46020</v>
          </cell>
          <cell r="Q519">
            <v>5</v>
          </cell>
          <cell r="R519" t="str">
            <v>NA</v>
          </cell>
          <cell r="S519">
            <v>5</v>
          </cell>
        </row>
        <row r="520">
          <cell r="B520" t="str">
            <v>EMMC</v>
          </cell>
          <cell r="C520" t="str">
            <v>HSLB10919</v>
          </cell>
          <cell r="D520">
            <v>106013</v>
          </cell>
          <cell r="E520" t="str">
            <v>Proyector</v>
          </cell>
          <cell r="F520" t="str">
            <v>NO</v>
          </cell>
          <cell r="G520" t="str">
            <v>NO</v>
          </cell>
          <cell r="H520" t="str">
            <v>SALA DE REUNIONES (15 pp)</v>
          </cell>
          <cell r="I520">
            <v>1</v>
          </cell>
          <cell r="J520" t="str">
            <v>D.3.4.1</v>
          </cell>
          <cell r="K520" t="str">
            <v>Abastecimiento</v>
          </cell>
          <cell r="L520">
            <v>2</v>
          </cell>
          <cell r="M520">
            <v>46036</v>
          </cell>
          <cell r="N520">
            <v>46037</v>
          </cell>
          <cell r="O520">
            <v>1</v>
          </cell>
          <cell r="P520">
            <v>46038</v>
          </cell>
          <cell r="Q520">
            <v>5</v>
          </cell>
          <cell r="R520" t="str">
            <v>NA</v>
          </cell>
          <cell r="S520">
            <v>5</v>
          </cell>
        </row>
        <row r="521">
          <cell r="B521" t="str">
            <v>EMMC</v>
          </cell>
          <cell r="C521" t="str">
            <v>HSLB10930</v>
          </cell>
          <cell r="D521">
            <v>106014</v>
          </cell>
          <cell r="E521" t="str">
            <v>Reproductor de DVD</v>
          </cell>
          <cell r="F521" t="str">
            <v>NO</v>
          </cell>
          <cell r="G521" t="str">
            <v>SI</v>
          </cell>
          <cell r="H521" t="str">
            <v>SALA MULTIUSO</v>
          </cell>
          <cell r="I521">
            <v>1</v>
          </cell>
          <cell r="J521" t="str">
            <v>C.2.5.4.15.1</v>
          </cell>
          <cell r="K521" t="str">
            <v>Psiquiatría</v>
          </cell>
          <cell r="L521">
            <v>2</v>
          </cell>
          <cell r="M521">
            <v>46003</v>
          </cell>
          <cell r="N521">
            <v>46006</v>
          </cell>
          <cell r="O521">
            <v>1</v>
          </cell>
          <cell r="P521">
            <v>46008</v>
          </cell>
          <cell r="Q521">
            <v>5</v>
          </cell>
          <cell r="R521" t="str">
            <v>NA</v>
          </cell>
          <cell r="S521">
            <v>5</v>
          </cell>
        </row>
        <row r="522">
          <cell r="B522" t="str">
            <v>EMMC</v>
          </cell>
          <cell r="C522" t="str">
            <v>HSLB10931</v>
          </cell>
          <cell r="D522">
            <v>106014</v>
          </cell>
          <cell r="E522" t="str">
            <v>Reproductor de DVD</v>
          </cell>
          <cell r="F522" t="str">
            <v>NO</v>
          </cell>
          <cell r="G522" t="str">
            <v>SI</v>
          </cell>
          <cell r="H522" t="str">
            <v>SALA MULTIUSO</v>
          </cell>
          <cell r="I522">
            <v>1</v>
          </cell>
          <cell r="J522" t="str">
            <v>C.2.5.4.15.2</v>
          </cell>
          <cell r="K522" t="str">
            <v>Psiquiatría</v>
          </cell>
          <cell r="L522">
            <v>2</v>
          </cell>
          <cell r="M522">
            <v>46003</v>
          </cell>
          <cell r="N522">
            <v>46006</v>
          </cell>
          <cell r="O522">
            <v>1</v>
          </cell>
          <cell r="P522">
            <v>46008</v>
          </cell>
          <cell r="Q522">
            <v>5</v>
          </cell>
          <cell r="R522" t="str">
            <v>NA</v>
          </cell>
          <cell r="S522">
            <v>5</v>
          </cell>
        </row>
        <row r="523">
          <cell r="B523" t="str">
            <v>EMMC</v>
          </cell>
          <cell r="C523" t="str">
            <v>HSLB10932</v>
          </cell>
          <cell r="D523">
            <v>106014</v>
          </cell>
          <cell r="E523" t="str">
            <v>Reproductor de DVD</v>
          </cell>
          <cell r="F523" t="str">
            <v>NO</v>
          </cell>
          <cell r="G523" t="str">
            <v>NO</v>
          </cell>
          <cell r="H523" t="str">
            <v>SALA DE ESTAR /COMEDOR</v>
          </cell>
          <cell r="I523">
            <v>1</v>
          </cell>
          <cell r="J523" t="str">
            <v>C.2.5.4.17</v>
          </cell>
          <cell r="K523" t="str">
            <v>Psiquiatría</v>
          </cell>
          <cell r="L523">
            <v>2</v>
          </cell>
          <cell r="M523">
            <v>46015</v>
          </cell>
          <cell r="N523">
            <v>46017</v>
          </cell>
          <cell r="O523">
            <v>1</v>
          </cell>
          <cell r="P523">
            <v>46020</v>
          </cell>
          <cell r="Q523">
            <v>5</v>
          </cell>
          <cell r="R523" t="str">
            <v>NA</v>
          </cell>
          <cell r="S523">
            <v>5</v>
          </cell>
        </row>
        <row r="524">
          <cell r="B524" t="str">
            <v>EMMC</v>
          </cell>
          <cell r="C524" t="str">
            <v>HSLB11531</v>
          </cell>
          <cell r="D524">
            <v>111066</v>
          </cell>
          <cell r="E524" t="str">
            <v>Set de Arte</v>
          </cell>
          <cell r="F524" t="str">
            <v>NO</v>
          </cell>
          <cell r="G524" t="str">
            <v>NO</v>
          </cell>
          <cell r="H524" t="str">
            <v>SALA TRABAJO GRUPAL ADULTO</v>
          </cell>
          <cell r="I524">
            <v>20</v>
          </cell>
          <cell r="J524" t="str">
            <v>C.2.5.2.15</v>
          </cell>
          <cell r="K524" t="str">
            <v>Psiquiatría</v>
          </cell>
          <cell r="L524">
            <v>2</v>
          </cell>
          <cell r="M524">
            <v>46015</v>
          </cell>
          <cell r="N524">
            <v>46017</v>
          </cell>
          <cell r="O524">
            <v>1</v>
          </cell>
          <cell r="P524">
            <v>46020</v>
          </cell>
          <cell r="Q524">
            <v>5</v>
          </cell>
          <cell r="R524" t="str">
            <v>NA</v>
          </cell>
          <cell r="S524">
            <v>5</v>
          </cell>
        </row>
        <row r="525">
          <cell r="B525" t="str">
            <v>EMMC</v>
          </cell>
          <cell r="C525" t="str">
            <v>HSLB11532</v>
          </cell>
          <cell r="D525">
            <v>111066</v>
          </cell>
          <cell r="E525" t="str">
            <v>Set de Arte</v>
          </cell>
          <cell r="F525" t="str">
            <v>NO</v>
          </cell>
          <cell r="G525" t="str">
            <v>SI</v>
          </cell>
          <cell r="H525" t="str">
            <v>SALA TRABAJO GRUPAL</v>
          </cell>
          <cell r="I525">
            <v>6</v>
          </cell>
          <cell r="J525" t="str">
            <v>C.2.5.2.22</v>
          </cell>
          <cell r="K525" t="str">
            <v>Psiquiatría</v>
          </cell>
          <cell r="L525">
            <v>2</v>
          </cell>
          <cell r="M525">
            <v>46003</v>
          </cell>
          <cell r="N525">
            <v>46006</v>
          </cell>
          <cell r="O525">
            <v>1</v>
          </cell>
          <cell r="P525">
            <v>46008</v>
          </cell>
          <cell r="Q525">
            <v>5</v>
          </cell>
          <cell r="R525" t="str">
            <v>NA</v>
          </cell>
          <cell r="S525">
            <v>5</v>
          </cell>
        </row>
        <row r="526">
          <cell r="B526" t="str">
            <v>EMMC</v>
          </cell>
          <cell r="C526" t="str">
            <v>HSLB11534</v>
          </cell>
          <cell r="D526">
            <v>111066</v>
          </cell>
          <cell r="E526" t="str">
            <v>Set de Arte</v>
          </cell>
          <cell r="F526" t="str">
            <v>NO</v>
          </cell>
          <cell r="G526" t="str">
            <v>SI</v>
          </cell>
          <cell r="H526" t="str">
            <v>SALA MULTIUSO</v>
          </cell>
          <cell r="I526">
            <v>1</v>
          </cell>
          <cell r="J526" t="str">
            <v>C.2.5.4.15.2</v>
          </cell>
          <cell r="K526" t="str">
            <v>Psiquiatría</v>
          </cell>
          <cell r="L526">
            <v>2</v>
          </cell>
          <cell r="M526">
            <v>46003</v>
          </cell>
          <cell r="N526">
            <v>46006</v>
          </cell>
          <cell r="O526">
            <v>1</v>
          </cell>
          <cell r="P526">
            <v>46008</v>
          </cell>
          <cell r="Q526">
            <v>5</v>
          </cell>
          <cell r="R526" t="str">
            <v>NA</v>
          </cell>
          <cell r="S526">
            <v>5</v>
          </cell>
        </row>
        <row r="527">
          <cell r="B527" t="str">
            <v>EMMC</v>
          </cell>
          <cell r="C527" t="str">
            <v>HSLB11537</v>
          </cell>
          <cell r="D527">
            <v>111068</v>
          </cell>
          <cell r="E527" t="str">
            <v>Set de Balones Terapéuticos</v>
          </cell>
          <cell r="F527" t="str">
            <v>NO</v>
          </cell>
          <cell r="G527" t="str">
            <v>NO</v>
          </cell>
          <cell r="H527" t="str">
            <v>SALA TRABAJO GRUPAL ADULTO</v>
          </cell>
          <cell r="I527">
            <v>1</v>
          </cell>
          <cell r="J527" t="str">
            <v>C.2.5.2.15</v>
          </cell>
          <cell r="K527" t="str">
            <v>Psiquiatría</v>
          </cell>
          <cell r="L527">
            <v>2</v>
          </cell>
          <cell r="M527">
            <v>46015</v>
          </cell>
          <cell r="N527">
            <v>46017</v>
          </cell>
          <cell r="O527">
            <v>1</v>
          </cell>
          <cell r="P527">
            <v>46020</v>
          </cell>
          <cell r="Q527">
            <v>5</v>
          </cell>
          <cell r="R527" t="str">
            <v>NA</v>
          </cell>
          <cell r="S527">
            <v>5</v>
          </cell>
        </row>
        <row r="528">
          <cell r="B528" t="str">
            <v>EMMC</v>
          </cell>
          <cell r="C528" t="str">
            <v>HSLB11538</v>
          </cell>
          <cell r="D528">
            <v>111068</v>
          </cell>
          <cell r="E528" t="str">
            <v>Set de Balones Terapéuticos</v>
          </cell>
          <cell r="F528" t="str">
            <v>NO</v>
          </cell>
          <cell r="G528" t="str">
            <v>SI</v>
          </cell>
          <cell r="H528" t="str">
            <v>SALA TRABAJO GRUPAL</v>
          </cell>
          <cell r="I528">
            <v>1</v>
          </cell>
          <cell r="J528" t="str">
            <v>C.2.5.2.22</v>
          </cell>
          <cell r="K528" t="str">
            <v>Psiquiatría</v>
          </cell>
          <cell r="L528">
            <v>2</v>
          </cell>
          <cell r="M528">
            <v>46003</v>
          </cell>
          <cell r="N528">
            <v>46006</v>
          </cell>
          <cell r="O528">
            <v>1</v>
          </cell>
          <cell r="P528">
            <v>46008</v>
          </cell>
          <cell r="Q528">
            <v>5</v>
          </cell>
          <cell r="R528" t="str">
            <v>NA</v>
          </cell>
          <cell r="S528">
            <v>5</v>
          </cell>
        </row>
        <row r="529">
          <cell r="B529" t="str">
            <v>EMMC</v>
          </cell>
          <cell r="C529" t="str">
            <v>HSLB11541</v>
          </cell>
          <cell r="D529">
            <v>111068</v>
          </cell>
          <cell r="E529" t="str">
            <v>Set de Balones Terapéuticos</v>
          </cell>
          <cell r="F529" t="str">
            <v>NO</v>
          </cell>
          <cell r="G529" t="str">
            <v>SI</v>
          </cell>
          <cell r="H529" t="str">
            <v>SALA MULTIUSO</v>
          </cell>
          <cell r="I529">
            <v>1</v>
          </cell>
          <cell r="J529" t="str">
            <v>C.2.5.4.15.2</v>
          </cell>
          <cell r="K529" t="str">
            <v>Psiquiatría</v>
          </cell>
          <cell r="L529">
            <v>2</v>
          </cell>
          <cell r="M529">
            <v>46003</v>
          </cell>
          <cell r="N529">
            <v>46006</v>
          </cell>
          <cell r="O529">
            <v>1</v>
          </cell>
          <cell r="P529">
            <v>46008</v>
          </cell>
          <cell r="Q529">
            <v>5</v>
          </cell>
          <cell r="R529" t="str">
            <v>NA</v>
          </cell>
          <cell r="S529">
            <v>5</v>
          </cell>
        </row>
        <row r="530">
          <cell r="B530" t="str">
            <v>EMMC</v>
          </cell>
          <cell r="C530" t="str">
            <v>HSLB11546</v>
          </cell>
          <cell r="D530">
            <v>111071</v>
          </cell>
          <cell r="E530" t="str">
            <v>Set de Colchonetas</v>
          </cell>
          <cell r="F530" t="str">
            <v>NO</v>
          </cell>
          <cell r="G530" t="str">
            <v>NO</v>
          </cell>
          <cell r="H530" t="str">
            <v>SALA TRABAJO GRUPAL ADULTO</v>
          </cell>
          <cell r="I530">
            <v>1</v>
          </cell>
          <cell r="J530" t="str">
            <v>C.2.5.2.15</v>
          </cell>
          <cell r="K530" t="str">
            <v>Psiquiatría</v>
          </cell>
          <cell r="L530">
            <v>2</v>
          </cell>
          <cell r="M530">
            <v>46015</v>
          </cell>
          <cell r="N530">
            <v>46017</v>
          </cell>
          <cell r="O530">
            <v>1</v>
          </cell>
          <cell r="P530">
            <v>46020</v>
          </cell>
          <cell r="Q530">
            <v>5</v>
          </cell>
          <cell r="R530" t="str">
            <v>NA</v>
          </cell>
          <cell r="S530">
            <v>5</v>
          </cell>
        </row>
        <row r="531">
          <cell r="B531" t="str">
            <v>EMMC</v>
          </cell>
          <cell r="C531" t="str">
            <v>HSLB11547</v>
          </cell>
          <cell r="D531">
            <v>111071</v>
          </cell>
          <cell r="E531" t="str">
            <v>Set de Colchonetas</v>
          </cell>
          <cell r="F531" t="str">
            <v>NO</v>
          </cell>
          <cell r="G531" t="str">
            <v>NO</v>
          </cell>
          <cell r="H531" t="str">
            <v>SALA DE REHABILITACIÓN INFANTIL</v>
          </cell>
          <cell r="I531">
            <v>1</v>
          </cell>
          <cell r="J531" t="str">
            <v>C.2.5.2.21</v>
          </cell>
          <cell r="K531" t="str">
            <v>Psiquiatría</v>
          </cell>
          <cell r="L531">
            <v>2</v>
          </cell>
          <cell r="M531">
            <v>46015</v>
          </cell>
          <cell r="N531">
            <v>46017</v>
          </cell>
          <cell r="O531">
            <v>1</v>
          </cell>
          <cell r="P531">
            <v>46020</v>
          </cell>
          <cell r="Q531">
            <v>5</v>
          </cell>
          <cell r="R531" t="str">
            <v>NA</v>
          </cell>
          <cell r="S531">
            <v>5</v>
          </cell>
        </row>
        <row r="532">
          <cell r="B532" t="str">
            <v>EMMC</v>
          </cell>
          <cell r="C532" t="str">
            <v>HSLB11548</v>
          </cell>
          <cell r="D532">
            <v>111071</v>
          </cell>
          <cell r="E532" t="str">
            <v>Set de Colchonetas</v>
          </cell>
          <cell r="F532" t="str">
            <v>NO</v>
          </cell>
          <cell r="G532" t="str">
            <v>SI</v>
          </cell>
          <cell r="H532" t="str">
            <v>SALA TRABAJO GRUPAL</v>
          </cell>
          <cell r="I532">
            <v>1</v>
          </cell>
          <cell r="J532" t="str">
            <v>C.2.5.2.22</v>
          </cell>
          <cell r="K532" t="str">
            <v>Psiquiatría</v>
          </cell>
          <cell r="L532">
            <v>2</v>
          </cell>
          <cell r="M532">
            <v>46003</v>
          </cell>
          <cell r="N532">
            <v>46006</v>
          </cell>
          <cell r="O532">
            <v>1</v>
          </cell>
          <cell r="P532">
            <v>46008</v>
          </cell>
          <cell r="Q532">
            <v>5</v>
          </cell>
          <cell r="R532" t="str">
            <v>NA</v>
          </cell>
          <cell r="S532">
            <v>5</v>
          </cell>
        </row>
        <row r="533">
          <cell r="B533" t="str">
            <v>EMMC</v>
          </cell>
          <cell r="C533" t="str">
            <v>HSLB11551</v>
          </cell>
          <cell r="D533">
            <v>111071</v>
          </cell>
          <cell r="E533" t="str">
            <v>Set de Colchonetas</v>
          </cell>
          <cell r="F533" t="str">
            <v>NO</v>
          </cell>
          <cell r="G533" t="str">
            <v>SI</v>
          </cell>
          <cell r="H533" t="str">
            <v>SALA MULTIUSO</v>
          </cell>
          <cell r="I533">
            <v>1</v>
          </cell>
          <cell r="J533" t="str">
            <v>C.2.5.4.15.2</v>
          </cell>
          <cell r="K533" t="str">
            <v>Psiquiatría</v>
          </cell>
          <cell r="L533">
            <v>2</v>
          </cell>
          <cell r="M533">
            <v>46003</v>
          </cell>
          <cell r="N533">
            <v>46006</v>
          </cell>
          <cell r="O533">
            <v>1</v>
          </cell>
          <cell r="P533">
            <v>46008</v>
          </cell>
          <cell r="Q533">
            <v>5</v>
          </cell>
          <cell r="R533" t="str">
            <v>NA</v>
          </cell>
          <cell r="S533">
            <v>5</v>
          </cell>
        </row>
        <row r="534">
          <cell r="B534" t="str">
            <v>EMMC</v>
          </cell>
          <cell r="C534" t="str">
            <v>HSLB11562</v>
          </cell>
          <cell r="D534">
            <v>106024</v>
          </cell>
          <cell r="E534" t="str">
            <v>Set de Juegos de Salón</v>
          </cell>
          <cell r="F534" t="str">
            <v>NO</v>
          </cell>
          <cell r="G534" t="str">
            <v>NO</v>
          </cell>
          <cell r="H534" t="str">
            <v>SALA ESTIMULACIÓN COGNITIVA</v>
          </cell>
          <cell r="I534">
            <v>2</v>
          </cell>
          <cell r="J534" t="str">
            <v>C.2.5.4.14</v>
          </cell>
          <cell r="K534" t="str">
            <v>Psiquiatría</v>
          </cell>
          <cell r="L534">
            <v>2</v>
          </cell>
          <cell r="M534">
            <v>46015</v>
          </cell>
          <cell r="N534">
            <v>46017</v>
          </cell>
          <cell r="O534">
            <v>1</v>
          </cell>
          <cell r="P534">
            <v>46020</v>
          </cell>
          <cell r="Q534">
            <v>5</v>
          </cell>
          <cell r="R534" t="str">
            <v>NA</v>
          </cell>
          <cell r="S534">
            <v>5</v>
          </cell>
        </row>
        <row r="535">
          <cell r="B535" t="str">
            <v>EMMC</v>
          </cell>
          <cell r="C535" t="str">
            <v>HSLB11563</v>
          </cell>
          <cell r="D535">
            <v>106024</v>
          </cell>
          <cell r="E535" t="str">
            <v>Set de Juegos de Salón</v>
          </cell>
          <cell r="F535" t="str">
            <v>NO</v>
          </cell>
          <cell r="G535" t="str">
            <v>SI</v>
          </cell>
          <cell r="H535" t="str">
            <v>SALA MULTIUSO</v>
          </cell>
          <cell r="I535">
            <v>1</v>
          </cell>
          <cell r="J535" t="str">
            <v>C.2.5.4.15.2</v>
          </cell>
          <cell r="K535" t="str">
            <v>Psiquiatría</v>
          </cell>
          <cell r="L535">
            <v>2</v>
          </cell>
          <cell r="M535">
            <v>46003</v>
          </cell>
          <cell r="N535">
            <v>46006</v>
          </cell>
          <cell r="O535">
            <v>1</v>
          </cell>
          <cell r="P535">
            <v>46007</v>
          </cell>
          <cell r="Q535">
            <v>5</v>
          </cell>
          <cell r="R535" t="str">
            <v>NA</v>
          </cell>
          <cell r="S535">
            <v>5</v>
          </cell>
        </row>
        <row r="536">
          <cell r="B536" t="str">
            <v>EMMC</v>
          </cell>
          <cell r="C536" t="str">
            <v>HSLB11569</v>
          </cell>
          <cell r="D536">
            <v>111082</v>
          </cell>
          <cell r="E536" t="str">
            <v>Set de Psicodiagnóstico</v>
          </cell>
          <cell r="F536" t="str">
            <v>NO</v>
          </cell>
          <cell r="G536" t="str">
            <v>NO</v>
          </cell>
          <cell r="H536" t="str">
            <v xml:space="preserve">BOX ATENCIÓN </v>
          </cell>
          <cell r="I536">
            <v>1</v>
          </cell>
          <cell r="J536" t="str">
            <v>C.2.5.4.10</v>
          </cell>
          <cell r="K536" t="str">
            <v>Psiquiatría</v>
          </cell>
          <cell r="L536">
            <v>2</v>
          </cell>
          <cell r="M536">
            <v>46015</v>
          </cell>
          <cell r="N536">
            <v>46017</v>
          </cell>
          <cell r="O536">
            <v>1</v>
          </cell>
          <cell r="P536">
            <v>46020</v>
          </cell>
          <cell r="Q536">
            <v>5</v>
          </cell>
          <cell r="R536" t="str">
            <v>NA</v>
          </cell>
          <cell r="S536">
            <v>5</v>
          </cell>
        </row>
        <row r="537">
          <cell r="B537" t="str">
            <v>EMMC</v>
          </cell>
          <cell r="C537" t="str">
            <v>HSLB11572</v>
          </cell>
          <cell r="D537">
            <v>111085</v>
          </cell>
          <cell r="E537" t="str">
            <v>Set de Títeres</v>
          </cell>
          <cell r="F537" t="str">
            <v>NO</v>
          </cell>
          <cell r="G537" t="str">
            <v>SI</v>
          </cell>
          <cell r="H537" t="str">
            <v>SALA TRABAJO GRUPAL</v>
          </cell>
          <cell r="I537">
            <v>1</v>
          </cell>
          <cell r="J537" t="str">
            <v>C.2.5.2.22</v>
          </cell>
          <cell r="K537" t="str">
            <v>Psiquiatría</v>
          </cell>
          <cell r="L537">
            <v>2</v>
          </cell>
          <cell r="M537">
            <v>46003</v>
          </cell>
          <cell r="N537">
            <v>46006</v>
          </cell>
          <cell r="O537">
            <v>1</v>
          </cell>
          <cell r="P537">
            <v>46007</v>
          </cell>
          <cell r="Q537">
            <v>5</v>
          </cell>
          <cell r="R537" t="str">
            <v>NA</v>
          </cell>
          <cell r="S537">
            <v>5</v>
          </cell>
        </row>
        <row r="538">
          <cell r="B538" t="str">
            <v>EMMC</v>
          </cell>
          <cell r="C538" t="str">
            <v>HSLB11579</v>
          </cell>
          <cell r="D538">
            <v>111092</v>
          </cell>
          <cell r="E538" t="str">
            <v>Set Instrumentos Musicales</v>
          </cell>
          <cell r="F538" t="str">
            <v>NO</v>
          </cell>
          <cell r="G538" t="str">
            <v>NO</v>
          </cell>
          <cell r="H538" t="str">
            <v>SALA TRABAJO GRUPAL ADULTO</v>
          </cell>
          <cell r="I538">
            <v>2</v>
          </cell>
          <cell r="J538" t="str">
            <v>C.2.5.2.15</v>
          </cell>
          <cell r="K538" t="str">
            <v>Psiquiatría</v>
          </cell>
          <cell r="L538">
            <v>2</v>
          </cell>
          <cell r="M538">
            <v>46015</v>
          </cell>
          <cell r="N538">
            <v>46017</v>
          </cell>
          <cell r="O538">
            <v>1</v>
          </cell>
          <cell r="P538">
            <v>46020</v>
          </cell>
          <cell r="Q538">
            <v>5</v>
          </cell>
          <cell r="R538" t="str">
            <v>NA</v>
          </cell>
          <cell r="S538">
            <v>5</v>
          </cell>
        </row>
        <row r="539">
          <cell r="B539" t="str">
            <v>EMMC</v>
          </cell>
          <cell r="C539" t="str">
            <v>HSLB11580</v>
          </cell>
          <cell r="D539">
            <v>111092</v>
          </cell>
          <cell r="E539" t="str">
            <v>Set Instrumentos Musicales</v>
          </cell>
          <cell r="F539" t="str">
            <v>NO</v>
          </cell>
          <cell r="G539" t="str">
            <v>SI</v>
          </cell>
          <cell r="H539" t="str">
            <v>SALA TRABAJO GRUPAL</v>
          </cell>
          <cell r="I539">
            <v>1</v>
          </cell>
          <cell r="J539" t="str">
            <v>C.2.5.2.22</v>
          </cell>
          <cell r="K539" t="str">
            <v>Psiquiatría</v>
          </cell>
          <cell r="L539">
            <v>2</v>
          </cell>
          <cell r="M539">
            <v>46003</v>
          </cell>
          <cell r="N539">
            <v>46006</v>
          </cell>
          <cell r="O539">
            <v>1</v>
          </cell>
          <cell r="P539">
            <v>46008</v>
          </cell>
          <cell r="Q539">
            <v>5</v>
          </cell>
          <cell r="R539" t="str">
            <v>NA</v>
          </cell>
          <cell r="S539">
            <v>5</v>
          </cell>
        </row>
        <row r="540">
          <cell r="B540" t="str">
            <v>EMMC</v>
          </cell>
          <cell r="C540" t="str">
            <v>HSLB11593</v>
          </cell>
          <cell r="D540">
            <v>111101</v>
          </cell>
          <cell r="E540" t="str">
            <v>Set Vestibular</v>
          </cell>
          <cell r="F540" t="str">
            <v>NO</v>
          </cell>
          <cell r="G540" t="str">
            <v>NO</v>
          </cell>
          <cell r="H540" t="str">
            <v>SALA DE REHABILITACIÓN INFANTIL</v>
          </cell>
          <cell r="I540">
            <v>1</v>
          </cell>
          <cell r="J540" t="str">
            <v>C.2.5.2.21</v>
          </cell>
          <cell r="K540" t="str">
            <v>Psiquiatría</v>
          </cell>
          <cell r="L540">
            <v>2</v>
          </cell>
          <cell r="M540">
            <v>46015</v>
          </cell>
          <cell r="N540">
            <v>46017</v>
          </cell>
          <cell r="O540">
            <v>1</v>
          </cell>
          <cell r="P540">
            <v>46020</v>
          </cell>
          <cell r="Q540">
            <v>5</v>
          </cell>
          <cell r="R540" t="str">
            <v>NA</v>
          </cell>
          <cell r="S540">
            <v>5</v>
          </cell>
        </row>
        <row r="541">
          <cell r="B541" t="str">
            <v>EMMC</v>
          </cell>
          <cell r="C541" t="str">
            <v>HSLB12453</v>
          </cell>
          <cell r="D541">
            <v>112077</v>
          </cell>
          <cell r="E541" t="str">
            <v>Silla de Ruedas</v>
          </cell>
          <cell r="F541" t="str">
            <v>NO</v>
          </cell>
          <cell r="G541" t="str">
            <v>NO</v>
          </cell>
          <cell r="H541" t="str">
            <v>ESTACIONAMIENTO SILLAS DE RUEDAS</v>
          </cell>
          <cell r="I541">
            <v>2</v>
          </cell>
          <cell r="J541" t="str">
            <v>C.2.5.2.32</v>
          </cell>
          <cell r="K541" t="str">
            <v>Psiquiatría</v>
          </cell>
          <cell r="L541">
            <v>2</v>
          </cell>
          <cell r="M541">
            <v>46015</v>
          </cell>
          <cell r="N541">
            <v>46017</v>
          </cell>
          <cell r="O541">
            <v>1</v>
          </cell>
          <cell r="P541">
            <v>46020</v>
          </cell>
          <cell r="Q541">
            <v>5</v>
          </cell>
          <cell r="R541" t="str">
            <v>NA</v>
          </cell>
          <cell r="S541">
            <v>5</v>
          </cell>
        </row>
        <row r="542">
          <cell r="B542" t="str">
            <v>EMMC</v>
          </cell>
          <cell r="C542" t="str">
            <v>HSLB12455</v>
          </cell>
          <cell r="D542">
            <v>112077</v>
          </cell>
          <cell r="E542" t="str">
            <v>Silla de Ruedas</v>
          </cell>
          <cell r="F542" t="str">
            <v>NO</v>
          </cell>
          <cell r="G542" t="str">
            <v>NO</v>
          </cell>
          <cell r="H542" t="str">
            <v>ESTAC. DE CAMILLAS Y SILLAS DE RUEDAS</v>
          </cell>
          <cell r="I542">
            <v>1</v>
          </cell>
          <cell r="J542" t="str">
            <v>C.2.5.4.30</v>
          </cell>
          <cell r="K542" t="str">
            <v>Psiquiatría</v>
          </cell>
          <cell r="L542">
            <v>2</v>
          </cell>
          <cell r="M542">
            <v>46015</v>
          </cell>
          <cell r="N542">
            <v>46017</v>
          </cell>
          <cell r="O542">
            <v>1</v>
          </cell>
          <cell r="P542">
            <v>46020</v>
          </cell>
          <cell r="Q542">
            <v>5</v>
          </cell>
          <cell r="R542" t="str">
            <v>NA</v>
          </cell>
          <cell r="S542">
            <v>5</v>
          </cell>
        </row>
        <row r="543">
          <cell r="B543" t="str">
            <v>EMMC</v>
          </cell>
          <cell r="C543" t="str">
            <v>HSLB12506</v>
          </cell>
          <cell r="D543">
            <v>112089</v>
          </cell>
          <cell r="E543" t="str">
            <v>Soporte Universal</v>
          </cell>
          <cell r="F543" t="str">
            <v>NO</v>
          </cell>
          <cell r="G543" t="str">
            <v>NO</v>
          </cell>
          <cell r="H543" t="str">
            <v>SALA TRABAJO GRUPAL ADULTO</v>
          </cell>
          <cell r="I543">
            <v>1</v>
          </cell>
          <cell r="J543" t="str">
            <v>C.2.5.2.16</v>
          </cell>
          <cell r="K543" t="str">
            <v>Psiquiatría</v>
          </cell>
          <cell r="L543">
            <v>2</v>
          </cell>
          <cell r="M543">
            <v>46015</v>
          </cell>
          <cell r="N543">
            <v>46017</v>
          </cell>
          <cell r="O543">
            <v>1</v>
          </cell>
          <cell r="P543">
            <v>46020</v>
          </cell>
          <cell r="Q543">
            <v>5</v>
          </cell>
          <cell r="R543" t="str">
            <v>NA</v>
          </cell>
          <cell r="S543">
            <v>5</v>
          </cell>
        </row>
        <row r="544">
          <cell r="B544" t="str">
            <v>EMMC</v>
          </cell>
          <cell r="C544" t="str">
            <v>HSLB12507</v>
          </cell>
          <cell r="D544">
            <v>112089</v>
          </cell>
          <cell r="E544" t="str">
            <v>Soporte Universal</v>
          </cell>
          <cell r="F544" t="str">
            <v>NO</v>
          </cell>
          <cell r="G544" t="str">
            <v>NO</v>
          </cell>
          <cell r="H544" t="str">
            <v>SALA DE PROCEDIMIENTO</v>
          </cell>
          <cell r="I544">
            <v>1</v>
          </cell>
          <cell r="J544" t="str">
            <v>C.2.5.4.13</v>
          </cell>
          <cell r="K544" t="str">
            <v>Psiquiatría</v>
          </cell>
          <cell r="L544">
            <v>2</v>
          </cell>
          <cell r="M544">
            <v>46015</v>
          </cell>
          <cell r="N544">
            <v>46017</v>
          </cell>
          <cell r="O544">
            <v>1</v>
          </cell>
          <cell r="P544">
            <v>46020</v>
          </cell>
          <cell r="Q544">
            <v>5</v>
          </cell>
          <cell r="R544" t="str">
            <v>NA</v>
          </cell>
          <cell r="S544">
            <v>5</v>
          </cell>
        </row>
        <row r="545">
          <cell r="B545" t="str">
            <v>EMMC</v>
          </cell>
          <cell r="C545" t="str">
            <v>HSLB11597</v>
          </cell>
          <cell r="D545">
            <v>111104</v>
          </cell>
          <cell r="E545" t="str">
            <v>Tatami</v>
          </cell>
          <cell r="F545" t="str">
            <v>NO</v>
          </cell>
          <cell r="G545" t="str">
            <v>NO</v>
          </cell>
          <cell r="H545" t="str">
            <v>SALA DE REHABILITACIÓN INFANTIL</v>
          </cell>
          <cell r="I545">
            <v>15</v>
          </cell>
          <cell r="J545" t="str">
            <v>C.2.5.2.21</v>
          </cell>
          <cell r="K545" t="str">
            <v>Psiquiatría</v>
          </cell>
          <cell r="L545">
            <v>2</v>
          </cell>
          <cell r="M545">
            <v>46015</v>
          </cell>
          <cell r="N545">
            <v>46017</v>
          </cell>
          <cell r="O545">
            <v>1</v>
          </cell>
          <cell r="P545">
            <v>46020</v>
          </cell>
          <cell r="Q545">
            <v>5</v>
          </cell>
          <cell r="R545" t="str">
            <v>NA</v>
          </cell>
          <cell r="S545">
            <v>5</v>
          </cell>
        </row>
        <row r="546">
          <cell r="B546" t="str">
            <v>EMMC</v>
          </cell>
          <cell r="C546" t="str">
            <v>HSLB10943</v>
          </cell>
          <cell r="D546">
            <v>106019</v>
          </cell>
          <cell r="E546" t="str">
            <v>Televisor 32'</v>
          </cell>
          <cell r="F546" t="str">
            <v>NO</v>
          </cell>
          <cell r="G546" t="str">
            <v>NO</v>
          </cell>
          <cell r="H546" t="str">
            <v>SALA DE ESTAR /COMEDOR</v>
          </cell>
          <cell r="I546">
            <v>1</v>
          </cell>
          <cell r="J546" t="str">
            <v>C.2.5.4.17</v>
          </cell>
          <cell r="K546" t="str">
            <v>Psiquiatría</v>
          </cell>
          <cell r="L546">
            <v>2</v>
          </cell>
          <cell r="M546">
            <v>46015</v>
          </cell>
          <cell r="N546">
            <v>46017</v>
          </cell>
          <cell r="O546">
            <v>1</v>
          </cell>
          <cell r="P546">
            <v>46020</v>
          </cell>
          <cell r="Q546">
            <v>5</v>
          </cell>
          <cell r="R546" t="str">
            <v>NA</v>
          </cell>
          <cell r="S546">
            <v>5</v>
          </cell>
        </row>
        <row r="547">
          <cell r="B547" t="str">
            <v>EMMC</v>
          </cell>
          <cell r="C547" t="str">
            <v>HSLB11053</v>
          </cell>
          <cell r="D547">
            <v>106020</v>
          </cell>
          <cell r="E547" t="str">
            <v>Televisor 42'</v>
          </cell>
          <cell r="F547" t="str">
            <v>NO</v>
          </cell>
          <cell r="G547" t="str">
            <v>NO</v>
          </cell>
          <cell r="H547" t="str">
            <v>SALA DE ESPERA</v>
          </cell>
          <cell r="I547">
            <v>1</v>
          </cell>
          <cell r="J547" t="str">
            <v>C.2.5.2.5.1</v>
          </cell>
          <cell r="K547" t="str">
            <v>Psiquiatría</v>
          </cell>
          <cell r="L547">
            <v>2</v>
          </cell>
          <cell r="M547">
            <v>46015</v>
          </cell>
          <cell r="N547">
            <v>46017</v>
          </cell>
          <cell r="O547">
            <v>1</v>
          </cell>
          <cell r="P547">
            <v>46020</v>
          </cell>
          <cell r="Q547">
            <v>5</v>
          </cell>
          <cell r="R547" t="str">
            <v>NA</v>
          </cell>
          <cell r="S547">
            <v>5</v>
          </cell>
        </row>
        <row r="548">
          <cell r="B548" t="str">
            <v>EMMC</v>
          </cell>
          <cell r="C548" t="str">
            <v>HSLB11054</v>
          </cell>
          <cell r="D548">
            <v>106020</v>
          </cell>
          <cell r="E548" t="str">
            <v>Televisor 42'</v>
          </cell>
          <cell r="F548" t="str">
            <v>NO</v>
          </cell>
          <cell r="G548" t="str">
            <v>NO</v>
          </cell>
          <cell r="H548" t="str">
            <v>SAL DE ESPERA</v>
          </cell>
          <cell r="I548">
            <v>1</v>
          </cell>
          <cell r="J548" t="str">
            <v>C.2.5.2.5.2</v>
          </cell>
          <cell r="K548" t="str">
            <v>Psiquiatría</v>
          </cell>
          <cell r="L548">
            <v>2</v>
          </cell>
          <cell r="M548">
            <v>46015</v>
          </cell>
          <cell r="N548">
            <v>46017</v>
          </cell>
          <cell r="O548">
            <v>1</v>
          </cell>
          <cell r="P548">
            <v>46020</v>
          </cell>
          <cell r="Q548">
            <v>5</v>
          </cell>
          <cell r="R548" t="str">
            <v>NA</v>
          </cell>
          <cell r="S548">
            <v>5</v>
          </cell>
        </row>
        <row r="549">
          <cell r="B549" t="str">
            <v>EMMC</v>
          </cell>
          <cell r="C549" t="str">
            <v>HSLB11058</v>
          </cell>
          <cell r="D549">
            <v>106020</v>
          </cell>
          <cell r="E549" t="str">
            <v>Televisor 42'</v>
          </cell>
          <cell r="F549" t="str">
            <v>NO</v>
          </cell>
          <cell r="G549" t="str">
            <v>SI</v>
          </cell>
          <cell r="H549" t="str">
            <v>SALA MULTIUSO</v>
          </cell>
          <cell r="I549">
            <v>1</v>
          </cell>
          <cell r="J549" t="str">
            <v>C.2.5.4.15.2</v>
          </cell>
          <cell r="K549" t="str">
            <v>Psiquiatría</v>
          </cell>
          <cell r="L549">
            <v>2</v>
          </cell>
          <cell r="M549">
            <v>46003</v>
          </cell>
          <cell r="N549">
            <v>46006</v>
          </cell>
          <cell r="O549">
            <v>1</v>
          </cell>
          <cell r="P549">
            <v>46008</v>
          </cell>
          <cell r="Q549">
            <v>5</v>
          </cell>
          <cell r="R549" t="str">
            <v>NA</v>
          </cell>
          <cell r="S549">
            <v>5</v>
          </cell>
        </row>
        <row r="550">
          <cell r="B550" t="str">
            <v>EMMC</v>
          </cell>
          <cell r="C550" t="str">
            <v>HSLB11059</v>
          </cell>
          <cell r="D550">
            <v>106020</v>
          </cell>
          <cell r="E550" t="str">
            <v>Televisor 42'</v>
          </cell>
          <cell r="F550" t="str">
            <v>NO</v>
          </cell>
          <cell r="G550" t="str">
            <v>NO</v>
          </cell>
          <cell r="H550" t="str">
            <v>SALA DE ESPERA</v>
          </cell>
          <cell r="I550">
            <v>1</v>
          </cell>
          <cell r="J550" t="str">
            <v>C.2.5.4.2</v>
          </cell>
          <cell r="K550" t="str">
            <v>Psiquiatría</v>
          </cell>
          <cell r="L550">
            <v>2</v>
          </cell>
          <cell r="M550">
            <v>46015</v>
          </cell>
          <cell r="N550">
            <v>46017</v>
          </cell>
          <cell r="O550">
            <v>1</v>
          </cell>
          <cell r="P550">
            <v>46020</v>
          </cell>
          <cell r="Q550">
            <v>5</v>
          </cell>
          <cell r="R550" t="str">
            <v>NA</v>
          </cell>
          <cell r="S550">
            <v>5</v>
          </cell>
        </row>
        <row r="551">
          <cell r="B551" t="str">
            <v>EMMC</v>
          </cell>
          <cell r="C551" t="str">
            <v>HSLB11072</v>
          </cell>
          <cell r="D551">
            <v>106020</v>
          </cell>
          <cell r="E551" t="str">
            <v>Televisor 42'</v>
          </cell>
          <cell r="F551" t="str">
            <v>NO</v>
          </cell>
          <cell r="G551" t="str">
            <v>NO</v>
          </cell>
          <cell r="H551" t="str">
            <v>SALA DE ESPERA TOMA DE MUESTRA</v>
          </cell>
          <cell r="I551">
            <v>2</v>
          </cell>
          <cell r="J551" t="str">
            <v>C.5.2.1</v>
          </cell>
          <cell r="K551" t="str">
            <v>Toma de muestras</v>
          </cell>
          <cell r="L551">
            <v>2</v>
          </cell>
          <cell r="M551">
            <v>46038</v>
          </cell>
          <cell r="N551">
            <v>46041</v>
          </cell>
          <cell r="O551">
            <v>1</v>
          </cell>
          <cell r="P551">
            <v>46042</v>
          </cell>
          <cell r="Q551">
            <v>5</v>
          </cell>
          <cell r="R551" t="str">
            <v>NA</v>
          </cell>
          <cell r="S551">
            <v>5</v>
          </cell>
        </row>
        <row r="552">
          <cell r="B552" t="str">
            <v>EMMC</v>
          </cell>
          <cell r="C552" t="str">
            <v>HSLB11083</v>
          </cell>
          <cell r="D552">
            <v>106021</v>
          </cell>
          <cell r="E552" t="str">
            <v>Telón</v>
          </cell>
          <cell r="F552" t="str">
            <v>NO</v>
          </cell>
          <cell r="G552" t="str">
            <v>NO</v>
          </cell>
          <cell r="H552" t="str">
            <v>SALA TRABAJO GRUPAL ADULTO</v>
          </cell>
          <cell r="I552">
            <v>1</v>
          </cell>
          <cell r="J552" t="str">
            <v>C.2.5.2.15</v>
          </cell>
          <cell r="K552" t="str">
            <v>Psiquiatría</v>
          </cell>
          <cell r="L552">
            <v>2</v>
          </cell>
          <cell r="M552">
            <v>46015</v>
          </cell>
          <cell r="N552">
            <v>46017</v>
          </cell>
          <cell r="O552">
            <v>1</v>
          </cell>
          <cell r="P552">
            <v>46020</v>
          </cell>
          <cell r="Q552">
            <v>5</v>
          </cell>
          <cell r="R552" t="str">
            <v>NA</v>
          </cell>
          <cell r="S552">
            <v>5</v>
          </cell>
        </row>
        <row r="553">
          <cell r="B553" t="str">
            <v>EMMC</v>
          </cell>
          <cell r="C553" t="str">
            <v>HSLB11084</v>
          </cell>
          <cell r="D553">
            <v>106021</v>
          </cell>
          <cell r="E553" t="str">
            <v>Telón</v>
          </cell>
          <cell r="F553" t="str">
            <v>NO</v>
          </cell>
          <cell r="G553" t="str">
            <v>SI</v>
          </cell>
          <cell r="H553" t="str">
            <v>SALA TRABAJO GRUPAL</v>
          </cell>
          <cell r="I553">
            <v>1</v>
          </cell>
          <cell r="J553" t="str">
            <v>C.2.5.2.22</v>
          </cell>
          <cell r="K553" t="str">
            <v>Psiquiatría</v>
          </cell>
          <cell r="L553">
            <v>2</v>
          </cell>
          <cell r="M553">
            <v>46003</v>
          </cell>
          <cell r="N553">
            <v>46006</v>
          </cell>
          <cell r="O553">
            <v>1</v>
          </cell>
          <cell r="P553">
            <v>46008</v>
          </cell>
          <cell r="Q553">
            <v>5</v>
          </cell>
          <cell r="R553" t="str">
            <v>NA</v>
          </cell>
          <cell r="S553">
            <v>5</v>
          </cell>
        </row>
        <row r="554">
          <cell r="B554" t="str">
            <v>EMMC</v>
          </cell>
          <cell r="C554" t="str">
            <v>HSLB11089</v>
          </cell>
          <cell r="D554">
            <v>106021</v>
          </cell>
          <cell r="E554" t="str">
            <v>Telón</v>
          </cell>
          <cell r="F554" t="str">
            <v>NO</v>
          </cell>
          <cell r="G554" t="str">
            <v>NO</v>
          </cell>
          <cell r="H554" t="str">
            <v>TALLER DE COMPUTACIÓN</v>
          </cell>
          <cell r="I554">
            <v>1</v>
          </cell>
          <cell r="J554" t="str">
            <v>C.2.5.4.16</v>
          </cell>
          <cell r="K554" t="str">
            <v>Psiquiatría</v>
          </cell>
          <cell r="L554">
            <v>2</v>
          </cell>
          <cell r="M554">
            <v>46015</v>
          </cell>
          <cell r="N554">
            <v>46017</v>
          </cell>
          <cell r="O554">
            <v>1</v>
          </cell>
          <cell r="P554">
            <v>46020</v>
          </cell>
          <cell r="Q554">
            <v>5</v>
          </cell>
          <cell r="R554" t="str">
            <v>NA</v>
          </cell>
          <cell r="S554">
            <v>5</v>
          </cell>
        </row>
        <row r="555">
          <cell r="B555" t="str">
            <v>EMMC</v>
          </cell>
          <cell r="C555" t="str">
            <v>HSLB11090</v>
          </cell>
          <cell r="D555">
            <v>106021</v>
          </cell>
          <cell r="E555" t="str">
            <v>Telón</v>
          </cell>
          <cell r="F555" t="str">
            <v>NO</v>
          </cell>
          <cell r="G555" t="str">
            <v>NO</v>
          </cell>
          <cell r="H555" t="str">
            <v>SALA DE REUNIONES</v>
          </cell>
          <cell r="I555">
            <v>1</v>
          </cell>
          <cell r="J555" t="str">
            <v>C.2.5.4.8</v>
          </cell>
          <cell r="K555" t="str">
            <v>Psiquiatría</v>
          </cell>
          <cell r="L555">
            <v>2</v>
          </cell>
          <cell r="M555">
            <v>46015</v>
          </cell>
          <cell r="N555">
            <v>46017</v>
          </cell>
          <cell r="O555">
            <v>1</v>
          </cell>
          <cell r="P555">
            <v>46020</v>
          </cell>
          <cell r="Q555">
            <v>5</v>
          </cell>
          <cell r="R555" t="str">
            <v>NA</v>
          </cell>
          <cell r="S555">
            <v>5</v>
          </cell>
        </row>
        <row r="556">
          <cell r="B556" t="str">
            <v>EMMC</v>
          </cell>
          <cell r="C556" t="str">
            <v>HSLB11106</v>
          </cell>
          <cell r="D556">
            <v>106021</v>
          </cell>
          <cell r="E556" t="str">
            <v>Telón</v>
          </cell>
          <cell r="F556" t="str">
            <v>NO</v>
          </cell>
          <cell r="G556" t="str">
            <v>NO</v>
          </cell>
          <cell r="H556" t="str">
            <v>SALA DE REUNIONES (15 pp)</v>
          </cell>
          <cell r="I556">
            <v>1</v>
          </cell>
          <cell r="J556" t="str">
            <v>D.3.4.1</v>
          </cell>
          <cell r="K556" t="str">
            <v>Abastecimiento</v>
          </cell>
          <cell r="L556">
            <v>2</v>
          </cell>
          <cell r="M556">
            <v>46036</v>
          </cell>
          <cell r="N556">
            <v>46037</v>
          </cell>
          <cell r="O556">
            <v>1</v>
          </cell>
          <cell r="P556">
            <v>46038</v>
          </cell>
          <cell r="Q556">
            <v>5</v>
          </cell>
          <cell r="R556" t="str">
            <v>NA</v>
          </cell>
          <cell r="S556">
            <v>5</v>
          </cell>
        </row>
        <row r="557">
          <cell r="B557" t="str">
            <v>EMMC</v>
          </cell>
          <cell r="C557" t="str">
            <v>HSLB11601</v>
          </cell>
          <cell r="D557">
            <v>111107</v>
          </cell>
          <cell r="E557" t="str">
            <v>Túnel con Malla</v>
          </cell>
          <cell r="F557" t="str">
            <v>NO</v>
          </cell>
          <cell r="G557" t="str">
            <v>NO</v>
          </cell>
          <cell r="H557" t="str">
            <v>SALA DE REHABILITACIÓN INFANTIL</v>
          </cell>
          <cell r="I557">
            <v>1</v>
          </cell>
          <cell r="J557" t="str">
            <v>C.2.5.2.21</v>
          </cell>
          <cell r="K557" t="str">
            <v>Psiquiatría</v>
          </cell>
          <cell r="L557">
            <v>2</v>
          </cell>
          <cell r="M557">
            <v>46015</v>
          </cell>
          <cell r="N557">
            <v>46017</v>
          </cell>
          <cell r="O557">
            <v>1</v>
          </cell>
          <cell r="P557">
            <v>46020</v>
          </cell>
          <cell r="Q557">
            <v>5</v>
          </cell>
          <cell r="R557" t="str">
            <v>NA</v>
          </cell>
          <cell r="S557">
            <v>5</v>
          </cell>
        </row>
        <row r="558">
          <cell r="B558" t="str">
            <v>EMMC</v>
          </cell>
          <cell r="C558" t="str">
            <v>HSLB11412</v>
          </cell>
          <cell r="D558">
            <v>110051</v>
          </cell>
          <cell r="E558" t="str">
            <v>Refrigerador Clínico 60 l</v>
          </cell>
          <cell r="F558" t="str">
            <v>NO</v>
          </cell>
          <cell r="G558" t="str">
            <v>NO</v>
          </cell>
          <cell r="H558" t="str">
            <v>SALA TRABAJO GRUPAL ADULTO</v>
          </cell>
          <cell r="I558">
            <v>1</v>
          </cell>
          <cell r="J558" t="str">
            <v>C.2.5.2.16</v>
          </cell>
          <cell r="K558" t="str">
            <v>Psiquiatría</v>
          </cell>
          <cell r="L558">
            <v>2</v>
          </cell>
          <cell r="M558">
            <v>46015</v>
          </cell>
          <cell r="N558">
            <v>46017</v>
          </cell>
          <cell r="O558">
            <v>1</v>
          </cell>
          <cell r="P558">
            <v>46020</v>
          </cell>
          <cell r="Q558">
            <v>5</v>
          </cell>
          <cell r="R558" t="str">
            <v>NA</v>
          </cell>
          <cell r="S558">
            <v>5</v>
          </cell>
        </row>
        <row r="559">
          <cell r="B559" t="str">
            <v>EMMC</v>
          </cell>
          <cell r="C559" t="str">
            <v>HSLB10397</v>
          </cell>
          <cell r="D559">
            <v>103048</v>
          </cell>
          <cell r="E559" t="str">
            <v>Refrigerador Doméstico</v>
          </cell>
          <cell r="F559" t="str">
            <v>NO</v>
          </cell>
          <cell r="G559" t="str">
            <v>NO</v>
          </cell>
          <cell r="H559" t="str">
            <v>KITCHENETTE</v>
          </cell>
          <cell r="I559">
            <v>1</v>
          </cell>
          <cell r="J559" t="str">
            <v>C.2.5.2.29</v>
          </cell>
          <cell r="K559" t="str">
            <v>Psiquiatría</v>
          </cell>
          <cell r="L559">
            <v>2</v>
          </cell>
          <cell r="M559">
            <v>46015</v>
          </cell>
          <cell r="N559">
            <v>46017</v>
          </cell>
          <cell r="O559">
            <v>1</v>
          </cell>
          <cell r="P559">
            <v>46020</v>
          </cell>
          <cell r="Q559">
            <v>5</v>
          </cell>
          <cell r="R559" t="str">
            <v>NA</v>
          </cell>
          <cell r="S559">
            <v>5</v>
          </cell>
        </row>
        <row r="560">
          <cell r="B560" t="str">
            <v>EMMC</v>
          </cell>
          <cell r="C560" t="str">
            <v>HSLB10441</v>
          </cell>
          <cell r="D560">
            <v>103048</v>
          </cell>
          <cell r="E560" t="str">
            <v>Refrigerador Doméstico</v>
          </cell>
          <cell r="F560" t="str">
            <v>NO</v>
          </cell>
          <cell r="G560" t="str">
            <v>NO</v>
          </cell>
          <cell r="H560" t="str">
            <v>TALLER DE COCINA</v>
          </cell>
          <cell r="I560">
            <v>1</v>
          </cell>
          <cell r="J560" t="str">
            <v>C.2.5.2.14</v>
          </cell>
          <cell r="K560" t="str">
            <v>Psiquiatría</v>
          </cell>
          <cell r="L560">
            <v>2</v>
          </cell>
          <cell r="M560">
            <v>46015</v>
          </cell>
          <cell r="N560">
            <v>46017</v>
          </cell>
          <cell r="O560">
            <v>1</v>
          </cell>
          <cell r="P560">
            <v>46020</v>
          </cell>
          <cell r="Q560">
            <v>5</v>
          </cell>
          <cell r="R560" t="str">
            <v>NA</v>
          </cell>
          <cell r="S560">
            <v>5</v>
          </cell>
        </row>
        <row r="561">
          <cell r="B561" t="str">
            <v>EMMC</v>
          </cell>
          <cell r="C561" t="str">
            <v>HSLB10443</v>
          </cell>
          <cell r="D561">
            <v>103048</v>
          </cell>
          <cell r="E561" t="str">
            <v>Refrigerador Doméstico</v>
          </cell>
          <cell r="F561" t="str">
            <v>NO</v>
          </cell>
          <cell r="G561" t="str">
            <v>NO</v>
          </cell>
          <cell r="H561" t="str">
            <v>ACT. DE LA VIDA DIARIA C/ KITCH Y REPOSTERO</v>
          </cell>
          <cell r="I561">
            <v>1</v>
          </cell>
          <cell r="J561" t="str">
            <v>C.2.5.4.18</v>
          </cell>
          <cell r="K561" t="str">
            <v>Psiquiatría</v>
          </cell>
          <cell r="L561">
            <v>2</v>
          </cell>
          <cell r="M561">
            <v>46015</v>
          </cell>
          <cell r="N561">
            <v>46017</v>
          </cell>
          <cell r="O561">
            <v>1</v>
          </cell>
          <cell r="P561">
            <v>46020</v>
          </cell>
          <cell r="Q561">
            <v>5</v>
          </cell>
          <cell r="R561" t="str">
            <v>NA</v>
          </cell>
          <cell r="S561">
            <v>5</v>
          </cell>
        </row>
        <row r="562">
          <cell r="B562" t="str">
            <v>EMMC</v>
          </cell>
          <cell r="C562" t="str">
            <v>HSLB10427</v>
          </cell>
          <cell r="D562">
            <v>103048</v>
          </cell>
          <cell r="E562" t="str">
            <v>Refrigerador Doméstico</v>
          </cell>
          <cell r="F562" t="str">
            <v>NO</v>
          </cell>
          <cell r="G562" t="str">
            <v>NO</v>
          </cell>
          <cell r="H562" t="str">
            <v>ESTAR PERSONAL C/ KITCHENETTE</v>
          </cell>
          <cell r="I562">
            <v>1</v>
          </cell>
          <cell r="J562" t="str">
            <v>D.1.2.6</v>
          </cell>
          <cell r="K562" t="str">
            <v>Gestión</v>
          </cell>
          <cell r="L562">
            <v>2</v>
          </cell>
          <cell r="M562">
            <v>46039</v>
          </cell>
          <cell r="N562">
            <v>46041</v>
          </cell>
          <cell r="O562">
            <v>1</v>
          </cell>
          <cell r="P562">
            <v>46042</v>
          </cell>
          <cell r="Q562">
            <v>5</v>
          </cell>
          <cell r="R562" t="str">
            <v>NA</v>
          </cell>
          <cell r="S562">
            <v>5</v>
          </cell>
        </row>
        <row r="563">
          <cell r="B563" t="str">
            <v>EMMC</v>
          </cell>
          <cell r="C563" t="str">
            <v>HSLB11231</v>
          </cell>
          <cell r="D563">
            <v>109010</v>
          </cell>
          <cell r="E563" t="str">
            <v>Set Instrumental Curación</v>
          </cell>
          <cell r="F563" t="str">
            <v>NO</v>
          </cell>
          <cell r="G563" t="str">
            <v>NO</v>
          </cell>
          <cell r="H563" t="str">
            <v>SALA TRABAJO GRUPAL ADULTO</v>
          </cell>
          <cell r="I563">
            <v>8</v>
          </cell>
          <cell r="J563" t="str">
            <v>C.2.5.2.16</v>
          </cell>
          <cell r="K563" t="str">
            <v>Psiquiatría</v>
          </cell>
          <cell r="L563">
            <v>2</v>
          </cell>
          <cell r="M563">
            <v>46015</v>
          </cell>
          <cell r="N563">
            <v>46017</v>
          </cell>
          <cell r="O563">
            <v>1</v>
          </cell>
          <cell r="P563">
            <v>46020</v>
          </cell>
          <cell r="Q563">
            <v>5</v>
          </cell>
          <cell r="R563" t="str">
            <v>NA</v>
          </cell>
          <cell r="S563">
            <v>5</v>
          </cell>
        </row>
        <row r="564">
          <cell r="B564" t="str">
            <v>EMMC</v>
          </cell>
          <cell r="C564" t="str">
            <v>HSLB11233</v>
          </cell>
          <cell r="D564">
            <v>109010</v>
          </cell>
          <cell r="E564" t="str">
            <v>Set Instrumental Curación</v>
          </cell>
          <cell r="F564" t="str">
            <v>NO</v>
          </cell>
          <cell r="G564" t="str">
            <v>NO</v>
          </cell>
          <cell r="H564" t="str">
            <v>SALA DE PROCEDIMIENTO</v>
          </cell>
          <cell r="I564">
            <v>4</v>
          </cell>
          <cell r="J564" t="str">
            <v>C.2.5.4.13</v>
          </cell>
          <cell r="K564" t="str">
            <v>Psiquiatría</v>
          </cell>
          <cell r="L564">
            <v>2</v>
          </cell>
          <cell r="M564">
            <v>46015</v>
          </cell>
          <cell r="N564">
            <v>46017</v>
          </cell>
          <cell r="O564">
            <v>1</v>
          </cell>
          <cell r="P564">
            <v>46020</v>
          </cell>
          <cell r="Q564">
            <v>5</v>
          </cell>
          <cell r="R564" t="str">
            <v>NA</v>
          </cell>
          <cell r="S564">
            <v>5</v>
          </cell>
        </row>
        <row r="565">
          <cell r="B565" t="str">
            <v>EMMC</v>
          </cell>
          <cell r="C565" t="str">
            <v>HSLB12496</v>
          </cell>
          <cell r="D565">
            <v>112086</v>
          </cell>
          <cell r="E565" t="str">
            <v>Sistema de Transporte de Muestras</v>
          </cell>
          <cell r="F565" t="str">
            <v>NO</v>
          </cell>
          <cell r="G565" t="str">
            <v>NO</v>
          </cell>
          <cell r="H565" t="str">
            <v>TOMA DE MUESTRA COMUN</v>
          </cell>
          <cell r="I565">
            <v>1</v>
          </cell>
          <cell r="J565" t="str">
            <v>C.5.2.4.1</v>
          </cell>
          <cell r="K565" t="str">
            <v>Toma de muestras</v>
          </cell>
          <cell r="L565">
            <v>2</v>
          </cell>
          <cell r="M565">
            <v>46038</v>
          </cell>
          <cell r="N565">
            <v>46042</v>
          </cell>
          <cell r="O565">
            <v>1</v>
          </cell>
          <cell r="P565">
            <v>46043</v>
          </cell>
          <cell r="Q565">
            <v>5</v>
          </cell>
          <cell r="R565" t="str">
            <v>NA</v>
          </cell>
          <cell r="S565">
            <v>5</v>
          </cell>
        </row>
        <row r="566">
          <cell r="B566" t="str">
            <v>EMMC</v>
          </cell>
          <cell r="C566" t="str">
            <v>HSLB12497</v>
          </cell>
          <cell r="D566">
            <v>112086</v>
          </cell>
          <cell r="E566" t="str">
            <v>Sistema de Transporte de Muestras</v>
          </cell>
          <cell r="F566" t="str">
            <v>NO</v>
          </cell>
          <cell r="G566" t="str">
            <v>NO</v>
          </cell>
          <cell r="H566" t="str">
            <v>TOMA DE MUESTRA COMUN</v>
          </cell>
          <cell r="I566">
            <v>1</v>
          </cell>
          <cell r="J566" t="str">
            <v>C.5.2.4.2</v>
          </cell>
          <cell r="K566" t="str">
            <v>Toma de muestras</v>
          </cell>
          <cell r="L566">
            <v>2</v>
          </cell>
          <cell r="M566">
            <v>46038</v>
          </cell>
          <cell r="N566">
            <v>46042</v>
          </cell>
          <cell r="O566">
            <v>1</v>
          </cell>
          <cell r="P566">
            <v>46043</v>
          </cell>
          <cell r="Q566">
            <v>5</v>
          </cell>
          <cell r="R566" t="str">
            <v>NA</v>
          </cell>
          <cell r="S566">
            <v>5</v>
          </cell>
        </row>
        <row r="567">
          <cell r="B567" t="str">
            <v>EMMC</v>
          </cell>
          <cell r="C567" t="str">
            <v>HSLB12498</v>
          </cell>
          <cell r="D567">
            <v>112086</v>
          </cell>
          <cell r="E567" t="str">
            <v>Sistema de Transporte de Muestras</v>
          </cell>
          <cell r="F567" t="str">
            <v>NO</v>
          </cell>
          <cell r="G567" t="str">
            <v>NO</v>
          </cell>
          <cell r="H567" t="str">
            <v>TOMA DE MUESTRA PEDIÁTRICA (1CUPO)</v>
          </cell>
          <cell r="I567">
            <v>1</v>
          </cell>
          <cell r="J567" t="str">
            <v>C.5.2.4.5</v>
          </cell>
          <cell r="K567" t="str">
            <v>Toma de muestras</v>
          </cell>
          <cell r="L567">
            <v>2</v>
          </cell>
          <cell r="M567">
            <v>46038</v>
          </cell>
          <cell r="N567">
            <v>46041</v>
          </cell>
          <cell r="O567">
            <v>1</v>
          </cell>
          <cell r="P567">
            <v>46042</v>
          </cell>
          <cell r="Q567">
            <v>5</v>
          </cell>
          <cell r="R567" t="str">
            <v>NA</v>
          </cell>
          <cell r="S567">
            <v>5</v>
          </cell>
        </row>
        <row r="568">
          <cell r="B568" t="str">
            <v>EMMC</v>
          </cell>
          <cell r="C568" t="str">
            <v>HSLB10066</v>
          </cell>
          <cell r="D568">
            <v>101019</v>
          </cell>
          <cell r="E568" t="str">
            <v>Campímetro Computarizado</v>
          </cell>
          <cell r="F568" t="str">
            <v>NO</v>
          </cell>
          <cell r="G568" t="str">
            <v>NO</v>
          </cell>
          <cell r="H568" t="str">
            <v>SALA DE PROCEDIMIENTOS OFTALMO SIMPLE</v>
          </cell>
          <cell r="I568">
            <v>1</v>
          </cell>
          <cell r="J568" t="str">
            <v>C.2.2.3.6</v>
          </cell>
          <cell r="K568" t="str">
            <v>Consultas Medicas Especialidades</v>
          </cell>
          <cell r="L568">
            <v>2</v>
          </cell>
          <cell r="M568">
            <v>46038</v>
          </cell>
          <cell r="N568">
            <v>46041</v>
          </cell>
          <cell r="O568">
            <v>1</v>
          </cell>
          <cell r="P568">
            <v>46042</v>
          </cell>
          <cell r="Q568">
            <v>5</v>
          </cell>
          <cell r="R568" t="str">
            <v>NA</v>
          </cell>
          <cell r="S568">
            <v>5</v>
          </cell>
        </row>
        <row r="569">
          <cell r="B569" t="str">
            <v>EMMC</v>
          </cell>
          <cell r="C569" t="str">
            <v>HSLB10109</v>
          </cell>
          <cell r="D569">
            <v>101027</v>
          </cell>
          <cell r="E569" t="str">
            <v>Equipo Potenciales Evocados (ABR)</v>
          </cell>
          <cell r="F569" t="str">
            <v>NO</v>
          </cell>
          <cell r="G569" t="str">
            <v>NO</v>
          </cell>
          <cell r="H569" t="str">
            <v>SALA PROCEDIMIENTOS OTORRINO ESTUDIOS AUDITIVOS</v>
          </cell>
          <cell r="I569">
            <v>1</v>
          </cell>
          <cell r="J569" t="str">
            <v>C.2.2.3.8</v>
          </cell>
          <cell r="K569" t="str">
            <v>Consultas Medicas Especialidades</v>
          </cell>
          <cell r="L569">
            <v>2</v>
          </cell>
          <cell r="M569">
            <v>46038</v>
          </cell>
          <cell r="N569">
            <v>46042</v>
          </cell>
          <cell r="O569">
            <v>1</v>
          </cell>
          <cell r="P569">
            <v>46043</v>
          </cell>
          <cell r="Q569">
            <v>5</v>
          </cell>
          <cell r="R569" t="str">
            <v>NA</v>
          </cell>
          <cell r="S569">
            <v>5</v>
          </cell>
        </row>
        <row r="570">
          <cell r="B570" t="str">
            <v>EMMC</v>
          </cell>
          <cell r="C570" t="str">
            <v>HSLB10117</v>
          </cell>
          <cell r="D570">
            <v>101031</v>
          </cell>
          <cell r="E570" t="str">
            <v>Espirómetro</v>
          </cell>
          <cell r="F570" t="str">
            <v>NO</v>
          </cell>
          <cell r="G570" t="str">
            <v>NO</v>
          </cell>
          <cell r="H570" t="str">
            <v>SALA TEST DE ESFUERZO Y ESPIROMETRÍA</v>
          </cell>
          <cell r="I570">
            <v>1</v>
          </cell>
          <cell r="J570" t="str">
            <v>C.2.2.3.12</v>
          </cell>
          <cell r="K570" t="str">
            <v>Consultas Medicas Especialidades</v>
          </cell>
          <cell r="L570">
            <v>2</v>
          </cell>
          <cell r="M570">
            <v>46038</v>
          </cell>
          <cell r="N570">
            <v>46042</v>
          </cell>
          <cell r="O570">
            <v>1</v>
          </cell>
          <cell r="P570">
            <v>46043</v>
          </cell>
          <cell r="Q570">
            <v>5</v>
          </cell>
          <cell r="R570" t="str">
            <v>NA</v>
          </cell>
          <cell r="S570">
            <v>5</v>
          </cell>
        </row>
        <row r="571">
          <cell r="B571" t="str">
            <v>EMMC</v>
          </cell>
          <cell r="C571" t="str">
            <v>HSLB10172</v>
          </cell>
          <cell r="D571">
            <v>101041</v>
          </cell>
          <cell r="E571" t="str">
            <v>Lensómetro</v>
          </cell>
          <cell r="F571" t="str">
            <v>NO</v>
          </cell>
          <cell r="G571" t="str">
            <v>NO</v>
          </cell>
          <cell r="H571" t="str">
            <v>SALA DE PROCEDIMIENTOS OFTALMO SIMPLE</v>
          </cell>
          <cell r="I571">
            <v>1</v>
          </cell>
          <cell r="J571" t="str">
            <v>C.2.2.3.6</v>
          </cell>
          <cell r="K571" t="str">
            <v>Consultas Medicas Especialidades</v>
          </cell>
          <cell r="L571">
            <v>2</v>
          </cell>
          <cell r="M571">
            <v>46038</v>
          </cell>
          <cell r="N571">
            <v>46042</v>
          </cell>
          <cell r="O571">
            <v>1</v>
          </cell>
          <cell r="P571">
            <v>46043</v>
          </cell>
          <cell r="Q571">
            <v>5</v>
          </cell>
          <cell r="R571" t="str">
            <v>NA</v>
          </cell>
          <cell r="S571">
            <v>5</v>
          </cell>
        </row>
        <row r="572">
          <cell r="B572" t="str">
            <v>EMMC</v>
          </cell>
          <cell r="C572" t="str">
            <v>HSLB10173</v>
          </cell>
          <cell r="D572">
            <v>101042</v>
          </cell>
          <cell r="E572" t="str">
            <v>Lente 20 Dioptrías</v>
          </cell>
          <cell r="F572" t="str">
            <v>NO</v>
          </cell>
          <cell r="G572" t="str">
            <v>NO</v>
          </cell>
          <cell r="H572" t="str">
            <v>BOX OFTALMO URO NEFRO (INDIFERENCIDO)</v>
          </cell>
          <cell r="I572">
            <v>1</v>
          </cell>
          <cell r="J572" t="str">
            <v>C.2.2.3.4</v>
          </cell>
          <cell r="K572" t="str">
            <v>Consultas Medicas Especialidades</v>
          </cell>
          <cell r="L572">
            <v>2</v>
          </cell>
          <cell r="M572">
            <v>46038</v>
          </cell>
          <cell r="N572">
            <v>46041</v>
          </cell>
          <cell r="O572">
            <v>1</v>
          </cell>
          <cell r="P572">
            <v>46042</v>
          </cell>
          <cell r="Q572">
            <v>5</v>
          </cell>
          <cell r="R572" t="str">
            <v>NA</v>
          </cell>
          <cell r="S572">
            <v>5</v>
          </cell>
        </row>
        <row r="573">
          <cell r="B573" t="str">
            <v>EMMC</v>
          </cell>
          <cell r="C573" t="str">
            <v>HSLB11650</v>
          </cell>
          <cell r="D573">
            <v>112008</v>
          </cell>
          <cell r="E573" t="str">
            <v>Camilla Examen</v>
          </cell>
          <cell r="F573" t="str">
            <v>NO</v>
          </cell>
          <cell r="G573" t="str">
            <v>NO</v>
          </cell>
          <cell r="H573" t="str">
            <v>SALA PROCEDIMIENTOS TRAUMATOLOGÍA ADULTO</v>
          </cell>
          <cell r="I573">
            <v>1</v>
          </cell>
          <cell r="J573" t="str">
            <v>C.2.2.3.11</v>
          </cell>
          <cell r="K573" t="str">
            <v>Consultas Medicas Especialidades</v>
          </cell>
          <cell r="L573">
            <v>2</v>
          </cell>
          <cell r="M573">
            <v>46038</v>
          </cell>
          <cell r="N573">
            <v>46041</v>
          </cell>
          <cell r="O573">
            <v>1</v>
          </cell>
          <cell r="P573">
            <v>46042</v>
          </cell>
          <cell r="Q573">
            <v>5</v>
          </cell>
          <cell r="R573" t="str">
            <v>NA</v>
          </cell>
          <cell r="S573">
            <v>5</v>
          </cell>
        </row>
        <row r="574">
          <cell r="B574" t="str">
            <v>EMMC</v>
          </cell>
          <cell r="C574" t="str">
            <v>HSLB11651</v>
          </cell>
          <cell r="D574">
            <v>112008</v>
          </cell>
          <cell r="E574" t="str">
            <v>Camilla Examen</v>
          </cell>
          <cell r="F574" t="str">
            <v>NO</v>
          </cell>
          <cell r="G574" t="str">
            <v>NO</v>
          </cell>
          <cell r="H574" t="str">
            <v>BOX CARDIO OTORRINO</v>
          </cell>
          <cell r="I574">
            <v>1</v>
          </cell>
          <cell r="J574" t="str">
            <v>C.2.2.3.3</v>
          </cell>
          <cell r="K574" t="str">
            <v>Consultas Medicas Especialidades</v>
          </cell>
          <cell r="L574">
            <v>2</v>
          </cell>
          <cell r="M574">
            <v>46038</v>
          </cell>
          <cell r="N574">
            <v>46041</v>
          </cell>
          <cell r="O574">
            <v>1</v>
          </cell>
          <cell r="P574">
            <v>46042</v>
          </cell>
          <cell r="Q574">
            <v>5</v>
          </cell>
          <cell r="R574" t="str">
            <v>NA</v>
          </cell>
          <cell r="S574">
            <v>5</v>
          </cell>
        </row>
        <row r="575">
          <cell r="B575" t="str">
            <v>EMMC</v>
          </cell>
          <cell r="C575" t="str">
            <v>HSLB11652</v>
          </cell>
          <cell r="D575">
            <v>112008</v>
          </cell>
          <cell r="E575" t="str">
            <v>Camilla Examen</v>
          </cell>
          <cell r="F575" t="str">
            <v>NO</v>
          </cell>
          <cell r="G575" t="str">
            <v>NO</v>
          </cell>
          <cell r="H575" t="str">
            <v>SALA DE PROCEDIMIENTOS OFTALMO COMPLEJO</v>
          </cell>
          <cell r="I575">
            <v>1</v>
          </cell>
          <cell r="J575" t="str">
            <v>C.2.2.3.7</v>
          </cell>
          <cell r="K575" t="str">
            <v>Consultas Medicas Especialidades</v>
          </cell>
          <cell r="L575">
            <v>2</v>
          </cell>
          <cell r="M575">
            <v>46038</v>
          </cell>
          <cell r="N575">
            <v>46041</v>
          </cell>
          <cell r="O575">
            <v>1</v>
          </cell>
          <cell r="P575">
            <v>46042</v>
          </cell>
          <cell r="Q575">
            <v>5</v>
          </cell>
          <cell r="R575" t="str">
            <v>NA</v>
          </cell>
          <cell r="S575">
            <v>5</v>
          </cell>
        </row>
        <row r="576">
          <cell r="B576" t="str">
            <v>EMMC</v>
          </cell>
          <cell r="C576" t="str">
            <v>HSLB10174</v>
          </cell>
          <cell r="D576">
            <v>101042</v>
          </cell>
          <cell r="E576" t="str">
            <v>Lente 20 Dioptrías</v>
          </cell>
          <cell r="F576" t="str">
            <v>NO</v>
          </cell>
          <cell r="G576" t="str">
            <v>NO</v>
          </cell>
          <cell r="H576" t="str">
            <v>BOX OFTALMO URO NEFRO (INDIFERENCIDO)</v>
          </cell>
          <cell r="I576">
            <v>1</v>
          </cell>
          <cell r="J576" t="str">
            <v>C.2.2.3.4</v>
          </cell>
          <cell r="K576" t="str">
            <v>Consultas Medicas Especialidades</v>
          </cell>
          <cell r="L576">
            <v>2</v>
          </cell>
          <cell r="M576">
            <v>46038</v>
          </cell>
          <cell r="N576">
            <v>46041</v>
          </cell>
          <cell r="O576">
            <v>1</v>
          </cell>
          <cell r="P576">
            <v>46042</v>
          </cell>
          <cell r="Q576">
            <v>5</v>
          </cell>
          <cell r="R576" t="str">
            <v>NA</v>
          </cell>
          <cell r="S576">
            <v>5</v>
          </cell>
        </row>
        <row r="577">
          <cell r="B577" t="str">
            <v>EMMC</v>
          </cell>
          <cell r="C577" t="str">
            <v>HSLB10175</v>
          </cell>
          <cell r="D577">
            <v>101043</v>
          </cell>
          <cell r="E577" t="str">
            <v>Lente de 3 Espejos</v>
          </cell>
          <cell r="F577" t="str">
            <v>NO</v>
          </cell>
          <cell r="G577" t="str">
            <v>NO</v>
          </cell>
          <cell r="H577" t="str">
            <v>BOX OFTALMO URO NEFRO (INDIFERENCIDO)</v>
          </cell>
          <cell r="I577">
            <v>1</v>
          </cell>
          <cell r="J577" t="str">
            <v>C.2.2.3.4</v>
          </cell>
          <cell r="K577" t="str">
            <v>Consultas Medicas Especialidades</v>
          </cell>
          <cell r="L577">
            <v>2</v>
          </cell>
          <cell r="M577">
            <v>46038</v>
          </cell>
          <cell r="N577">
            <v>46041</v>
          </cell>
          <cell r="O577">
            <v>1</v>
          </cell>
          <cell r="P577">
            <v>46042</v>
          </cell>
          <cell r="Q577">
            <v>5</v>
          </cell>
          <cell r="R577" t="str">
            <v>NA</v>
          </cell>
          <cell r="S577">
            <v>5</v>
          </cell>
        </row>
        <row r="578">
          <cell r="B578" t="str">
            <v>EMMC</v>
          </cell>
          <cell r="C578" t="str">
            <v>HSLB10237</v>
          </cell>
          <cell r="D578">
            <v>101056</v>
          </cell>
          <cell r="E578" t="str">
            <v>Otoscopio Mural</v>
          </cell>
          <cell r="F578" t="str">
            <v>NO</v>
          </cell>
          <cell r="G578" t="str">
            <v>NO</v>
          </cell>
          <cell r="H578" t="str">
            <v>BOX CARDIO OTORRINO</v>
          </cell>
          <cell r="I578">
            <v>1</v>
          </cell>
          <cell r="J578" t="str">
            <v>C.2.2.3.3</v>
          </cell>
          <cell r="K578" t="str">
            <v>Consultas Medicas Especialidades</v>
          </cell>
          <cell r="L578">
            <v>2</v>
          </cell>
          <cell r="M578">
            <v>46038</v>
          </cell>
          <cell r="N578">
            <v>46041</v>
          </cell>
          <cell r="O578">
            <v>1</v>
          </cell>
          <cell r="P578">
            <v>46042</v>
          </cell>
          <cell r="Q578">
            <v>5</v>
          </cell>
          <cell r="R578" t="str">
            <v>NA</v>
          </cell>
          <cell r="S578">
            <v>5</v>
          </cell>
        </row>
        <row r="579">
          <cell r="B579" t="str">
            <v>EMMC</v>
          </cell>
          <cell r="C579" t="str">
            <v>HSLB10912</v>
          </cell>
          <cell r="D579">
            <v>106013</v>
          </cell>
          <cell r="E579" t="str">
            <v>Proyector</v>
          </cell>
          <cell r="F579" t="str">
            <v>NO</v>
          </cell>
          <cell r="G579" t="str">
            <v>NO</v>
          </cell>
          <cell r="H579" t="str">
            <v>SALA DE REUNIONES (20 pp)</v>
          </cell>
          <cell r="I579">
            <v>1</v>
          </cell>
          <cell r="J579" t="str">
            <v>C.5.10.1</v>
          </cell>
          <cell r="K579" t="str">
            <v>Comedor para Funcionarios y Público</v>
          </cell>
          <cell r="L579">
            <v>2</v>
          </cell>
          <cell r="M579">
            <v>46003</v>
          </cell>
          <cell r="N579">
            <v>46006</v>
          </cell>
          <cell r="O579">
            <v>1</v>
          </cell>
          <cell r="P579">
            <v>46007</v>
          </cell>
          <cell r="Q579">
            <v>5</v>
          </cell>
          <cell r="R579" t="str">
            <v>NA</v>
          </cell>
          <cell r="S579">
            <v>5</v>
          </cell>
        </row>
        <row r="580">
          <cell r="B580" t="str">
            <v>EMMC</v>
          </cell>
          <cell r="C580" t="str">
            <v>HSLB10244</v>
          </cell>
          <cell r="D580">
            <v>101060</v>
          </cell>
          <cell r="E580" t="str">
            <v>SET DIAGNÓSTICO OFTALMOLÓGICO</v>
          </cell>
          <cell r="F580" t="str">
            <v>NO</v>
          </cell>
          <cell r="G580" t="str">
            <v>NO</v>
          </cell>
          <cell r="H580" t="str">
            <v>BOX OFTALMO URO NEFRO (INDIFERENCIDO)</v>
          </cell>
          <cell r="I580">
            <v>1</v>
          </cell>
          <cell r="J580" t="str">
            <v>C.2.2.3.4</v>
          </cell>
          <cell r="K580" t="str">
            <v>Consultas Medicas Especialidades</v>
          </cell>
          <cell r="L580">
            <v>2</v>
          </cell>
          <cell r="M580">
            <v>46038</v>
          </cell>
          <cell r="N580">
            <v>46041</v>
          </cell>
          <cell r="O580">
            <v>1</v>
          </cell>
          <cell r="P580">
            <v>46042</v>
          </cell>
          <cell r="Q580">
            <v>5</v>
          </cell>
          <cell r="R580" t="str">
            <v>NA</v>
          </cell>
          <cell r="S580">
            <v>5</v>
          </cell>
        </row>
        <row r="581">
          <cell r="B581" t="str">
            <v>EMMC</v>
          </cell>
          <cell r="C581" t="str">
            <v>HSLB11099</v>
          </cell>
          <cell r="D581">
            <v>106021</v>
          </cell>
          <cell r="E581" t="str">
            <v>Telón</v>
          </cell>
          <cell r="F581" t="str">
            <v>NO</v>
          </cell>
          <cell r="G581" t="str">
            <v>NO</v>
          </cell>
          <cell r="H581" t="str">
            <v>SALA DE REUNIONES (20 pp)</v>
          </cell>
          <cell r="I581">
            <v>1</v>
          </cell>
          <cell r="J581" t="str">
            <v>C.5.10.1</v>
          </cell>
          <cell r="K581" t="str">
            <v>Comedor para Funcionarios y Público</v>
          </cell>
          <cell r="L581">
            <v>2</v>
          </cell>
          <cell r="M581">
            <v>46003</v>
          </cell>
          <cell r="N581">
            <v>46006</v>
          </cell>
          <cell r="O581">
            <v>1</v>
          </cell>
          <cell r="P581">
            <v>46007</v>
          </cell>
          <cell r="Q581">
            <v>5</v>
          </cell>
          <cell r="R581" t="str">
            <v>NA</v>
          </cell>
          <cell r="S581">
            <v>5</v>
          </cell>
        </row>
        <row r="582">
          <cell r="B582" t="str">
            <v>EMMC</v>
          </cell>
          <cell r="C582" t="str">
            <v>HSLB10262</v>
          </cell>
          <cell r="D582">
            <v>102003</v>
          </cell>
          <cell r="E582" t="str">
            <v>Nasofibrolaringoscopio</v>
          </cell>
          <cell r="F582" t="str">
            <v>NO</v>
          </cell>
          <cell r="G582" t="str">
            <v>NO</v>
          </cell>
          <cell r="H582" t="str">
            <v>SALA PROCEDIMIENTOS ENDOSCOPÍA INDIFERENCIADO</v>
          </cell>
          <cell r="I582">
            <v>2</v>
          </cell>
          <cell r="J582" t="str">
            <v>C.2.2.3.14.2</v>
          </cell>
          <cell r="K582" t="str">
            <v>Consultas Medicas Especialidades</v>
          </cell>
          <cell r="L582">
            <v>2</v>
          </cell>
          <cell r="M582">
            <v>46038</v>
          </cell>
          <cell r="N582">
            <v>46041</v>
          </cell>
          <cell r="O582">
            <v>1</v>
          </cell>
          <cell r="P582">
            <v>46042</v>
          </cell>
          <cell r="Q582">
            <v>5</v>
          </cell>
          <cell r="R582" t="str">
            <v>NA</v>
          </cell>
          <cell r="S582">
            <v>5</v>
          </cell>
        </row>
        <row r="583">
          <cell r="B583" t="str">
            <v>EMMC</v>
          </cell>
          <cell r="C583" t="str">
            <v>HSLB10254</v>
          </cell>
          <cell r="D583">
            <v>101064</v>
          </cell>
          <cell r="E583" t="str">
            <v>Test de Esfuerzo</v>
          </cell>
          <cell r="F583" t="str">
            <v>NO</v>
          </cell>
          <cell r="G583" t="str">
            <v>NO</v>
          </cell>
          <cell r="H583" t="str">
            <v>SALA TEST DE ESFUERZO Y ESPIROMETRÍA</v>
          </cell>
          <cell r="I583">
            <v>1</v>
          </cell>
          <cell r="J583" t="str">
            <v>C.2.2.3.12</v>
          </cell>
          <cell r="K583" t="str">
            <v>Consultas Medicas Especialidades</v>
          </cell>
          <cell r="L583">
            <v>2</v>
          </cell>
          <cell r="M583">
            <v>46038</v>
          </cell>
          <cell r="N583">
            <v>46042</v>
          </cell>
          <cell r="O583">
            <v>1</v>
          </cell>
          <cell r="P583">
            <v>46043</v>
          </cell>
          <cell r="Q583">
            <v>5</v>
          </cell>
          <cell r="R583" t="str">
            <v>NA</v>
          </cell>
          <cell r="S583">
            <v>5</v>
          </cell>
        </row>
        <row r="584">
          <cell r="B584" t="str">
            <v>EMMC</v>
          </cell>
          <cell r="C584" t="str">
            <v>HSLB12888</v>
          </cell>
          <cell r="D584">
            <v>114005</v>
          </cell>
          <cell r="E584" t="str">
            <v>Motor Colgante Foredom con pieza de mano</v>
          </cell>
          <cell r="F584" t="str">
            <v>NO</v>
          </cell>
          <cell r="G584" t="str">
            <v>NO</v>
          </cell>
          <cell r="H584" t="str">
            <v>SALA DE YESO</v>
          </cell>
          <cell r="I584">
            <v>1</v>
          </cell>
          <cell r="J584" t="str">
            <v>C.2.2.4.19.1</v>
          </cell>
          <cell r="K584" t="str">
            <v>Odontología</v>
          </cell>
          <cell r="L584">
            <v>2</v>
          </cell>
          <cell r="M584">
            <v>46010</v>
          </cell>
          <cell r="N584">
            <v>46013</v>
          </cell>
          <cell r="O584">
            <v>1</v>
          </cell>
          <cell r="P584">
            <v>46014</v>
          </cell>
          <cell r="Q584">
            <v>5</v>
          </cell>
          <cell r="R584" t="str">
            <v>NA</v>
          </cell>
          <cell r="S584">
            <v>5</v>
          </cell>
        </row>
        <row r="585">
          <cell r="B585" t="str">
            <v>EMMC</v>
          </cell>
          <cell r="C585" t="str">
            <v>HSLB12889</v>
          </cell>
          <cell r="D585">
            <v>114006</v>
          </cell>
          <cell r="E585" t="str">
            <v>Motor de Endodoncia</v>
          </cell>
          <cell r="F585" t="str">
            <v>NO</v>
          </cell>
          <cell r="G585" t="str">
            <v>NO</v>
          </cell>
          <cell r="H585" t="str">
            <v>BOX DENTAL POLIFUNCIONAL(2)</v>
          </cell>
          <cell r="I585">
            <v>1</v>
          </cell>
          <cell r="J585" t="str">
            <v>C.2.2.4.7.2</v>
          </cell>
          <cell r="K585" t="str">
            <v>Odontología</v>
          </cell>
          <cell r="L585">
            <v>2</v>
          </cell>
          <cell r="M585">
            <v>46010</v>
          </cell>
          <cell r="N585">
            <v>46013</v>
          </cell>
          <cell r="O585">
            <v>1</v>
          </cell>
          <cell r="P585">
            <v>46014</v>
          </cell>
          <cell r="Q585">
            <v>5</v>
          </cell>
          <cell r="R585" t="str">
            <v>NA</v>
          </cell>
          <cell r="S585">
            <v>5</v>
          </cell>
        </row>
        <row r="586">
          <cell r="B586" t="str">
            <v>EMMC</v>
          </cell>
          <cell r="C586" t="str">
            <v>HSLB10064</v>
          </cell>
          <cell r="D586">
            <v>101017</v>
          </cell>
          <cell r="E586" t="str">
            <v>Cámara Retinal no Midriática</v>
          </cell>
          <cell r="F586" t="str">
            <v>NO</v>
          </cell>
          <cell r="G586" t="str">
            <v>NO</v>
          </cell>
          <cell r="H586" t="str">
            <v>SALA DE PROCEDIMIENTOS OFTALMO SIMPLE</v>
          </cell>
          <cell r="I586">
            <v>1</v>
          </cell>
          <cell r="J586" t="str">
            <v>C.2.2.3.6</v>
          </cell>
          <cell r="K586" t="str">
            <v>Consultas Medicas Especialidades</v>
          </cell>
          <cell r="L586">
            <v>2</v>
          </cell>
          <cell r="M586">
            <v>46038</v>
          </cell>
          <cell r="N586">
            <v>46042</v>
          </cell>
          <cell r="O586">
            <v>1</v>
          </cell>
          <cell r="P586">
            <v>46043</v>
          </cell>
          <cell r="Q586">
            <v>5</v>
          </cell>
          <cell r="R586" t="str">
            <v>NA</v>
          </cell>
          <cell r="S586">
            <v>5</v>
          </cell>
        </row>
        <row r="587">
          <cell r="B587" t="str">
            <v>EMMC</v>
          </cell>
          <cell r="C587" t="str">
            <v>HSLB11663</v>
          </cell>
          <cell r="D587">
            <v>112009</v>
          </cell>
          <cell r="E587" t="str">
            <v>Camilla Examen Ajustable en Altura</v>
          </cell>
          <cell r="F587" t="str">
            <v>NO</v>
          </cell>
          <cell r="G587" t="str">
            <v>NO</v>
          </cell>
          <cell r="H587" t="str">
            <v>SALA DE PROCEDIMIENTOS CARDIOLÓGICOS</v>
          </cell>
          <cell r="I587">
            <v>1</v>
          </cell>
          <cell r="J587" t="str">
            <v>C.2.2.3.13</v>
          </cell>
          <cell r="K587" t="str">
            <v>Consultas Medicas Especialidades</v>
          </cell>
          <cell r="L587">
            <v>2</v>
          </cell>
          <cell r="M587">
            <v>46038</v>
          </cell>
          <cell r="N587">
            <v>46041</v>
          </cell>
          <cell r="O587">
            <v>1</v>
          </cell>
          <cell r="P587">
            <v>46042</v>
          </cell>
          <cell r="Q587">
            <v>5</v>
          </cell>
          <cell r="R587" t="str">
            <v>NA</v>
          </cell>
          <cell r="S587">
            <v>5</v>
          </cell>
        </row>
        <row r="588">
          <cell r="B588" t="str">
            <v>EMMC</v>
          </cell>
          <cell r="C588" t="str">
            <v>HSLB11664</v>
          </cell>
          <cell r="D588">
            <v>112009</v>
          </cell>
          <cell r="E588" t="str">
            <v>Camilla Examen Ajustable en Altura</v>
          </cell>
          <cell r="F588" t="str">
            <v>NO</v>
          </cell>
          <cell r="G588" t="str">
            <v>NO</v>
          </cell>
          <cell r="H588" t="str">
            <v>BOX TRAUMATOLOGÍA</v>
          </cell>
          <cell r="I588">
            <v>1</v>
          </cell>
          <cell r="J588" t="str">
            <v>C.2.2.3.5</v>
          </cell>
          <cell r="K588" t="str">
            <v>Consultas Medicas Especialidades</v>
          </cell>
          <cell r="L588">
            <v>2</v>
          </cell>
          <cell r="M588">
            <v>46038</v>
          </cell>
          <cell r="N588">
            <v>46041</v>
          </cell>
          <cell r="O588">
            <v>1</v>
          </cell>
          <cell r="P588">
            <v>46042</v>
          </cell>
          <cell r="Q588">
            <v>5</v>
          </cell>
          <cell r="R588" t="str">
            <v>NA</v>
          </cell>
          <cell r="S588">
            <v>5</v>
          </cell>
        </row>
        <row r="589">
          <cell r="B589" t="str">
            <v>EMMC</v>
          </cell>
          <cell r="C589" t="str">
            <v>HSLB11688</v>
          </cell>
          <cell r="D589">
            <v>112012</v>
          </cell>
          <cell r="E589" t="str">
            <v>Camilla Ginecológica Convertible Rodable</v>
          </cell>
          <cell r="F589" t="str">
            <v>NO</v>
          </cell>
          <cell r="G589" t="str">
            <v>SI</v>
          </cell>
          <cell r="H589" t="str">
            <v>SALA PROCEDIMIENTOS ENDOSCOPÍA INDIFERENCIADO</v>
          </cell>
          <cell r="I589">
            <v>1</v>
          </cell>
          <cell r="J589" t="str">
            <v>C.2.2.3.14.3</v>
          </cell>
          <cell r="K589" t="str">
            <v>Consultas Medicas Especialidades</v>
          </cell>
          <cell r="L589">
            <v>2</v>
          </cell>
          <cell r="M589">
            <v>46003</v>
          </cell>
          <cell r="N589">
            <v>46006</v>
          </cell>
          <cell r="O589">
            <v>1</v>
          </cell>
          <cell r="P589">
            <v>46008</v>
          </cell>
          <cell r="Q589">
            <v>5</v>
          </cell>
          <cell r="R589" t="str">
            <v>NA</v>
          </cell>
          <cell r="S589">
            <v>5</v>
          </cell>
        </row>
        <row r="590">
          <cell r="B590" t="str">
            <v>EMMC</v>
          </cell>
          <cell r="C590" t="str">
            <v>HSLB10061</v>
          </cell>
          <cell r="D590">
            <v>101015</v>
          </cell>
          <cell r="E590" t="str">
            <v>Caja de Prueba</v>
          </cell>
          <cell r="F590" t="str">
            <v>NO</v>
          </cell>
          <cell r="G590" t="str">
            <v>NO</v>
          </cell>
          <cell r="H590" t="str">
            <v>BOX OFTALMO URO NEFRO (INDIFERENCIDO)</v>
          </cell>
          <cell r="I590">
            <v>1</v>
          </cell>
          <cell r="J590" t="str">
            <v>C.2.2.3.4</v>
          </cell>
          <cell r="K590" t="str">
            <v>Consultas Medicas Especialidades</v>
          </cell>
          <cell r="L590">
            <v>2</v>
          </cell>
          <cell r="M590">
            <v>46038</v>
          </cell>
          <cell r="N590">
            <v>46041</v>
          </cell>
          <cell r="O590">
            <v>1</v>
          </cell>
          <cell r="P590">
            <v>46042</v>
          </cell>
          <cell r="Q590">
            <v>5</v>
          </cell>
          <cell r="R590" t="str">
            <v>NA</v>
          </cell>
          <cell r="S590">
            <v>5</v>
          </cell>
        </row>
        <row r="591">
          <cell r="B591" t="str">
            <v>EMMC</v>
          </cell>
          <cell r="C591" t="str">
            <v>HSLB10062</v>
          </cell>
          <cell r="D591">
            <v>101015</v>
          </cell>
          <cell r="E591" t="str">
            <v>Caja de prueba</v>
          </cell>
          <cell r="F591" t="str">
            <v>NO</v>
          </cell>
          <cell r="G591" t="str">
            <v>NO</v>
          </cell>
          <cell r="H591" t="str">
            <v>SALA DE PROCEDIMIENTOS OFTALMO SIMPLE</v>
          </cell>
          <cell r="I591">
            <v>1</v>
          </cell>
          <cell r="J591" t="str">
            <v>C.2.2.3.6</v>
          </cell>
          <cell r="K591" t="str">
            <v>Consultas Medicas Especialidades</v>
          </cell>
          <cell r="L591">
            <v>2</v>
          </cell>
          <cell r="M591">
            <v>46038</v>
          </cell>
          <cell r="N591">
            <v>46041</v>
          </cell>
          <cell r="O591">
            <v>1</v>
          </cell>
          <cell r="P591">
            <v>46042</v>
          </cell>
          <cell r="Q591">
            <v>5</v>
          </cell>
          <cell r="R591" t="str">
            <v>NA</v>
          </cell>
          <cell r="S591">
            <v>5</v>
          </cell>
        </row>
        <row r="592">
          <cell r="B592" t="str">
            <v>EMMC</v>
          </cell>
          <cell r="C592" t="str">
            <v>HSLB11782</v>
          </cell>
          <cell r="D592">
            <v>112020</v>
          </cell>
          <cell r="E592" t="str">
            <v>Carro Compresero</v>
          </cell>
          <cell r="F592" t="str">
            <v>NO</v>
          </cell>
          <cell r="G592" t="str">
            <v>NO</v>
          </cell>
          <cell r="H592" t="str">
            <v>PABELLON CIRUGIA MENOR DENTAL</v>
          </cell>
          <cell r="I592">
            <v>1</v>
          </cell>
          <cell r="J592" t="str">
            <v>C.5.6.4.8</v>
          </cell>
          <cell r="K592" t="str">
            <v>Consultas Medicas Especialidades</v>
          </cell>
          <cell r="L592">
            <v>2</v>
          </cell>
          <cell r="M592">
            <v>46038</v>
          </cell>
          <cell r="N592">
            <v>46041</v>
          </cell>
          <cell r="O592">
            <v>1</v>
          </cell>
          <cell r="P592">
            <v>46042</v>
          </cell>
          <cell r="Q592">
            <v>5</v>
          </cell>
          <cell r="R592" t="str">
            <v>NA</v>
          </cell>
          <cell r="S592">
            <v>5</v>
          </cell>
        </row>
        <row r="593">
          <cell r="B593" t="str">
            <v>EMMC</v>
          </cell>
          <cell r="C593" t="str">
            <v>HSLB11897</v>
          </cell>
          <cell r="D593">
            <v>112034</v>
          </cell>
          <cell r="E593" t="str">
            <v>Carro Procedimiento Yeso</v>
          </cell>
          <cell r="F593" t="str">
            <v>NO</v>
          </cell>
          <cell r="G593" t="str">
            <v>NO</v>
          </cell>
          <cell r="H593" t="str">
            <v>SALA PROCEDIMIENTOS TRAUMATOLOGÍA INFANTIL</v>
          </cell>
          <cell r="I593">
            <v>1</v>
          </cell>
          <cell r="J593" t="str">
            <v>C.2.2.3.10</v>
          </cell>
          <cell r="K593" t="str">
            <v>Consultas Medicas Especialidades</v>
          </cell>
          <cell r="L593">
            <v>2</v>
          </cell>
          <cell r="M593">
            <v>46038</v>
          </cell>
          <cell r="N593">
            <v>46041</v>
          </cell>
          <cell r="O593">
            <v>1</v>
          </cell>
          <cell r="P593">
            <v>46042</v>
          </cell>
          <cell r="Q593">
            <v>5</v>
          </cell>
          <cell r="R593" t="str">
            <v>NA</v>
          </cell>
          <cell r="S593">
            <v>5</v>
          </cell>
        </row>
        <row r="594">
          <cell r="B594" t="str">
            <v>EMMC</v>
          </cell>
          <cell r="C594" t="str">
            <v>HSLB11898</v>
          </cell>
          <cell r="D594">
            <v>112034</v>
          </cell>
          <cell r="E594" t="str">
            <v>Carro Procedimiento Yeso</v>
          </cell>
          <cell r="F594" t="str">
            <v>NO</v>
          </cell>
          <cell r="G594" t="str">
            <v>NO</v>
          </cell>
          <cell r="H594" t="str">
            <v>SALA PROCEDIMIENTOS TRAUMATOLOGÍA ADULTO</v>
          </cell>
          <cell r="I594">
            <v>1</v>
          </cell>
          <cell r="J594" t="str">
            <v>C.2.2.3.11</v>
          </cell>
          <cell r="K594" t="str">
            <v>Consultas Medicas Especialidades</v>
          </cell>
          <cell r="L594">
            <v>2</v>
          </cell>
          <cell r="M594">
            <v>46038</v>
          </cell>
          <cell r="N594">
            <v>46041</v>
          </cell>
          <cell r="O594">
            <v>1</v>
          </cell>
          <cell r="P594">
            <v>46042</v>
          </cell>
          <cell r="Q594">
            <v>5</v>
          </cell>
          <cell r="R594" t="str">
            <v>NA</v>
          </cell>
          <cell r="S594">
            <v>5</v>
          </cell>
        </row>
        <row r="595">
          <cell r="B595" t="str">
            <v>EMMC</v>
          </cell>
          <cell r="C595" t="str">
            <v>HSLB10177</v>
          </cell>
          <cell r="D595">
            <v>101045</v>
          </cell>
          <cell r="E595" t="str">
            <v>Luz Frontal</v>
          </cell>
          <cell r="F595" t="str">
            <v>NO</v>
          </cell>
          <cell r="G595" t="str">
            <v>NO</v>
          </cell>
          <cell r="H595" t="str">
            <v>BOX CARDIO OTORRINO</v>
          </cell>
          <cell r="I595">
            <v>1</v>
          </cell>
          <cell r="J595" t="str">
            <v>C.2.2.3.3</v>
          </cell>
          <cell r="K595" t="str">
            <v>Consultas Medicas Especialidades</v>
          </cell>
          <cell r="L595">
            <v>2</v>
          </cell>
          <cell r="M595">
            <v>46038</v>
          </cell>
          <cell r="N595">
            <v>46041</v>
          </cell>
          <cell r="O595">
            <v>1</v>
          </cell>
          <cell r="P595">
            <v>46042</v>
          </cell>
          <cell r="Q595">
            <v>5</v>
          </cell>
          <cell r="R595" t="str">
            <v>NA</v>
          </cell>
          <cell r="S595">
            <v>5</v>
          </cell>
        </row>
        <row r="596">
          <cell r="B596" t="str">
            <v>EMMC</v>
          </cell>
          <cell r="C596" t="str">
            <v>HSLB10195</v>
          </cell>
          <cell r="D596">
            <v>101050</v>
          </cell>
          <cell r="E596" t="str">
            <v>Negatoscopio 3 Cuerpos</v>
          </cell>
          <cell r="F596" t="str">
            <v>NO</v>
          </cell>
          <cell r="G596" t="str">
            <v>NO</v>
          </cell>
          <cell r="H596" t="str">
            <v>BOX TRAUMATOLOGÍA</v>
          </cell>
          <cell r="I596">
            <v>1</v>
          </cell>
          <cell r="J596" t="str">
            <v>C.2.2.3.5</v>
          </cell>
          <cell r="K596" t="str">
            <v>Consultas Medicas Especialidades</v>
          </cell>
          <cell r="L596">
            <v>2</v>
          </cell>
          <cell r="M596">
            <v>46038</v>
          </cell>
          <cell r="N596">
            <v>46041</v>
          </cell>
          <cell r="O596">
            <v>1</v>
          </cell>
          <cell r="P596">
            <v>46042</v>
          </cell>
          <cell r="Q596">
            <v>5</v>
          </cell>
          <cell r="R596" t="str">
            <v>NA</v>
          </cell>
          <cell r="S596">
            <v>5</v>
          </cell>
        </row>
        <row r="597">
          <cell r="B597" t="str">
            <v>EMMC</v>
          </cell>
          <cell r="C597" t="str">
            <v>HSLB12436</v>
          </cell>
          <cell r="D597">
            <v>112070</v>
          </cell>
          <cell r="E597" t="str">
            <v>Podoscopio</v>
          </cell>
          <cell r="F597" t="str">
            <v>NO</v>
          </cell>
          <cell r="G597" t="str">
            <v>NO</v>
          </cell>
          <cell r="H597" t="str">
            <v>BOX TRAUMATOLOGÍA</v>
          </cell>
          <cell r="I597">
            <v>1</v>
          </cell>
          <cell r="J597" t="str">
            <v>C.2.2.3.5</v>
          </cell>
          <cell r="K597" t="str">
            <v>Consultas Medicas Especialidades</v>
          </cell>
          <cell r="L597">
            <v>2</v>
          </cell>
          <cell r="M597">
            <v>46038</v>
          </cell>
          <cell r="N597">
            <v>46041</v>
          </cell>
          <cell r="O597">
            <v>1</v>
          </cell>
          <cell r="P597">
            <v>46042</v>
          </cell>
          <cell r="Q597">
            <v>5</v>
          </cell>
          <cell r="R597" t="str">
            <v>NA</v>
          </cell>
          <cell r="S597">
            <v>5</v>
          </cell>
        </row>
        <row r="598">
          <cell r="B598" t="str">
            <v>EMMC</v>
          </cell>
          <cell r="C598" t="str">
            <v>HSLB10240</v>
          </cell>
          <cell r="D598">
            <v>101058</v>
          </cell>
          <cell r="E598" t="str">
            <v>Proyector de Optotipos</v>
          </cell>
          <cell r="F598" t="str">
            <v>NO</v>
          </cell>
          <cell r="G598" t="str">
            <v>NO</v>
          </cell>
          <cell r="H598" t="str">
            <v>BOX OFTALMO URO NEFRO (INDIFERENCIDO)</v>
          </cell>
          <cell r="I598">
            <v>1</v>
          </cell>
          <cell r="J598" t="str">
            <v>C.2.2.3.4</v>
          </cell>
          <cell r="K598" t="str">
            <v>Consultas Medicas Especialidades</v>
          </cell>
          <cell r="L598">
            <v>2</v>
          </cell>
          <cell r="M598">
            <v>46038</v>
          </cell>
          <cell r="N598">
            <v>46041</v>
          </cell>
          <cell r="O598">
            <v>1</v>
          </cell>
          <cell r="P598">
            <v>46042</v>
          </cell>
          <cell r="Q598">
            <v>5</v>
          </cell>
          <cell r="R598" t="str">
            <v>NA</v>
          </cell>
          <cell r="S598">
            <v>5</v>
          </cell>
        </row>
        <row r="599">
          <cell r="B599" t="str">
            <v>EMMC</v>
          </cell>
          <cell r="C599" t="str">
            <v>HSLB10241</v>
          </cell>
          <cell r="D599">
            <v>101058</v>
          </cell>
          <cell r="E599" t="str">
            <v>Proyector de Optotipos</v>
          </cell>
          <cell r="F599" t="str">
            <v>NO</v>
          </cell>
          <cell r="G599" t="str">
            <v>NO</v>
          </cell>
          <cell r="H599" t="str">
            <v>SALA DE PROCEDIMIENTOS OFTALMO SIMPLE</v>
          </cell>
          <cell r="I599">
            <v>1</v>
          </cell>
          <cell r="J599" t="str">
            <v>C.2.2.3.6</v>
          </cell>
          <cell r="K599" t="str">
            <v>Consultas Medicas Especialidades</v>
          </cell>
          <cell r="L599">
            <v>2</v>
          </cell>
          <cell r="M599">
            <v>46038</v>
          </cell>
          <cell r="N599">
            <v>46041</v>
          </cell>
          <cell r="O599">
            <v>1</v>
          </cell>
          <cell r="P599">
            <v>46042</v>
          </cell>
          <cell r="Q599">
            <v>5</v>
          </cell>
          <cell r="R599" t="str">
            <v>NA</v>
          </cell>
          <cell r="S599">
            <v>5</v>
          </cell>
        </row>
        <row r="600">
          <cell r="B600" t="str">
            <v>EMMC</v>
          </cell>
          <cell r="C600" t="str">
            <v>HSLB10572</v>
          </cell>
          <cell r="D600">
            <v>104029</v>
          </cell>
          <cell r="E600" t="str">
            <v>Set Corta Yeso con Aspiración</v>
          </cell>
          <cell r="F600" t="str">
            <v>NO</v>
          </cell>
          <cell r="G600" t="str">
            <v>NO</v>
          </cell>
          <cell r="H600" t="str">
            <v>SALA PROCEDIMIENTOS TRAUMATOLOGÍA INFANTIL</v>
          </cell>
          <cell r="I600">
            <v>1</v>
          </cell>
          <cell r="J600" t="str">
            <v>C.2.2.3.10</v>
          </cell>
          <cell r="K600" t="str">
            <v>Consultas Medicas Especialidades</v>
          </cell>
          <cell r="L600">
            <v>2</v>
          </cell>
          <cell r="M600">
            <v>46038</v>
          </cell>
          <cell r="N600">
            <v>46042</v>
          </cell>
          <cell r="O600">
            <v>1</v>
          </cell>
          <cell r="P600">
            <v>46043</v>
          </cell>
          <cell r="Q600">
            <v>5</v>
          </cell>
          <cell r="R600" t="str">
            <v>NA</v>
          </cell>
          <cell r="S600">
            <v>5</v>
          </cell>
        </row>
        <row r="601">
          <cell r="B601" t="str">
            <v>EMMC</v>
          </cell>
          <cell r="C601" t="str">
            <v>HSLB10573</v>
          </cell>
          <cell r="D601">
            <v>104029</v>
          </cell>
          <cell r="E601" t="str">
            <v>Set Corta Yeso con Aspiración</v>
          </cell>
          <cell r="F601" t="str">
            <v>NO</v>
          </cell>
          <cell r="G601" t="str">
            <v>NO</v>
          </cell>
          <cell r="H601" t="str">
            <v>SALA PROCEDIMIENTOS TRAUMATOLOGÍA ADULTO</v>
          </cell>
          <cell r="I601">
            <v>1</v>
          </cell>
          <cell r="J601" t="str">
            <v>C.2.2.3.11</v>
          </cell>
          <cell r="K601" t="str">
            <v>Consultas Medicas Especialidades</v>
          </cell>
          <cell r="L601">
            <v>2</v>
          </cell>
          <cell r="M601">
            <v>46038</v>
          </cell>
          <cell r="N601">
            <v>46042</v>
          </cell>
          <cell r="O601">
            <v>1</v>
          </cell>
          <cell r="P601">
            <v>46043</v>
          </cell>
          <cell r="Q601">
            <v>5</v>
          </cell>
          <cell r="R601" t="str">
            <v>NA</v>
          </cell>
          <cell r="S601">
            <v>5</v>
          </cell>
        </row>
        <row r="602">
          <cell r="B602" t="str">
            <v>EMMC</v>
          </cell>
          <cell r="C602" t="str">
            <v>HSLB11290</v>
          </cell>
          <cell r="D602">
            <v>109017</v>
          </cell>
          <cell r="E602" t="str">
            <v>Set Instrumental Otorrinolaringología</v>
          </cell>
          <cell r="F602" t="str">
            <v>NO</v>
          </cell>
          <cell r="G602" t="str">
            <v>NO</v>
          </cell>
          <cell r="H602" t="str">
            <v>BOX CARDIO OTORRINO</v>
          </cell>
          <cell r="I602">
            <v>8</v>
          </cell>
          <cell r="J602" t="str">
            <v>C.2.2.3.3</v>
          </cell>
          <cell r="K602" t="str">
            <v>Consultas Medicas Especialidades</v>
          </cell>
          <cell r="L602">
            <v>2</v>
          </cell>
          <cell r="M602">
            <v>46038</v>
          </cell>
          <cell r="N602">
            <v>46042</v>
          </cell>
          <cell r="O602">
            <v>1</v>
          </cell>
          <cell r="P602">
            <v>46043</v>
          </cell>
          <cell r="Q602">
            <v>5</v>
          </cell>
          <cell r="R602" t="str">
            <v>NA</v>
          </cell>
          <cell r="S602">
            <v>5</v>
          </cell>
        </row>
        <row r="603">
          <cell r="B603" t="str">
            <v>EMMC</v>
          </cell>
          <cell r="C603" t="str">
            <v>HSLB11292</v>
          </cell>
          <cell r="D603" t="str">
            <v>109019A</v>
          </cell>
          <cell r="E603" t="str">
            <v>Cajas de Cirugía Periodontal</v>
          </cell>
          <cell r="F603" t="str">
            <v>NO</v>
          </cell>
          <cell r="G603" t="str">
            <v>NO</v>
          </cell>
          <cell r="H603" t="str">
            <v>BODEGA ROPA SUCIA</v>
          </cell>
          <cell r="I603">
            <v>2</v>
          </cell>
          <cell r="J603" t="str">
            <v>C.2.2.3.19</v>
          </cell>
          <cell r="K603" t="str">
            <v>Consultas Medicas Especialidades</v>
          </cell>
          <cell r="L603">
            <v>2</v>
          </cell>
          <cell r="M603">
            <v>46038</v>
          </cell>
          <cell r="N603">
            <v>46041</v>
          </cell>
          <cell r="O603">
            <v>1</v>
          </cell>
          <cell r="P603">
            <v>46042</v>
          </cell>
          <cell r="Q603">
            <v>5</v>
          </cell>
          <cell r="R603" t="str">
            <v>NA</v>
          </cell>
          <cell r="S603">
            <v>6</v>
          </cell>
        </row>
        <row r="604">
          <cell r="B604" t="str">
            <v>EMMC</v>
          </cell>
          <cell r="C604" t="str">
            <v>HSLB11292</v>
          </cell>
          <cell r="D604" t="str">
            <v>109019B</v>
          </cell>
          <cell r="E604" t="str">
            <v>Caja de Cirugía Buco - Maxilofacial</v>
          </cell>
          <cell r="F604" t="str">
            <v>NO</v>
          </cell>
          <cell r="G604" t="str">
            <v>NO</v>
          </cell>
          <cell r="H604" t="str">
            <v>BODEGA ROPA SUCIA</v>
          </cell>
          <cell r="I604">
            <v>1</v>
          </cell>
          <cell r="J604" t="str">
            <v>C.2.2.3.19</v>
          </cell>
          <cell r="K604" t="str">
            <v>Consultas Medicas Especialidades</v>
          </cell>
          <cell r="L604">
            <v>2</v>
          </cell>
          <cell r="M604">
            <v>46038</v>
          </cell>
          <cell r="N604">
            <v>46041</v>
          </cell>
          <cell r="O604">
            <v>1</v>
          </cell>
          <cell r="P604">
            <v>46042</v>
          </cell>
          <cell r="Q604">
            <v>5</v>
          </cell>
          <cell r="R604" t="str">
            <v>NA</v>
          </cell>
          <cell r="S604">
            <v>7</v>
          </cell>
        </row>
        <row r="605">
          <cell r="B605" t="str">
            <v>EMMC</v>
          </cell>
          <cell r="C605" t="str">
            <v>HSLB11292</v>
          </cell>
          <cell r="D605" t="str">
            <v>109019C</v>
          </cell>
          <cell r="E605" t="str">
            <v>Cajas de Cirugía Menor Tipo</v>
          </cell>
          <cell r="F605" t="str">
            <v>NO</v>
          </cell>
          <cell r="G605" t="str">
            <v>NO</v>
          </cell>
          <cell r="H605" t="str">
            <v>BODEGA ROPA SUCIA</v>
          </cell>
          <cell r="I605">
            <v>20</v>
          </cell>
          <cell r="J605" t="str">
            <v>C.2.2.3.19</v>
          </cell>
          <cell r="K605" t="str">
            <v>Consultas Medicas Especialidades</v>
          </cell>
          <cell r="L605">
            <v>2</v>
          </cell>
          <cell r="M605">
            <v>46038</v>
          </cell>
          <cell r="N605">
            <v>46041</v>
          </cell>
          <cell r="O605">
            <v>1</v>
          </cell>
          <cell r="P605">
            <v>46042</v>
          </cell>
          <cell r="Q605">
            <v>5</v>
          </cell>
          <cell r="R605" t="str">
            <v>NA</v>
          </cell>
          <cell r="S605">
            <v>8</v>
          </cell>
        </row>
        <row r="606">
          <cell r="B606" t="str">
            <v>EMMC</v>
          </cell>
          <cell r="C606" t="str">
            <v>HSLB11292</v>
          </cell>
          <cell r="D606" t="str">
            <v>109019D</v>
          </cell>
          <cell r="E606" t="str">
            <v>Cajas de Sutura</v>
          </cell>
          <cell r="F606" t="str">
            <v>NO</v>
          </cell>
          <cell r="G606" t="str">
            <v>NO</v>
          </cell>
          <cell r="H606" t="str">
            <v>BODEGA ROPA SUCIA</v>
          </cell>
          <cell r="I606">
            <v>25</v>
          </cell>
          <cell r="J606" t="str">
            <v>C.2.2.3.19</v>
          </cell>
          <cell r="K606" t="str">
            <v>Consultas Medicas Especialidades</v>
          </cell>
          <cell r="L606">
            <v>2</v>
          </cell>
          <cell r="M606">
            <v>46038</v>
          </cell>
          <cell r="N606">
            <v>46041</v>
          </cell>
          <cell r="O606">
            <v>1</v>
          </cell>
          <cell r="P606">
            <v>46042</v>
          </cell>
          <cell r="Q606">
            <v>5</v>
          </cell>
          <cell r="R606" t="str">
            <v>NA</v>
          </cell>
          <cell r="S606">
            <v>9</v>
          </cell>
        </row>
        <row r="607">
          <cell r="B607" t="str">
            <v>EMMC</v>
          </cell>
          <cell r="C607" t="str">
            <v>HSLB11292</v>
          </cell>
          <cell r="D607" t="str">
            <v>109019E</v>
          </cell>
          <cell r="E607" t="str">
            <v>Cajas de Curación</v>
          </cell>
          <cell r="F607" t="str">
            <v>NO</v>
          </cell>
          <cell r="G607" t="str">
            <v>NO</v>
          </cell>
          <cell r="H607" t="str">
            <v>BODEGA ROPA SUCIA</v>
          </cell>
          <cell r="I607">
            <v>20</v>
          </cell>
          <cell r="J607" t="str">
            <v>C.2.2.3.19</v>
          </cell>
          <cell r="K607" t="str">
            <v>Consultas Medicas Especialidades</v>
          </cell>
          <cell r="L607">
            <v>2</v>
          </cell>
          <cell r="M607">
            <v>46038</v>
          </cell>
          <cell r="N607">
            <v>46041</v>
          </cell>
          <cell r="O607">
            <v>1</v>
          </cell>
          <cell r="P607">
            <v>46042</v>
          </cell>
          <cell r="Q607">
            <v>5</v>
          </cell>
          <cell r="R607" t="str">
            <v>NA</v>
          </cell>
          <cell r="S607">
            <v>10</v>
          </cell>
        </row>
        <row r="608">
          <cell r="B608" t="str">
            <v>EMMC</v>
          </cell>
          <cell r="C608" t="str">
            <v>HSLB11310</v>
          </cell>
          <cell r="D608">
            <v>109022</v>
          </cell>
          <cell r="E608" t="str">
            <v>Set Instrumental Taponamiento Nasal</v>
          </cell>
          <cell r="F608" t="str">
            <v>NO</v>
          </cell>
          <cell r="G608" t="str">
            <v>NO</v>
          </cell>
          <cell r="H608" t="str">
            <v>BOX CARDIO OTORRINO</v>
          </cell>
          <cell r="I608">
            <v>3</v>
          </cell>
          <cell r="J608" t="str">
            <v>C.2.2.3.3</v>
          </cell>
          <cell r="K608" t="str">
            <v>Consultas Medicas Especialidades</v>
          </cell>
          <cell r="L608">
            <v>2</v>
          </cell>
          <cell r="M608">
            <v>46038</v>
          </cell>
          <cell r="N608">
            <v>46041</v>
          </cell>
          <cell r="O608">
            <v>1</v>
          </cell>
          <cell r="P608">
            <v>46042</v>
          </cell>
          <cell r="Q608">
            <v>5</v>
          </cell>
          <cell r="R608" t="str">
            <v>NA</v>
          </cell>
          <cell r="S608">
            <v>5</v>
          </cell>
        </row>
        <row r="609">
          <cell r="B609" t="str">
            <v>EMMC</v>
          </cell>
          <cell r="C609" t="str">
            <v>HSLB11317</v>
          </cell>
          <cell r="D609">
            <v>109023</v>
          </cell>
          <cell r="E609" t="str">
            <v>Set Instrumental Yeso</v>
          </cell>
          <cell r="F609" t="str">
            <v>NO</v>
          </cell>
          <cell r="G609" t="str">
            <v>NO</v>
          </cell>
          <cell r="H609" t="str">
            <v>SALA PROCEDIMIENTOS TRAUMATOLOGÍA INFANTIL</v>
          </cell>
          <cell r="I609">
            <v>5</v>
          </cell>
          <cell r="J609" t="str">
            <v>C.2.2.3.10</v>
          </cell>
          <cell r="K609" t="str">
            <v>Consultas Medicas Especialidades</v>
          </cell>
          <cell r="L609">
            <v>2</v>
          </cell>
          <cell r="M609">
            <v>46038</v>
          </cell>
          <cell r="N609">
            <v>46041</v>
          </cell>
          <cell r="O609">
            <v>1</v>
          </cell>
          <cell r="P609">
            <v>46042</v>
          </cell>
          <cell r="Q609">
            <v>5</v>
          </cell>
          <cell r="R609" t="str">
            <v>NA</v>
          </cell>
          <cell r="S609">
            <v>5</v>
          </cell>
        </row>
        <row r="610">
          <cell r="B610" t="str">
            <v>EMMC</v>
          </cell>
          <cell r="C610" t="str">
            <v>HSLB11318</v>
          </cell>
          <cell r="D610">
            <v>109023</v>
          </cell>
          <cell r="E610" t="str">
            <v>Set Instrumental Yeso</v>
          </cell>
          <cell r="F610" t="str">
            <v>NO</v>
          </cell>
          <cell r="G610" t="str">
            <v>NO</v>
          </cell>
          <cell r="H610" t="str">
            <v>SALA PROCEDIMIENTOS TRAUMATOLOGÍA ADULTO</v>
          </cell>
          <cell r="I610">
            <v>5</v>
          </cell>
          <cell r="J610" t="str">
            <v>C.2.2.3.11</v>
          </cell>
          <cell r="K610" t="str">
            <v>Consultas Medicas Especialidades</v>
          </cell>
          <cell r="L610">
            <v>2</v>
          </cell>
          <cell r="M610">
            <v>46038</v>
          </cell>
          <cell r="N610">
            <v>46041</v>
          </cell>
          <cell r="O610">
            <v>1</v>
          </cell>
          <cell r="P610">
            <v>46042</v>
          </cell>
          <cell r="Q610">
            <v>5</v>
          </cell>
          <cell r="R610" t="str">
            <v>NA</v>
          </cell>
          <cell r="S610">
            <v>5</v>
          </cell>
        </row>
        <row r="611">
          <cell r="B611" t="str">
            <v>EMMC</v>
          </cell>
          <cell r="C611" t="str">
            <v>HSLB12480</v>
          </cell>
          <cell r="D611">
            <v>112083</v>
          </cell>
          <cell r="E611" t="str">
            <v>Sillón Clínico tipo 2</v>
          </cell>
          <cell r="F611" t="str">
            <v>NO</v>
          </cell>
          <cell r="G611" t="str">
            <v>SI</v>
          </cell>
          <cell r="H611" t="str">
            <v xml:space="preserve">SALA RECUPERACIÓN </v>
          </cell>
          <cell r="I611">
            <v>4</v>
          </cell>
          <cell r="J611" t="str">
            <v>C.2.2.3.15</v>
          </cell>
          <cell r="K611" t="str">
            <v>Consultas Medicas Especialidades</v>
          </cell>
          <cell r="L611">
            <v>2</v>
          </cell>
          <cell r="M611">
            <v>46003</v>
          </cell>
          <cell r="N611">
            <v>46006</v>
          </cell>
          <cell r="O611">
            <v>1</v>
          </cell>
          <cell r="P611">
            <v>46008</v>
          </cell>
          <cell r="Q611">
            <v>5</v>
          </cell>
          <cell r="R611" t="str">
            <v>NA</v>
          </cell>
          <cell r="S611">
            <v>5</v>
          </cell>
        </row>
        <row r="612">
          <cell r="B612" t="str">
            <v>EMMC</v>
          </cell>
          <cell r="C612" t="str">
            <v>HSLB12494</v>
          </cell>
          <cell r="D612">
            <v>112085</v>
          </cell>
          <cell r="E612" t="str">
            <v>Sillón Otorrinolaringología</v>
          </cell>
          <cell r="F612" t="str">
            <v>NO</v>
          </cell>
          <cell r="G612" t="str">
            <v>NO</v>
          </cell>
          <cell r="H612" t="str">
            <v>BOX CARDIO OTORRINO</v>
          </cell>
          <cell r="I612">
            <v>1</v>
          </cell>
          <cell r="J612" t="str">
            <v>C.2.2.3.3</v>
          </cell>
          <cell r="K612" t="str">
            <v>Consultas Medicas Especialidades</v>
          </cell>
          <cell r="L612">
            <v>2</v>
          </cell>
          <cell r="M612">
            <v>46038</v>
          </cell>
          <cell r="N612">
            <v>46041</v>
          </cell>
          <cell r="O612">
            <v>1</v>
          </cell>
          <cell r="P612">
            <v>46042</v>
          </cell>
          <cell r="Q612">
            <v>5</v>
          </cell>
          <cell r="R612" t="str">
            <v>NA</v>
          </cell>
          <cell r="S612">
            <v>5</v>
          </cell>
        </row>
        <row r="613">
          <cell r="B613" t="str">
            <v>EMMC</v>
          </cell>
          <cell r="C613" t="str">
            <v>HSLB10255</v>
          </cell>
          <cell r="D613">
            <v>101065</v>
          </cell>
          <cell r="E613" t="str">
            <v>Tonómetro Aplanático</v>
          </cell>
          <cell r="F613" t="str">
            <v>NO</v>
          </cell>
          <cell r="G613" t="str">
            <v>NO</v>
          </cell>
          <cell r="H613" t="str">
            <v>BOX OFTALMO URO NEFRO (INDIFERENCIDO)</v>
          </cell>
          <cell r="I613">
            <v>1</v>
          </cell>
          <cell r="J613" t="str">
            <v>C.2.2.3.4</v>
          </cell>
          <cell r="K613" t="str">
            <v>Consultas Medicas Especialidades</v>
          </cell>
          <cell r="L613">
            <v>2</v>
          </cell>
          <cell r="M613">
            <v>46038</v>
          </cell>
          <cell r="N613">
            <v>46041</v>
          </cell>
          <cell r="O613">
            <v>1</v>
          </cell>
          <cell r="P613">
            <v>46042</v>
          </cell>
          <cell r="Q613">
            <v>5</v>
          </cell>
          <cell r="R613" t="str">
            <v>NA</v>
          </cell>
          <cell r="S613">
            <v>5</v>
          </cell>
        </row>
        <row r="614">
          <cell r="B614" t="str">
            <v>EMMC</v>
          </cell>
          <cell r="C614" t="str">
            <v>HSLB10256</v>
          </cell>
          <cell r="D614">
            <v>101065</v>
          </cell>
          <cell r="E614" t="str">
            <v>Tonómetro Aplanático</v>
          </cell>
          <cell r="F614" t="str">
            <v>NO</v>
          </cell>
          <cell r="G614" t="str">
            <v>NO</v>
          </cell>
          <cell r="H614" t="str">
            <v>SALA DE PROCEDIMIENTOS OFTALMO SIMPLE</v>
          </cell>
          <cell r="I614">
            <v>1</v>
          </cell>
          <cell r="J614" t="str">
            <v>C.2.2.3.6</v>
          </cell>
          <cell r="K614" t="str">
            <v>Consultas Medicas Especialidades</v>
          </cell>
          <cell r="L614">
            <v>2</v>
          </cell>
          <cell r="M614">
            <v>46038</v>
          </cell>
          <cell r="N614">
            <v>46041</v>
          </cell>
          <cell r="O614">
            <v>1</v>
          </cell>
          <cell r="P614">
            <v>46042</v>
          </cell>
          <cell r="Q614">
            <v>5</v>
          </cell>
          <cell r="R614" t="str">
            <v>NA</v>
          </cell>
          <cell r="S614">
            <v>5</v>
          </cell>
        </row>
        <row r="615">
          <cell r="B615" t="str">
            <v>EMMC</v>
          </cell>
          <cell r="C615" t="str">
            <v>HSLB10257</v>
          </cell>
          <cell r="D615">
            <v>101066</v>
          </cell>
          <cell r="E615" t="str">
            <v>Tonómetro de Aire</v>
          </cell>
          <cell r="F615" t="str">
            <v>NO</v>
          </cell>
          <cell r="G615" t="str">
            <v>NO</v>
          </cell>
          <cell r="H615" t="str">
            <v>SALA DE PROCEDIMIENTOS OFTALMO SIMPLE</v>
          </cell>
          <cell r="I615">
            <v>1</v>
          </cell>
          <cell r="J615" t="str">
            <v>C.2.2.3.6</v>
          </cell>
          <cell r="K615" t="str">
            <v>Consultas Medicas Especialidades</v>
          </cell>
          <cell r="L615">
            <v>2</v>
          </cell>
          <cell r="M615">
            <v>46038</v>
          </cell>
          <cell r="N615">
            <v>46041</v>
          </cell>
          <cell r="O615">
            <v>1</v>
          </cell>
          <cell r="P615">
            <v>46042</v>
          </cell>
          <cell r="Q615">
            <v>5</v>
          </cell>
          <cell r="R615" t="str">
            <v>NA</v>
          </cell>
          <cell r="S615">
            <v>5</v>
          </cell>
        </row>
        <row r="616">
          <cell r="B616" t="str">
            <v>EMMC</v>
          </cell>
          <cell r="C616" t="str">
            <v>HSLB12614</v>
          </cell>
          <cell r="D616">
            <v>112091</v>
          </cell>
          <cell r="E616" t="str">
            <v>Unidad optométrica</v>
          </cell>
          <cell r="F616" t="str">
            <v>NO</v>
          </cell>
          <cell r="G616" t="str">
            <v>NO</v>
          </cell>
          <cell r="H616" t="str">
            <v>BOX OFTALMO URO NEFRO (INDIFERENCIDO)</v>
          </cell>
          <cell r="I616">
            <v>1</v>
          </cell>
          <cell r="J616" t="str">
            <v>C.2.2.3.4</v>
          </cell>
          <cell r="K616" t="str">
            <v>Consultas Medicas Especialidades</v>
          </cell>
          <cell r="L616">
            <v>2</v>
          </cell>
          <cell r="M616">
            <v>46038</v>
          </cell>
          <cell r="N616">
            <v>46041</v>
          </cell>
          <cell r="O616">
            <v>1</v>
          </cell>
          <cell r="P616">
            <v>46042</v>
          </cell>
          <cell r="Q616">
            <v>5</v>
          </cell>
          <cell r="R616" t="str">
            <v>NA</v>
          </cell>
          <cell r="S616">
            <v>5</v>
          </cell>
        </row>
        <row r="617">
          <cell r="B617" t="str">
            <v>EMMC</v>
          </cell>
          <cell r="C617" t="str">
            <v>HSLB11344</v>
          </cell>
          <cell r="D617">
            <v>110014</v>
          </cell>
          <cell r="E617" t="str">
            <v>Centrífuga Universal</v>
          </cell>
          <cell r="F617" t="str">
            <v>NO</v>
          </cell>
          <cell r="G617" t="str">
            <v>SI</v>
          </cell>
          <cell r="H617" t="str">
            <v>SALA CENTRÍFUGA</v>
          </cell>
          <cell r="I617">
            <v>5</v>
          </cell>
          <cell r="J617" t="str">
            <v>C.5.2.9</v>
          </cell>
          <cell r="K617" t="str">
            <v>Laboratorio</v>
          </cell>
          <cell r="L617">
            <v>2</v>
          </cell>
          <cell r="M617">
            <v>46003</v>
          </cell>
          <cell r="N617">
            <v>46006</v>
          </cell>
          <cell r="O617">
            <v>1</v>
          </cell>
          <cell r="P617">
            <v>46008</v>
          </cell>
          <cell r="Q617">
            <v>5</v>
          </cell>
          <cell r="R617" t="str">
            <v>NA</v>
          </cell>
          <cell r="S617">
            <v>5</v>
          </cell>
        </row>
        <row r="618">
          <cell r="B618" t="str">
            <v>EMMC</v>
          </cell>
          <cell r="C618" t="str">
            <v>HSLB11382</v>
          </cell>
          <cell r="D618">
            <v>110036</v>
          </cell>
          <cell r="E618" t="str">
            <v>Microscopio Inmunofluorescencia</v>
          </cell>
          <cell r="F618" t="str">
            <v>NO</v>
          </cell>
          <cell r="G618" t="str">
            <v>NO</v>
          </cell>
          <cell r="H618" t="str">
            <v>INMUNOFLUORECENCIA Y VIROLOGÍA</v>
          </cell>
          <cell r="I618">
            <v>2</v>
          </cell>
          <cell r="J618" t="str">
            <v>C.5.2.26</v>
          </cell>
          <cell r="K618" t="str">
            <v>Laboratorio</v>
          </cell>
          <cell r="L618">
            <v>2</v>
          </cell>
          <cell r="M618">
            <v>46024</v>
          </cell>
          <cell r="N618">
            <v>46027</v>
          </cell>
          <cell r="O618">
            <v>1</v>
          </cell>
          <cell r="P618">
            <v>46028</v>
          </cell>
          <cell r="Q618">
            <v>5</v>
          </cell>
          <cell r="R618" t="str">
            <v>NA</v>
          </cell>
          <cell r="S618">
            <v>5</v>
          </cell>
        </row>
        <row r="619">
          <cell r="B619" t="str">
            <v>EMMC</v>
          </cell>
          <cell r="C619" t="str">
            <v>HSLB11383</v>
          </cell>
          <cell r="D619">
            <v>110037</v>
          </cell>
          <cell r="E619" t="str">
            <v>Microscopio Universal</v>
          </cell>
          <cell r="F619" t="str">
            <v>NO</v>
          </cell>
          <cell r="G619" t="str">
            <v>NO</v>
          </cell>
          <cell r="H619" t="str">
            <v>SECCIÓN HEMATOLOGÍA Y COAGULACIÓN</v>
          </cell>
          <cell r="I619">
            <v>2</v>
          </cell>
          <cell r="J619" t="str">
            <v>C.5.2.18</v>
          </cell>
          <cell r="K619" t="str">
            <v>Laboratorio</v>
          </cell>
          <cell r="L619">
            <v>2</v>
          </cell>
          <cell r="M619">
            <v>46024</v>
          </cell>
          <cell r="N619">
            <v>46027</v>
          </cell>
          <cell r="O619">
            <v>1</v>
          </cell>
          <cell r="P619">
            <v>46028</v>
          </cell>
          <cell r="Q619">
            <v>5</v>
          </cell>
          <cell r="R619" t="str">
            <v>NA</v>
          </cell>
          <cell r="S619">
            <v>5</v>
          </cell>
        </row>
        <row r="620">
          <cell r="B620" t="str">
            <v>EMMC</v>
          </cell>
          <cell r="C620" t="str">
            <v>HSLB11339</v>
          </cell>
          <cell r="D620">
            <v>110013</v>
          </cell>
          <cell r="E620" t="str">
            <v>Centrífuga Refrigerada</v>
          </cell>
          <cell r="F620" t="str">
            <v>NO</v>
          </cell>
          <cell r="G620" t="str">
            <v>SI</v>
          </cell>
          <cell r="H620" t="str">
            <v>SECCIÓN BACILOSCOPÍA Y TBC</v>
          </cell>
          <cell r="I620">
            <v>1</v>
          </cell>
          <cell r="J620" t="str">
            <v>C.5.2.27</v>
          </cell>
          <cell r="K620" t="str">
            <v>Laboratorio</v>
          </cell>
          <cell r="L620">
            <v>2</v>
          </cell>
          <cell r="M620">
            <v>46003</v>
          </cell>
          <cell r="N620">
            <v>46006</v>
          </cell>
          <cell r="O620">
            <v>1</v>
          </cell>
          <cell r="P620">
            <v>46008</v>
          </cell>
          <cell r="Q620">
            <v>5</v>
          </cell>
          <cell r="R620" t="str">
            <v>NA</v>
          </cell>
          <cell r="S620">
            <v>5</v>
          </cell>
        </row>
        <row r="621">
          <cell r="B621" t="str">
            <v>EMMC</v>
          </cell>
          <cell r="C621" t="str">
            <v>HSLB10085</v>
          </cell>
          <cell r="D621">
            <v>101024</v>
          </cell>
          <cell r="E621" t="str">
            <v>Electrocardiógrafo</v>
          </cell>
          <cell r="F621" t="str">
            <v>NO</v>
          </cell>
          <cell r="G621" t="str">
            <v>NO</v>
          </cell>
          <cell r="H621" t="str">
            <v>BODEGA DE EQUIPOS MEDICOS</v>
          </cell>
          <cell r="I621">
            <v>1</v>
          </cell>
          <cell r="J621" t="str">
            <v>C.3.3.9</v>
          </cell>
          <cell r="K621" t="str">
            <v>Laboratorio UMT</v>
          </cell>
          <cell r="L621">
            <v>2</v>
          </cell>
          <cell r="M621">
            <v>46024</v>
          </cell>
          <cell r="N621">
            <v>46027</v>
          </cell>
          <cell r="O621">
            <v>1</v>
          </cell>
          <cell r="P621">
            <v>46028</v>
          </cell>
          <cell r="Q621">
            <v>5</v>
          </cell>
          <cell r="R621" t="str">
            <v>NA</v>
          </cell>
          <cell r="S621">
            <v>5</v>
          </cell>
        </row>
        <row r="622">
          <cell r="B622" t="str">
            <v>EMMC</v>
          </cell>
          <cell r="C622" t="str">
            <v>HSLB11384</v>
          </cell>
          <cell r="D622">
            <v>110037</v>
          </cell>
          <cell r="E622" t="str">
            <v>Microscopio Universal</v>
          </cell>
          <cell r="F622" t="str">
            <v>NO</v>
          </cell>
          <cell r="G622" t="str">
            <v>NO</v>
          </cell>
          <cell r="H622" t="str">
            <v>SECCIÓN BIOQUÍMICA</v>
          </cell>
          <cell r="I622">
            <v>1</v>
          </cell>
          <cell r="J622" t="str">
            <v>C.5.2.19</v>
          </cell>
          <cell r="K622" t="str">
            <v>Laboratorio</v>
          </cell>
          <cell r="L622">
            <v>2</v>
          </cell>
          <cell r="M622">
            <v>46024</v>
          </cell>
          <cell r="N622">
            <v>46027</v>
          </cell>
          <cell r="O622">
            <v>1</v>
          </cell>
          <cell r="P622">
            <v>46028</v>
          </cell>
          <cell r="Q622">
            <v>5</v>
          </cell>
          <cell r="R622" t="str">
            <v>NA</v>
          </cell>
          <cell r="S622">
            <v>5</v>
          </cell>
        </row>
        <row r="623">
          <cell r="B623" t="str">
            <v>EMMC</v>
          </cell>
          <cell r="C623" t="str">
            <v>HSLB11385</v>
          </cell>
          <cell r="D623">
            <v>110037</v>
          </cell>
          <cell r="E623" t="str">
            <v>Microscopio Universal</v>
          </cell>
          <cell r="F623" t="str">
            <v>NO</v>
          </cell>
          <cell r="G623" t="str">
            <v>NO</v>
          </cell>
          <cell r="H623" t="str">
            <v>SECCIÓN ORINA</v>
          </cell>
          <cell r="I623">
            <v>1</v>
          </cell>
          <cell r="J623" t="str">
            <v>C.5.2.22</v>
          </cell>
          <cell r="K623" t="str">
            <v>Laboratorio</v>
          </cell>
          <cell r="L623">
            <v>2</v>
          </cell>
          <cell r="M623">
            <v>46024</v>
          </cell>
          <cell r="N623">
            <v>46027</v>
          </cell>
          <cell r="O623">
            <v>1</v>
          </cell>
          <cell r="P623">
            <v>46028</v>
          </cell>
          <cell r="Q623">
            <v>5</v>
          </cell>
          <cell r="R623" t="str">
            <v>NA</v>
          </cell>
          <cell r="S623">
            <v>5</v>
          </cell>
        </row>
        <row r="624">
          <cell r="B624" t="str">
            <v>EMMC</v>
          </cell>
          <cell r="C624" t="str">
            <v>HSLB11386</v>
          </cell>
          <cell r="D624">
            <v>110037</v>
          </cell>
          <cell r="E624" t="str">
            <v>Microscopio Universal</v>
          </cell>
          <cell r="F624" t="str">
            <v>NO</v>
          </cell>
          <cell r="G624" t="str">
            <v>NO</v>
          </cell>
          <cell r="H624" t="str">
            <v>SECCIÓN BACTERIOLOGÍA</v>
          </cell>
          <cell r="I624">
            <v>1</v>
          </cell>
          <cell r="J624" t="str">
            <v>C.5.2.23</v>
          </cell>
          <cell r="K624" t="str">
            <v>Laboratorio</v>
          </cell>
          <cell r="L624">
            <v>2</v>
          </cell>
          <cell r="M624">
            <v>46024</v>
          </cell>
          <cell r="N624">
            <v>46027</v>
          </cell>
          <cell r="O624">
            <v>1</v>
          </cell>
          <cell r="P624">
            <v>46028</v>
          </cell>
          <cell r="Q624">
            <v>5</v>
          </cell>
          <cell r="R624" t="str">
            <v>NA</v>
          </cell>
          <cell r="S624">
            <v>5</v>
          </cell>
        </row>
        <row r="625">
          <cell r="B625" t="str">
            <v>EMMC</v>
          </cell>
          <cell r="C625" t="str">
            <v>HSLB11387</v>
          </cell>
          <cell r="D625">
            <v>110037</v>
          </cell>
          <cell r="E625" t="str">
            <v>Microscopio Universal</v>
          </cell>
          <cell r="F625" t="str">
            <v>NO</v>
          </cell>
          <cell r="G625" t="str">
            <v>SI</v>
          </cell>
          <cell r="H625" t="str">
            <v>SECCIÓN PARASITOLOGÍA</v>
          </cell>
          <cell r="I625">
            <v>1</v>
          </cell>
          <cell r="J625" t="str">
            <v>C.5.2.24</v>
          </cell>
          <cell r="K625" t="str">
            <v>Laboratorio</v>
          </cell>
          <cell r="L625">
            <v>2</v>
          </cell>
          <cell r="M625">
            <v>46003</v>
          </cell>
          <cell r="N625">
            <v>46006</v>
          </cell>
          <cell r="O625">
            <v>1</v>
          </cell>
          <cell r="P625">
            <v>46008</v>
          </cell>
          <cell r="Q625">
            <v>5</v>
          </cell>
          <cell r="R625" t="str">
            <v>NA</v>
          </cell>
          <cell r="S625">
            <v>5</v>
          </cell>
        </row>
        <row r="626">
          <cell r="B626" t="str">
            <v>EMMC</v>
          </cell>
          <cell r="C626" t="str">
            <v>HSLB11388</v>
          </cell>
          <cell r="D626">
            <v>110037</v>
          </cell>
          <cell r="E626" t="str">
            <v>Microscopio Universal</v>
          </cell>
          <cell r="F626" t="str">
            <v>NO</v>
          </cell>
          <cell r="G626" t="str">
            <v>NO</v>
          </cell>
          <cell r="H626" t="str">
            <v>SECCIÓN VDRL</v>
          </cell>
          <cell r="I626">
            <v>1</v>
          </cell>
          <cell r="J626" t="str">
            <v>C.5.2.25</v>
          </cell>
          <cell r="K626" t="str">
            <v>Laboratorio</v>
          </cell>
          <cell r="L626">
            <v>2</v>
          </cell>
          <cell r="M626">
            <v>46024</v>
          </cell>
          <cell r="N626">
            <v>46027</v>
          </cell>
          <cell r="O626">
            <v>1</v>
          </cell>
          <cell r="P626">
            <v>46028</v>
          </cell>
          <cell r="Q626">
            <v>5</v>
          </cell>
          <cell r="R626" t="str">
            <v>NA</v>
          </cell>
          <cell r="S626">
            <v>5</v>
          </cell>
        </row>
        <row r="627">
          <cell r="B627" t="str">
            <v>EMMC</v>
          </cell>
          <cell r="C627" t="str">
            <v>HSLB11389</v>
          </cell>
          <cell r="D627">
            <v>110037</v>
          </cell>
          <cell r="E627" t="str">
            <v>Microscopio Universal</v>
          </cell>
          <cell r="F627" t="str">
            <v>NO</v>
          </cell>
          <cell r="G627" t="str">
            <v>SI</v>
          </cell>
          <cell r="H627" t="str">
            <v>SECCIÓN BACILOSCOPÍA Y TBC</v>
          </cell>
          <cell r="I627">
            <v>1</v>
          </cell>
          <cell r="J627" t="str">
            <v>C.5.2.27</v>
          </cell>
          <cell r="K627" t="str">
            <v>Laboratorio</v>
          </cell>
          <cell r="L627">
            <v>2</v>
          </cell>
          <cell r="M627">
            <v>46003</v>
          </cell>
          <cell r="N627">
            <v>46006</v>
          </cell>
          <cell r="O627">
            <v>1</v>
          </cell>
          <cell r="P627">
            <v>46008</v>
          </cell>
          <cell r="Q627">
            <v>5</v>
          </cell>
          <cell r="R627" t="str">
            <v>NA</v>
          </cell>
          <cell r="S627">
            <v>5</v>
          </cell>
        </row>
        <row r="628">
          <cell r="B628" t="str">
            <v>EMMC</v>
          </cell>
          <cell r="C628" t="str">
            <v>HSLB12878</v>
          </cell>
          <cell r="D628">
            <v>104032</v>
          </cell>
          <cell r="E628" t="str">
            <v>Equipo de Analgesia N2O</v>
          </cell>
          <cell r="F628" t="str">
            <v>NO</v>
          </cell>
          <cell r="G628" t="str">
            <v>NO</v>
          </cell>
          <cell r="H628" t="str">
            <v>BOX DENTAL POLIFUNCIONAL(5)</v>
          </cell>
          <cell r="I628">
            <v>1</v>
          </cell>
          <cell r="J628" t="str">
            <v>C.2.2.4.7.5</v>
          </cell>
          <cell r="K628" t="str">
            <v>Odontología</v>
          </cell>
          <cell r="L628">
            <v>2</v>
          </cell>
          <cell r="M628">
            <v>46010</v>
          </cell>
          <cell r="N628">
            <v>46013</v>
          </cell>
          <cell r="O628">
            <v>1</v>
          </cell>
          <cell r="P628">
            <v>46014</v>
          </cell>
          <cell r="Q628">
            <v>5</v>
          </cell>
          <cell r="R628" t="str">
            <v>NA</v>
          </cell>
          <cell r="S628">
            <v>5</v>
          </cell>
        </row>
        <row r="629">
          <cell r="B629" t="str">
            <v>EMMC</v>
          </cell>
          <cell r="C629" t="str">
            <v>HSLB12884</v>
          </cell>
          <cell r="D629">
            <v>114003</v>
          </cell>
          <cell r="E629" t="str">
            <v>Lámpara de Fotocurado</v>
          </cell>
          <cell r="F629" t="str">
            <v>NO</v>
          </cell>
          <cell r="G629" t="str">
            <v>NO</v>
          </cell>
          <cell r="H629" t="str">
            <v>BOX DENTAL POLIFUNCIONAL(5)</v>
          </cell>
          <cell r="I629">
            <v>1</v>
          </cell>
          <cell r="J629" t="str">
            <v>C.2.2.4.7.5</v>
          </cell>
          <cell r="K629" t="str">
            <v>Odontología</v>
          </cell>
          <cell r="L629">
            <v>2</v>
          </cell>
          <cell r="M629">
            <v>46010</v>
          </cell>
          <cell r="N629">
            <v>46013</v>
          </cell>
          <cell r="O629">
            <v>1</v>
          </cell>
          <cell r="P629">
            <v>46014</v>
          </cell>
          <cell r="Q629">
            <v>5</v>
          </cell>
          <cell r="R629" t="str">
            <v>NA</v>
          </cell>
          <cell r="S629">
            <v>5</v>
          </cell>
        </row>
        <row r="630">
          <cell r="B630" t="str">
            <v>EMMC</v>
          </cell>
          <cell r="C630" t="str">
            <v>HSLB12885</v>
          </cell>
          <cell r="D630">
            <v>114003</v>
          </cell>
          <cell r="E630" t="str">
            <v>Lámpara de Fotocurado</v>
          </cell>
          <cell r="F630" t="str">
            <v>NO</v>
          </cell>
          <cell r="G630" t="str">
            <v>NO</v>
          </cell>
          <cell r="H630" t="str">
            <v>BOX DENTAL POLIFUNCIONAL(6)</v>
          </cell>
          <cell r="I630">
            <v>1</v>
          </cell>
          <cell r="J630" t="str">
            <v>C.2.2.4.7.6</v>
          </cell>
          <cell r="K630" t="str">
            <v>Odontología</v>
          </cell>
          <cell r="L630">
            <v>2</v>
          </cell>
          <cell r="M630">
            <v>46010</v>
          </cell>
          <cell r="N630">
            <v>46013</v>
          </cell>
          <cell r="O630">
            <v>1</v>
          </cell>
          <cell r="P630">
            <v>46014</v>
          </cell>
          <cell r="Q630">
            <v>5</v>
          </cell>
          <cell r="R630" t="str">
            <v>NA</v>
          </cell>
          <cell r="S630">
            <v>5</v>
          </cell>
        </row>
        <row r="631">
          <cell r="B631" t="str">
            <v>EMMC</v>
          </cell>
          <cell r="C631" t="str">
            <v>HSLB12373</v>
          </cell>
          <cell r="D631">
            <v>112068</v>
          </cell>
          <cell r="E631" t="str">
            <v>Piso Taburete Clínico</v>
          </cell>
          <cell r="F631" t="str">
            <v>NO</v>
          </cell>
          <cell r="G631" t="str">
            <v>NO</v>
          </cell>
          <cell r="H631" t="str">
            <v>BOX DENTAL POLIFUNCIONAL(5)</v>
          </cell>
          <cell r="I631">
            <v>0</v>
          </cell>
          <cell r="J631" t="str">
            <v>C.2.2.4.7.5</v>
          </cell>
          <cell r="K631" t="str">
            <v>Odontología</v>
          </cell>
          <cell r="L631">
            <v>2</v>
          </cell>
          <cell r="M631">
            <v>46010</v>
          </cell>
          <cell r="N631">
            <v>46013</v>
          </cell>
          <cell r="O631">
            <v>1</v>
          </cell>
          <cell r="P631">
            <v>46014</v>
          </cell>
          <cell r="Q631">
            <v>5</v>
          </cell>
          <cell r="R631" t="str">
            <v>NA</v>
          </cell>
          <cell r="S631">
            <v>5</v>
          </cell>
        </row>
        <row r="632">
          <cell r="B632" t="str">
            <v>EMMC</v>
          </cell>
          <cell r="C632" t="str">
            <v>HSLB12374</v>
          </cell>
          <cell r="D632">
            <v>112068</v>
          </cell>
          <cell r="E632" t="str">
            <v>Piso Taburete Clínico</v>
          </cell>
          <cell r="F632" t="str">
            <v>NO</v>
          </cell>
          <cell r="G632" t="str">
            <v>NO</v>
          </cell>
          <cell r="H632" t="str">
            <v>BOX DENTAL POLIFUNCIONAL(6)</v>
          </cell>
          <cell r="I632">
            <v>0</v>
          </cell>
          <cell r="J632" t="str">
            <v>C.2.2.4.7.6</v>
          </cell>
          <cell r="K632" t="str">
            <v>Odontología</v>
          </cell>
          <cell r="L632">
            <v>2</v>
          </cell>
          <cell r="M632">
            <v>46010</v>
          </cell>
          <cell r="N632">
            <v>46013</v>
          </cell>
          <cell r="O632">
            <v>1</v>
          </cell>
          <cell r="P632">
            <v>46014</v>
          </cell>
          <cell r="Q632">
            <v>5</v>
          </cell>
          <cell r="R632" t="str">
            <v>NA</v>
          </cell>
          <cell r="S632">
            <v>5</v>
          </cell>
        </row>
        <row r="633">
          <cell r="B633" t="str">
            <v>EMMC</v>
          </cell>
          <cell r="C633" t="str">
            <v>HSLB11340</v>
          </cell>
          <cell r="D633">
            <v>110014</v>
          </cell>
          <cell r="E633" t="str">
            <v>Centrífuga Universal</v>
          </cell>
          <cell r="F633" t="str">
            <v>NO</v>
          </cell>
          <cell r="G633" t="str">
            <v>SI</v>
          </cell>
          <cell r="H633" t="str">
            <v>SECCIÓN PARASITOLOGÍA</v>
          </cell>
          <cell r="I633">
            <v>2</v>
          </cell>
          <cell r="J633" t="str">
            <v>C.5.2.24</v>
          </cell>
          <cell r="K633" t="str">
            <v>Laboratorio</v>
          </cell>
          <cell r="L633">
            <v>2</v>
          </cell>
          <cell r="M633">
            <v>46003</v>
          </cell>
          <cell r="N633">
            <v>46006</v>
          </cell>
          <cell r="O633">
            <v>1</v>
          </cell>
          <cell r="P633">
            <v>46008</v>
          </cell>
          <cell r="Q633">
            <v>5</v>
          </cell>
          <cell r="R633" t="str">
            <v>NA</v>
          </cell>
          <cell r="S633">
            <v>5</v>
          </cell>
        </row>
        <row r="634">
          <cell r="B634" t="str">
            <v>EMMC</v>
          </cell>
          <cell r="C634" t="str">
            <v>HSLB11158</v>
          </cell>
          <cell r="D634">
            <v>108006</v>
          </cell>
          <cell r="E634" t="str">
            <v>Equipo Digitalizador de Placas</v>
          </cell>
          <cell r="F634" t="str">
            <v>NO</v>
          </cell>
          <cell r="G634" t="str">
            <v>NO</v>
          </cell>
          <cell r="H634" t="str">
            <v>SALA RAYOS INTRAORAL</v>
          </cell>
          <cell r="I634">
            <v>1</v>
          </cell>
          <cell r="J634" t="str">
            <v>C.2.2.4.8</v>
          </cell>
          <cell r="K634" t="str">
            <v>Odontología</v>
          </cell>
          <cell r="L634">
            <v>2</v>
          </cell>
          <cell r="M634">
            <v>46010</v>
          </cell>
          <cell r="N634">
            <v>46013</v>
          </cell>
          <cell r="O634">
            <v>1</v>
          </cell>
          <cell r="P634">
            <v>46014</v>
          </cell>
          <cell r="Q634">
            <v>5</v>
          </cell>
          <cell r="R634" t="str">
            <v>NA</v>
          </cell>
          <cell r="S634">
            <v>5</v>
          </cell>
        </row>
        <row r="635">
          <cell r="B635" t="str">
            <v>EMMC</v>
          </cell>
          <cell r="C635" t="str">
            <v>HSLB12886</v>
          </cell>
          <cell r="D635">
            <v>114003</v>
          </cell>
          <cell r="E635" t="str">
            <v>Lámpara de Fotocurado</v>
          </cell>
          <cell r="F635" t="str">
            <v>NO</v>
          </cell>
          <cell r="G635" t="str">
            <v>NO</v>
          </cell>
          <cell r="H635" t="str">
            <v>BOX DENTAL POLIFUNCIONAL(7)</v>
          </cell>
          <cell r="I635">
            <v>1</v>
          </cell>
          <cell r="J635" t="str">
            <v>C.2.2.4.7.7</v>
          </cell>
          <cell r="K635" t="str">
            <v>Odontología</v>
          </cell>
          <cell r="L635">
            <v>2</v>
          </cell>
          <cell r="M635">
            <v>46010</v>
          </cell>
          <cell r="N635">
            <v>46013</v>
          </cell>
          <cell r="O635">
            <v>1</v>
          </cell>
          <cell r="P635">
            <v>46014</v>
          </cell>
          <cell r="Q635">
            <v>5</v>
          </cell>
          <cell r="R635" t="str">
            <v>NA</v>
          </cell>
          <cell r="S635">
            <v>5</v>
          </cell>
        </row>
        <row r="636">
          <cell r="B636" t="str">
            <v>EMMC</v>
          </cell>
          <cell r="C636" t="str">
            <v>HSLB12184</v>
          </cell>
          <cell r="D636">
            <v>112056</v>
          </cell>
          <cell r="E636" t="str">
            <v>Kit Protección Radiológica Dental</v>
          </cell>
          <cell r="F636" t="str">
            <v>NO</v>
          </cell>
          <cell r="G636" t="str">
            <v>NO</v>
          </cell>
          <cell r="H636" t="str">
            <v>SALA ORTOPANTOMOGRAFO TOMOGRAFO DIGITAL (PANORAMICA)</v>
          </cell>
          <cell r="I636">
            <v>1</v>
          </cell>
          <cell r="J636" t="str">
            <v>C.2.2.4.10</v>
          </cell>
          <cell r="K636" t="str">
            <v>Odontología</v>
          </cell>
          <cell r="L636">
            <v>2</v>
          </cell>
          <cell r="M636">
            <v>46010</v>
          </cell>
          <cell r="N636">
            <v>46013</v>
          </cell>
          <cell r="O636">
            <v>1</v>
          </cell>
          <cell r="P636">
            <v>46014</v>
          </cell>
          <cell r="Q636">
            <v>5</v>
          </cell>
          <cell r="R636" t="str">
            <v>NA</v>
          </cell>
          <cell r="S636">
            <v>5</v>
          </cell>
        </row>
        <row r="637">
          <cell r="B637" t="str">
            <v>EMMC</v>
          </cell>
          <cell r="C637" t="str">
            <v>HSLB12185</v>
          </cell>
          <cell r="D637">
            <v>112056</v>
          </cell>
          <cell r="E637" t="str">
            <v>Kit Protección Radiológica Dental</v>
          </cell>
          <cell r="F637" t="str">
            <v>NO</v>
          </cell>
          <cell r="G637" t="str">
            <v>NO</v>
          </cell>
          <cell r="H637" t="str">
            <v>SALA RAYOS INTRAORAL</v>
          </cell>
          <cell r="I637">
            <v>1</v>
          </cell>
          <cell r="J637" t="str">
            <v>C.2.2.4.8</v>
          </cell>
          <cell r="K637" t="str">
            <v>Odontología</v>
          </cell>
          <cell r="L637">
            <v>2</v>
          </cell>
          <cell r="M637">
            <v>46010</v>
          </cell>
          <cell r="N637">
            <v>46013</v>
          </cell>
          <cell r="O637">
            <v>1</v>
          </cell>
          <cell r="P637">
            <v>46014</v>
          </cell>
          <cell r="Q637">
            <v>5</v>
          </cell>
          <cell r="R637" t="str">
            <v>NA</v>
          </cell>
          <cell r="S637">
            <v>5</v>
          </cell>
        </row>
        <row r="638">
          <cell r="B638" t="str">
            <v>EMMC</v>
          </cell>
          <cell r="C638" t="str">
            <v>HSLB12375</v>
          </cell>
          <cell r="D638">
            <v>112068</v>
          </cell>
          <cell r="E638" t="str">
            <v>Piso Taburete Clínico</v>
          </cell>
          <cell r="F638" t="str">
            <v>NO</v>
          </cell>
          <cell r="G638" t="str">
            <v>NO</v>
          </cell>
          <cell r="H638" t="str">
            <v>BOX DENTAL POLIFUNCIONAL(7)</v>
          </cell>
          <cell r="I638">
            <v>0</v>
          </cell>
          <cell r="J638" t="str">
            <v>C.2.2.4.7.7</v>
          </cell>
          <cell r="K638" t="str">
            <v>Odontología</v>
          </cell>
          <cell r="L638">
            <v>2</v>
          </cell>
          <cell r="M638">
            <v>46010</v>
          </cell>
          <cell r="N638">
            <v>46013</v>
          </cell>
          <cell r="O638">
            <v>1</v>
          </cell>
          <cell r="P638">
            <v>46014</v>
          </cell>
          <cell r="Q638">
            <v>5</v>
          </cell>
          <cell r="R638" t="str">
            <v>NA</v>
          </cell>
          <cell r="S638">
            <v>5</v>
          </cell>
        </row>
        <row r="639">
          <cell r="B639" t="str">
            <v>EMMC</v>
          </cell>
          <cell r="C639" t="str">
            <v>HSLB12376</v>
          </cell>
          <cell r="D639">
            <v>112068</v>
          </cell>
          <cell r="E639" t="str">
            <v>Piso Taburete Clínico</v>
          </cell>
          <cell r="F639" t="str">
            <v>NO</v>
          </cell>
          <cell r="G639" t="str">
            <v>NO</v>
          </cell>
          <cell r="H639" t="str">
            <v>SALA RAYOS INTRAORAL</v>
          </cell>
          <cell r="I639">
            <v>1</v>
          </cell>
          <cell r="J639" t="str">
            <v>C.2.2.4.8</v>
          </cell>
          <cell r="K639" t="str">
            <v>Odontología</v>
          </cell>
          <cell r="L639">
            <v>2</v>
          </cell>
          <cell r="M639">
            <v>46010</v>
          </cell>
          <cell r="N639">
            <v>46013</v>
          </cell>
          <cell r="O639">
            <v>1</v>
          </cell>
          <cell r="P639">
            <v>46014</v>
          </cell>
          <cell r="Q639">
            <v>5</v>
          </cell>
          <cell r="R639" t="str">
            <v>NA</v>
          </cell>
          <cell r="S639">
            <v>5</v>
          </cell>
        </row>
        <row r="640">
          <cell r="B640" t="str">
            <v>EMMC</v>
          </cell>
          <cell r="C640" t="str">
            <v>HSLB11334</v>
          </cell>
          <cell r="D640">
            <v>110009</v>
          </cell>
          <cell r="E640" t="str">
            <v>Baño Termorregulado</v>
          </cell>
          <cell r="F640" t="str">
            <v>NO</v>
          </cell>
          <cell r="G640" t="str">
            <v>NO</v>
          </cell>
          <cell r="H640" t="str">
            <v>SECCIÓN HEMATOLOGÍA Y COAGULACIÓN</v>
          </cell>
          <cell r="I640">
            <v>1</v>
          </cell>
          <cell r="J640" t="str">
            <v>C.5.2.18</v>
          </cell>
          <cell r="K640" t="str">
            <v>Laboratorio</v>
          </cell>
          <cell r="L640">
            <v>2</v>
          </cell>
          <cell r="M640">
            <v>46024</v>
          </cell>
          <cell r="N640">
            <v>46027</v>
          </cell>
          <cell r="O640">
            <v>1</v>
          </cell>
          <cell r="P640">
            <v>46028</v>
          </cell>
          <cell r="Q640">
            <v>5</v>
          </cell>
          <cell r="R640" t="str">
            <v>NA</v>
          </cell>
          <cell r="S640">
            <v>5</v>
          </cell>
        </row>
        <row r="641">
          <cell r="B641" t="str">
            <v>EMMC</v>
          </cell>
          <cell r="C641" t="str">
            <v>HSLB11335</v>
          </cell>
          <cell r="D641">
            <v>110009</v>
          </cell>
          <cell r="E641" t="str">
            <v>Baño Termorregulado</v>
          </cell>
          <cell r="F641" t="str">
            <v>NO</v>
          </cell>
          <cell r="G641" t="str">
            <v>NO</v>
          </cell>
          <cell r="H641" t="str">
            <v>SECCIÓN VDRL</v>
          </cell>
          <cell r="I641">
            <v>1</v>
          </cell>
          <cell r="J641" t="str">
            <v>C.5.2.25</v>
          </cell>
          <cell r="K641" t="str">
            <v>Laboratorio</v>
          </cell>
          <cell r="L641">
            <v>2</v>
          </cell>
          <cell r="M641">
            <v>46024</v>
          </cell>
          <cell r="N641">
            <v>46027</v>
          </cell>
          <cell r="O641">
            <v>1</v>
          </cell>
          <cell r="P641">
            <v>46028</v>
          </cell>
          <cell r="Q641">
            <v>5</v>
          </cell>
          <cell r="R641" t="str">
            <v>NA</v>
          </cell>
          <cell r="S641">
            <v>5</v>
          </cell>
        </row>
        <row r="642">
          <cell r="B642" t="str">
            <v>EMMC</v>
          </cell>
          <cell r="C642" t="str">
            <v>HSLB11336</v>
          </cell>
          <cell r="D642">
            <v>110010</v>
          </cell>
          <cell r="E642" t="str">
            <v>Baño Termorregulado con agitación</v>
          </cell>
          <cell r="F642" t="str">
            <v>NO</v>
          </cell>
          <cell r="G642" t="str">
            <v>SI</v>
          </cell>
          <cell r="H642" t="str">
            <v>SECCIÓN BACILOSCOPÍA Y TBC</v>
          </cell>
          <cell r="I642">
            <v>1</v>
          </cell>
          <cell r="J642" t="str">
            <v>C.5.2.27</v>
          </cell>
          <cell r="K642" t="str">
            <v>Laboratorio</v>
          </cell>
          <cell r="L642">
            <v>2</v>
          </cell>
          <cell r="M642">
            <v>46003</v>
          </cell>
          <cell r="N642">
            <v>46006</v>
          </cell>
          <cell r="O642">
            <v>1</v>
          </cell>
          <cell r="P642">
            <v>46008</v>
          </cell>
          <cell r="Q642">
            <v>5</v>
          </cell>
          <cell r="R642" t="str">
            <v>NA</v>
          </cell>
          <cell r="S642">
            <v>5</v>
          </cell>
        </row>
        <row r="643">
          <cell r="B643" t="str">
            <v>EMMC</v>
          </cell>
          <cell r="C643" t="str">
            <v>HSLB11341</v>
          </cell>
          <cell r="D643">
            <v>110014</v>
          </cell>
          <cell r="E643" t="str">
            <v>Centrífuga Universal</v>
          </cell>
          <cell r="F643" t="str">
            <v>NO</v>
          </cell>
          <cell r="G643" t="str">
            <v>NO</v>
          </cell>
          <cell r="H643" t="str">
            <v>SECCIÓN VDRL</v>
          </cell>
          <cell r="I643">
            <v>1</v>
          </cell>
          <cell r="J643" t="str">
            <v>C.5.2.25</v>
          </cell>
          <cell r="K643" t="str">
            <v>Laboratorio</v>
          </cell>
          <cell r="L643">
            <v>2</v>
          </cell>
          <cell r="M643">
            <v>46024</v>
          </cell>
          <cell r="N643">
            <v>46027</v>
          </cell>
          <cell r="O643">
            <v>1</v>
          </cell>
          <cell r="P643">
            <v>46028</v>
          </cell>
          <cell r="Q643">
            <v>5</v>
          </cell>
          <cell r="R643" t="str">
            <v>NA</v>
          </cell>
          <cell r="S643">
            <v>5</v>
          </cell>
        </row>
        <row r="644">
          <cell r="B644" t="str">
            <v>EMMC</v>
          </cell>
          <cell r="C644" t="str">
            <v>HSLB11342</v>
          </cell>
          <cell r="D644">
            <v>110014</v>
          </cell>
          <cell r="E644" t="str">
            <v>Centrífuga Universal</v>
          </cell>
          <cell r="F644" t="str">
            <v>NO</v>
          </cell>
          <cell r="G644" t="str">
            <v>NO</v>
          </cell>
          <cell r="H644" t="str">
            <v>INMUNOFLUORECENCIA Y VIROLOGÍA</v>
          </cell>
          <cell r="I644">
            <v>1</v>
          </cell>
          <cell r="J644" t="str">
            <v>C.5.2.26</v>
          </cell>
          <cell r="K644" t="str">
            <v>Laboratorio</v>
          </cell>
          <cell r="L644">
            <v>2</v>
          </cell>
          <cell r="M644">
            <v>46024</v>
          </cell>
          <cell r="N644">
            <v>46027</v>
          </cell>
          <cell r="O644">
            <v>1</v>
          </cell>
          <cell r="P644">
            <v>46028</v>
          </cell>
          <cell r="Q644">
            <v>5</v>
          </cell>
          <cell r="R644" t="str">
            <v>NA</v>
          </cell>
          <cell r="S644">
            <v>5</v>
          </cell>
        </row>
        <row r="645">
          <cell r="B645" t="str">
            <v>EMMC</v>
          </cell>
          <cell r="C645" t="str">
            <v>HSLB11343</v>
          </cell>
          <cell r="D645">
            <v>110014</v>
          </cell>
          <cell r="E645" t="str">
            <v>Centrífuga Universal</v>
          </cell>
          <cell r="F645" t="str">
            <v>NO</v>
          </cell>
          <cell r="G645" t="str">
            <v>NO</v>
          </cell>
          <cell r="H645" t="str">
            <v>SECCIÓN INMUNO HEMATOLOGÍA</v>
          </cell>
          <cell r="I645">
            <v>1</v>
          </cell>
          <cell r="J645" t="str">
            <v>C.5.2.31</v>
          </cell>
          <cell r="K645" t="str">
            <v>Laboratorio UMT</v>
          </cell>
          <cell r="L645">
            <v>2</v>
          </cell>
          <cell r="M645">
            <v>46024</v>
          </cell>
          <cell r="N645">
            <v>46027</v>
          </cell>
          <cell r="O645">
            <v>1</v>
          </cell>
          <cell r="P645">
            <v>46028</v>
          </cell>
          <cell r="Q645">
            <v>5</v>
          </cell>
          <cell r="R645" t="str">
            <v>NA</v>
          </cell>
          <cell r="S645">
            <v>5</v>
          </cell>
        </row>
        <row r="646">
          <cell r="B646" t="str">
            <v>EMMC</v>
          </cell>
          <cell r="C646" t="str">
            <v>HSLB11903</v>
          </cell>
          <cell r="D646">
            <v>112037</v>
          </cell>
          <cell r="E646" t="str">
            <v>Carro Transporte Material Sucio</v>
          </cell>
          <cell r="F646" t="str">
            <v>NO</v>
          </cell>
          <cell r="G646" t="str">
            <v>NO</v>
          </cell>
          <cell r="H646" t="str">
            <v>MATERIAL SUCIO</v>
          </cell>
          <cell r="I646">
            <v>1</v>
          </cell>
          <cell r="J646" t="str">
            <v>C.2.2.4.19.2</v>
          </cell>
          <cell r="K646" t="str">
            <v>Odontología</v>
          </cell>
          <cell r="L646">
            <v>2</v>
          </cell>
          <cell r="M646">
            <v>46010</v>
          </cell>
          <cell r="N646">
            <v>46013</v>
          </cell>
          <cell r="O646">
            <v>1</v>
          </cell>
          <cell r="P646">
            <v>46014</v>
          </cell>
          <cell r="Q646">
            <v>5</v>
          </cell>
          <cell r="R646" t="str">
            <v>NA</v>
          </cell>
          <cell r="S646">
            <v>5</v>
          </cell>
        </row>
        <row r="647">
          <cell r="B647" t="str">
            <v>EMMC</v>
          </cell>
          <cell r="C647" t="str">
            <v>HSLB12368</v>
          </cell>
          <cell r="D647">
            <v>112068</v>
          </cell>
          <cell r="E647" t="str">
            <v>Piso Taburete Clínico</v>
          </cell>
          <cell r="F647" t="str">
            <v>NO</v>
          </cell>
          <cell r="G647" t="str">
            <v>NO</v>
          </cell>
          <cell r="H647" t="str">
            <v>SALA DE YESO</v>
          </cell>
          <cell r="I647">
            <v>1</v>
          </cell>
          <cell r="J647" t="str">
            <v>C.2.2.4.19.1</v>
          </cell>
          <cell r="K647" t="str">
            <v>Odontología</v>
          </cell>
          <cell r="L647">
            <v>2</v>
          </cell>
          <cell r="M647">
            <v>46010</v>
          </cell>
          <cell r="N647">
            <v>46013</v>
          </cell>
          <cell r="O647">
            <v>1</v>
          </cell>
          <cell r="P647">
            <v>46014</v>
          </cell>
          <cell r="Q647">
            <v>5</v>
          </cell>
          <cell r="R647" t="str">
            <v>NA</v>
          </cell>
          <cell r="S647">
            <v>5</v>
          </cell>
        </row>
        <row r="648">
          <cell r="B648" t="str">
            <v>EMMC</v>
          </cell>
          <cell r="C648" t="str">
            <v>HSLB10894</v>
          </cell>
          <cell r="D648">
            <v>106013</v>
          </cell>
          <cell r="E648" t="str">
            <v>Proyector</v>
          </cell>
          <cell r="F648" t="str">
            <v>NO</v>
          </cell>
          <cell r="G648" t="str">
            <v>NO</v>
          </cell>
          <cell r="H648" t="str">
            <v>SALA MULTIUSO (TRABAJO GRUPAL, EDUCACION DE PACIENTES)</v>
          </cell>
          <cell r="I648">
            <v>1</v>
          </cell>
          <cell r="J648" t="str">
            <v>C.2.2.4.16</v>
          </cell>
          <cell r="K648" t="str">
            <v>Odontología</v>
          </cell>
          <cell r="L648">
            <v>2</v>
          </cell>
          <cell r="M648">
            <v>46010</v>
          </cell>
          <cell r="N648">
            <v>46013</v>
          </cell>
          <cell r="O648">
            <v>1</v>
          </cell>
          <cell r="P648">
            <v>46014</v>
          </cell>
          <cell r="Q648">
            <v>5</v>
          </cell>
          <cell r="R648" t="str">
            <v>NA</v>
          </cell>
          <cell r="S648">
            <v>5</v>
          </cell>
        </row>
        <row r="649">
          <cell r="B649" t="str">
            <v>EMMC</v>
          </cell>
          <cell r="C649" t="str">
            <v>HSLB12450</v>
          </cell>
          <cell r="D649">
            <v>112077</v>
          </cell>
          <cell r="E649" t="str">
            <v>Silla de Ruedas</v>
          </cell>
          <cell r="F649" t="str">
            <v>NO</v>
          </cell>
          <cell r="G649" t="str">
            <v>NO</v>
          </cell>
          <cell r="H649" t="str">
            <v>ESTAC. SILLA DE RUEDAS</v>
          </cell>
          <cell r="I649">
            <v>1</v>
          </cell>
          <cell r="J649" t="str">
            <v>C.2.2.4.19</v>
          </cell>
          <cell r="K649" t="str">
            <v>Odontología</v>
          </cell>
          <cell r="L649">
            <v>2</v>
          </cell>
          <cell r="M649">
            <v>46010</v>
          </cell>
          <cell r="N649">
            <v>46013</v>
          </cell>
          <cell r="O649">
            <v>1</v>
          </cell>
          <cell r="P649">
            <v>46014</v>
          </cell>
          <cell r="Q649">
            <v>5</v>
          </cell>
          <cell r="R649" t="str">
            <v>NA</v>
          </cell>
          <cell r="S649">
            <v>5</v>
          </cell>
        </row>
        <row r="650">
          <cell r="B650" t="str">
            <v>EMMC</v>
          </cell>
          <cell r="C650" t="str">
            <v>HSLB10940</v>
          </cell>
          <cell r="D650">
            <v>106019</v>
          </cell>
          <cell r="E650" t="str">
            <v>Televisor 32'</v>
          </cell>
          <cell r="F650" t="str">
            <v>NO</v>
          </cell>
          <cell r="G650" t="str">
            <v>NO</v>
          </cell>
          <cell r="H650" t="str">
            <v>SALA DE ESPERA</v>
          </cell>
          <cell r="I650">
            <v>2</v>
          </cell>
          <cell r="J650" t="str">
            <v>C.2.2.4.3</v>
          </cell>
          <cell r="K650" t="str">
            <v>Odontología</v>
          </cell>
          <cell r="L650">
            <v>2</v>
          </cell>
          <cell r="M650">
            <v>46010</v>
          </cell>
          <cell r="N650">
            <v>46013</v>
          </cell>
          <cell r="O650">
            <v>1</v>
          </cell>
          <cell r="P650">
            <v>46014</v>
          </cell>
          <cell r="Q650">
            <v>5</v>
          </cell>
          <cell r="R650" t="str">
            <v>NA</v>
          </cell>
          <cell r="S650">
            <v>5</v>
          </cell>
        </row>
        <row r="651">
          <cell r="B651" t="str">
            <v>EMMC</v>
          </cell>
          <cell r="C651" t="str">
            <v>HSLB11081</v>
          </cell>
          <cell r="D651">
            <v>106021</v>
          </cell>
          <cell r="E651" t="str">
            <v>Telón</v>
          </cell>
          <cell r="F651" t="str">
            <v>NO</v>
          </cell>
          <cell r="G651" t="str">
            <v>NO</v>
          </cell>
          <cell r="H651" t="str">
            <v>SALA MULTIUSO (TRABAJO GRUPAL, EDUCACION DE PACIENTES)</v>
          </cell>
          <cell r="I651">
            <v>1</v>
          </cell>
          <cell r="J651" t="str">
            <v>C.2.2.4.16</v>
          </cell>
          <cell r="K651" t="str">
            <v>Odontología</v>
          </cell>
          <cell r="L651">
            <v>2</v>
          </cell>
          <cell r="M651">
            <v>46010</v>
          </cell>
          <cell r="N651">
            <v>46013</v>
          </cell>
          <cell r="O651">
            <v>1</v>
          </cell>
          <cell r="P651">
            <v>46014</v>
          </cell>
          <cell r="Q651">
            <v>5</v>
          </cell>
          <cell r="R651" t="str">
            <v>NA</v>
          </cell>
          <cell r="S651">
            <v>5</v>
          </cell>
        </row>
        <row r="652">
          <cell r="B652" t="str">
            <v>EMMC</v>
          </cell>
          <cell r="C652" t="str">
            <v>HSLB12891</v>
          </cell>
          <cell r="D652">
            <v>114008</v>
          </cell>
          <cell r="E652" t="str">
            <v>Pulidora</v>
          </cell>
          <cell r="F652" t="str">
            <v>NO</v>
          </cell>
          <cell r="G652" t="str">
            <v>NO</v>
          </cell>
          <cell r="H652" t="str">
            <v>SALA DE YESO</v>
          </cell>
          <cell r="I652">
            <v>1</v>
          </cell>
          <cell r="J652" t="str">
            <v>C.2.2.4.19.1</v>
          </cell>
          <cell r="K652" t="str">
            <v>Odontología</v>
          </cell>
          <cell r="L652">
            <v>2</v>
          </cell>
          <cell r="M652">
            <v>46010</v>
          </cell>
          <cell r="N652">
            <v>46013</v>
          </cell>
          <cell r="O652">
            <v>1</v>
          </cell>
          <cell r="P652">
            <v>46014</v>
          </cell>
          <cell r="Q652">
            <v>5</v>
          </cell>
          <cell r="R652" t="str">
            <v>NA</v>
          </cell>
          <cell r="S652">
            <v>5</v>
          </cell>
        </row>
        <row r="653">
          <cell r="B653" t="str">
            <v>EMMC</v>
          </cell>
          <cell r="C653" t="str">
            <v>HSLB12892</v>
          </cell>
          <cell r="D653">
            <v>114009</v>
          </cell>
          <cell r="E653" t="str">
            <v>Recortadora</v>
          </cell>
          <cell r="F653" t="str">
            <v>NO</v>
          </cell>
          <cell r="G653" t="str">
            <v>NO</v>
          </cell>
          <cell r="H653" t="str">
            <v>SALA DE YESO</v>
          </cell>
          <cell r="I653">
            <v>1</v>
          </cell>
          <cell r="J653" t="str">
            <v>C.2.2.4.19.1</v>
          </cell>
          <cell r="K653" t="str">
            <v>Odontología</v>
          </cell>
          <cell r="L653">
            <v>2</v>
          </cell>
          <cell r="M653">
            <v>46010</v>
          </cell>
          <cell r="N653">
            <v>46013</v>
          </cell>
          <cell r="O653">
            <v>1</v>
          </cell>
          <cell r="P653">
            <v>46014</v>
          </cell>
          <cell r="Q653">
            <v>5</v>
          </cell>
          <cell r="R653" t="str">
            <v>NA</v>
          </cell>
          <cell r="S653">
            <v>5</v>
          </cell>
        </row>
        <row r="654">
          <cell r="B654" t="str">
            <v>EMMC</v>
          </cell>
          <cell r="C654" t="str">
            <v>HSLB11275</v>
          </cell>
          <cell r="D654" t="str">
            <v>109012A</v>
          </cell>
          <cell r="E654" t="str">
            <v>Set de instrumental para endodoncia</v>
          </cell>
          <cell r="F654" t="str">
            <v>NO</v>
          </cell>
          <cell r="G654" t="str">
            <v>NO</v>
          </cell>
          <cell r="H654" t="str">
            <v>BODEGA MATERIAL ESTERIL</v>
          </cell>
          <cell r="I654">
            <v>2</v>
          </cell>
          <cell r="J654" t="str">
            <v>C.2.2.4.13</v>
          </cell>
          <cell r="K654" t="str">
            <v>Odontología</v>
          </cell>
          <cell r="L654">
            <v>2</v>
          </cell>
          <cell r="M654">
            <v>46010</v>
          </cell>
          <cell r="N654">
            <v>46013</v>
          </cell>
          <cell r="O654">
            <v>1</v>
          </cell>
          <cell r="P654">
            <v>46014</v>
          </cell>
          <cell r="Q654">
            <v>5</v>
          </cell>
          <cell r="R654" t="str">
            <v>NA</v>
          </cell>
          <cell r="S654">
            <v>5</v>
          </cell>
        </row>
        <row r="655">
          <cell r="B655" t="str">
            <v>EMMC</v>
          </cell>
          <cell r="C655" t="str">
            <v>HSLB11275</v>
          </cell>
          <cell r="D655" t="str">
            <v>109012B</v>
          </cell>
          <cell r="E655" t="str">
            <v>Set de instrumental para operatoria odontológica</v>
          </cell>
          <cell r="F655" t="str">
            <v>NO</v>
          </cell>
          <cell r="G655" t="str">
            <v>NO</v>
          </cell>
          <cell r="H655" t="str">
            <v>BODEGA MATERIAL ESTERIL</v>
          </cell>
          <cell r="I655">
            <v>2</v>
          </cell>
          <cell r="J655" t="str">
            <v>C.2.2.4.13</v>
          </cell>
          <cell r="K655" t="str">
            <v>Odontología</v>
          </cell>
          <cell r="L655">
            <v>2</v>
          </cell>
          <cell r="M655">
            <v>46010</v>
          </cell>
          <cell r="N655">
            <v>46013</v>
          </cell>
          <cell r="O655">
            <v>1</v>
          </cell>
          <cell r="P655">
            <v>46014</v>
          </cell>
          <cell r="Q655">
            <v>5</v>
          </cell>
          <cell r="R655" t="str">
            <v>NA</v>
          </cell>
          <cell r="S655">
            <v>5</v>
          </cell>
        </row>
        <row r="656">
          <cell r="B656" t="str">
            <v>EMMC</v>
          </cell>
          <cell r="C656" t="str">
            <v>HSLB11275</v>
          </cell>
          <cell r="D656" t="str">
            <v>109012C</v>
          </cell>
          <cell r="E656" t="str">
            <v>Set de instrumental para periodoncia</v>
          </cell>
          <cell r="F656" t="str">
            <v>NO</v>
          </cell>
          <cell r="G656" t="str">
            <v>NO</v>
          </cell>
          <cell r="H656" t="str">
            <v>BODEGA MATERIAL ESTERIL</v>
          </cell>
          <cell r="I656">
            <v>2</v>
          </cell>
          <cell r="J656" t="str">
            <v>C.2.2.4.13</v>
          </cell>
          <cell r="K656" t="str">
            <v>Odontología</v>
          </cell>
          <cell r="L656">
            <v>2</v>
          </cell>
          <cell r="M656">
            <v>46010</v>
          </cell>
          <cell r="N656">
            <v>46013</v>
          </cell>
          <cell r="O656">
            <v>1</v>
          </cell>
          <cell r="P656">
            <v>46014</v>
          </cell>
          <cell r="Q656">
            <v>5</v>
          </cell>
          <cell r="R656" t="str">
            <v>NA</v>
          </cell>
          <cell r="S656">
            <v>5</v>
          </cell>
        </row>
        <row r="657">
          <cell r="B657" t="str">
            <v>EMMC</v>
          </cell>
          <cell r="C657" t="str">
            <v>HSLB11275</v>
          </cell>
          <cell r="D657" t="str">
            <v>109012D</v>
          </cell>
          <cell r="E657" t="str">
            <v>Set de instrumental para prótesis y rehabilitación oral</v>
          </cell>
          <cell r="F657" t="str">
            <v>NO</v>
          </cell>
          <cell r="G657" t="str">
            <v>NO</v>
          </cell>
          <cell r="H657" t="str">
            <v>BODEGA MATERIAL ESTERIL</v>
          </cell>
          <cell r="I657">
            <v>5</v>
          </cell>
          <cell r="J657" t="str">
            <v>C.2.2.4.13</v>
          </cell>
          <cell r="K657" t="str">
            <v>Odontología</v>
          </cell>
          <cell r="L657">
            <v>2</v>
          </cell>
          <cell r="M657">
            <v>46010</v>
          </cell>
          <cell r="N657">
            <v>46013</v>
          </cell>
          <cell r="O657">
            <v>1</v>
          </cell>
          <cell r="P657">
            <v>46014</v>
          </cell>
          <cell r="Q657">
            <v>5</v>
          </cell>
          <cell r="R657" t="str">
            <v>NA</v>
          </cell>
          <cell r="S657">
            <v>5</v>
          </cell>
        </row>
        <row r="658">
          <cell r="B658" t="str">
            <v>EMMC</v>
          </cell>
          <cell r="C658" t="str">
            <v>HSLB11275</v>
          </cell>
          <cell r="D658" t="str">
            <v>109012E</v>
          </cell>
          <cell r="E658" t="str">
            <v>Set de instrumental para ortodoncia</v>
          </cell>
          <cell r="F658" t="str">
            <v>NO</v>
          </cell>
          <cell r="G658" t="str">
            <v>NO</v>
          </cell>
          <cell r="H658" t="str">
            <v>BODEGA MATERIAL ESTERIL</v>
          </cell>
          <cell r="I658">
            <v>2</v>
          </cell>
          <cell r="J658" t="str">
            <v>C.2.2.4.13</v>
          </cell>
          <cell r="K658" t="str">
            <v>Odontología</v>
          </cell>
          <cell r="L658">
            <v>2</v>
          </cell>
          <cell r="M658">
            <v>46010</v>
          </cell>
          <cell r="N658">
            <v>46013</v>
          </cell>
          <cell r="O658">
            <v>1</v>
          </cell>
          <cell r="P658">
            <v>46014</v>
          </cell>
          <cell r="Q658">
            <v>5</v>
          </cell>
          <cell r="R658" t="str">
            <v>NA</v>
          </cell>
          <cell r="S658">
            <v>5</v>
          </cell>
        </row>
        <row r="659">
          <cell r="B659" t="str">
            <v>EMMC</v>
          </cell>
          <cell r="C659" t="str">
            <v>HSLB11275</v>
          </cell>
          <cell r="D659" t="str">
            <v>109012F</v>
          </cell>
          <cell r="E659" t="str">
            <v>Set de instrumental para odontopediatría</v>
          </cell>
          <cell r="F659" t="str">
            <v>NO</v>
          </cell>
          <cell r="G659" t="str">
            <v>NO</v>
          </cell>
          <cell r="H659" t="str">
            <v>BODEGA MATERIAL ESTERIL</v>
          </cell>
          <cell r="I659">
            <v>1</v>
          </cell>
          <cell r="J659" t="str">
            <v>C.2.2.4.13</v>
          </cell>
          <cell r="K659" t="str">
            <v>Odontología</v>
          </cell>
          <cell r="L659">
            <v>2</v>
          </cell>
          <cell r="M659">
            <v>46010</v>
          </cell>
          <cell r="N659">
            <v>46013</v>
          </cell>
          <cell r="O659">
            <v>1</v>
          </cell>
          <cell r="P659">
            <v>46014</v>
          </cell>
          <cell r="Q659">
            <v>5</v>
          </cell>
          <cell r="R659" t="str">
            <v>NA</v>
          </cell>
          <cell r="S659">
            <v>5</v>
          </cell>
        </row>
        <row r="660">
          <cell r="B660" t="str">
            <v>EMMC</v>
          </cell>
          <cell r="C660" t="str">
            <v>HSLB12908</v>
          </cell>
          <cell r="D660">
            <v>114013</v>
          </cell>
          <cell r="E660" t="str">
            <v>Vibradora</v>
          </cell>
          <cell r="F660" t="str">
            <v>NO</v>
          </cell>
          <cell r="G660" t="str">
            <v>NO</v>
          </cell>
          <cell r="H660" t="str">
            <v>SALA DE YESO</v>
          </cell>
          <cell r="I660">
            <v>1</v>
          </cell>
          <cell r="J660" t="str">
            <v>C.2.2.4.19.1</v>
          </cell>
          <cell r="K660" t="str">
            <v>Odontología</v>
          </cell>
          <cell r="L660">
            <v>2</v>
          </cell>
          <cell r="M660">
            <v>46010</v>
          </cell>
          <cell r="N660">
            <v>46013</v>
          </cell>
          <cell r="O660">
            <v>1</v>
          </cell>
          <cell r="P660">
            <v>46014</v>
          </cell>
          <cell r="Q660">
            <v>5</v>
          </cell>
          <cell r="R660" t="str">
            <v>NA</v>
          </cell>
          <cell r="S660">
            <v>5</v>
          </cell>
        </row>
        <row r="661">
          <cell r="B661" t="str">
            <v>EMMC</v>
          </cell>
          <cell r="C661" t="str">
            <v>HSLB12776</v>
          </cell>
          <cell r="D661">
            <v>113009</v>
          </cell>
          <cell r="E661" t="str">
            <v>Monitor de Signos Vitales Básico</v>
          </cell>
          <cell r="F661" t="str">
            <v>NO</v>
          </cell>
          <cell r="G661" t="str">
            <v>NO</v>
          </cell>
          <cell r="H661" t="str">
            <v>BODEGA DE EQUIPOS MEDICOS</v>
          </cell>
          <cell r="I661">
            <v>3</v>
          </cell>
          <cell r="J661" t="str">
            <v>C.3.3.9</v>
          </cell>
          <cell r="K661" t="str">
            <v>Laboratorio UMT</v>
          </cell>
          <cell r="L661">
            <v>2</v>
          </cell>
          <cell r="M661">
            <v>46024</v>
          </cell>
          <cell r="N661">
            <v>46027</v>
          </cell>
          <cell r="O661">
            <v>1</v>
          </cell>
          <cell r="P661">
            <v>46028</v>
          </cell>
          <cell r="Q661">
            <v>5</v>
          </cell>
          <cell r="R661" t="str">
            <v>NA</v>
          </cell>
          <cell r="S661">
            <v>5</v>
          </cell>
        </row>
        <row r="662">
          <cell r="B662" t="str">
            <v>EMMC</v>
          </cell>
          <cell r="C662" t="str">
            <v>HSLB11371</v>
          </cell>
          <cell r="D662">
            <v>110027</v>
          </cell>
          <cell r="E662" t="str">
            <v>Estufa de Cultivo</v>
          </cell>
          <cell r="F662" t="str">
            <v>NO</v>
          </cell>
          <cell r="G662" t="str">
            <v>NO</v>
          </cell>
          <cell r="H662" t="str">
            <v>SECCIÓN BACTERIOLOGÍA</v>
          </cell>
          <cell r="I662">
            <v>2</v>
          </cell>
          <cell r="J662" t="str">
            <v>C.5.2.23</v>
          </cell>
          <cell r="K662" t="str">
            <v>Laboratorio</v>
          </cell>
          <cell r="L662">
            <v>2</v>
          </cell>
          <cell r="M662">
            <v>46024</v>
          </cell>
          <cell r="N662">
            <v>46027</v>
          </cell>
          <cell r="O662">
            <v>1</v>
          </cell>
          <cell r="P662">
            <v>46028</v>
          </cell>
          <cell r="Q662">
            <v>5</v>
          </cell>
          <cell r="R662" t="str">
            <v>NA</v>
          </cell>
          <cell r="S662">
            <v>5</v>
          </cell>
        </row>
        <row r="663">
          <cell r="B663" t="str">
            <v>EMMC</v>
          </cell>
          <cell r="C663" t="str">
            <v>HSLB11372</v>
          </cell>
          <cell r="D663">
            <v>110027</v>
          </cell>
          <cell r="E663" t="str">
            <v>Estufa de Cultivo</v>
          </cell>
          <cell r="F663" t="str">
            <v>NO</v>
          </cell>
          <cell r="G663" t="str">
            <v>SI</v>
          </cell>
          <cell r="H663" t="str">
            <v>SECCIÓN BACILOSCOPÍA Y TBC</v>
          </cell>
          <cell r="I663">
            <v>1</v>
          </cell>
          <cell r="J663" t="str">
            <v>C.5.2.27</v>
          </cell>
          <cell r="K663" t="str">
            <v>Laboratorio</v>
          </cell>
          <cell r="L663">
            <v>2</v>
          </cell>
          <cell r="M663">
            <v>46003</v>
          </cell>
          <cell r="N663">
            <v>46006</v>
          </cell>
          <cell r="O663">
            <v>1</v>
          </cell>
          <cell r="P663">
            <v>46007</v>
          </cell>
          <cell r="Q663">
            <v>5</v>
          </cell>
          <cell r="R663" t="str">
            <v>NA</v>
          </cell>
          <cell r="S663">
            <v>5</v>
          </cell>
        </row>
        <row r="664">
          <cell r="B664" t="str">
            <v>EMMC</v>
          </cell>
          <cell r="C664" t="str">
            <v>HSLB11381</v>
          </cell>
          <cell r="D664">
            <v>110035</v>
          </cell>
          <cell r="E664" t="str">
            <v>Microcentrífuga</v>
          </cell>
          <cell r="F664" t="str">
            <v>NO</v>
          </cell>
          <cell r="G664" t="str">
            <v>NO</v>
          </cell>
          <cell r="H664" t="str">
            <v>SECCIÓN HEMATOLOGÍA Y COAGULACIÓN</v>
          </cell>
          <cell r="I664">
            <v>1</v>
          </cell>
          <cell r="J664" t="str">
            <v>C.5.2.18</v>
          </cell>
          <cell r="K664" t="str">
            <v>Laboratorio</v>
          </cell>
          <cell r="L664">
            <v>2</v>
          </cell>
          <cell r="M664">
            <v>46024</v>
          </cell>
          <cell r="N664">
            <v>46027</v>
          </cell>
          <cell r="O664">
            <v>1</v>
          </cell>
          <cell r="P664">
            <v>46028</v>
          </cell>
          <cell r="Q664">
            <v>5</v>
          </cell>
          <cell r="R664" t="str">
            <v>NA</v>
          </cell>
          <cell r="S664">
            <v>5</v>
          </cell>
        </row>
        <row r="665">
          <cell r="B665" t="str">
            <v>EMMC</v>
          </cell>
          <cell r="C665" t="str">
            <v>HSLB11345</v>
          </cell>
          <cell r="D665">
            <v>110015</v>
          </cell>
          <cell r="E665" t="str">
            <v>Conector de Tubo Estéril</v>
          </cell>
          <cell r="F665" t="str">
            <v>NO</v>
          </cell>
          <cell r="G665" t="str">
            <v>NO</v>
          </cell>
          <cell r="H665" t="str">
            <v>PREPARACIÓN Y DESPACHO TRANSFUSIÓN</v>
          </cell>
          <cell r="I665">
            <v>1</v>
          </cell>
          <cell r="J665" t="str">
            <v>C.5.2.32</v>
          </cell>
          <cell r="K665" t="str">
            <v>Laboratorio UMT</v>
          </cell>
          <cell r="L665">
            <v>2</v>
          </cell>
          <cell r="M665">
            <v>46024</v>
          </cell>
          <cell r="N665">
            <v>46027</v>
          </cell>
          <cell r="O665">
            <v>1</v>
          </cell>
          <cell r="P665">
            <v>46028</v>
          </cell>
          <cell r="Q665">
            <v>5</v>
          </cell>
          <cell r="R665" t="str">
            <v>NA</v>
          </cell>
          <cell r="S665">
            <v>5</v>
          </cell>
        </row>
        <row r="666">
          <cell r="B666" t="str">
            <v>EMMC</v>
          </cell>
          <cell r="C666" t="str">
            <v>HSLB11350</v>
          </cell>
          <cell r="D666">
            <v>110019</v>
          </cell>
          <cell r="E666" t="str">
            <v>Descongelador de Plasma</v>
          </cell>
          <cell r="F666" t="str">
            <v>NO</v>
          </cell>
          <cell r="G666" t="str">
            <v>NO</v>
          </cell>
          <cell r="H666" t="str">
            <v>OFICINA TECNOLOGO</v>
          </cell>
          <cell r="I666">
            <v>1</v>
          </cell>
          <cell r="J666" t="str">
            <v>C.5.2.33</v>
          </cell>
          <cell r="K666" t="str">
            <v>Laboratorio UMT</v>
          </cell>
          <cell r="L666">
            <v>2</v>
          </cell>
          <cell r="M666">
            <v>46024</v>
          </cell>
          <cell r="N666">
            <v>46027</v>
          </cell>
          <cell r="O666">
            <v>1</v>
          </cell>
          <cell r="P666">
            <v>46028</v>
          </cell>
          <cell r="Q666">
            <v>5</v>
          </cell>
          <cell r="R666" t="str">
            <v>NA</v>
          </cell>
          <cell r="S666">
            <v>5</v>
          </cell>
        </row>
        <row r="667">
          <cell r="B667" t="str">
            <v>EMMC</v>
          </cell>
          <cell r="C667" t="str">
            <v>HSLB11394</v>
          </cell>
          <cell r="D667">
            <v>110041</v>
          </cell>
          <cell r="E667" t="str">
            <v>Plataforma de Transluminación</v>
          </cell>
          <cell r="F667" t="str">
            <v>NO</v>
          </cell>
          <cell r="G667" t="str">
            <v>NO</v>
          </cell>
          <cell r="H667" t="str">
            <v>SECCIÓN INMUNO HEMATOLOGÍA</v>
          </cell>
          <cell r="I667">
            <v>1</v>
          </cell>
          <cell r="J667" t="str">
            <v>C.5.2.31</v>
          </cell>
          <cell r="K667" t="str">
            <v>Laboratorio UMT</v>
          </cell>
          <cell r="L667">
            <v>2</v>
          </cell>
          <cell r="M667">
            <v>46024</v>
          </cell>
          <cell r="N667">
            <v>46027</v>
          </cell>
          <cell r="O667">
            <v>1</v>
          </cell>
          <cell r="P667">
            <v>46028</v>
          </cell>
          <cell r="Q667">
            <v>5</v>
          </cell>
          <cell r="R667" t="str">
            <v>NA</v>
          </cell>
          <cell r="S667">
            <v>5</v>
          </cell>
        </row>
        <row r="668">
          <cell r="B668" t="str">
            <v>EMMC</v>
          </cell>
          <cell r="C668" t="str">
            <v>HSLB11397</v>
          </cell>
          <cell r="D668">
            <v>110044</v>
          </cell>
          <cell r="E668" t="str">
            <v>Refrigerador Banco de Sangre</v>
          </cell>
          <cell r="F668" t="str">
            <v>NO</v>
          </cell>
          <cell r="G668" t="str">
            <v>NO</v>
          </cell>
          <cell r="H668" t="str">
            <v>OFICINA TECNOLOGO</v>
          </cell>
          <cell r="I668">
            <v>1</v>
          </cell>
          <cell r="J668" t="str">
            <v>C.5.2.33</v>
          </cell>
          <cell r="K668" t="str">
            <v>Laboratorio UMT</v>
          </cell>
          <cell r="L668">
            <v>2</v>
          </cell>
          <cell r="M668">
            <v>46024</v>
          </cell>
          <cell r="N668">
            <v>46027</v>
          </cell>
          <cell r="O668">
            <v>1</v>
          </cell>
          <cell r="P668">
            <v>46028</v>
          </cell>
          <cell r="Q668">
            <v>5</v>
          </cell>
          <cell r="R668" t="str">
            <v>NA</v>
          </cell>
          <cell r="S668">
            <v>5</v>
          </cell>
        </row>
        <row r="669">
          <cell r="B669" t="str">
            <v>EMMC</v>
          </cell>
          <cell r="C669" t="str">
            <v>HSLB11398</v>
          </cell>
          <cell r="D669">
            <v>110045</v>
          </cell>
          <cell r="E669" t="str">
            <v>Refrigerador Clínico 1000 l</v>
          </cell>
          <cell r="F669" t="str">
            <v>NO</v>
          </cell>
          <cell r="G669" t="str">
            <v>NO</v>
          </cell>
          <cell r="H669" t="str">
            <v>BODEGA DE INSUMOS REACTIVOS REFRIGERADOS</v>
          </cell>
          <cell r="I669">
            <v>2</v>
          </cell>
          <cell r="J669" t="str">
            <v>C.5.2.40</v>
          </cell>
          <cell r="K669" t="str">
            <v>Laboratorio</v>
          </cell>
          <cell r="L669">
            <v>2</v>
          </cell>
          <cell r="M669">
            <v>46024</v>
          </cell>
          <cell r="N669">
            <v>46027</v>
          </cell>
          <cell r="O669">
            <v>1</v>
          </cell>
          <cell r="P669">
            <v>46028</v>
          </cell>
          <cell r="Q669">
            <v>5</v>
          </cell>
          <cell r="R669" t="str">
            <v>NA</v>
          </cell>
          <cell r="S669">
            <v>5</v>
          </cell>
        </row>
        <row r="670">
          <cell r="B670" t="str">
            <v>EMMC</v>
          </cell>
          <cell r="C670" t="str">
            <v>HSLB11399</v>
          </cell>
          <cell r="D670">
            <v>110045</v>
          </cell>
          <cell r="E670" t="str">
            <v>Refrigerador Clínico 1000 l</v>
          </cell>
          <cell r="F670" t="str">
            <v>NO</v>
          </cell>
          <cell r="G670" t="str">
            <v>NO</v>
          </cell>
          <cell r="H670" t="str">
            <v>TOMA DE MUESTRA COMUN</v>
          </cell>
          <cell r="I670">
            <v>1</v>
          </cell>
          <cell r="J670" t="str">
            <v>C.5.2.4.3</v>
          </cell>
          <cell r="K670" t="str">
            <v>Laboratorio</v>
          </cell>
          <cell r="L670">
            <v>2</v>
          </cell>
          <cell r="M670">
            <v>46024</v>
          </cell>
          <cell r="N670">
            <v>46027</v>
          </cell>
          <cell r="O670">
            <v>1</v>
          </cell>
          <cell r="P670">
            <v>46028</v>
          </cell>
          <cell r="Q670">
            <v>5</v>
          </cell>
          <cell r="R670" t="str">
            <v>NA</v>
          </cell>
          <cell r="S670">
            <v>5</v>
          </cell>
        </row>
        <row r="671">
          <cell r="B671" t="str">
            <v>EMMC</v>
          </cell>
          <cell r="C671" t="str">
            <v>HSLB11401</v>
          </cell>
          <cell r="D671">
            <v>110046</v>
          </cell>
          <cell r="E671" t="str">
            <v>Refrigerador Clínico 1400 l</v>
          </cell>
          <cell r="F671" t="str">
            <v>NO</v>
          </cell>
          <cell r="G671" t="str">
            <v>NO</v>
          </cell>
          <cell r="H671" t="str">
            <v>TOMA DE MUESTRA COMUN</v>
          </cell>
          <cell r="I671">
            <v>2</v>
          </cell>
          <cell r="J671" t="str">
            <v>C.5.2.4.3</v>
          </cell>
          <cell r="K671" t="str">
            <v>Laboratorio</v>
          </cell>
          <cell r="L671">
            <v>2</v>
          </cell>
          <cell r="M671">
            <v>46024</v>
          </cell>
          <cell r="N671">
            <v>46027</v>
          </cell>
          <cell r="O671">
            <v>1</v>
          </cell>
          <cell r="P671">
            <v>46028</v>
          </cell>
          <cell r="Q671">
            <v>5</v>
          </cell>
          <cell r="R671" t="str">
            <v>NA</v>
          </cell>
          <cell r="S671">
            <v>5</v>
          </cell>
        </row>
        <row r="672">
          <cell r="B672" t="str">
            <v>EMMC</v>
          </cell>
          <cell r="C672" t="str">
            <v>HSLB11403</v>
          </cell>
          <cell r="D672">
            <v>110047</v>
          </cell>
          <cell r="E672" t="str">
            <v>Refrigerador Clínico 150 L</v>
          </cell>
          <cell r="F672" t="str">
            <v>NO</v>
          </cell>
          <cell r="G672" t="str">
            <v>NO</v>
          </cell>
          <cell r="H672" t="str">
            <v>SECCIÓN BACTERIOLOGÍA</v>
          </cell>
          <cell r="I672">
            <v>1</v>
          </cell>
          <cell r="J672" t="str">
            <v>C.5.2.23</v>
          </cell>
          <cell r="K672" t="str">
            <v>Laboratorio</v>
          </cell>
          <cell r="L672">
            <v>2</v>
          </cell>
          <cell r="M672">
            <v>46024</v>
          </cell>
          <cell r="N672">
            <v>46027</v>
          </cell>
          <cell r="O672">
            <v>1</v>
          </cell>
          <cell r="P672">
            <v>46028</v>
          </cell>
          <cell r="Q672">
            <v>5</v>
          </cell>
          <cell r="R672" t="str">
            <v>NA</v>
          </cell>
          <cell r="S672">
            <v>5</v>
          </cell>
        </row>
        <row r="673">
          <cell r="B673" t="str">
            <v>EMMC</v>
          </cell>
          <cell r="C673" t="str">
            <v>HSLB11408</v>
          </cell>
          <cell r="D673">
            <v>110049</v>
          </cell>
          <cell r="E673" t="str">
            <v>Refrigerador Clínico 450 l</v>
          </cell>
          <cell r="F673" t="str">
            <v>NO</v>
          </cell>
          <cell r="G673" t="str">
            <v>NO</v>
          </cell>
          <cell r="H673" t="str">
            <v>BODEGA DE INSUMOS REACTIVOS REFRIGERADOS</v>
          </cell>
          <cell r="I673">
            <v>1</v>
          </cell>
          <cell r="J673" t="str">
            <v>C.5.2.40</v>
          </cell>
          <cell r="K673" t="str">
            <v>Laboratorio</v>
          </cell>
          <cell r="L673">
            <v>2</v>
          </cell>
          <cell r="M673">
            <v>46024</v>
          </cell>
          <cell r="N673">
            <v>46027</v>
          </cell>
          <cell r="O673">
            <v>1</v>
          </cell>
          <cell r="P673">
            <v>46028</v>
          </cell>
          <cell r="Q673">
            <v>5</v>
          </cell>
          <cell r="R673" t="str">
            <v>NA</v>
          </cell>
          <cell r="S673">
            <v>5</v>
          </cell>
        </row>
        <row r="674">
          <cell r="B674" t="str">
            <v>EMMC</v>
          </cell>
          <cell r="C674" t="str">
            <v>HSLB11409</v>
          </cell>
          <cell r="D674">
            <v>110049</v>
          </cell>
          <cell r="E674" t="str">
            <v>Refrigerador Clínico 450 l</v>
          </cell>
          <cell r="F674" t="str">
            <v>NO</v>
          </cell>
          <cell r="G674" t="str">
            <v>SI</v>
          </cell>
          <cell r="H674" t="str">
            <v>RECEPCIÓN DE MUESTRAS</v>
          </cell>
          <cell r="I674">
            <v>1</v>
          </cell>
          <cell r="J674" t="str">
            <v>C.5.2.8</v>
          </cell>
          <cell r="K674" t="str">
            <v>Laboratorio</v>
          </cell>
          <cell r="L674">
            <v>2</v>
          </cell>
          <cell r="M674">
            <v>46003</v>
          </cell>
          <cell r="N674">
            <v>46006</v>
          </cell>
          <cell r="O674">
            <v>1</v>
          </cell>
          <cell r="P674">
            <v>46008</v>
          </cell>
          <cell r="Q674">
            <v>5</v>
          </cell>
          <cell r="R674" t="str">
            <v>NA</v>
          </cell>
          <cell r="S674">
            <v>5</v>
          </cell>
        </row>
        <row r="675">
          <cell r="B675" t="str">
            <v>EMMC</v>
          </cell>
          <cell r="C675" t="str">
            <v>HSLB11431</v>
          </cell>
          <cell r="D675">
            <v>110052</v>
          </cell>
          <cell r="E675" t="str">
            <v>Refrigerador Clínico 600 l</v>
          </cell>
          <cell r="F675" t="str">
            <v>NO</v>
          </cell>
          <cell r="G675" t="str">
            <v>NO</v>
          </cell>
          <cell r="H675" t="str">
            <v>BODEGA DE INSUMOS REACTIVOS REFRIGERADOS</v>
          </cell>
          <cell r="I675">
            <v>1</v>
          </cell>
          <cell r="J675" t="str">
            <v>C.5.2.40</v>
          </cell>
          <cell r="K675" t="str">
            <v>Laboratorio</v>
          </cell>
          <cell r="L675">
            <v>2</v>
          </cell>
          <cell r="M675">
            <v>46024</v>
          </cell>
          <cell r="N675">
            <v>46027</v>
          </cell>
          <cell r="O675">
            <v>1</v>
          </cell>
          <cell r="P675">
            <v>46028</v>
          </cell>
          <cell r="Q675">
            <v>5</v>
          </cell>
          <cell r="R675" t="str">
            <v>NA</v>
          </cell>
          <cell r="S675">
            <v>5</v>
          </cell>
        </row>
        <row r="676">
          <cell r="B676" t="str">
            <v>EMMC</v>
          </cell>
          <cell r="C676" t="str">
            <v>HSLB11446</v>
          </cell>
          <cell r="D676">
            <v>110052</v>
          </cell>
          <cell r="E676" t="str">
            <v>Refrigerador Clínico 600 l</v>
          </cell>
          <cell r="F676" t="str">
            <v>NO</v>
          </cell>
          <cell r="G676" t="str">
            <v>SI</v>
          </cell>
          <cell r="H676" t="str">
            <v>SECCIÓN BACILOSCOPÍA Y TBC</v>
          </cell>
          <cell r="I676">
            <v>1</v>
          </cell>
          <cell r="J676" t="str">
            <v>C.5.2.27</v>
          </cell>
          <cell r="K676" t="str">
            <v>Laboratorio</v>
          </cell>
          <cell r="L676">
            <v>2</v>
          </cell>
          <cell r="M676">
            <v>46003</v>
          </cell>
          <cell r="N676">
            <v>46006</v>
          </cell>
          <cell r="O676">
            <v>1</v>
          </cell>
          <cell r="P676">
            <v>46008</v>
          </cell>
          <cell r="Q676">
            <v>5</v>
          </cell>
          <cell r="R676" t="str">
            <v>NA</v>
          </cell>
          <cell r="S676">
            <v>5</v>
          </cell>
        </row>
        <row r="677">
          <cell r="B677" t="str">
            <v>EMMC</v>
          </cell>
          <cell r="C677" t="str">
            <v>HSLB11432</v>
          </cell>
          <cell r="D677">
            <v>110052</v>
          </cell>
          <cell r="E677" t="str">
            <v>Refrigerador Clínico 600 l</v>
          </cell>
          <cell r="F677" t="str">
            <v>NO</v>
          </cell>
          <cell r="G677" t="str">
            <v>NO</v>
          </cell>
          <cell r="H677" t="str">
            <v>TOMA DE MUESTRA COMUN</v>
          </cell>
          <cell r="I677">
            <v>1</v>
          </cell>
          <cell r="J677" t="str">
            <v>C.5.2.4.3</v>
          </cell>
          <cell r="K677" t="str">
            <v>Laboratorio</v>
          </cell>
          <cell r="L677">
            <v>2</v>
          </cell>
          <cell r="M677">
            <v>46024</v>
          </cell>
          <cell r="N677">
            <v>46027</v>
          </cell>
          <cell r="O677">
            <v>1</v>
          </cell>
          <cell r="P677">
            <v>46028</v>
          </cell>
          <cell r="Q677">
            <v>5</v>
          </cell>
          <cell r="R677" t="str">
            <v>NA</v>
          </cell>
          <cell r="S677">
            <v>5</v>
          </cell>
        </row>
        <row r="678">
          <cell r="B678" t="str">
            <v>EMMC</v>
          </cell>
          <cell r="C678" t="str">
            <v>HSLB10418</v>
          </cell>
          <cell r="D678">
            <v>103048</v>
          </cell>
          <cell r="E678" t="str">
            <v>Refrigerador Doméstico</v>
          </cell>
          <cell r="F678" t="str">
            <v>NO</v>
          </cell>
          <cell r="G678" t="str">
            <v>NO</v>
          </cell>
          <cell r="H678" t="str">
            <v>ESTAR PERSONAL C/ KITCHENETTE</v>
          </cell>
          <cell r="I678">
            <v>1</v>
          </cell>
          <cell r="J678" t="str">
            <v>C.5.2.14</v>
          </cell>
          <cell r="K678" t="str">
            <v>Laboratorio</v>
          </cell>
          <cell r="L678">
            <v>2</v>
          </cell>
          <cell r="M678">
            <v>46024</v>
          </cell>
          <cell r="N678">
            <v>46027</v>
          </cell>
          <cell r="O678">
            <v>1</v>
          </cell>
          <cell r="P678">
            <v>46028</v>
          </cell>
          <cell r="Q678">
            <v>5</v>
          </cell>
          <cell r="R678" t="str">
            <v>NA</v>
          </cell>
          <cell r="S678">
            <v>5</v>
          </cell>
        </row>
        <row r="679">
          <cell r="B679" t="str">
            <v>EMMC</v>
          </cell>
          <cell r="C679" t="str">
            <v>HSLB11144</v>
          </cell>
          <cell r="D679">
            <v>107013</v>
          </cell>
          <cell r="E679" t="str">
            <v>Sellador de Tubuladuras</v>
          </cell>
          <cell r="F679" t="str">
            <v>NO</v>
          </cell>
          <cell r="G679" t="str">
            <v>NO</v>
          </cell>
          <cell r="H679" t="str">
            <v>PREPARACIÓN Y DESPACHO TRANSFUSIÓN</v>
          </cell>
          <cell r="I679">
            <v>1</v>
          </cell>
          <cell r="J679" t="str">
            <v>C.5.2.32</v>
          </cell>
          <cell r="K679" t="str">
            <v>Laboratorio UMT</v>
          </cell>
          <cell r="L679">
            <v>2</v>
          </cell>
          <cell r="M679">
            <v>46024</v>
          </cell>
          <cell r="N679">
            <v>46027</v>
          </cell>
          <cell r="O679">
            <v>1</v>
          </cell>
          <cell r="P679">
            <v>46028</v>
          </cell>
          <cell r="Q679">
            <v>5</v>
          </cell>
          <cell r="R679" t="str">
            <v>NA</v>
          </cell>
          <cell r="S679">
            <v>5</v>
          </cell>
        </row>
        <row r="680">
          <cell r="B680" t="str">
            <v>EMMC</v>
          </cell>
          <cell r="C680" t="str">
            <v>HSLB12485</v>
          </cell>
          <cell r="D680">
            <v>112083</v>
          </cell>
          <cell r="E680" t="str">
            <v>Sillón Clínico tipo 2</v>
          </cell>
          <cell r="F680" t="str">
            <v>NO</v>
          </cell>
          <cell r="G680" t="str">
            <v>NO</v>
          </cell>
          <cell r="H680" t="str">
            <v>SALA DE TRANSFUSIÓN AMBULATORIA</v>
          </cell>
          <cell r="I680">
            <v>2</v>
          </cell>
          <cell r="J680" t="str">
            <v>C.5.2.6</v>
          </cell>
          <cell r="K680" t="str">
            <v>Laboratorio UMT</v>
          </cell>
          <cell r="L680">
            <v>2</v>
          </cell>
          <cell r="M680">
            <v>46024</v>
          </cell>
          <cell r="N680">
            <v>46027</v>
          </cell>
          <cell r="O680">
            <v>1</v>
          </cell>
          <cell r="P680">
            <v>46028</v>
          </cell>
          <cell r="Q680">
            <v>5</v>
          </cell>
          <cell r="R680" t="str">
            <v>NA</v>
          </cell>
          <cell r="S680">
            <v>5</v>
          </cell>
        </row>
        <row r="681">
          <cell r="B681" t="str">
            <v>EMMC</v>
          </cell>
          <cell r="C681" t="str">
            <v>HSLB11438</v>
          </cell>
          <cell r="D681">
            <v>110057</v>
          </cell>
          <cell r="E681" t="str">
            <v>Sistema de Desinfección de Asa</v>
          </cell>
          <cell r="F681" t="str">
            <v>NO</v>
          </cell>
          <cell r="G681" t="str">
            <v>NO</v>
          </cell>
          <cell r="H681" t="str">
            <v>SECCIÓN BACTERIOLOGÍA</v>
          </cell>
          <cell r="I681">
            <v>1</v>
          </cell>
          <cell r="J681" t="str">
            <v>C.5.2.23</v>
          </cell>
          <cell r="K681" t="str">
            <v>Laboratorio</v>
          </cell>
          <cell r="L681">
            <v>2</v>
          </cell>
          <cell r="M681">
            <v>46024</v>
          </cell>
          <cell r="N681">
            <v>46027</v>
          </cell>
          <cell r="O681">
            <v>1</v>
          </cell>
          <cell r="P681">
            <v>46028</v>
          </cell>
          <cell r="Q681">
            <v>5</v>
          </cell>
          <cell r="R681" t="str">
            <v>NA</v>
          </cell>
          <cell r="S681">
            <v>5</v>
          </cell>
        </row>
        <row r="682">
          <cell r="B682" t="str">
            <v>EMMC</v>
          </cell>
          <cell r="C682" t="str">
            <v>HSLB11439</v>
          </cell>
          <cell r="D682">
            <v>110057</v>
          </cell>
          <cell r="E682" t="str">
            <v>Sistema de Desinfección de Asa</v>
          </cell>
          <cell r="F682" t="str">
            <v>NO</v>
          </cell>
          <cell r="G682" t="str">
            <v>SI</v>
          </cell>
          <cell r="H682" t="str">
            <v>SECCIÓN BACILOSCOPÍA Y TBC</v>
          </cell>
          <cell r="I682">
            <v>1</v>
          </cell>
          <cell r="J682" t="str">
            <v>C.5.2.27</v>
          </cell>
          <cell r="K682" t="str">
            <v>Laboratorio</v>
          </cell>
          <cell r="L682">
            <v>2</v>
          </cell>
          <cell r="M682">
            <v>46003</v>
          </cell>
          <cell r="N682">
            <v>46006</v>
          </cell>
          <cell r="O682">
            <v>1</v>
          </cell>
          <cell r="P682">
            <v>46008</v>
          </cell>
          <cell r="Q682">
            <v>5</v>
          </cell>
          <cell r="R682" t="str">
            <v>NA</v>
          </cell>
          <cell r="S682">
            <v>5</v>
          </cell>
        </row>
        <row r="683">
          <cell r="B683" t="str">
            <v>EMMC</v>
          </cell>
          <cell r="C683" t="str">
            <v>HSLB11444</v>
          </cell>
          <cell r="D683">
            <v>110060</v>
          </cell>
          <cell r="E683" t="str">
            <v>Vitrina Refrigerada Vertical 250 l</v>
          </cell>
          <cell r="F683" t="str">
            <v>NO</v>
          </cell>
          <cell r="G683" t="str">
            <v>NO</v>
          </cell>
          <cell r="H683" t="str">
            <v>SECCIÓN INMUNO HEMATOLOGÍA</v>
          </cell>
          <cell r="I683">
            <v>2</v>
          </cell>
          <cell r="J683" t="str">
            <v>C.5.2.31</v>
          </cell>
          <cell r="K683" t="str">
            <v>Laboratorio UMT</v>
          </cell>
          <cell r="L683">
            <v>2</v>
          </cell>
          <cell r="M683">
            <v>46024</v>
          </cell>
          <cell r="N683">
            <v>46027</v>
          </cell>
          <cell r="O683">
            <v>1</v>
          </cell>
          <cell r="P683">
            <v>46028</v>
          </cell>
          <cell r="Q683">
            <v>5</v>
          </cell>
          <cell r="R683" t="str">
            <v>NA</v>
          </cell>
          <cell r="S683">
            <v>5</v>
          </cell>
        </row>
        <row r="684">
          <cell r="B684" t="str">
            <v>EMMC</v>
          </cell>
          <cell r="C684" t="str">
            <v>HSLB11445</v>
          </cell>
          <cell r="D684">
            <v>110060</v>
          </cell>
          <cell r="E684" t="str">
            <v>Vitrina Refrigerada Vertical 250 l</v>
          </cell>
          <cell r="F684" t="str">
            <v>NO</v>
          </cell>
          <cell r="G684" t="str">
            <v>NO</v>
          </cell>
          <cell r="H684" t="str">
            <v>TOMA DE MUESTRA COMUN</v>
          </cell>
          <cell r="I684">
            <v>1</v>
          </cell>
          <cell r="J684" t="str">
            <v>C.5.2.4.3</v>
          </cell>
          <cell r="K684" t="str">
            <v>Laboratorio</v>
          </cell>
          <cell r="L684">
            <v>2</v>
          </cell>
          <cell r="M684">
            <v>46024</v>
          </cell>
          <cell r="N684">
            <v>46027</v>
          </cell>
          <cell r="O684">
            <v>1</v>
          </cell>
          <cell r="P684">
            <v>46028</v>
          </cell>
          <cell r="Q684">
            <v>5</v>
          </cell>
          <cell r="R684" t="str">
            <v>NA</v>
          </cell>
          <cell r="S684">
            <v>5</v>
          </cell>
        </row>
        <row r="685">
          <cell r="B685" t="str">
            <v>EMMC</v>
          </cell>
          <cell r="C685" t="str">
            <v>HSLB11346</v>
          </cell>
          <cell r="D685">
            <v>110016</v>
          </cell>
          <cell r="E685" t="str">
            <v>Congelador Clínico Vertical 300 L</v>
          </cell>
          <cell r="F685" t="str">
            <v>NO</v>
          </cell>
          <cell r="G685" t="str">
            <v>NO</v>
          </cell>
          <cell r="H685" t="str">
            <v>OFICINA TECNOLOGO</v>
          </cell>
          <cell r="I685">
            <v>1</v>
          </cell>
          <cell r="J685" t="str">
            <v>C.5.2.33</v>
          </cell>
          <cell r="K685" t="str">
            <v>Laboratorio UMT</v>
          </cell>
          <cell r="L685">
            <v>2</v>
          </cell>
          <cell r="M685">
            <v>46024</v>
          </cell>
          <cell r="N685">
            <v>46027</v>
          </cell>
          <cell r="O685">
            <v>1</v>
          </cell>
          <cell r="P685">
            <v>46028</v>
          </cell>
          <cell r="Q685">
            <v>5</v>
          </cell>
          <cell r="R685" t="str">
            <v>NA</v>
          </cell>
          <cell r="S685">
            <v>5</v>
          </cell>
        </row>
        <row r="686">
          <cell r="B686" t="str">
            <v>EMMC</v>
          </cell>
          <cell r="C686" t="str">
            <v>HSLB11347</v>
          </cell>
          <cell r="D686">
            <v>110016</v>
          </cell>
          <cell r="E686" t="str">
            <v>Congelador Clínico Vertical 300 L</v>
          </cell>
          <cell r="F686" t="str">
            <v>NO</v>
          </cell>
          <cell r="G686" t="str">
            <v>NO</v>
          </cell>
          <cell r="H686" t="str">
            <v>TOMA DE MUESTRA COMUN</v>
          </cell>
          <cell r="I686">
            <v>1</v>
          </cell>
          <cell r="J686" t="str">
            <v>C.5.2.4.3</v>
          </cell>
          <cell r="K686" t="str">
            <v>Laboratorio</v>
          </cell>
          <cell r="L686">
            <v>2</v>
          </cell>
          <cell r="M686">
            <v>46024</v>
          </cell>
          <cell r="N686">
            <v>46027</v>
          </cell>
          <cell r="O686">
            <v>1</v>
          </cell>
          <cell r="P686">
            <v>46028</v>
          </cell>
          <cell r="Q686">
            <v>5</v>
          </cell>
          <cell r="R686" t="str">
            <v>NA</v>
          </cell>
          <cell r="S686">
            <v>5</v>
          </cell>
        </row>
        <row r="687">
          <cell r="B687" t="str">
            <v>EMMC</v>
          </cell>
          <cell r="C687" t="str">
            <v>HSLB11348</v>
          </cell>
          <cell r="D687">
            <v>110017</v>
          </cell>
          <cell r="E687" t="str">
            <v>Congelador Clínico Vertical 600 l</v>
          </cell>
          <cell r="F687" t="str">
            <v>NO</v>
          </cell>
          <cell r="G687" t="str">
            <v>NO</v>
          </cell>
          <cell r="H687" t="str">
            <v>BODEGA DE INSUMOS REACTIVOS REFRIGERADOS</v>
          </cell>
          <cell r="I687">
            <v>1</v>
          </cell>
          <cell r="J687" t="str">
            <v>C.5.2.40</v>
          </cell>
          <cell r="K687" t="str">
            <v>Laboratorio</v>
          </cell>
          <cell r="L687">
            <v>2</v>
          </cell>
          <cell r="M687">
            <v>46024</v>
          </cell>
          <cell r="N687">
            <v>46027</v>
          </cell>
          <cell r="O687">
            <v>1</v>
          </cell>
          <cell r="P687">
            <v>46028</v>
          </cell>
          <cell r="Q687">
            <v>5</v>
          </cell>
          <cell r="R687" t="str">
            <v>NA</v>
          </cell>
          <cell r="S687">
            <v>5</v>
          </cell>
        </row>
        <row r="688">
          <cell r="B688" t="str">
            <v>EMMC</v>
          </cell>
          <cell r="C688" t="str">
            <v>HSLB11332</v>
          </cell>
          <cell r="D688">
            <v>110007</v>
          </cell>
          <cell r="E688" t="str">
            <v>Balanza de Precisión</v>
          </cell>
          <cell r="F688" t="str">
            <v>NO</v>
          </cell>
          <cell r="G688" t="str">
            <v>NO</v>
          </cell>
          <cell r="H688" t="str">
            <v>SECCIÓN BACTERIOLOGÍA</v>
          </cell>
          <cell r="I688">
            <v>1</v>
          </cell>
          <cell r="J688" t="str">
            <v>C.5.2.23</v>
          </cell>
          <cell r="K688" t="str">
            <v>Laboratorio</v>
          </cell>
          <cell r="L688">
            <v>2</v>
          </cell>
          <cell r="M688">
            <v>46024</v>
          </cell>
          <cell r="N688">
            <v>46027</v>
          </cell>
          <cell r="O688">
            <v>1</v>
          </cell>
          <cell r="P688">
            <v>46028</v>
          </cell>
          <cell r="Q688">
            <v>5</v>
          </cell>
          <cell r="R688" t="str">
            <v>NA</v>
          </cell>
          <cell r="S688">
            <v>5</v>
          </cell>
        </row>
        <row r="689">
          <cell r="B689" t="str">
            <v>EMMC</v>
          </cell>
          <cell r="C689" t="str">
            <v>HSLB10466</v>
          </cell>
          <cell r="D689">
            <v>104002</v>
          </cell>
          <cell r="E689" t="str">
            <v>BOMBA ASPIRACIÓN UNIVERSAL</v>
          </cell>
          <cell r="F689" t="str">
            <v>NO</v>
          </cell>
          <cell r="G689" t="str">
            <v>NO</v>
          </cell>
          <cell r="H689" t="str">
            <v>BODEGA DE EQUIPOS MEDICOS</v>
          </cell>
          <cell r="I689">
            <v>3</v>
          </cell>
          <cell r="J689" t="str">
            <v>C.3.3.9</v>
          </cell>
          <cell r="K689" t="str">
            <v>Laboratorio UMT</v>
          </cell>
          <cell r="L689">
            <v>2</v>
          </cell>
          <cell r="M689">
            <v>46024</v>
          </cell>
          <cell r="N689">
            <v>46027</v>
          </cell>
          <cell r="O689">
            <v>1</v>
          </cell>
          <cell r="P689">
            <v>46028</v>
          </cell>
          <cell r="Q689">
            <v>5</v>
          </cell>
          <cell r="R689" t="str">
            <v>NA</v>
          </cell>
          <cell r="S689">
            <v>5</v>
          </cell>
        </row>
        <row r="690">
          <cell r="B690" t="str">
            <v>EMMC</v>
          </cell>
          <cell r="C690" t="str">
            <v>HSLB11332</v>
          </cell>
          <cell r="D690">
            <v>110007</v>
          </cell>
          <cell r="E690" t="str">
            <v>Balanza de Precisión</v>
          </cell>
          <cell r="F690" t="str">
            <v>NO</v>
          </cell>
          <cell r="G690" t="str">
            <v>SI</v>
          </cell>
          <cell r="H690" t="str">
            <v xml:space="preserve">INSUMOS CLÍNICOS </v>
          </cell>
          <cell r="I690">
            <v>0</v>
          </cell>
          <cell r="J690" t="str">
            <v>C.2.2.2.21</v>
          </cell>
          <cell r="K690" t="str">
            <v>Consultas Medicas Generales</v>
          </cell>
          <cell r="L690">
            <v>2</v>
          </cell>
          <cell r="M690">
            <v>46003</v>
          </cell>
          <cell r="N690">
            <v>46006</v>
          </cell>
          <cell r="O690">
            <v>1</v>
          </cell>
          <cell r="P690">
            <v>46008</v>
          </cell>
          <cell r="Q690">
            <v>5</v>
          </cell>
          <cell r="R690" t="str">
            <v>NA</v>
          </cell>
          <cell r="S690">
            <v>5</v>
          </cell>
        </row>
        <row r="691">
          <cell r="B691" t="str">
            <v>EMMC</v>
          </cell>
          <cell r="C691" t="str">
            <v>HSLB11332</v>
          </cell>
          <cell r="D691">
            <v>110007</v>
          </cell>
          <cell r="E691" t="str">
            <v>Balanza de Precisión</v>
          </cell>
          <cell r="F691" t="str">
            <v>NO</v>
          </cell>
          <cell r="G691" t="str">
            <v>SI</v>
          </cell>
          <cell r="H691" t="str">
            <v>BODEGA MATERIAL ESTÉRIL</v>
          </cell>
          <cell r="I691">
            <v>0</v>
          </cell>
          <cell r="J691" t="str">
            <v>C.2.2.2.22</v>
          </cell>
          <cell r="K691" t="str">
            <v>Consultas Medicas Generales</v>
          </cell>
          <cell r="L691">
            <v>2</v>
          </cell>
          <cell r="M691">
            <v>46003</v>
          </cell>
          <cell r="N691">
            <v>46006</v>
          </cell>
          <cell r="O691">
            <v>1</v>
          </cell>
          <cell r="P691">
            <v>46008</v>
          </cell>
          <cell r="Q691">
            <v>5</v>
          </cell>
          <cell r="R691" t="str">
            <v>NA</v>
          </cell>
          <cell r="S691">
            <v>5</v>
          </cell>
        </row>
        <row r="692">
          <cell r="B692" t="str">
            <v>EMMC</v>
          </cell>
          <cell r="C692" t="str">
            <v>HSLB11332</v>
          </cell>
          <cell r="D692">
            <v>110007</v>
          </cell>
          <cell r="E692" t="str">
            <v>Balanza de Precisión</v>
          </cell>
          <cell r="F692" t="str">
            <v>NO</v>
          </cell>
          <cell r="G692" t="str">
            <v>SI</v>
          </cell>
          <cell r="H692" t="str">
            <v>SALA COMANDO DE IMÁGENES DENTAL</v>
          </cell>
          <cell r="I692">
            <v>0</v>
          </cell>
          <cell r="J692" t="str">
            <v>C.2.2.4_A</v>
          </cell>
          <cell r="K692" t="str">
            <v>Odontología</v>
          </cell>
          <cell r="L692">
            <v>2</v>
          </cell>
          <cell r="M692">
            <v>46003</v>
          </cell>
          <cell r="N692">
            <v>46006</v>
          </cell>
          <cell r="O692">
            <v>1</v>
          </cell>
          <cell r="P692">
            <v>46008</v>
          </cell>
          <cell r="Q692">
            <v>5</v>
          </cell>
          <cell r="R692" t="str">
            <v>NA</v>
          </cell>
          <cell r="S692">
            <v>5</v>
          </cell>
        </row>
        <row r="693">
          <cell r="B693" t="str">
            <v>EMMC</v>
          </cell>
          <cell r="C693" t="str">
            <v>HSLB11332</v>
          </cell>
          <cell r="D693">
            <v>110007</v>
          </cell>
          <cell r="E693" t="str">
            <v>Balanza de Precisión</v>
          </cell>
          <cell r="F693" t="str">
            <v>NO</v>
          </cell>
          <cell r="G693" t="str">
            <v>SI</v>
          </cell>
          <cell r="H693" t="str">
            <v>BODEGA MATERIALES E IMPLEMENTOS</v>
          </cell>
          <cell r="I693">
            <v>0</v>
          </cell>
          <cell r="J693" t="str">
            <v>C.2.5.2.26</v>
          </cell>
          <cell r="K693" t="str">
            <v>Psiquiatría</v>
          </cell>
          <cell r="L693">
            <v>2</v>
          </cell>
          <cell r="M693">
            <v>46003</v>
          </cell>
          <cell r="N693">
            <v>46006</v>
          </cell>
          <cell r="O693">
            <v>1</v>
          </cell>
          <cell r="P693">
            <v>46008</v>
          </cell>
          <cell r="Q693">
            <v>5</v>
          </cell>
          <cell r="R693" t="str">
            <v>NA</v>
          </cell>
          <cell r="S693">
            <v>5</v>
          </cell>
        </row>
        <row r="694">
          <cell r="B694" t="str">
            <v>EMMC</v>
          </cell>
          <cell r="C694" t="str">
            <v>HSLB11332</v>
          </cell>
          <cell r="D694">
            <v>110007</v>
          </cell>
          <cell r="E694" t="str">
            <v>Balanza de Precisión</v>
          </cell>
          <cell r="F694" t="str">
            <v>NO</v>
          </cell>
          <cell r="G694" t="str">
            <v>SI</v>
          </cell>
          <cell r="H694" t="str">
            <v>BODEGA DE MATERIALES MULTIUSO</v>
          </cell>
          <cell r="I694">
            <v>0</v>
          </cell>
          <cell r="J694" t="str">
            <v>C.2.5.4.24</v>
          </cell>
          <cell r="K694" t="str">
            <v>Hospital De Día</v>
          </cell>
          <cell r="L694">
            <v>2</v>
          </cell>
          <cell r="M694">
            <v>46003</v>
          </cell>
          <cell r="N694">
            <v>46006</v>
          </cell>
          <cell r="O694">
            <v>1</v>
          </cell>
          <cell r="P694">
            <v>46008</v>
          </cell>
          <cell r="Q694">
            <v>5</v>
          </cell>
          <cell r="R694" t="str">
            <v>NA</v>
          </cell>
          <cell r="S694">
            <v>5</v>
          </cell>
        </row>
        <row r="695">
          <cell r="B695" t="str">
            <v>EMMC</v>
          </cell>
          <cell r="C695" t="str">
            <v>HSLB11332</v>
          </cell>
          <cell r="D695">
            <v>110007</v>
          </cell>
          <cell r="E695" t="str">
            <v>Balanza de Precisión</v>
          </cell>
          <cell r="F695" t="str">
            <v>NO</v>
          </cell>
          <cell r="G695" t="str">
            <v>SI</v>
          </cell>
          <cell r="H695" t="str">
            <v>BODEGA EQUIPOS GENERALES Y AUDIOVISUALES</v>
          </cell>
          <cell r="I695">
            <v>0</v>
          </cell>
          <cell r="J695" t="str">
            <v>C.2.5.4.25</v>
          </cell>
          <cell r="K695" t="str">
            <v>Hospital De Día</v>
          </cell>
          <cell r="L695">
            <v>2</v>
          </cell>
          <cell r="M695">
            <v>46003</v>
          </cell>
          <cell r="N695">
            <v>46006</v>
          </cell>
          <cell r="O695">
            <v>1</v>
          </cell>
          <cell r="P695">
            <v>46008</v>
          </cell>
          <cell r="Q695">
            <v>5</v>
          </cell>
          <cell r="R695" t="str">
            <v>NA</v>
          </cell>
          <cell r="S695">
            <v>5</v>
          </cell>
        </row>
        <row r="696">
          <cell r="B696" t="str">
            <v>EMMC</v>
          </cell>
          <cell r="C696" t="str">
            <v>HSLB11332</v>
          </cell>
          <cell r="D696">
            <v>110007</v>
          </cell>
          <cell r="E696" t="str">
            <v>Balanza de Precisión</v>
          </cell>
          <cell r="F696" t="str">
            <v>NO</v>
          </cell>
          <cell r="G696" t="str">
            <v>SI</v>
          </cell>
          <cell r="H696" t="str">
            <v>BODEGA DE INSUMOS</v>
          </cell>
          <cell r="I696">
            <v>0</v>
          </cell>
          <cell r="J696" t="str">
            <v>C.3.3.10</v>
          </cell>
          <cell r="K696" t="str">
            <v>Laboratorio UMT</v>
          </cell>
          <cell r="L696">
            <v>2</v>
          </cell>
          <cell r="M696">
            <v>46003</v>
          </cell>
          <cell r="N696">
            <v>46006</v>
          </cell>
          <cell r="O696">
            <v>1</v>
          </cell>
          <cell r="P696">
            <v>46008</v>
          </cell>
          <cell r="Q696">
            <v>5</v>
          </cell>
          <cell r="R696" t="str">
            <v>NA</v>
          </cell>
          <cell r="S696">
            <v>5</v>
          </cell>
        </row>
        <row r="697">
          <cell r="B697" t="str">
            <v>EMMC</v>
          </cell>
          <cell r="C697" t="str">
            <v>HSLB11332</v>
          </cell>
          <cell r="D697">
            <v>110007</v>
          </cell>
          <cell r="E697" t="str">
            <v>Balanza de Precisión</v>
          </cell>
          <cell r="F697" t="str">
            <v>NO</v>
          </cell>
          <cell r="G697" t="str">
            <v>SI</v>
          </cell>
          <cell r="H697" t="str">
            <v>BODEGA GENERAL</v>
          </cell>
          <cell r="I697">
            <v>0</v>
          </cell>
          <cell r="J697" t="str">
            <v>C.5.2.6.1</v>
          </cell>
          <cell r="K697" t="str">
            <v>Toma De Muestras</v>
          </cell>
          <cell r="L697">
            <v>2</v>
          </cell>
          <cell r="M697">
            <v>46003</v>
          </cell>
          <cell r="N697">
            <v>46006</v>
          </cell>
          <cell r="O697">
            <v>1</v>
          </cell>
          <cell r="P697">
            <v>46008</v>
          </cell>
          <cell r="Q697">
            <v>5</v>
          </cell>
          <cell r="R697" t="str">
            <v>NA</v>
          </cell>
          <cell r="S697">
            <v>5</v>
          </cell>
        </row>
        <row r="698">
          <cell r="B698" t="str">
            <v>EMMC</v>
          </cell>
          <cell r="C698" t="str">
            <v>HSLB11332</v>
          </cell>
          <cell r="D698">
            <v>110007</v>
          </cell>
          <cell r="E698" t="str">
            <v>Balanza de Precisión</v>
          </cell>
          <cell r="F698" t="str">
            <v>NO</v>
          </cell>
          <cell r="G698" t="str">
            <v>SI</v>
          </cell>
          <cell r="H698" t="str">
            <v>SALA CENTRÍFUGA/RECEPCIÓN DE MUESTRAS</v>
          </cell>
          <cell r="I698">
            <v>0</v>
          </cell>
          <cell r="J698" t="str">
            <v>C.5.2.9 / C.5.2.8</v>
          </cell>
          <cell r="K698" t="str">
            <v>Laboratorio</v>
          </cell>
          <cell r="L698">
            <v>2</v>
          </cell>
          <cell r="M698">
            <v>46003</v>
          </cell>
          <cell r="N698">
            <v>46006</v>
          </cell>
          <cell r="O698">
            <v>1</v>
          </cell>
          <cell r="P698">
            <v>46008</v>
          </cell>
          <cell r="Q698">
            <v>5</v>
          </cell>
          <cell r="R698" t="str">
            <v>NA</v>
          </cell>
          <cell r="S698">
            <v>5</v>
          </cell>
        </row>
        <row r="699">
          <cell r="B699" t="str">
            <v>EMMC</v>
          </cell>
          <cell r="C699" t="str">
            <v>HSLB11332</v>
          </cell>
          <cell r="D699">
            <v>110007</v>
          </cell>
          <cell r="E699" t="str">
            <v>Balanza de Precisión</v>
          </cell>
          <cell r="F699" t="str">
            <v>NO</v>
          </cell>
          <cell r="G699" t="str">
            <v>SI</v>
          </cell>
          <cell r="H699" t="str">
            <v>BODEGA ACTIVA DE INSUMOS Y SOLUCIONES ANTISÉPTICAS</v>
          </cell>
          <cell r="I699">
            <v>0</v>
          </cell>
          <cell r="J699" t="str">
            <v>C.5.4.29</v>
          </cell>
          <cell r="K699" t="str">
            <v>Farmacia</v>
          </cell>
          <cell r="L699">
            <v>2</v>
          </cell>
          <cell r="M699">
            <v>46003</v>
          </cell>
          <cell r="N699">
            <v>46006</v>
          </cell>
          <cell r="O699">
            <v>1</v>
          </cell>
          <cell r="P699">
            <v>46008</v>
          </cell>
          <cell r="Q699">
            <v>5</v>
          </cell>
          <cell r="R699" t="str">
            <v>NA</v>
          </cell>
          <cell r="S699">
            <v>5</v>
          </cell>
        </row>
        <row r="700">
          <cell r="B700" t="str">
            <v>EMMC</v>
          </cell>
          <cell r="C700" t="str">
            <v>HSLB11332</v>
          </cell>
          <cell r="D700">
            <v>110007</v>
          </cell>
          <cell r="E700" t="str">
            <v>Balanza de Precisión</v>
          </cell>
          <cell r="F700" t="str">
            <v>NO</v>
          </cell>
          <cell r="G700" t="str">
            <v>SI</v>
          </cell>
          <cell r="H700" t="str">
            <v>BODEGA DE EQUIPOS</v>
          </cell>
          <cell r="I700">
            <v>0</v>
          </cell>
          <cell r="J700" t="str">
            <v>D.1.2.5</v>
          </cell>
          <cell r="K700" t="str">
            <v>Consultas Ambulatorias</v>
          </cell>
          <cell r="L700">
            <v>2</v>
          </cell>
          <cell r="M700">
            <v>46003</v>
          </cell>
          <cell r="N700">
            <v>46006</v>
          </cell>
          <cell r="O700">
            <v>1</v>
          </cell>
          <cell r="P700">
            <v>46008</v>
          </cell>
          <cell r="Q700">
            <v>5</v>
          </cell>
          <cell r="R700" t="str">
            <v>NA</v>
          </cell>
          <cell r="S700">
            <v>5</v>
          </cell>
        </row>
        <row r="701">
          <cell r="B701" t="str">
            <v>EMMC</v>
          </cell>
          <cell r="C701" t="str">
            <v>HSLB11332</v>
          </cell>
          <cell r="D701">
            <v>110007</v>
          </cell>
          <cell r="E701" t="str">
            <v>Balanza de Precisión</v>
          </cell>
          <cell r="F701" t="str">
            <v>NO</v>
          </cell>
          <cell r="G701" t="str">
            <v>SI</v>
          </cell>
          <cell r="H701" t="str">
            <v>BODEGA DE ABARROTES NO PERECIBLE</v>
          </cell>
          <cell r="I701">
            <v>0</v>
          </cell>
          <cell r="J701" t="str">
            <v>D.3.3.3.12</v>
          </cell>
          <cell r="K701" t="str">
            <v xml:space="preserve">Central de Alimentación </v>
          </cell>
          <cell r="L701">
            <v>2</v>
          </cell>
          <cell r="M701">
            <v>46003</v>
          </cell>
          <cell r="N701">
            <v>46006</v>
          </cell>
          <cell r="O701">
            <v>1</v>
          </cell>
          <cell r="P701">
            <v>46008</v>
          </cell>
          <cell r="Q701">
            <v>5</v>
          </cell>
          <cell r="R701" t="str">
            <v>NA</v>
          </cell>
          <cell r="S701">
            <v>5</v>
          </cell>
        </row>
        <row r="702">
          <cell r="B702" t="str">
            <v>EMMC</v>
          </cell>
          <cell r="C702" t="str">
            <v>HSLB11332</v>
          </cell>
          <cell r="D702">
            <v>110007</v>
          </cell>
          <cell r="E702" t="str">
            <v>Balanza de Precisión</v>
          </cell>
          <cell r="F702" t="str">
            <v>NO</v>
          </cell>
          <cell r="G702" t="str">
            <v>SI</v>
          </cell>
          <cell r="H702" t="str">
            <v>BODEGA DE INSUMOS GENERALES</v>
          </cell>
          <cell r="I702">
            <v>0</v>
          </cell>
          <cell r="J702" t="str">
            <v>E.3.9</v>
          </cell>
          <cell r="K702" t="str">
            <v>Comedor Funcionarios</v>
          </cell>
          <cell r="L702">
            <v>2</v>
          </cell>
          <cell r="M702">
            <v>46003</v>
          </cell>
          <cell r="N702">
            <v>46006</v>
          </cell>
          <cell r="O702">
            <v>1</v>
          </cell>
          <cell r="P702">
            <v>46008</v>
          </cell>
          <cell r="Q702">
            <v>5</v>
          </cell>
          <cell r="R702" t="str">
            <v>NA</v>
          </cell>
          <cell r="S702">
            <v>5</v>
          </cell>
        </row>
        <row r="703">
          <cell r="B703" t="str">
            <v>MNC</v>
          </cell>
          <cell r="C703" t="str">
            <v>HSLB13395</v>
          </cell>
          <cell r="D703">
            <v>201011</v>
          </cell>
          <cell r="E703" t="str">
            <v>Mesa Tipo Casino</v>
          </cell>
          <cell r="F703" t="str">
            <v>NO</v>
          </cell>
          <cell r="G703" t="str">
            <v>NO</v>
          </cell>
          <cell r="H703" t="str">
            <v>CAFETERÍA</v>
          </cell>
          <cell r="I703">
            <v>4</v>
          </cell>
          <cell r="J703" t="str">
            <v>A.1.7.2</v>
          </cell>
          <cell r="K703" t="str">
            <v>Cafetería</v>
          </cell>
          <cell r="L703">
            <v>2</v>
          </cell>
          <cell r="M703">
            <v>46041</v>
          </cell>
          <cell r="N703">
            <v>46042</v>
          </cell>
          <cell r="P703">
            <v>46042</v>
          </cell>
          <cell r="Q703">
            <v>5</v>
          </cell>
          <cell r="R703" t="str">
            <v>NA</v>
          </cell>
          <cell r="S703">
            <v>5</v>
          </cell>
        </row>
        <row r="704">
          <cell r="B704" t="str">
            <v>MNC</v>
          </cell>
          <cell r="C704" t="str">
            <v>HSLB14582</v>
          </cell>
          <cell r="D704">
            <v>204010</v>
          </cell>
          <cell r="E704" t="str">
            <v>Silla tipo Casino</v>
          </cell>
          <cell r="F704" t="str">
            <v>NO</v>
          </cell>
          <cell r="G704" t="str">
            <v>NO</v>
          </cell>
          <cell r="H704" t="str">
            <v>CAFETERIA</v>
          </cell>
          <cell r="I704">
            <v>16</v>
          </cell>
          <cell r="J704" t="str">
            <v>A.1.7.2</v>
          </cell>
          <cell r="K704" t="str">
            <v>Cafetería</v>
          </cell>
          <cell r="L704">
            <v>2</v>
          </cell>
          <cell r="M704">
            <v>46041</v>
          </cell>
          <cell r="N704">
            <v>46042</v>
          </cell>
          <cell r="O704">
            <v>2</v>
          </cell>
          <cell r="P704">
            <v>46044</v>
          </cell>
          <cell r="Q704">
            <v>5</v>
          </cell>
          <cell r="R704" t="str">
            <v>NA</v>
          </cell>
          <cell r="S704">
            <v>5</v>
          </cell>
        </row>
        <row r="705">
          <cell r="B705" t="str">
            <v>MNC</v>
          </cell>
          <cell r="C705" t="str">
            <v>HSLB15211</v>
          </cell>
          <cell r="D705">
            <v>204018</v>
          </cell>
          <cell r="E705" t="str">
            <v>Silla Alta Cafetería</v>
          </cell>
          <cell r="F705" t="str">
            <v>NO</v>
          </cell>
          <cell r="G705" t="str">
            <v>NO</v>
          </cell>
          <cell r="H705" t="str">
            <v>CAFETERIA</v>
          </cell>
          <cell r="I705">
            <v>10</v>
          </cell>
          <cell r="J705" t="str">
            <v>A.1.7.2</v>
          </cell>
          <cell r="K705" t="str">
            <v>Cafetería</v>
          </cell>
          <cell r="L705">
            <v>2</v>
          </cell>
          <cell r="M705">
            <v>46041</v>
          </cell>
          <cell r="N705">
            <v>46042</v>
          </cell>
          <cell r="O705">
            <v>2</v>
          </cell>
          <cell r="P705">
            <v>46044</v>
          </cell>
          <cell r="Q705">
            <v>5</v>
          </cell>
          <cell r="R705" t="str">
            <v>NA</v>
          </cell>
          <cell r="S705">
            <v>5</v>
          </cell>
        </row>
        <row r="706">
          <cell r="B706" t="str">
            <v>MNC</v>
          </cell>
          <cell r="C706" t="str">
            <v>HSLB15212</v>
          </cell>
          <cell r="D706">
            <v>204002</v>
          </cell>
          <cell r="E706" t="str">
            <v>Banca Madera</v>
          </cell>
          <cell r="F706" t="str">
            <v>NO</v>
          </cell>
          <cell r="G706" t="str">
            <v>NO</v>
          </cell>
          <cell r="H706" t="str">
            <v>VESTIDOR</v>
          </cell>
          <cell r="I706">
            <v>1</v>
          </cell>
          <cell r="J706" t="str">
            <v>A.1.7.2_B</v>
          </cell>
          <cell r="K706" t="str">
            <v>Cafetería</v>
          </cell>
          <cell r="L706">
            <v>2</v>
          </cell>
          <cell r="M706">
            <v>46041</v>
          </cell>
          <cell r="N706">
            <v>46042</v>
          </cell>
          <cell r="O706">
            <v>2</v>
          </cell>
          <cell r="P706">
            <v>46044</v>
          </cell>
          <cell r="Q706">
            <v>5</v>
          </cell>
          <cell r="R706" t="str">
            <v>NA</v>
          </cell>
          <cell r="S706">
            <v>5</v>
          </cell>
        </row>
        <row r="707">
          <cell r="B707" t="str">
            <v>MNC</v>
          </cell>
          <cell r="C707" t="str">
            <v>HSLB15219</v>
          </cell>
          <cell r="D707">
            <v>204020</v>
          </cell>
          <cell r="E707" t="str">
            <v>Silla Butaca Espera 3 Cuerpos</v>
          </cell>
          <cell r="F707" t="str">
            <v>NO</v>
          </cell>
          <cell r="G707" t="str">
            <v>NO</v>
          </cell>
          <cell r="H707" t="str">
            <v xml:space="preserve">SALA DE ESPERA </v>
          </cell>
          <cell r="I707">
            <v>35</v>
          </cell>
          <cell r="J707" t="str">
            <v>C.2.2.2.1</v>
          </cell>
          <cell r="K707" t="str">
            <v>Consultas medicas generales</v>
          </cell>
          <cell r="L707">
            <v>2</v>
          </cell>
          <cell r="M707">
            <v>46036</v>
          </cell>
          <cell r="N707">
            <v>46037</v>
          </cell>
          <cell r="O707">
            <v>2</v>
          </cell>
          <cell r="P707">
            <v>46041</v>
          </cell>
          <cell r="Q707">
            <v>5</v>
          </cell>
          <cell r="R707" t="str">
            <v>NA</v>
          </cell>
          <cell r="S707">
            <v>5</v>
          </cell>
        </row>
        <row r="708">
          <cell r="B708" t="str">
            <v>MNC</v>
          </cell>
          <cell r="C708" t="str">
            <v>HSLB13031</v>
          </cell>
          <cell r="D708">
            <v>201001</v>
          </cell>
          <cell r="E708" t="str">
            <v>Estación de Trabajo</v>
          </cell>
          <cell r="F708" t="str">
            <v>NO</v>
          </cell>
          <cell r="G708" t="str">
            <v>NO</v>
          </cell>
          <cell r="H708" t="str">
            <v>BOX MATRONA C/BAÑO</v>
          </cell>
          <cell r="I708">
            <v>1</v>
          </cell>
          <cell r="J708" t="str">
            <v>C.2.2.2.10</v>
          </cell>
          <cell r="K708" t="str">
            <v>Consultas medicas generales</v>
          </cell>
          <cell r="L708">
            <v>2</v>
          </cell>
          <cell r="M708">
            <v>46036</v>
          </cell>
          <cell r="N708">
            <v>46037</v>
          </cell>
          <cell r="O708">
            <v>2</v>
          </cell>
          <cell r="P708">
            <v>46041</v>
          </cell>
          <cell r="Q708">
            <v>5</v>
          </cell>
          <cell r="R708" t="str">
            <v>NA</v>
          </cell>
          <cell r="S708">
            <v>5</v>
          </cell>
        </row>
        <row r="709">
          <cell r="B709" t="str">
            <v>MNC</v>
          </cell>
          <cell r="C709" t="str">
            <v>HSLB14201</v>
          </cell>
          <cell r="D709">
            <v>204006</v>
          </cell>
          <cell r="E709" t="str">
            <v>Silla Ergonómica</v>
          </cell>
          <cell r="F709" t="str">
            <v>NO</v>
          </cell>
          <cell r="G709" t="str">
            <v>NO</v>
          </cell>
          <cell r="H709" t="str">
            <v>BOX MATRONA C/BAÑO</v>
          </cell>
          <cell r="I709">
            <v>1</v>
          </cell>
          <cell r="J709" t="str">
            <v>C.2.2.2.10</v>
          </cell>
          <cell r="K709" t="str">
            <v>Consultas medicas generales</v>
          </cell>
          <cell r="L709">
            <v>2</v>
          </cell>
          <cell r="M709">
            <v>46036</v>
          </cell>
          <cell r="N709">
            <v>46037</v>
          </cell>
          <cell r="O709">
            <v>2</v>
          </cell>
          <cell r="P709">
            <v>46041</v>
          </cell>
          <cell r="Q709">
            <v>5</v>
          </cell>
          <cell r="R709" t="str">
            <v>NA</v>
          </cell>
          <cell r="S709">
            <v>5</v>
          </cell>
        </row>
        <row r="710">
          <cell r="B710" t="str">
            <v>MNC</v>
          </cell>
          <cell r="C710" t="str">
            <v>HSLB14657</v>
          </cell>
          <cell r="D710">
            <v>204012</v>
          </cell>
          <cell r="E710" t="str">
            <v>Silla Visita</v>
          </cell>
          <cell r="F710" t="str">
            <v>NO</v>
          </cell>
          <cell r="G710" t="str">
            <v>NO</v>
          </cell>
          <cell r="H710" t="str">
            <v>BOX MATRONA C/BAÑO</v>
          </cell>
          <cell r="I710">
            <v>2</v>
          </cell>
          <cell r="J710" t="str">
            <v>C.2.2.2.10</v>
          </cell>
          <cell r="K710" t="str">
            <v>Consultas medicas generales</v>
          </cell>
          <cell r="L710">
            <v>2</v>
          </cell>
          <cell r="M710">
            <v>46036</v>
          </cell>
          <cell r="N710">
            <v>46037</v>
          </cell>
          <cell r="O710">
            <v>2</v>
          </cell>
          <cell r="P710">
            <v>46041</v>
          </cell>
          <cell r="Q710">
            <v>5</v>
          </cell>
          <cell r="R710" t="str">
            <v>NA</v>
          </cell>
          <cell r="S710">
            <v>5</v>
          </cell>
        </row>
        <row r="711">
          <cell r="B711" t="str">
            <v>MNC</v>
          </cell>
          <cell r="C711" t="str">
            <v>HSLB13032</v>
          </cell>
          <cell r="D711">
            <v>201001</v>
          </cell>
          <cell r="E711" t="str">
            <v>Estación de Trabajo</v>
          </cell>
          <cell r="F711" t="str">
            <v>NO</v>
          </cell>
          <cell r="G711" t="str">
            <v>NO</v>
          </cell>
          <cell r="H711" t="str">
            <v>BOX ENFERMERA POLICLÍNICO</v>
          </cell>
          <cell r="I711">
            <v>1</v>
          </cell>
          <cell r="J711" t="str">
            <v>C.2.2.2.11.1</v>
          </cell>
          <cell r="K711" t="str">
            <v>Consultas medicas generales</v>
          </cell>
          <cell r="L711">
            <v>2</v>
          </cell>
          <cell r="M711">
            <v>46036</v>
          </cell>
          <cell r="N711">
            <v>46037</v>
          </cell>
          <cell r="O711">
            <v>2</v>
          </cell>
          <cell r="P711">
            <v>46041</v>
          </cell>
          <cell r="Q711">
            <v>5</v>
          </cell>
          <cell r="R711" t="str">
            <v>NA</v>
          </cell>
          <cell r="S711">
            <v>5</v>
          </cell>
        </row>
        <row r="712">
          <cell r="B712" t="str">
            <v>MNC</v>
          </cell>
          <cell r="C712" t="str">
            <v>HSLB14202</v>
          </cell>
          <cell r="D712">
            <v>204006</v>
          </cell>
          <cell r="E712" t="str">
            <v>Silla Ergonómica</v>
          </cell>
          <cell r="F712" t="str">
            <v>NO</v>
          </cell>
          <cell r="G712" t="str">
            <v>NO</v>
          </cell>
          <cell r="H712" t="str">
            <v>BOX ENFERMERA POLICLÍNICO</v>
          </cell>
          <cell r="I712">
            <v>1</v>
          </cell>
          <cell r="J712" t="str">
            <v>C.2.2.2.11.1</v>
          </cell>
          <cell r="K712" t="str">
            <v>Consultas medicas generales</v>
          </cell>
          <cell r="L712">
            <v>2</v>
          </cell>
          <cell r="M712">
            <v>46036</v>
          </cell>
          <cell r="N712">
            <v>46037</v>
          </cell>
          <cell r="O712">
            <v>2</v>
          </cell>
          <cell r="P712">
            <v>46041</v>
          </cell>
          <cell r="Q712">
            <v>5</v>
          </cell>
          <cell r="R712" t="str">
            <v>NA</v>
          </cell>
          <cell r="S712">
            <v>5</v>
          </cell>
        </row>
        <row r="713">
          <cell r="B713" t="str">
            <v>MNC</v>
          </cell>
          <cell r="C713" t="str">
            <v>HSLB14658</v>
          </cell>
          <cell r="D713">
            <v>204012</v>
          </cell>
          <cell r="E713" t="str">
            <v>Silla Visita</v>
          </cell>
          <cell r="F713" t="str">
            <v>NO</v>
          </cell>
          <cell r="G713" t="str">
            <v>NO</v>
          </cell>
          <cell r="H713" t="str">
            <v>BOX ENFERMERA POLICLÍNICO</v>
          </cell>
          <cell r="I713">
            <v>2</v>
          </cell>
          <cell r="J713" t="str">
            <v>C.2.2.2.11.1</v>
          </cell>
          <cell r="K713" t="str">
            <v>Consultas medicas generales</v>
          </cell>
          <cell r="L713">
            <v>2</v>
          </cell>
          <cell r="M713">
            <v>46036</v>
          </cell>
          <cell r="N713">
            <v>46037</v>
          </cell>
          <cell r="O713">
            <v>2</v>
          </cell>
          <cell r="P713">
            <v>46041</v>
          </cell>
          <cell r="Q713">
            <v>5</v>
          </cell>
          <cell r="R713" t="str">
            <v>NA</v>
          </cell>
          <cell r="S713">
            <v>5</v>
          </cell>
        </row>
        <row r="714">
          <cell r="B714" t="str">
            <v>MNC</v>
          </cell>
          <cell r="C714" t="str">
            <v>HSLB13033</v>
          </cell>
          <cell r="D714">
            <v>201001</v>
          </cell>
          <cell r="E714" t="str">
            <v>Estación de Trabajo</v>
          </cell>
          <cell r="F714" t="str">
            <v>NO</v>
          </cell>
          <cell r="G714" t="str">
            <v>NO</v>
          </cell>
          <cell r="H714" t="str">
            <v>BOX ENFERMERA POLICLÍNICO</v>
          </cell>
          <cell r="I714">
            <v>1</v>
          </cell>
          <cell r="J714" t="str">
            <v>C.2.2.2.11.2</v>
          </cell>
          <cell r="K714" t="str">
            <v>Consultas medicas generales</v>
          </cell>
          <cell r="L714">
            <v>2</v>
          </cell>
          <cell r="M714">
            <v>46036</v>
          </cell>
          <cell r="N714">
            <v>46037</v>
          </cell>
          <cell r="O714">
            <v>2</v>
          </cell>
          <cell r="P714">
            <v>46041</v>
          </cell>
          <cell r="Q714">
            <v>5</v>
          </cell>
          <cell r="R714" t="str">
            <v>NA</v>
          </cell>
          <cell r="S714">
            <v>5</v>
          </cell>
        </row>
        <row r="715">
          <cell r="B715" t="str">
            <v>MNC</v>
          </cell>
          <cell r="C715" t="str">
            <v>HSLB14203</v>
          </cell>
          <cell r="D715">
            <v>204006</v>
          </cell>
          <cell r="E715" t="str">
            <v>Silla Ergonómica</v>
          </cell>
          <cell r="F715" t="str">
            <v>NO</v>
          </cell>
          <cell r="G715" t="str">
            <v>NO</v>
          </cell>
          <cell r="H715" t="str">
            <v>BOX ENFERMERA POLICLÍNICO</v>
          </cell>
          <cell r="I715">
            <v>1</v>
          </cell>
          <cell r="J715" t="str">
            <v>C.2.2.2.11.2</v>
          </cell>
          <cell r="K715" t="str">
            <v>Consultas medicas generales</v>
          </cell>
          <cell r="L715">
            <v>2</v>
          </cell>
          <cell r="M715">
            <v>46036</v>
          </cell>
          <cell r="N715">
            <v>46037</v>
          </cell>
          <cell r="O715">
            <v>2</v>
          </cell>
          <cell r="P715">
            <v>46041</v>
          </cell>
          <cell r="Q715">
            <v>5</v>
          </cell>
          <cell r="R715" t="str">
            <v>NA</v>
          </cell>
          <cell r="S715">
            <v>5</v>
          </cell>
        </row>
        <row r="716">
          <cell r="B716" t="str">
            <v>MNC</v>
          </cell>
          <cell r="C716" t="str">
            <v>HSLB14659</v>
          </cell>
          <cell r="D716">
            <v>204012</v>
          </cell>
          <cell r="E716" t="str">
            <v>Silla Visita</v>
          </cell>
          <cell r="F716" t="str">
            <v>NO</v>
          </cell>
          <cell r="G716" t="str">
            <v>NO</v>
          </cell>
          <cell r="H716" t="str">
            <v>BOX ENFERMERA POLICLÍNICO</v>
          </cell>
          <cell r="I716">
            <v>2</v>
          </cell>
          <cell r="J716" t="str">
            <v>C.2.2.2.11.2</v>
          </cell>
          <cell r="K716" t="str">
            <v>Consultas medicas generales</v>
          </cell>
          <cell r="L716">
            <v>2</v>
          </cell>
          <cell r="M716">
            <v>46036</v>
          </cell>
          <cell r="N716">
            <v>46037</v>
          </cell>
          <cell r="O716">
            <v>2</v>
          </cell>
          <cell r="P716">
            <v>46041</v>
          </cell>
          <cell r="Q716">
            <v>5</v>
          </cell>
          <cell r="R716" t="str">
            <v>NA</v>
          </cell>
          <cell r="S716">
            <v>5</v>
          </cell>
        </row>
        <row r="717">
          <cell r="B717" t="str">
            <v>MNC</v>
          </cell>
          <cell r="C717" t="str">
            <v>HSLB13034</v>
          </cell>
          <cell r="D717">
            <v>201001</v>
          </cell>
          <cell r="E717" t="str">
            <v>Estación de Trabajo</v>
          </cell>
          <cell r="F717" t="str">
            <v>NO</v>
          </cell>
          <cell r="G717" t="str">
            <v>NO</v>
          </cell>
          <cell r="H717" t="str">
            <v>BOX MEDICINA COMPLEMENTARIA Y ALTERNATIVA</v>
          </cell>
          <cell r="I717">
            <v>1</v>
          </cell>
          <cell r="J717" t="str">
            <v>C.2.2.2.12</v>
          </cell>
          <cell r="K717" t="str">
            <v>Consultas medicas generales</v>
          </cell>
          <cell r="L717">
            <v>2</v>
          </cell>
          <cell r="M717">
            <v>46036</v>
          </cell>
          <cell r="N717">
            <v>46037</v>
          </cell>
          <cell r="O717">
            <v>2</v>
          </cell>
          <cell r="P717">
            <v>46041</v>
          </cell>
          <cell r="Q717">
            <v>5</v>
          </cell>
          <cell r="R717" t="str">
            <v>NA</v>
          </cell>
          <cell r="S717">
            <v>5</v>
          </cell>
        </row>
        <row r="718">
          <cell r="B718" t="str">
            <v>MNC</v>
          </cell>
          <cell r="C718" t="str">
            <v>HSLB14204</v>
          </cell>
          <cell r="D718">
            <v>204006</v>
          </cell>
          <cell r="E718" t="str">
            <v>Silla Ergonómica</v>
          </cell>
          <cell r="F718" t="str">
            <v>NO</v>
          </cell>
          <cell r="G718" t="str">
            <v>NO</v>
          </cell>
          <cell r="H718" t="str">
            <v>BOX MEDICINA COMPLEMENTARIA Y ALTERNATIVA</v>
          </cell>
          <cell r="I718">
            <v>1</v>
          </cell>
          <cell r="J718" t="str">
            <v>C.2.2.2.12</v>
          </cell>
          <cell r="K718" t="str">
            <v>Consultas medicas generales</v>
          </cell>
          <cell r="L718">
            <v>2</v>
          </cell>
          <cell r="M718">
            <v>46036</v>
          </cell>
          <cell r="N718">
            <v>46037</v>
          </cell>
          <cell r="O718">
            <v>2</v>
          </cell>
          <cell r="P718">
            <v>46041</v>
          </cell>
          <cell r="Q718">
            <v>5</v>
          </cell>
          <cell r="R718" t="str">
            <v>NA</v>
          </cell>
          <cell r="S718">
            <v>5</v>
          </cell>
        </row>
        <row r="719">
          <cell r="B719" t="str">
            <v>MNC</v>
          </cell>
          <cell r="C719" t="str">
            <v>HSLB14660</v>
          </cell>
          <cell r="D719">
            <v>204012</v>
          </cell>
          <cell r="E719" t="str">
            <v>Silla Visita</v>
          </cell>
          <cell r="F719" t="str">
            <v>NO</v>
          </cell>
          <cell r="G719" t="str">
            <v>NO</v>
          </cell>
          <cell r="H719" t="str">
            <v>BOX MEDICINA COMPLEMENTARIA Y ALTERNATIVA</v>
          </cell>
          <cell r="I719">
            <v>2</v>
          </cell>
          <cell r="J719" t="str">
            <v>C.2.2.2.12</v>
          </cell>
          <cell r="K719" t="str">
            <v>Consultas medicas generales</v>
          </cell>
          <cell r="L719">
            <v>2</v>
          </cell>
          <cell r="M719">
            <v>46036</v>
          </cell>
          <cell r="N719">
            <v>46037</v>
          </cell>
          <cell r="O719">
            <v>2</v>
          </cell>
          <cell r="P719">
            <v>46041</v>
          </cell>
          <cell r="Q719">
            <v>5</v>
          </cell>
          <cell r="R719" t="str">
            <v>NA</v>
          </cell>
          <cell r="S719">
            <v>5</v>
          </cell>
        </row>
        <row r="720">
          <cell r="B720" t="str">
            <v>MNC</v>
          </cell>
          <cell r="C720" t="str">
            <v>HSLB13035</v>
          </cell>
          <cell r="D720">
            <v>201001</v>
          </cell>
          <cell r="E720" t="str">
            <v>Estación de Trabajo</v>
          </cell>
          <cell r="F720" t="str">
            <v>NO</v>
          </cell>
          <cell r="G720" t="str">
            <v>NO</v>
          </cell>
          <cell r="H720" t="str">
            <v>BOX MULTIPROPÓSITO</v>
          </cell>
          <cell r="I720">
            <v>1</v>
          </cell>
          <cell r="J720" t="str">
            <v>C.2.2.2.13</v>
          </cell>
          <cell r="K720" t="str">
            <v>Consultas medicas generales</v>
          </cell>
          <cell r="L720">
            <v>2</v>
          </cell>
          <cell r="M720">
            <v>46036</v>
          </cell>
          <cell r="N720">
            <v>46037</v>
          </cell>
          <cell r="O720">
            <v>2</v>
          </cell>
          <cell r="P720">
            <v>46041</v>
          </cell>
          <cell r="Q720">
            <v>5</v>
          </cell>
          <cell r="R720" t="str">
            <v>NA</v>
          </cell>
          <cell r="S720">
            <v>5</v>
          </cell>
        </row>
        <row r="721">
          <cell r="B721" t="str">
            <v>MNC</v>
          </cell>
          <cell r="C721" t="str">
            <v>HSLB14205</v>
          </cell>
          <cell r="D721">
            <v>204006</v>
          </cell>
          <cell r="E721" t="str">
            <v>Silla Ergonómica</v>
          </cell>
          <cell r="F721" t="str">
            <v>NO</v>
          </cell>
          <cell r="G721" t="str">
            <v>NO</v>
          </cell>
          <cell r="H721" t="str">
            <v>BOX MULTIPROPÓSITO</v>
          </cell>
          <cell r="I721">
            <v>1</v>
          </cell>
          <cell r="J721" t="str">
            <v>C.2.2.2.13</v>
          </cell>
          <cell r="K721" t="str">
            <v>Consultas medicas generales</v>
          </cell>
          <cell r="L721">
            <v>2</v>
          </cell>
          <cell r="M721">
            <v>46036</v>
          </cell>
          <cell r="N721">
            <v>46037</v>
          </cell>
          <cell r="O721">
            <v>2</v>
          </cell>
          <cell r="P721">
            <v>46041</v>
          </cell>
          <cell r="Q721">
            <v>5</v>
          </cell>
          <cell r="R721" t="str">
            <v>NA</v>
          </cell>
          <cell r="S721">
            <v>5</v>
          </cell>
        </row>
        <row r="722">
          <cell r="B722" t="str">
            <v>MNC</v>
          </cell>
          <cell r="C722" t="str">
            <v>HSLB14661</v>
          </cell>
          <cell r="D722">
            <v>204012</v>
          </cell>
          <cell r="E722" t="str">
            <v>Silla Visita</v>
          </cell>
          <cell r="F722" t="str">
            <v>NO</v>
          </cell>
          <cell r="G722" t="str">
            <v>NO</v>
          </cell>
          <cell r="H722" t="str">
            <v>BOX MULTIPROPÓSITO</v>
          </cell>
          <cell r="I722">
            <v>2</v>
          </cell>
          <cell r="J722" t="str">
            <v>C.2.2.2.13</v>
          </cell>
          <cell r="K722" t="str">
            <v>Consultas medicas generales</v>
          </cell>
          <cell r="L722">
            <v>2</v>
          </cell>
          <cell r="M722">
            <v>46036</v>
          </cell>
          <cell r="N722">
            <v>46037</v>
          </cell>
          <cell r="O722">
            <v>2</v>
          </cell>
          <cell r="P722">
            <v>46041</v>
          </cell>
          <cell r="Q722">
            <v>5</v>
          </cell>
          <cell r="R722" t="str">
            <v>NA</v>
          </cell>
          <cell r="S722">
            <v>5</v>
          </cell>
        </row>
        <row r="723">
          <cell r="B723" t="str">
            <v>MNC</v>
          </cell>
          <cell r="C723" t="str">
            <v>HSLB14206</v>
          </cell>
          <cell r="D723">
            <v>204006</v>
          </cell>
          <cell r="E723" t="str">
            <v>Silla Ergonómica</v>
          </cell>
          <cell r="F723" t="str">
            <v>NO</v>
          </cell>
          <cell r="G723" t="str">
            <v>NO</v>
          </cell>
          <cell r="H723" t="str">
            <v>SALA PROCEDIMIENTOS MONITOREO FETAL</v>
          </cell>
          <cell r="I723">
            <v>1</v>
          </cell>
          <cell r="J723" t="str">
            <v>C.2.2.2.14</v>
          </cell>
          <cell r="K723" t="str">
            <v>Consultas medicas generales</v>
          </cell>
          <cell r="L723">
            <v>2</v>
          </cell>
          <cell r="M723">
            <v>46036</v>
          </cell>
          <cell r="N723">
            <v>46037</v>
          </cell>
          <cell r="O723">
            <v>2</v>
          </cell>
          <cell r="P723">
            <v>46041</v>
          </cell>
          <cell r="Q723">
            <v>5</v>
          </cell>
          <cell r="R723" t="str">
            <v>NA</v>
          </cell>
          <cell r="S723">
            <v>5</v>
          </cell>
        </row>
        <row r="724">
          <cell r="B724" t="str">
            <v>MNC</v>
          </cell>
          <cell r="C724" t="str">
            <v>HSLB14662</v>
          </cell>
          <cell r="D724">
            <v>204012</v>
          </cell>
          <cell r="E724" t="str">
            <v>Silla Visita</v>
          </cell>
          <cell r="F724" t="str">
            <v>NO</v>
          </cell>
          <cell r="G724" t="str">
            <v>NO</v>
          </cell>
          <cell r="H724" t="str">
            <v>SALA PROCEDIMIENTOS MONITOREO FETAL</v>
          </cell>
          <cell r="I724">
            <v>1</v>
          </cell>
          <cell r="J724" t="str">
            <v>C.2.2.2.14</v>
          </cell>
          <cell r="K724" t="str">
            <v>Consultas medicas generales</v>
          </cell>
          <cell r="L724">
            <v>2</v>
          </cell>
          <cell r="M724">
            <v>46036</v>
          </cell>
          <cell r="N724">
            <v>46037</v>
          </cell>
          <cell r="O724">
            <v>2</v>
          </cell>
          <cell r="P724">
            <v>46041</v>
          </cell>
          <cell r="Q724">
            <v>5</v>
          </cell>
          <cell r="R724" t="str">
            <v>NA</v>
          </cell>
          <cell r="S724">
            <v>5</v>
          </cell>
        </row>
        <row r="725">
          <cell r="B725" t="str">
            <v>MNC</v>
          </cell>
          <cell r="C725" t="str">
            <v>HSLB13037</v>
          </cell>
          <cell r="D725">
            <v>201001</v>
          </cell>
          <cell r="E725" t="str">
            <v>Estación de Trabajo</v>
          </cell>
          <cell r="F725" t="str">
            <v>NO</v>
          </cell>
          <cell r="G725" t="str">
            <v>NO</v>
          </cell>
          <cell r="H725" t="str">
            <v>SALA PROCEDIMIENTOS GINECO-OBSTÉTRICO</v>
          </cell>
          <cell r="I725">
            <v>1</v>
          </cell>
          <cell r="J725" t="str">
            <v>C.2.2.2.15</v>
          </cell>
          <cell r="K725" t="str">
            <v>Consultas medicas generales</v>
          </cell>
          <cell r="L725">
            <v>2</v>
          </cell>
          <cell r="M725">
            <v>46036</v>
          </cell>
          <cell r="N725">
            <v>46037</v>
          </cell>
          <cell r="O725">
            <v>2</v>
          </cell>
          <cell r="P725">
            <v>46041</v>
          </cell>
          <cell r="Q725">
            <v>5</v>
          </cell>
          <cell r="R725" t="str">
            <v>NA</v>
          </cell>
          <cell r="S725">
            <v>5</v>
          </cell>
        </row>
        <row r="726">
          <cell r="B726" t="str">
            <v>MNC</v>
          </cell>
          <cell r="C726" t="str">
            <v>HSLB14207</v>
          </cell>
          <cell r="D726">
            <v>204006</v>
          </cell>
          <cell r="E726" t="str">
            <v>Silla Ergonómica</v>
          </cell>
          <cell r="F726" t="str">
            <v>NO</v>
          </cell>
          <cell r="G726" t="str">
            <v>NO</v>
          </cell>
          <cell r="H726" t="str">
            <v>SALA PROCEDIMIENTOS GINECO-OBSTÉTRICO</v>
          </cell>
          <cell r="I726">
            <v>1</v>
          </cell>
          <cell r="J726" t="str">
            <v>C.2.2.2.15</v>
          </cell>
          <cell r="K726" t="str">
            <v>Consultas medicas generales</v>
          </cell>
          <cell r="L726">
            <v>2</v>
          </cell>
          <cell r="M726">
            <v>46036</v>
          </cell>
          <cell r="N726">
            <v>46037</v>
          </cell>
          <cell r="O726">
            <v>2</v>
          </cell>
          <cell r="P726">
            <v>46041</v>
          </cell>
          <cell r="Q726">
            <v>5</v>
          </cell>
          <cell r="R726" t="str">
            <v>NA</v>
          </cell>
          <cell r="S726">
            <v>5</v>
          </cell>
        </row>
        <row r="727">
          <cell r="B727" t="str">
            <v>MNC</v>
          </cell>
          <cell r="C727" t="str">
            <v>HSLB14663</v>
          </cell>
          <cell r="D727">
            <v>204012</v>
          </cell>
          <cell r="E727" t="str">
            <v>Silla Visita</v>
          </cell>
          <cell r="F727" t="str">
            <v>NO</v>
          </cell>
          <cell r="G727" t="str">
            <v>NO</v>
          </cell>
          <cell r="H727" t="str">
            <v>SALA PROCEDIMIENTOS GINECO-OBSTÉTRICO</v>
          </cell>
          <cell r="I727">
            <v>2</v>
          </cell>
          <cell r="J727" t="str">
            <v>C.2.2.2.15</v>
          </cell>
          <cell r="K727" t="str">
            <v>Consultas medicas generales</v>
          </cell>
          <cell r="L727">
            <v>2</v>
          </cell>
          <cell r="M727">
            <v>46036</v>
          </cell>
          <cell r="N727">
            <v>46037</v>
          </cell>
          <cell r="O727">
            <v>2</v>
          </cell>
          <cell r="P727">
            <v>46041</v>
          </cell>
          <cell r="Q727">
            <v>5</v>
          </cell>
          <cell r="R727" t="str">
            <v>NA</v>
          </cell>
          <cell r="S727">
            <v>5</v>
          </cell>
        </row>
        <row r="728">
          <cell r="B728" t="str">
            <v>MNC</v>
          </cell>
          <cell r="C728" t="str">
            <v>HSLB14208</v>
          </cell>
          <cell r="D728">
            <v>204006</v>
          </cell>
          <cell r="E728" t="str">
            <v>Silla Ergonómica</v>
          </cell>
          <cell r="F728" t="str">
            <v>NO</v>
          </cell>
          <cell r="G728" t="str">
            <v>NO</v>
          </cell>
          <cell r="H728" t="str">
            <v>SALA PROCEDIMIENTOS ENFERMERÍA INFANTIL</v>
          </cell>
          <cell r="I728">
            <v>1</v>
          </cell>
          <cell r="J728" t="str">
            <v>C.2.2.2.16</v>
          </cell>
          <cell r="K728" t="str">
            <v>Consultas medicas generales</v>
          </cell>
          <cell r="L728">
            <v>2</v>
          </cell>
          <cell r="M728">
            <v>46036</v>
          </cell>
          <cell r="N728">
            <v>46037</v>
          </cell>
          <cell r="O728">
            <v>2</v>
          </cell>
          <cell r="P728">
            <v>46041</v>
          </cell>
          <cell r="Q728">
            <v>5</v>
          </cell>
          <cell r="R728" t="str">
            <v>NA</v>
          </cell>
          <cell r="S728">
            <v>5</v>
          </cell>
        </row>
        <row r="729">
          <cell r="B729" t="str">
            <v>MNC</v>
          </cell>
          <cell r="C729" t="str">
            <v>HSLB14664</v>
          </cell>
          <cell r="D729">
            <v>204012</v>
          </cell>
          <cell r="E729" t="str">
            <v>Silla Visita</v>
          </cell>
          <cell r="F729" t="str">
            <v>NO</v>
          </cell>
          <cell r="G729" t="str">
            <v>NO</v>
          </cell>
          <cell r="H729" t="str">
            <v>SALA PROCEDIMIENTOS ENFERMERÍA INFANTIL</v>
          </cell>
          <cell r="I729">
            <v>1</v>
          </cell>
          <cell r="J729" t="str">
            <v>C.2.2.2.16</v>
          </cell>
          <cell r="K729" t="str">
            <v>Consultas medicas generales</v>
          </cell>
          <cell r="L729">
            <v>2</v>
          </cell>
          <cell r="M729">
            <v>46036</v>
          </cell>
          <cell r="N729">
            <v>46037</v>
          </cell>
          <cell r="O729">
            <v>2</v>
          </cell>
          <cell r="P729">
            <v>46041</v>
          </cell>
          <cell r="Q729">
            <v>5</v>
          </cell>
          <cell r="R729" t="str">
            <v>NA</v>
          </cell>
          <cell r="S729">
            <v>5</v>
          </cell>
        </row>
        <row r="730">
          <cell r="B730" t="str">
            <v>MNC</v>
          </cell>
          <cell r="C730" t="str">
            <v>HSLB15220</v>
          </cell>
          <cell r="D730">
            <v>201001</v>
          </cell>
          <cell r="E730" t="str">
            <v>Estación de Trabajo</v>
          </cell>
          <cell r="F730" t="str">
            <v>NO</v>
          </cell>
          <cell r="G730" t="str">
            <v>NO</v>
          </cell>
          <cell r="H730" t="str">
            <v>SALA PROCEDIMIENTOS ENFERMERÍA INFANTIL</v>
          </cell>
          <cell r="I730">
            <v>1</v>
          </cell>
          <cell r="J730" t="str">
            <v>C.2.2.2.16</v>
          </cell>
          <cell r="K730" t="str">
            <v>Consultas medicas generales</v>
          </cell>
          <cell r="L730">
            <v>2</v>
          </cell>
          <cell r="M730">
            <v>46036</v>
          </cell>
          <cell r="N730">
            <v>46037</v>
          </cell>
          <cell r="O730">
            <v>2</v>
          </cell>
          <cell r="P730">
            <v>46041</v>
          </cell>
          <cell r="Q730">
            <v>5</v>
          </cell>
          <cell r="R730" t="str">
            <v>NA</v>
          </cell>
          <cell r="S730">
            <v>5</v>
          </cell>
        </row>
        <row r="731">
          <cell r="B731" t="str">
            <v>MNC</v>
          </cell>
          <cell r="C731" t="str">
            <v>HSLB14209</v>
          </cell>
          <cell r="D731">
            <v>204006</v>
          </cell>
          <cell r="E731" t="str">
            <v>Silla Ergonómica</v>
          </cell>
          <cell r="F731" t="str">
            <v>NO</v>
          </cell>
          <cell r="G731" t="str">
            <v>NO</v>
          </cell>
          <cell r="H731" t="str">
            <v>SALA DE PROCEDIMIENTOS ENFERMERÍA ADULTO</v>
          </cell>
          <cell r="I731">
            <v>1</v>
          </cell>
          <cell r="J731" t="str">
            <v>C.2.2.2.17.1</v>
          </cell>
          <cell r="K731" t="str">
            <v>Consultas medicas generales</v>
          </cell>
          <cell r="L731">
            <v>2</v>
          </cell>
          <cell r="M731">
            <v>46036</v>
          </cell>
          <cell r="N731">
            <v>46037</v>
          </cell>
          <cell r="O731">
            <v>2</v>
          </cell>
          <cell r="P731">
            <v>46041</v>
          </cell>
          <cell r="Q731">
            <v>5</v>
          </cell>
          <cell r="R731" t="str">
            <v>NA</v>
          </cell>
          <cell r="S731">
            <v>5</v>
          </cell>
        </row>
        <row r="732">
          <cell r="B732" t="str">
            <v>MNC</v>
          </cell>
          <cell r="C732" t="str">
            <v>HSLB14665</v>
          </cell>
          <cell r="D732">
            <v>204012</v>
          </cell>
          <cell r="E732" t="str">
            <v>Silla Visita</v>
          </cell>
          <cell r="F732" t="str">
            <v>NO</v>
          </cell>
          <cell r="G732" t="str">
            <v>NO</v>
          </cell>
          <cell r="H732" t="str">
            <v>SALA DE PROCEDIMIENTOS ENFERMERÍA ADULTO</v>
          </cell>
          <cell r="I732">
            <v>1</v>
          </cell>
          <cell r="J732" t="str">
            <v>C.2.2.2.17.1</v>
          </cell>
          <cell r="K732" t="str">
            <v>Consultas medicas generales</v>
          </cell>
          <cell r="L732">
            <v>2</v>
          </cell>
          <cell r="M732">
            <v>46036</v>
          </cell>
          <cell r="N732">
            <v>46037</v>
          </cell>
          <cell r="O732">
            <v>2</v>
          </cell>
          <cell r="P732">
            <v>46041</v>
          </cell>
          <cell r="Q732">
            <v>5</v>
          </cell>
          <cell r="R732" t="str">
            <v>NA</v>
          </cell>
          <cell r="S732">
            <v>5</v>
          </cell>
        </row>
        <row r="733">
          <cell r="B733" t="str">
            <v>MNC</v>
          </cell>
          <cell r="C733" t="str">
            <v>HSLB13038</v>
          </cell>
          <cell r="D733">
            <v>201001</v>
          </cell>
          <cell r="E733" t="str">
            <v>Estación de Trabajo</v>
          </cell>
          <cell r="F733" t="str">
            <v>NO</v>
          </cell>
          <cell r="G733" t="str">
            <v>NO</v>
          </cell>
          <cell r="H733" t="str">
            <v>SALA DE PROCEDIMIENTOS ENFERMERÍA ADULTO</v>
          </cell>
          <cell r="I733">
            <v>1</v>
          </cell>
          <cell r="J733" t="str">
            <v>C.2.2.2.17.1</v>
          </cell>
          <cell r="K733" t="str">
            <v>Consultas medicas generales</v>
          </cell>
          <cell r="L733">
            <v>2</v>
          </cell>
          <cell r="M733">
            <v>46036</v>
          </cell>
          <cell r="N733">
            <v>46037</v>
          </cell>
          <cell r="O733">
            <v>2</v>
          </cell>
          <cell r="P733">
            <v>46041</v>
          </cell>
          <cell r="Q733">
            <v>5</v>
          </cell>
          <cell r="R733" t="str">
            <v>NA</v>
          </cell>
          <cell r="S733">
            <v>5</v>
          </cell>
        </row>
        <row r="734">
          <cell r="B734" t="str">
            <v>MNC</v>
          </cell>
          <cell r="C734" t="str">
            <v>HSLB14210</v>
          </cell>
          <cell r="D734">
            <v>204006</v>
          </cell>
          <cell r="E734" t="str">
            <v>Silla Ergonómica</v>
          </cell>
          <cell r="F734" t="str">
            <v>NO</v>
          </cell>
          <cell r="G734" t="str">
            <v>NO</v>
          </cell>
          <cell r="H734" t="str">
            <v>SALA DE PROCEDIMIENTOS ENFERMERÍA ADULTO</v>
          </cell>
          <cell r="I734">
            <v>1</v>
          </cell>
          <cell r="J734" t="str">
            <v>C.2.2.2.17.2</v>
          </cell>
          <cell r="K734" t="str">
            <v>Consultas medicas generales</v>
          </cell>
          <cell r="L734">
            <v>2</v>
          </cell>
          <cell r="M734">
            <v>46036</v>
          </cell>
          <cell r="N734">
            <v>46037</v>
          </cell>
          <cell r="O734">
            <v>2</v>
          </cell>
          <cell r="P734">
            <v>46041</v>
          </cell>
          <cell r="Q734">
            <v>5</v>
          </cell>
          <cell r="R734" t="str">
            <v>NA</v>
          </cell>
          <cell r="S734">
            <v>5</v>
          </cell>
        </row>
        <row r="735">
          <cell r="B735" t="str">
            <v>MNC</v>
          </cell>
          <cell r="C735" t="str">
            <v>HSLB14666</v>
          </cell>
          <cell r="D735">
            <v>204012</v>
          </cell>
          <cell r="E735" t="str">
            <v>Silla Visita</v>
          </cell>
          <cell r="F735" t="str">
            <v>NO</v>
          </cell>
          <cell r="G735" t="str">
            <v>NO</v>
          </cell>
          <cell r="H735" t="str">
            <v>SALA DE PROCEDIMIENTOS ENFERMERÍA ADULTO</v>
          </cell>
          <cell r="I735">
            <v>1</v>
          </cell>
          <cell r="J735" t="str">
            <v>C.2.2.2.17.2</v>
          </cell>
          <cell r="K735" t="str">
            <v>Consultas medicas generales</v>
          </cell>
          <cell r="L735">
            <v>2</v>
          </cell>
          <cell r="M735">
            <v>46036</v>
          </cell>
          <cell r="N735">
            <v>46037</v>
          </cell>
          <cell r="O735">
            <v>2</v>
          </cell>
          <cell r="P735">
            <v>46041</v>
          </cell>
          <cell r="Q735">
            <v>5</v>
          </cell>
          <cell r="R735" t="str">
            <v>NA</v>
          </cell>
          <cell r="S735">
            <v>5</v>
          </cell>
        </row>
        <row r="736">
          <cell r="B736" t="str">
            <v>MNC</v>
          </cell>
          <cell r="C736" t="str">
            <v>HSLB13039</v>
          </cell>
          <cell r="D736">
            <v>201001</v>
          </cell>
          <cell r="E736" t="str">
            <v>Estación de Trabajo</v>
          </cell>
          <cell r="F736" t="str">
            <v>NO</v>
          </cell>
          <cell r="G736" t="str">
            <v>NO</v>
          </cell>
          <cell r="H736" t="str">
            <v>SALA DE PROCEDIMIENTOS ENFERMERÍA ADULTO</v>
          </cell>
          <cell r="I736">
            <v>1</v>
          </cell>
          <cell r="J736" t="str">
            <v>C.2.2.2.17.2</v>
          </cell>
          <cell r="K736" t="str">
            <v>Consultas medicas generales</v>
          </cell>
          <cell r="L736">
            <v>2</v>
          </cell>
          <cell r="M736">
            <v>46036</v>
          </cell>
          <cell r="N736">
            <v>46037</v>
          </cell>
          <cell r="O736">
            <v>2</v>
          </cell>
          <cell r="P736">
            <v>46041</v>
          </cell>
          <cell r="Q736">
            <v>5</v>
          </cell>
          <cell r="R736" t="str">
            <v>NA</v>
          </cell>
          <cell r="S736">
            <v>5</v>
          </cell>
        </row>
        <row r="737">
          <cell r="B737" t="str">
            <v>MNC</v>
          </cell>
          <cell r="C737" t="str">
            <v>HSLB14211</v>
          </cell>
          <cell r="D737">
            <v>204006</v>
          </cell>
          <cell r="E737" t="str">
            <v>Silla Ergonómica</v>
          </cell>
          <cell r="F737" t="str">
            <v>NO</v>
          </cell>
          <cell r="G737" t="str">
            <v>NO</v>
          </cell>
          <cell r="H737" t="str">
            <v>SALA DE PROCEDIMIENTOS ENFERMERÍA ADULTO</v>
          </cell>
          <cell r="I737">
            <v>1</v>
          </cell>
          <cell r="J737" t="str">
            <v>C.2.2.2.17.3</v>
          </cell>
          <cell r="K737" t="str">
            <v>Consultas medicas generales</v>
          </cell>
          <cell r="L737">
            <v>2</v>
          </cell>
          <cell r="M737">
            <v>46036</v>
          </cell>
          <cell r="N737">
            <v>46037</v>
          </cell>
          <cell r="O737">
            <v>2</v>
          </cell>
          <cell r="P737">
            <v>46041</v>
          </cell>
          <cell r="Q737">
            <v>5</v>
          </cell>
          <cell r="R737" t="str">
            <v>NA</v>
          </cell>
          <cell r="S737">
            <v>5</v>
          </cell>
        </row>
        <row r="738">
          <cell r="B738" t="str">
            <v>MNC</v>
          </cell>
          <cell r="C738" t="str">
            <v>HSLB14667</v>
          </cell>
          <cell r="D738">
            <v>204012</v>
          </cell>
          <cell r="E738" t="str">
            <v>Silla Visita</v>
          </cell>
          <cell r="F738" t="str">
            <v>NO</v>
          </cell>
          <cell r="G738" t="str">
            <v>NO</v>
          </cell>
          <cell r="H738" t="str">
            <v>SALA DE PROCEDIMIENTOS ENFERMERÍA ADULTO</v>
          </cell>
          <cell r="I738">
            <v>2</v>
          </cell>
          <cell r="J738" t="str">
            <v>C.2.2.2.17.3</v>
          </cell>
          <cell r="K738" t="str">
            <v>Consultas medicas generales</v>
          </cell>
          <cell r="L738">
            <v>2</v>
          </cell>
          <cell r="M738">
            <v>46036</v>
          </cell>
          <cell r="N738">
            <v>46037</v>
          </cell>
          <cell r="O738">
            <v>2</v>
          </cell>
          <cell r="P738">
            <v>46041</v>
          </cell>
          <cell r="Q738">
            <v>5</v>
          </cell>
          <cell r="R738" t="str">
            <v>NA</v>
          </cell>
          <cell r="S738">
            <v>5</v>
          </cell>
        </row>
        <row r="739">
          <cell r="B739" t="str">
            <v>MNC</v>
          </cell>
          <cell r="C739" t="str">
            <v>HSLB13040</v>
          </cell>
          <cell r="D739">
            <v>201001</v>
          </cell>
          <cell r="E739" t="str">
            <v>Estación de Trabajo</v>
          </cell>
          <cell r="F739" t="str">
            <v>NO</v>
          </cell>
          <cell r="G739" t="str">
            <v>NO</v>
          </cell>
          <cell r="H739" t="str">
            <v>SALA DE PROCEDIMIENTOS ENFERMERÍA ADULTO</v>
          </cell>
          <cell r="I739">
            <v>1</v>
          </cell>
          <cell r="J739" t="str">
            <v>C.2.2.2.17.3</v>
          </cell>
          <cell r="K739" t="str">
            <v>Consultas medicas generales</v>
          </cell>
          <cell r="L739">
            <v>2</v>
          </cell>
          <cell r="M739">
            <v>46036</v>
          </cell>
          <cell r="N739">
            <v>46037</v>
          </cell>
          <cell r="O739">
            <v>2</v>
          </cell>
          <cell r="P739">
            <v>46041</v>
          </cell>
          <cell r="Q739">
            <v>5</v>
          </cell>
          <cell r="R739" t="str">
            <v>NA</v>
          </cell>
          <cell r="S739">
            <v>5</v>
          </cell>
        </row>
        <row r="740">
          <cell r="B740" t="str">
            <v>MNC</v>
          </cell>
          <cell r="C740" t="str">
            <v>HSLB13279</v>
          </cell>
          <cell r="D740">
            <v>201001</v>
          </cell>
          <cell r="E740" t="str">
            <v>Estación de Trabajo</v>
          </cell>
          <cell r="F740" t="str">
            <v>NO</v>
          </cell>
          <cell r="G740" t="str">
            <v>NO</v>
          </cell>
          <cell r="H740" t="str">
            <v>BOX GERIATRÍA</v>
          </cell>
          <cell r="I740">
            <v>1</v>
          </cell>
          <cell r="J740" t="str">
            <v>C.2.2.2.17.6</v>
          </cell>
          <cell r="K740" t="str">
            <v>Consultas medicas generales</v>
          </cell>
          <cell r="L740">
            <v>2</v>
          </cell>
          <cell r="M740">
            <v>46036</v>
          </cell>
          <cell r="N740">
            <v>46037</v>
          </cell>
          <cell r="O740">
            <v>2</v>
          </cell>
          <cell r="P740">
            <v>46041</v>
          </cell>
          <cell r="Q740">
            <v>5</v>
          </cell>
          <cell r="R740" t="str">
            <v>NA</v>
          </cell>
          <cell r="S740">
            <v>5</v>
          </cell>
        </row>
        <row r="741">
          <cell r="B741" t="str">
            <v>MNC</v>
          </cell>
          <cell r="C741" t="str">
            <v>HSLB14552</v>
          </cell>
          <cell r="D741">
            <v>204006</v>
          </cell>
          <cell r="E741" t="str">
            <v>Silla Ergonómica</v>
          </cell>
          <cell r="F741" t="str">
            <v>NO</v>
          </cell>
          <cell r="G741" t="str">
            <v>NO</v>
          </cell>
          <cell r="H741" t="str">
            <v>BOX GERIATRÍA</v>
          </cell>
          <cell r="I741">
            <v>1</v>
          </cell>
          <cell r="J741" t="str">
            <v>C.2.2.2.17.6</v>
          </cell>
          <cell r="K741" t="str">
            <v>Consultas medicas generales</v>
          </cell>
          <cell r="L741">
            <v>2</v>
          </cell>
          <cell r="M741">
            <v>46036</v>
          </cell>
          <cell r="N741">
            <v>46037</v>
          </cell>
          <cell r="O741">
            <v>2</v>
          </cell>
          <cell r="P741">
            <v>46041</v>
          </cell>
          <cell r="Q741">
            <v>5</v>
          </cell>
          <cell r="R741" t="str">
            <v>NA</v>
          </cell>
          <cell r="S741">
            <v>5</v>
          </cell>
        </row>
        <row r="742">
          <cell r="B742" t="str">
            <v>MNC</v>
          </cell>
          <cell r="C742" t="str">
            <v>HSLB14949</v>
          </cell>
          <cell r="D742">
            <v>204012</v>
          </cell>
          <cell r="E742" t="str">
            <v>Silla Visita</v>
          </cell>
          <cell r="F742" t="str">
            <v>NO</v>
          </cell>
          <cell r="G742" t="str">
            <v>NO</v>
          </cell>
          <cell r="H742" t="str">
            <v>BOX GERIATRÍA</v>
          </cell>
          <cell r="I742">
            <v>2</v>
          </cell>
          <cell r="J742" t="str">
            <v>C.2.2.2.17.6</v>
          </cell>
          <cell r="K742" t="str">
            <v>Consultas medicas generales</v>
          </cell>
          <cell r="L742">
            <v>2</v>
          </cell>
          <cell r="M742">
            <v>46036</v>
          </cell>
          <cell r="N742">
            <v>46037</v>
          </cell>
          <cell r="O742">
            <v>2</v>
          </cell>
          <cell r="P742">
            <v>46041</v>
          </cell>
          <cell r="Q742">
            <v>5</v>
          </cell>
          <cell r="R742" t="str">
            <v>NA</v>
          </cell>
          <cell r="S742">
            <v>5</v>
          </cell>
        </row>
        <row r="743">
          <cell r="B743" t="str">
            <v>MNC</v>
          </cell>
          <cell r="C743" t="str">
            <v>HSLB15221</v>
          </cell>
          <cell r="D743">
            <v>204006</v>
          </cell>
          <cell r="E743" t="str">
            <v>Silla Ergonómica</v>
          </cell>
          <cell r="F743" t="str">
            <v>NO</v>
          </cell>
          <cell r="G743" t="str">
            <v>NO</v>
          </cell>
          <cell r="H743" t="str">
            <v>MESON DE RECEPCIÓN</v>
          </cell>
          <cell r="I743">
            <v>1</v>
          </cell>
          <cell r="J743" t="str">
            <v>C.2.2.2.2.1</v>
          </cell>
          <cell r="K743" t="str">
            <v>Consultas medicas generales</v>
          </cell>
          <cell r="L743">
            <v>2</v>
          </cell>
          <cell r="M743">
            <v>46036</v>
          </cell>
          <cell r="N743">
            <v>46037</v>
          </cell>
          <cell r="O743">
            <v>2</v>
          </cell>
          <cell r="P743">
            <v>46041</v>
          </cell>
          <cell r="Q743">
            <v>5</v>
          </cell>
          <cell r="R743" t="str">
            <v>NA</v>
          </cell>
          <cell r="S743">
            <v>5</v>
          </cell>
        </row>
        <row r="744">
          <cell r="B744" t="str">
            <v>MNC</v>
          </cell>
          <cell r="C744" t="str">
            <v>HSLB13041</v>
          </cell>
          <cell r="D744">
            <v>201001</v>
          </cell>
          <cell r="E744" t="str">
            <v>Estación de Trabajo</v>
          </cell>
          <cell r="F744" t="str">
            <v>NO</v>
          </cell>
          <cell r="G744" t="str">
            <v>NO</v>
          </cell>
          <cell r="H744" t="str">
            <v>SALA PREPARACIÓN DE PACIENTES ADULTO</v>
          </cell>
          <cell r="I744">
            <v>1</v>
          </cell>
          <cell r="J744" t="str">
            <v>C.2.2.2.3</v>
          </cell>
          <cell r="K744" t="str">
            <v>Consultas medicas generales</v>
          </cell>
          <cell r="L744">
            <v>2</v>
          </cell>
          <cell r="M744">
            <v>46036</v>
          </cell>
          <cell r="N744">
            <v>46037</v>
          </cell>
          <cell r="O744">
            <v>2</v>
          </cell>
          <cell r="P744">
            <v>46041</v>
          </cell>
          <cell r="Q744">
            <v>5</v>
          </cell>
          <cell r="R744" t="str">
            <v>NA</v>
          </cell>
          <cell r="S744">
            <v>5</v>
          </cell>
        </row>
        <row r="745">
          <cell r="B745" t="str">
            <v>MNC</v>
          </cell>
          <cell r="C745" t="str">
            <v>HSLB14212</v>
          </cell>
          <cell r="D745">
            <v>204006</v>
          </cell>
          <cell r="E745" t="str">
            <v>Silla Ergonómica</v>
          </cell>
          <cell r="F745" t="str">
            <v>NO</v>
          </cell>
          <cell r="G745" t="str">
            <v>NO</v>
          </cell>
          <cell r="H745" t="str">
            <v>SALA PREPARACIÓN DE PACIENTES ADULTO</v>
          </cell>
          <cell r="I745">
            <v>1</v>
          </cell>
          <cell r="J745" t="str">
            <v>C.2.2.2.3</v>
          </cell>
          <cell r="K745" t="str">
            <v>Consultas medicas generales</v>
          </cell>
          <cell r="L745">
            <v>2</v>
          </cell>
          <cell r="M745">
            <v>46036</v>
          </cell>
          <cell r="N745">
            <v>46037</v>
          </cell>
          <cell r="O745">
            <v>2</v>
          </cell>
          <cell r="P745">
            <v>46041</v>
          </cell>
          <cell r="Q745">
            <v>5</v>
          </cell>
          <cell r="R745" t="str">
            <v>NA</v>
          </cell>
          <cell r="S745">
            <v>5</v>
          </cell>
        </row>
        <row r="746">
          <cell r="B746" t="str">
            <v>MNC</v>
          </cell>
          <cell r="C746" t="str">
            <v>HSLB14668</v>
          </cell>
          <cell r="D746">
            <v>204012</v>
          </cell>
          <cell r="E746" t="str">
            <v>Silla Visita</v>
          </cell>
          <cell r="F746" t="str">
            <v>NO</v>
          </cell>
          <cell r="G746" t="str">
            <v>NO</v>
          </cell>
          <cell r="H746" t="str">
            <v>SALA PREPARACIÓN DE PACIENTES ADULTO</v>
          </cell>
          <cell r="I746">
            <v>2</v>
          </cell>
          <cell r="J746" t="str">
            <v>C.2.2.2.3</v>
          </cell>
          <cell r="K746" t="str">
            <v>Consultas medicas generales</v>
          </cell>
          <cell r="L746">
            <v>2</v>
          </cell>
          <cell r="M746">
            <v>46036</v>
          </cell>
          <cell r="N746">
            <v>46037</v>
          </cell>
          <cell r="O746">
            <v>2</v>
          </cell>
          <cell r="P746">
            <v>46041</v>
          </cell>
          <cell r="Q746">
            <v>5</v>
          </cell>
          <cell r="R746" t="str">
            <v>NA</v>
          </cell>
          <cell r="S746">
            <v>5</v>
          </cell>
        </row>
        <row r="747">
          <cell r="B747" t="str">
            <v>MNC</v>
          </cell>
          <cell r="C747" t="str">
            <v>HSLB13042</v>
          </cell>
          <cell r="D747">
            <v>201001</v>
          </cell>
          <cell r="E747" t="str">
            <v>Estación de Trabajo</v>
          </cell>
          <cell r="F747" t="str">
            <v>NO</v>
          </cell>
          <cell r="G747" t="str">
            <v>NO</v>
          </cell>
          <cell r="H747" t="str">
            <v>SALA PREPARACIÓN DE PACIENTES INFANTIL</v>
          </cell>
          <cell r="I747">
            <v>1</v>
          </cell>
          <cell r="J747" t="str">
            <v>C.2.2.2.4</v>
          </cell>
          <cell r="K747" t="str">
            <v>Consultas medicas generales</v>
          </cell>
          <cell r="L747">
            <v>2</v>
          </cell>
          <cell r="M747">
            <v>46036</v>
          </cell>
          <cell r="N747">
            <v>46037</v>
          </cell>
          <cell r="O747">
            <v>2</v>
          </cell>
          <cell r="P747">
            <v>46041</v>
          </cell>
          <cell r="Q747">
            <v>5</v>
          </cell>
          <cell r="R747" t="str">
            <v>NA</v>
          </cell>
          <cell r="S747">
            <v>5</v>
          </cell>
        </row>
        <row r="748">
          <cell r="B748" t="str">
            <v>MNC</v>
          </cell>
          <cell r="C748" t="str">
            <v>HSLB14213</v>
          </cell>
          <cell r="D748">
            <v>204006</v>
          </cell>
          <cell r="E748" t="str">
            <v>Silla Ergonómica</v>
          </cell>
          <cell r="F748" t="str">
            <v>NO</v>
          </cell>
          <cell r="G748" t="str">
            <v>NO</v>
          </cell>
          <cell r="H748" t="str">
            <v>SALA PREPARACIÓN DE PACIENTES INFANTIL</v>
          </cell>
          <cell r="I748">
            <v>1</v>
          </cell>
          <cell r="J748" t="str">
            <v>C.2.2.2.4</v>
          </cell>
          <cell r="K748" t="str">
            <v>Consultas medicas generales</v>
          </cell>
          <cell r="L748">
            <v>2</v>
          </cell>
          <cell r="M748">
            <v>46036</v>
          </cell>
          <cell r="N748">
            <v>46037</v>
          </cell>
          <cell r="O748">
            <v>2</v>
          </cell>
          <cell r="P748">
            <v>46041</v>
          </cell>
          <cell r="Q748">
            <v>5</v>
          </cell>
          <cell r="R748" t="str">
            <v>NA</v>
          </cell>
          <cell r="S748">
            <v>5</v>
          </cell>
        </row>
        <row r="749">
          <cell r="B749" t="str">
            <v>MNC</v>
          </cell>
          <cell r="C749" t="str">
            <v>HSLB14669</v>
          </cell>
          <cell r="D749">
            <v>204012</v>
          </cell>
          <cell r="E749" t="str">
            <v>Silla Visita</v>
          </cell>
          <cell r="F749" t="str">
            <v>NO</v>
          </cell>
          <cell r="G749" t="str">
            <v>NO</v>
          </cell>
          <cell r="H749" t="str">
            <v>SALA PREPARACIÓN DE PACIENTES INFANTIL</v>
          </cell>
          <cell r="I749">
            <v>2</v>
          </cell>
          <cell r="J749" t="str">
            <v>C.2.2.2.4</v>
          </cell>
          <cell r="K749" t="str">
            <v>Consultas medicas generales</v>
          </cell>
          <cell r="L749">
            <v>2</v>
          </cell>
          <cell r="M749">
            <v>46036</v>
          </cell>
          <cell r="N749">
            <v>46037</v>
          </cell>
          <cell r="O749">
            <v>2</v>
          </cell>
          <cell r="P749">
            <v>46041</v>
          </cell>
          <cell r="Q749">
            <v>5</v>
          </cell>
          <cell r="R749" t="str">
            <v>NA</v>
          </cell>
          <cell r="S749">
            <v>5</v>
          </cell>
        </row>
        <row r="750">
          <cell r="B750" t="str">
            <v>MNC</v>
          </cell>
          <cell r="C750" t="str">
            <v>HSLB13043</v>
          </cell>
          <cell r="D750">
            <v>201001</v>
          </cell>
          <cell r="E750" t="str">
            <v>Estación de Trabajo</v>
          </cell>
          <cell r="F750" t="str">
            <v>NO</v>
          </cell>
          <cell r="G750" t="str">
            <v>NO</v>
          </cell>
          <cell r="H750" t="str">
            <v>BOX INFANTIL</v>
          </cell>
          <cell r="I750">
            <v>1</v>
          </cell>
          <cell r="J750" t="str">
            <v>C.2.2.2.5</v>
          </cell>
          <cell r="K750" t="str">
            <v>Consultas medicas generales</v>
          </cell>
          <cell r="L750">
            <v>2</v>
          </cell>
          <cell r="M750">
            <v>46036</v>
          </cell>
          <cell r="N750">
            <v>46037</v>
          </cell>
          <cell r="O750">
            <v>2</v>
          </cell>
          <cell r="P750">
            <v>46041</v>
          </cell>
          <cell r="Q750">
            <v>5</v>
          </cell>
          <cell r="R750" t="str">
            <v>NA</v>
          </cell>
          <cell r="S750">
            <v>5</v>
          </cell>
        </row>
        <row r="751">
          <cell r="B751" t="str">
            <v>MNC</v>
          </cell>
          <cell r="C751" t="str">
            <v>HSLB14214</v>
          </cell>
          <cell r="D751">
            <v>204006</v>
          </cell>
          <cell r="E751" t="str">
            <v>Silla Ergonómica</v>
          </cell>
          <cell r="F751" t="str">
            <v>NO</v>
          </cell>
          <cell r="G751" t="str">
            <v>NO</v>
          </cell>
          <cell r="H751" t="str">
            <v>BOX INFANTIL</v>
          </cell>
          <cell r="I751">
            <v>1</v>
          </cell>
          <cell r="J751" t="str">
            <v>C.2.2.2.5</v>
          </cell>
          <cell r="K751" t="str">
            <v>Consultas medicas generales</v>
          </cell>
          <cell r="L751">
            <v>2</v>
          </cell>
          <cell r="M751">
            <v>46036</v>
          </cell>
          <cell r="N751">
            <v>46037</v>
          </cell>
          <cell r="O751">
            <v>2</v>
          </cell>
          <cell r="P751">
            <v>46041</v>
          </cell>
          <cell r="Q751">
            <v>5</v>
          </cell>
          <cell r="R751" t="str">
            <v>NA</v>
          </cell>
          <cell r="S751">
            <v>5</v>
          </cell>
        </row>
        <row r="752">
          <cell r="B752" t="str">
            <v>MNC</v>
          </cell>
          <cell r="C752" t="str">
            <v>HSLB14670</v>
          </cell>
          <cell r="D752">
            <v>204012</v>
          </cell>
          <cell r="E752" t="str">
            <v>Silla Visita</v>
          </cell>
          <cell r="F752" t="str">
            <v>NO</v>
          </cell>
          <cell r="G752" t="str">
            <v>NO</v>
          </cell>
          <cell r="H752" t="str">
            <v>BOX INFANTIL</v>
          </cell>
          <cell r="I752">
            <v>2</v>
          </cell>
          <cell r="J752" t="str">
            <v>C.2.2.2.5</v>
          </cell>
          <cell r="K752" t="str">
            <v>Consultas medicas generales</v>
          </cell>
          <cell r="L752">
            <v>2</v>
          </cell>
          <cell r="M752">
            <v>46036</v>
          </cell>
          <cell r="N752">
            <v>46037</v>
          </cell>
          <cell r="O752">
            <v>2</v>
          </cell>
          <cell r="P752">
            <v>46041</v>
          </cell>
          <cell r="Q752">
            <v>5</v>
          </cell>
          <cell r="R752" t="str">
            <v>NA</v>
          </cell>
          <cell r="S752">
            <v>5</v>
          </cell>
        </row>
        <row r="753">
          <cell r="B753" t="str">
            <v>MNC</v>
          </cell>
          <cell r="C753" t="str">
            <v>HSLB13044</v>
          </cell>
          <cell r="D753">
            <v>201001</v>
          </cell>
          <cell r="E753" t="str">
            <v>Estación de Trabajo</v>
          </cell>
          <cell r="F753" t="str">
            <v>NO</v>
          </cell>
          <cell r="G753" t="str">
            <v>NO</v>
          </cell>
          <cell r="H753" t="str">
            <v>BOX MEDICINA ADULTOS</v>
          </cell>
          <cell r="I753">
            <v>1</v>
          </cell>
          <cell r="J753" t="str">
            <v>C.2.2.2.6.1</v>
          </cell>
          <cell r="K753" t="str">
            <v>Consultas medicas generales</v>
          </cell>
          <cell r="L753">
            <v>2</v>
          </cell>
          <cell r="M753">
            <v>46036</v>
          </cell>
          <cell r="N753">
            <v>46037</v>
          </cell>
          <cell r="O753">
            <v>2</v>
          </cell>
          <cell r="P753">
            <v>46041</v>
          </cell>
          <cell r="Q753">
            <v>5</v>
          </cell>
          <cell r="R753" t="str">
            <v>NA</v>
          </cell>
          <cell r="S753">
            <v>5</v>
          </cell>
        </row>
        <row r="754">
          <cell r="B754" t="str">
            <v>MNC</v>
          </cell>
          <cell r="C754" t="str">
            <v>HSLB14215</v>
          </cell>
          <cell r="D754">
            <v>204006</v>
          </cell>
          <cell r="E754" t="str">
            <v>Silla Ergonómica</v>
          </cell>
          <cell r="F754" t="str">
            <v>NO</v>
          </cell>
          <cell r="G754" t="str">
            <v>NO</v>
          </cell>
          <cell r="H754" t="str">
            <v>BOX MEDICINA ADULTOS</v>
          </cell>
          <cell r="I754">
            <v>1</v>
          </cell>
          <cell r="J754" t="str">
            <v>C.2.2.2.6.1</v>
          </cell>
          <cell r="K754" t="str">
            <v>Consultas medicas generales</v>
          </cell>
          <cell r="L754">
            <v>2</v>
          </cell>
          <cell r="M754">
            <v>46036</v>
          </cell>
          <cell r="N754">
            <v>46037</v>
          </cell>
          <cell r="O754">
            <v>2</v>
          </cell>
          <cell r="P754">
            <v>46041</v>
          </cell>
          <cell r="Q754">
            <v>5</v>
          </cell>
          <cell r="R754" t="str">
            <v>NA</v>
          </cell>
          <cell r="S754">
            <v>5</v>
          </cell>
        </row>
        <row r="755">
          <cell r="B755" t="str">
            <v>MNC</v>
          </cell>
          <cell r="C755" t="str">
            <v>HSLB14671</v>
          </cell>
          <cell r="D755">
            <v>204012</v>
          </cell>
          <cell r="E755" t="str">
            <v>Silla Visita</v>
          </cell>
          <cell r="F755" t="str">
            <v>NO</v>
          </cell>
          <cell r="G755" t="str">
            <v>NO</v>
          </cell>
          <cell r="H755" t="str">
            <v>BOX MEDICINA ADULTOS</v>
          </cell>
          <cell r="I755">
            <v>2</v>
          </cell>
          <cell r="J755" t="str">
            <v>C.2.2.2.6.1</v>
          </cell>
          <cell r="K755" t="str">
            <v>Consultas medicas generales</v>
          </cell>
          <cell r="L755">
            <v>2</v>
          </cell>
          <cell r="M755">
            <v>46036</v>
          </cell>
          <cell r="N755">
            <v>46037</v>
          </cell>
          <cell r="O755">
            <v>2</v>
          </cell>
          <cell r="P755">
            <v>46041</v>
          </cell>
          <cell r="Q755">
            <v>5</v>
          </cell>
          <cell r="R755" t="str">
            <v>NA</v>
          </cell>
          <cell r="S755">
            <v>5</v>
          </cell>
        </row>
        <row r="756">
          <cell r="B756" t="str">
            <v>MNC</v>
          </cell>
          <cell r="C756" t="str">
            <v>HSLB13045</v>
          </cell>
          <cell r="D756">
            <v>201001</v>
          </cell>
          <cell r="E756" t="str">
            <v>Estación de Trabajo</v>
          </cell>
          <cell r="F756" t="str">
            <v>NO</v>
          </cell>
          <cell r="G756" t="str">
            <v>NO</v>
          </cell>
          <cell r="H756" t="str">
            <v>BOX MEDICINA ADULTOS</v>
          </cell>
          <cell r="I756">
            <v>1</v>
          </cell>
          <cell r="J756" t="str">
            <v>C.2.2.2.6.2</v>
          </cell>
          <cell r="K756" t="str">
            <v>Consultas medicas generales</v>
          </cell>
          <cell r="L756">
            <v>2</v>
          </cell>
          <cell r="M756">
            <v>46036</v>
          </cell>
          <cell r="N756">
            <v>46037</v>
          </cell>
          <cell r="O756">
            <v>2</v>
          </cell>
          <cell r="P756">
            <v>46041</v>
          </cell>
          <cell r="Q756">
            <v>5</v>
          </cell>
          <cell r="R756" t="str">
            <v>NA</v>
          </cell>
          <cell r="S756">
            <v>5</v>
          </cell>
        </row>
        <row r="757">
          <cell r="B757" t="str">
            <v>MNC</v>
          </cell>
          <cell r="C757" t="str">
            <v>HSLB14216</v>
          </cell>
          <cell r="D757">
            <v>204006</v>
          </cell>
          <cell r="E757" t="str">
            <v>Silla Ergonómica</v>
          </cell>
          <cell r="F757" t="str">
            <v>NO</v>
          </cell>
          <cell r="G757" t="str">
            <v>NO</v>
          </cell>
          <cell r="H757" t="str">
            <v>BOX MEDICINA ADULTOS</v>
          </cell>
          <cell r="I757">
            <v>1</v>
          </cell>
          <cell r="J757" t="str">
            <v>C.2.2.2.6.2</v>
          </cell>
          <cell r="K757" t="str">
            <v>Consultas medicas generales</v>
          </cell>
          <cell r="L757">
            <v>2</v>
          </cell>
          <cell r="M757">
            <v>46036</v>
          </cell>
          <cell r="N757">
            <v>46037</v>
          </cell>
          <cell r="O757">
            <v>2</v>
          </cell>
          <cell r="P757">
            <v>46041</v>
          </cell>
          <cell r="Q757">
            <v>5</v>
          </cell>
          <cell r="R757" t="str">
            <v>NA</v>
          </cell>
          <cell r="S757">
            <v>5</v>
          </cell>
        </row>
        <row r="758">
          <cell r="B758" t="str">
            <v>MNC</v>
          </cell>
          <cell r="C758" t="str">
            <v>HSLB14672</v>
          </cell>
          <cell r="D758">
            <v>204012</v>
          </cell>
          <cell r="E758" t="str">
            <v>Silla Visita</v>
          </cell>
          <cell r="F758" t="str">
            <v>NO</v>
          </cell>
          <cell r="G758" t="str">
            <v>NO</v>
          </cell>
          <cell r="H758" t="str">
            <v>BOX MEDICINA ADULTOS</v>
          </cell>
          <cell r="I758">
            <v>2</v>
          </cell>
          <cell r="J758" t="str">
            <v>C.2.2.2.6.2</v>
          </cell>
          <cell r="K758" t="str">
            <v>Consultas medicas generales</v>
          </cell>
          <cell r="L758">
            <v>2</v>
          </cell>
          <cell r="M758">
            <v>46036</v>
          </cell>
          <cell r="N758">
            <v>46037</v>
          </cell>
          <cell r="O758">
            <v>2</v>
          </cell>
          <cell r="P758">
            <v>46041</v>
          </cell>
          <cell r="Q758">
            <v>5</v>
          </cell>
          <cell r="R758" t="str">
            <v>NA</v>
          </cell>
          <cell r="S758">
            <v>5</v>
          </cell>
        </row>
        <row r="759">
          <cell r="B759" t="str">
            <v>MNC</v>
          </cell>
          <cell r="C759" t="str">
            <v>HSLB13046</v>
          </cell>
          <cell r="D759">
            <v>201001</v>
          </cell>
          <cell r="E759" t="str">
            <v>Estación de Trabajo</v>
          </cell>
          <cell r="F759" t="str">
            <v>NO</v>
          </cell>
          <cell r="G759" t="str">
            <v>NO</v>
          </cell>
          <cell r="H759" t="str">
            <v>BOX MEDICINA ADULTOS</v>
          </cell>
          <cell r="I759">
            <v>1</v>
          </cell>
          <cell r="J759" t="str">
            <v>C.2.2.2.6.3</v>
          </cell>
          <cell r="K759" t="str">
            <v>Consultas medicas generales</v>
          </cell>
          <cell r="L759">
            <v>2</v>
          </cell>
          <cell r="M759">
            <v>46036</v>
          </cell>
          <cell r="N759">
            <v>46037</v>
          </cell>
          <cell r="O759">
            <v>2</v>
          </cell>
          <cell r="P759">
            <v>46041</v>
          </cell>
          <cell r="Q759">
            <v>5</v>
          </cell>
          <cell r="R759" t="str">
            <v>NA</v>
          </cell>
          <cell r="S759">
            <v>5</v>
          </cell>
        </row>
        <row r="760">
          <cell r="B760" t="str">
            <v>MNC</v>
          </cell>
          <cell r="C760" t="str">
            <v>HSLB14217</v>
          </cell>
          <cell r="D760">
            <v>204006</v>
          </cell>
          <cell r="E760" t="str">
            <v>Silla Ergonómica</v>
          </cell>
          <cell r="F760" t="str">
            <v>NO</v>
          </cell>
          <cell r="G760" t="str">
            <v>NO</v>
          </cell>
          <cell r="H760" t="str">
            <v>BOX MEDICINA ADULTOS</v>
          </cell>
          <cell r="I760">
            <v>1</v>
          </cell>
          <cell r="J760" t="str">
            <v>C.2.2.2.6.3</v>
          </cell>
          <cell r="K760" t="str">
            <v>Consultas medicas generales</v>
          </cell>
          <cell r="L760">
            <v>2</v>
          </cell>
          <cell r="M760">
            <v>46036</v>
          </cell>
          <cell r="N760">
            <v>46037</v>
          </cell>
          <cell r="O760">
            <v>2</v>
          </cell>
          <cell r="P760">
            <v>46041</v>
          </cell>
          <cell r="Q760">
            <v>5</v>
          </cell>
          <cell r="R760" t="str">
            <v>NA</v>
          </cell>
          <cell r="S760">
            <v>5</v>
          </cell>
        </row>
        <row r="761">
          <cell r="B761" t="str">
            <v>MNC</v>
          </cell>
          <cell r="C761" t="str">
            <v>HSLB14673</v>
          </cell>
          <cell r="D761">
            <v>204012</v>
          </cell>
          <cell r="E761" t="str">
            <v>Silla Visita</v>
          </cell>
          <cell r="F761" t="str">
            <v>NO</v>
          </cell>
          <cell r="G761" t="str">
            <v>NO</v>
          </cell>
          <cell r="H761" t="str">
            <v>BOX MEDICINA ADULTOS</v>
          </cell>
          <cell r="I761">
            <v>2</v>
          </cell>
          <cell r="J761" t="str">
            <v>C.2.2.2.6.3</v>
          </cell>
          <cell r="K761" t="str">
            <v>Consultas medicas generales</v>
          </cell>
          <cell r="L761">
            <v>2</v>
          </cell>
          <cell r="M761">
            <v>46036</v>
          </cell>
          <cell r="N761">
            <v>46037</v>
          </cell>
          <cell r="O761">
            <v>2</v>
          </cell>
          <cell r="P761">
            <v>46041</v>
          </cell>
          <cell r="Q761">
            <v>5</v>
          </cell>
          <cell r="R761" t="str">
            <v>NA</v>
          </cell>
          <cell r="S761">
            <v>5</v>
          </cell>
        </row>
        <row r="762">
          <cell r="B762" t="str">
            <v>MNC</v>
          </cell>
          <cell r="C762" t="str">
            <v>HSLB13047</v>
          </cell>
          <cell r="D762">
            <v>201001</v>
          </cell>
          <cell r="E762" t="str">
            <v>Estación de Trabajo</v>
          </cell>
          <cell r="F762" t="str">
            <v>NO</v>
          </cell>
          <cell r="G762" t="str">
            <v>NO</v>
          </cell>
          <cell r="H762" t="str">
            <v>BOX MEDICINA ADULTOS</v>
          </cell>
          <cell r="I762">
            <v>1</v>
          </cell>
          <cell r="J762" t="str">
            <v>C.2.2.2.6.4</v>
          </cell>
          <cell r="K762" t="str">
            <v>Consultas medicas generales</v>
          </cell>
          <cell r="L762">
            <v>2</v>
          </cell>
          <cell r="M762">
            <v>46036</v>
          </cell>
          <cell r="N762">
            <v>46037</v>
          </cell>
          <cell r="O762">
            <v>2</v>
          </cell>
          <cell r="P762">
            <v>46041</v>
          </cell>
          <cell r="Q762">
            <v>5</v>
          </cell>
          <cell r="R762" t="str">
            <v>NA</v>
          </cell>
          <cell r="S762">
            <v>5</v>
          </cell>
        </row>
        <row r="763">
          <cell r="B763" t="str">
            <v>MNC</v>
          </cell>
          <cell r="C763" t="str">
            <v>HSLB14218</v>
          </cell>
          <cell r="D763">
            <v>204006</v>
          </cell>
          <cell r="E763" t="str">
            <v>Silla Ergonómica</v>
          </cell>
          <cell r="F763" t="str">
            <v>NO</v>
          </cell>
          <cell r="G763" t="str">
            <v>NO</v>
          </cell>
          <cell r="H763" t="str">
            <v>BOX MEDICINA ADULTOS</v>
          </cell>
          <cell r="I763">
            <v>1</v>
          </cell>
          <cell r="J763" t="str">
            <v>C.2.2.2.6.4</v>
          </cell>
          <cell r="K763" t="str">
            <v>Consultas medicas generales</v>
          </cell>
          <cell r="L763">
            <v>2</v>
          </cell>
          <cell r="M763">
            <v>46036</v>
          </cell>
          <cell r="N763">
            <v>46037</v>
          </cell>
          <cell r="O763">
            <v>2</v>
          </cell>
          <cell r="P763">
            <v>46041</v>
          </cell>
          <cell r="Q763">
            <v>5</v>
          </cell>
          <cell r="R763" t="str">
            <v>NA</v>
          </cell>
          <cell r="S763">
            <v>5</v>
          </cell>
        </row>
        <row r="764">
          <cell r="B764" t="str">
            <v>MNC</v>
          </cell>
          <cell r="C764" t="str">
            <v>HSLB14674</v>
          </cell>
          <cell r="D764">
            <v>204012</v>
          </cell>
          <cell r="E764" t="str">
            <v>Silla Visita</v>
          </cell>
          <cell r="F764" t="str">
            <v>NO</v>
          </cell>
          <cell r="G764" t="str">
            <v>NO</v>
          </cell>
          <cell r="H764" t="str">
            <v>BOX MEDICINA ADULTOS</v>
          </cell>
          <cell r="I764">
            <v>2</v>
          </cell>
          <cell r="J764" t="str">
            <v>C.2.2.2.6.4</v>
          </cell>
          <cell r="K764" t="str">
            <v>Consultas medicas generales</v>
          </cell>
          <cell r="L764">
            <v>2</v>
          </cell>
          <cell r="M764">
            <v>46036</v>
          </cell>
          <cell r="N764">
            <v>46037</v>
          </cell>
          <cell r="O764">
            <v>2</v>
          </cell>
          <cell r="P764">
            <v>46041</v>
          </cell>
          <cell r="Q764">
            <v>5</v>
          </cell>
          <cell r="R764" t="str">
            <v>NA</v>
          </cell>
          <cell r="S764">
            <v>5</v>
          </cell>
        </row>
        <row r="765">
          <cell r="B765" t="str">
            <v>MNC</v>
          </cell>
          <cell r="C765" t="str">
            <v>HSLB13048</v>
          </cell>
          <cell r="D765">
            <v>201001</v>
          </cell>
          <cell r="E765" t="str">
            <v>Estación de Trabajo</v>
          </cell>
          <cell r="F765" t="str">
            <v>NO</v>
          </cell>
          <cell r="G765" t="str">
            <v>NO</v>
          </cell>
          <cell r="H765" t="str">
            <v>BOX CIRUGÍA ADULTOS</v>
          </cell>
          <cell r="I765">
            <v>1</v>
          </cell>
          <cell r="J765" t="str">
            <v>C.2.2.2.7.1</v>
          </cell>
          <cell r="K765" t="str">
            <v>Consultas medicas generales</v>
          </cell>
          <cell r="L765">
            <v>2</v>
          </cell>
          <cell r="M765">
            <v>46036</v>
          </cell>
          <cell r="N765">
            <v>46037</v>
          </cell>
          <cell r="O765">
            <v>2</v>
          </cell>
          <cell r="P765">
            <v>46041</v>
          </cell>
          <cell r="Q765">
            <v>5</v>
          </cell>
          <cell r="R765" t="str">
            <v>NA</v>
          </cell>
          <cell r="S765">
            <v>5</v>
          </cell>
        </row>
        <row r="766">
          <cell r="B766" t="str">
            <v>MNC</v>
          </cell>
          <cell r="C766" t="str">
            <v>HSLB14219</v>
          </cell>
          <cell r="D766">
            <v>204006</v>
          </cell>
          <cell r="E766" t="str">
            <v>Silla Ergonómica</v>
          </cell>
          <cell r="F766" t="str">
            <v>NO</v>
          </cell>
          <cell r="G766" t="str">
            <v>NO</v>
          </cell>
          <cell r="H766" t="str">
            <v>BOX CIRUGÍA ADULTOS</v>
          </cell>
          <cell r="I766">
            <v>1</v>
          </cell>
          <cell r="J766" t="str">
            <v>C.2.2.2.7.1</v>
          </cell>
          <cell r="K766" t="str">
            <v>Consultas medicas generales</v>
          </cell>
          <cell r="L766">
            <v>2</v>
          </cell>
          <cell r="M766">
            <v>46036</v>
          </cell>
          <cell r="N766">
            <v>46037</v>
          </cell>
          <cell r="O766">
            <v>2</v>
          </cell>
          <cell r="P766">
            <v>46041</v>
          </cell>
          <cell r="Q766">
            <v>5</v>
          </cell>
          <cell r="R766" t="str">
            <v>NA</v>
          </cell>
          <cell r="S766">
            <v>5</v>
          </cell>
        </row>
        <row r="767">
          <cell r="B767" t="str">
            <v>MNC</v>
          </cell>
          <cell r="C767" t="str">
            <v>HSLB14675</v>
          </cell>
          <cell r="D767">
            <v>204012</v>
          </cell>
          <cell r="E767" t="str">
            <v>Silla Visita</v>
          </cell>
          <cell r="F767" t="str">
            <v>NO</v>
          </cell>
          <cell r="G767" t="str">
            <v>NO</v>
          </cell>
          <cell r="H767" t="str">
            <v>BOX CIRUGÍA ADULTOS</v>
          </cell>
          <cell r="I767">
            <v>2</v>
          </cell>
          <cell r="J767" t="str">
            <v>C.2.2.2.7.1</v>
          </cell>
          <cell r="K767" t="str">
            <v>Consultas medicas generales</v>
          </cell>
          <cell r="L767">
            <v>2</v>
          </cell>
          <cell r="M767">
            <v>46036</v>
          </cell>
          <cell r="N767">
            <v>46037</v>
          </cell>
          <cell r="O767">
            <v>2</v>
          </cell>
          <cell r="P767">
            <v>46041</v>
          </cell>
          <cell r="Q767">
            <v>5</v>
          </cell>
          <cell r="R767" t="str">
            <v>NA</v>
          </cell>
          <cell r="S767">
            <v>5</v>
          </cell>
        </row>
        <row r="768">
          <cell r="B768" t="str">
            <v>MNC</v>
          </cell>
          <cell r="C768" t="str">
            <v>HSLB13049</v>
          </cell>
          <cell r="D768">
            <v>201001</v>
          </cell>
          <cell r="E768" t="str">
            <v>Estación de Trabajo</v>
          </cell>
          <cell r="F768" t="str">
            <v>NO</v>
          </cell>
          <cell r="G768" t="str">
            <v>NO</v>
          </cell>
          <cell r="H768" t="str">
            <v>BOX CIRUGÍA ADULTOS</v>
          </cell>
          <cell r="I768">
            <v>1</v>
          </cell>
          <cell r="J768" t="str">
            <v>C.2.2.2.7.2</v>
          </cell>
          <cell r="K768" t="str">
            <v>Consultas medicas generales</v>
          </cell>
          <cell r="L768">
            <v>2</v>
          </cell>
          <cell r="M768">
            <v>46036</v>
          </cell>
          <cell r="N768">
            <v>46037</v>
          </cell>
          <cell r="O768">
            <v>2</v>
          </cell>
          <cell r="P768">
            <v>46041</v>
          </cell>
          <cell r="Q768">
            <v>5</v>
          </cell>
          <cell r="R768" t="str">
            <v>NA</v>
          </cell>
          <cell r="S768">
            <v>5</v>
          </cell>
        </row>
        <row r="769">
          <cell r="B769" t="str">
            <v>MNC</v>
          </cell>
          <cell r="C769" t="str">
            <v>HSLB14220</v>
          </cell>
          <cell r="D769">
            <v>204006</v>
          </cell>
          <cell r="E769" t="str">
            <v>Silla Ergonómica</v>
          </cell>
          <cell r="F769" t="str">
            <v>NO</v>
          </cell>
          <cell r="G769" t="str">
            <v>NO</v>
          </cell>
          <cell r="H769" t="str">
            <v>BOX CIRUGÍA ADULTOS</v>
          </cell>
          <cell r="I769">
            <v>1</v>
          </cell>
          <cell r="J769" t="str">
            <v>C.2.2.2.7.2</v>
          </cell>
          <cell r="K769" t="str">
            <v>Consultas medicas generales</v>
          </cell>
          <cell r="L769">
            <v>2</v>
          </cell>
          <cell r="M769">
            <v>46036</v>
          </cell>
          <cell r="N769">
            <v>46037</v>
          </cell>
          <cell r="O769">
            <v>2</v>
          </cell>
          <cell r="P769">
            <v>46041</v>
          </cell>
          <cell r="Q769">
            <v>5</v>
          </cell>
          <cell r="R769" t="str">
            <v>NA</v>
          </cell>
          <cell r="S769">
            <v>5</v>
          </cell>
        </row>
        <row r="770">
          <cell r="B770" t="str">
            <v>MNC</v>
          </cell>
          <cell r="C770" t="str">
            <v>HSLB14676</v>
          </cell>
          <cell r="D770">
            <v>204012</v>
          </cell>
          <cell r="E770" t="str">
            <v>Silla Visita</v>
          </cell>
          <cell r="F770" t="str">
            <v>NO</v>
          </cell>
          <cell r="G770" t="str">
            <v>NO</v>
          </cell>
          <cell r="H770" t="str">
            <v>BOX CIRUGÍA ADULTOS</v>
          </cell>
          <cell r="I770">
            <v>2</v>
          </cell>
          <cell r="J770" t="str">
            <v>C.2.2.2.7.2</v>
          </cell>
          <cell r="K770" t="str">
            <v>Consultas medicas generales</v>
          </cell>
          <cell r="L770">
            <v>2</v>
          </cell>
          <cell r="M770">
            <v>46036</v>
          </cell>
          <cell r="N770">
            <v>46037</v>
          </cell>
          <cell r="O770">
            <v>2</v>
          </cell>
          <cell r="P770">
            <v>46041</v>
          </cell>
          <cell r="Q770">
            <v>5</v>
          </cell>
          <cell r="R770" t="str">
            <v>NA</v>
          </cell>
          <cell r="S770">
            <v>5</v>
          </cell>
        </row>
        <row r="771">
          <cell r="B771" t="str">
            <v>MNC</v>
          </cell>
          <cell r="C771" t="str">
            <v>HSLB13050</v>
          </cell>
          <cell r="D771">
            <v>201001</v>
          </cell>
          <cell r="E771" t="str">
            <v>Estación de Trabajo</v>
          </cell>
          <cell r="F771" t="str">
            <v>NO</v>
          </cell>
          <cell r="G771" t="str">
            <v>SI</v>
          </cell>
          <cell r="H771" t="str">
            <v>BOX GINECOLOGÍA C/BAÑO</v>
          </cell>
          <cell r="I771">
            <v>1</v>
          </cell>
          <cell r="J771" t="str">
            <v>C.2.2.2.8.1</v>
          </cell>
          <cell r="K771" t="str">
            <v>Consultas medicas generales</v>
          </cell>
          <cell r="L771">
            <v>2</v>
          </cell>
          <cell r="M771">
            <v>46003</v>
          </cell>
          <cell r="N771">
            <v>46006</v>
          </cell>
          <cell r="O771">
            <v>1</v>
          </cell>
          <cell r="P771">
            <v>46008</v>
          </cell>
          <cell r="Q771">
            <v>5</v>
          </cell>
          <cell r="R771" t="str">
            <v>NA</v>
          </cell>
          <cell r="S771">
            <v>5</v>
          </cell>
        </row>
        <row r="772">
          <cell r="B772" t="str">
            <v>MNC</v>
          </cell>
          <cell r="C772" t="str">
            <v>HSLB14221</v>
          </cell>
          <cell r="D772">
            <v>204006</v>
          </cell>
          <cell r="E772" t="str">
            <v>Silla Ergonómica</v>
          </cell>
          <cell r="F772" t="str">
            <v>NO</v>
          </cell>
          <cell r="G772" t="str">
            <v>SI</v>
          </cell>
          <cell r="H772" t="str">
            <v>BOX GINECOLOGÍA C/BAÑO</v>
          </cell>
          <cell r="I772">
            <v>1</v>
          </cell>
          <cell r="J772" t="str">
            <v>C.2.2.2.8.1</v>
          </cell>
          <cell r="K772" t="str">
            <v>Consultas medicas generales</v>
          </cell>
          <cell r="L772">
            <v>2</v>
          </cell>
          <cell r="M772">
            <v>46003</v>
          </cell>
          <cell r="N772">
            <v>46006</v>
          </cell>
          <cell r="O772">
            <v>1</v>
          </cell>
          <cell r="P772">
            <v>46008</v>
          </cell>
          <cell r="Q772">
            <v>5</v>
          </cell>
          <cell r="R772" t="str">
            <v>NA</v>
          </cell>
          <cell r="S772">
            <v>5</v>
          </cell>
        </row>
        <row r="773">
          <cell r="B773" t="str">
            <v>MNC</v>
          </cell>
          <cell r="C773" t="str">
            <v>HSLB14677</v>
          </cell>
          <cell r="D773">
            <v>204012</v>
          </cell>
          <cell r="E773" t="str">
            <v>Silla Visita</v>
          </cell>
          <cell r="F773" t="str">
            <v>NO</v>
          </cell>
          <cell r="G773" t="str">
            <v>SI</v>
          </cell>
          <cell r="H773" t="str">
            <v>BOX GINECOLOGÍA C/BAÑO</v>
          </cell>
          <cell r="I773">
            <v>2</v>
          </cell>
          <cell r="J773" t="str">
            <v>C.2.2.2.8.1</v>
          </cell>
          <cell r="K773" t="str">
            <v>Consultas medicas generales</v>
          </cell>
          <cell r="L773">
            <v>2</v>
          </cell>
          <cell r="M773">
            <v>46003</v>
          </cell>
          <cell r="N773">
            <v>46006</v>
          </cell>
          <cell r="O773">
            <v>1</v>
          </cell>
          <cell r="P773">
            <v>46008</v>
          </cell>
          <cell r="Q773">
            <v>5</v>
          </cell>
          <cell r="R773" t="str">
            <v>NA</v>
          </cell>
          <cell r="S773">
            <v>5</v>
          </cell>
        </row>
        <row r="774">
          <cell r="B774" t="str">
            <v>MNC</v>
          </cell>
          <cell r="C774" t="str">
            <v>HSLB13051</v>
          </cell>
          <cell r="D774">
            <v>201001</v>
          </cell>
          <cell r="E774" t="str">
            <v>Estación de Trabajo</v>
          </cell>
          <cell r="F774" t="str">
            <v>NO</v>
          </cell>
          <cell r="G774" t="str">
            <v>NO</v>
          </cell>
          <cell r="H774" t="str">
            <v>BOX GINECOLOGÍA C/BAÑO</v>
          </cell>
          <cell r="I774">
            <v>1</v>
          </cell>
          <cell r="J774" t="str">
            <v>C.2.2.2.8.2</v>
          </cell>
          <cell r="K774" t="str">
            <v>Consultas medicas generales</v>
          </cell>
          <cell r="L774">
            <v>2</v>
          </cell>
          <cell r="M774">
            <v>46036</v>
          </cell>
          <cell r="N774">
            <v>46037</v>
          </cell>
          <cell r="O774">
            <v>2</v>
          </cell>
          <cell r="P774">
            <v>46041</v>
          </cell>
          <cell r="Q774">
            <v>5</v>
          </cell>
          <cell r="R774" t="str">
            <v>NA</v>
          </cell>
          <cell r="S774">
            <v>5</v>
          </cell>
        </row>
        <row r="775">
          <cell r="B775" t="str">
            <v>MNC</v>
          </cell>
          <cell r="C775" t="str">
            <v>HSLB14222</v>
          </cell>
          <cell r="D775">
            <v>204006</v>
          </cell>
          <cell r="E775" t="str">
            <v>Silla Ergonómica</v>
          </cell>
          <cell r="F775" t="str">
            <v>NO</v>
          </cell>
          <cell r="G775" t="str">
            <v>NO</v>
          </cell>
          <cell r="H775" t="str">
            <v>BOX GINECOLOGÍA C/BAÑO</v>
          </cell>
          <cell r="I775">
            <v>1</v>
          </cell>
          <cell r="J775" t="str">
            <v>C.2.2.2.8.2</v>
          </cell>
          <cell r="K775" t="str">
            <v>Consultas medicas generales</v>
          </cell>
          <cell r="L775">
            <v>2</v>
          </cell>
          <cell r="M775">
            <v>46036</v>
          </cell>
          <cell r="N775">
            <v>46037</v>
          </cell>
          <cell r="O775">
            <v>2</v>
          </cell>
          <cell r="P775">
            <v>46041</v>
          </cell>
          <cell r="Q775">
            <v>5</v>
          </cell>
          <cell r="R775" t="str">
            <v>NA</v>
          </cell>
          <cell r="S775">
            <v>5</v>
          </cell>
        </row>
        <row r="776">
          <cell r="B776" t="str">
            <v>MNC</v>
          </cell>
          <cell r="C776" t="str">
            <v>HSLB14678</v>
          </cell>
          <cell r="D776">
            <v>204012</v>
          </cell>
          <cell r="E776" t="str">
            <v>Silla Visita</v>
          </cell>
          <cell r="F776" t="str">
            <v>NO</v>
          </cell>
          <cell r="G776" t="str">
            <v>NO</v>
          </cell>
          <cell r="H776" t="str">
            <v>BOX GINECOLOGÍA C/BAÑO</v>
          </cell>
          <cell r="I776">
            <v>2</v>
          </cell>
          <cell r="J776" t="str">
            <v>C.2.2.2.8.2</v>
          </cell>
          <cell r="K776" t="str">
            <v>Consultas medicas generales</v>
          </cell>
          <cell r="L776">
            <v>2</v>
          </cell>
          <cell r="M776">
            <v>46036</v>
          </cell>
          <cell r="N776">
            <v>46037</v>
          </cell>
          <cell r="O776">
            <v>2</v>
          </cell>
          <cell r="P776">
            <v>46041</v>
          </cell>
          <cell r="Q776">
            <v>5</v>
          </cell>
          <cell r="R776" t="str">
            <v>NA</v>
          </cell>
          <cell r="S776">
            <v>5</v>
          </cell>
        </row>
        <row r="777">
          <cell r="B777" t="str">
            <v>MNC</v>
          </cell>
          <cell r="C777" t="str">
            <v>HSLB13052</v>
          </cell>
          <cell r="D777">
            <v>201001</v>
          </cell>
          <cell r="E777" t="str">
            <v>Estación de Trabajo</v>
          </cell>
          <cell r="F777" t="str">
            <v>NO</v>
          </cell>
          <cell r="G777" t="str">
            <v>NO</v>
          </cell>
          <cell r="H777" t="str">
            <v>BOX OBSTETRICIA C/BAÑO</v>
          </cell>
          <cell r="I777">
            <v>1</v>
          </cell>
          <cell r="J777" t="str">
            <v>C.2.2.2.9</v>
          </cell>
          <cell r="K777" t="str">
            <v>Consultas medicas generales</v>
          </cell>
          <cell r="L777">
            <v>2</v>
          </cell>
          <cell r="M777">
            <v>46036</v>
          </cell>
          <cell r="N777">
            <v>46037</v>
          </cell>
          <cell r="O777">
            <v>2</v>
          </cell>
          <cell r="P777">
            <v>46041</v>
          </cell>
          <cell r="Q777">
            <v>5</v>
          </cell>
          <cell r="R777" t="str">
            <v>NA</v>
          </cell>
          <cell r="S777">
            <v>5</v>
          </cell>
        </row>
        <row r="778">
          <cell r="B778" t="str">
            <v>MNC</v>
          </cell>
          <cell r="C778" t="str">
            <v>HSLB14223</v>
          </cell>
          <cell r="D778">
            <v>204006</v>
          </cell>
          <cell r="E778" t="str">
            <v>Silla Ergonómica</v>
          </cell>
          <cell r="F778" t="str">
            <v>NO</v>
          </cell>
          <cell r="G778" t="str">
            <v>NO</v>
          </cell>
          <cell r="H778" t="str">
            <v>BOX OBSTETRICIA C/BAÑO</v>
          </cell>
          <cell r="I778">
            <v>1</v>
          </cell>
          <cell r="J778" t="str">
            <v>C.2.2.2.9</v>
          </cell>
          <cell r="K778" t="str">
            <v>Consultas medicas generales</v>
          </cell>
          <cell r="L778">
            <v>2</v>
          </cell>
          <cell r="M778">
            <v>46036</v>
          </cell>
          <cell r="N778">
            <v>46037</v>
          </cell>
          <cell r="O778">
            <v>2</v>
          </cell>
          <cell r="P778">
            <v>46041</v>
          </cell>
          <cell r="Q778">
            <v>5</v>
          </cell>
          <cell r="R778" t="str">
            <v>NA</v>
          </cell>
          <cell r="S778">
            <v>5</v>
          </cell>
        </row>
        <row r="779">
          <cell r="B779" t="str">
            <v>MNC</v>
          </cell>
          <cell r="C779" t="str">
            <v>HSLB14679</v>
          </cell>
          <cell r="D779">
            <v>204012</v>
          </cell>
          <cell r="E779" t="str">
            <v>Silla Visita</v>
          </cell>
          <cell r="F779" t="str">
            <v>NO</v>
          </cell>
          <cell r="G779" t="str">
            <v>NO</v>
          </cell>
          <cell r="H779" t="str">
            <v>BOX OBSTETRICIA C/BAÑO</v>
          </cell>
          <cell r="I779">
            <v>2</v>
          </cell>
          <cell r="J779" t="str">
            <v>C.2.2.2.9</v>
          </cell>
          <cell r="K779" t="str">
            <v>Consultas medicas generales</v>
          </cell>
          <cell r="L779">
            <v>2</v>
          </cell>
          <cell r="M779">
            <v>46036</v>
          </cell>
          <cell r="N779">
            <v>46037</v>
          </cell>
          <cell r="O779">
            <v>2</v>
          </cell>
          <cell r="P779">
            <v>46041</v>
          </cell>
          <cell r="Q779">
            <v>5</v>
          </cell>
          <cell r="R779" t="str">
            <v>NA</v>
          </cell>
          <cell r="S779">
            <v>5</v>
          </cell>
        </row>
        <row r="780">
          <cell r="B780" t="str">
            <v>MNC</v>
          </cell>
          <cell r="C780" t="str">
            <v>HSLB14224</v>
          </cell>
          <cell r="D780">
            <v>204006</v>
          </cell>
          <cell r="E780" t="str">
            <v>Silla Ergonómica</v>
          </cell>
          <cell r="F780" t="str">
            <v>NO</v>
          </cell>
          <cell r="G780" t="str">
            <v>NO</v>
          </cell>
          <cell r="H780" t="str">
            <v>SALA PROCEDIMIENTOS TRAUMATOLOGÍA INFANTIL</v>
          </cell>
          <cell r="I780">
            <v>1</v>
          </cell>
          <cell r="J780" t="str">
            <v>C.2.2.3.10</v>
          </cell>
          <cell r="K780" t="str">
            <v>Consultas medicas generales</v>
          </cell>
          <cell r="L780">
            <v>2</v>
          </cell>
          <cell r="M780">
            <v>46036</v>
          </cell>
          <cell r="N780">
            <v>46037</v>
          </cell>
          <cell r="O780">
            <v>2</v>
          </cell>
          <cell r="P780">
            <v>46041</v>
          </cell>
          <cell r="Q780">
            <v>5</v>
          </cell>
          <cell r="R780" t="str">
            <v>NA</v>
          </cell>
          <cell r="S780">
            <v>5</v>
          </cell>
        </row>
        <row r="781">
          <cell r="B781" t="str">
            <v>MNC</v>
          </cell>
          <cell r="C781" t="str">
            <v>HSLB14680</v>
          </cell>
          <cell r="D781">
            <v>204012</v>
          </cell>
          <cell r="E781" t="str">
            <v>Silla Visita</v>
          </cell>
          <cell r="F781" t="str">
            <v>NO</v>
          </cell>
          <cell r="G781" t="str">
            <v>NO</v>
          </cell>
          <cell r="H781" t="str">
            <v>SALA PROCEDIMIENTOS TRAUMATOLOGÍA INFANTIL</v>
          </cell>
          <cell r="I781">
            <v>1</v>
          </cell>
          <cell r="J781" t="str">
            <v>C.2.2.3.10</v>
          </cell>
          <cell r="K781" t="str">
            <v>Consultas medicas generales</v>
          </cell>
          <cell r="L781">
            <v>2</v>
          </cell>
          <cell r="M781">
            <v>46036</v>
          </cell>
          <cell r="N781">
            <v>46037</v>
          </cell>
          <cell r="O781">
            <v>2</v>
          </cell>
          <cell r="P781">
            <v>46041</v>
          </cell>
          <cell r="Q781">
            <v>5</v>
          </cell>
          <cell r="R781" t="str">
            <v>NA</v>
          </cell>
          <cell r="S781">
            <v>5</v>
          </cell>
        </row>
        <row r="782">
          <cell r="B782" t="str">
            <v>MNC</v>
          </cell>
          <cell r="C782" t="str">
            <v>HSLB13053</v>
          </cell>
          <cell r="D782">
            <v>201001</v>
          </cell>
          <cell r="E782" t="str">
            <v>Estación de Trabajo</v>
          </cell>
          <cell r="F782" t="str">
            <v>NO</v>
          </cell>
          <cell r="G782" t="str">
            <v>NO</v>
          </cell>
          <cell r="H782" t="str">
            <v>SALA PROCEDIMIENTOS TRAUMATOLOGÍA INFANTIL</v>
          </cell>
          <cell r="I782">
            <v>1</v>
          </cell>
          <cell r="J782" t="str">
            <v>C.2.2.3.10</v>
          </cell>
          <cell r="K782" t="str">
            <v>Consultas medicas generales</v>
          </cell>
          <cell r="L782">
            <v>2</v>
          </cell>
          <cell r="M782">
            <v>46036</v>
          </cell>
          <cell r="N782">
            <v>46037</v>
          </cell>
          <cell r="O782">
            <v>2</v>
          </cell>
          <cell r="P782">
            <v>46041</v>
          </cell>
          <cell r="Q782">
            <v>5</v>
          </cell>
          <cell r="R782" t="str">
            <v>NA</v>
          </cell>
          <cell r="S782">
            <v>5</v>
          </cell>
        </row>
        <row r="783">
          <cell r="B783" t="str">
            <v>MNC</v>
          </cell>
          <cell r="C783" t="str">
            <v>HSLB14225</v>
          </cell>
          <cell r="D783">
            <v>204006</v>
          </cell>
          <cell r="E783" t="str">
            <v>Silla Ergonómica</v>
          </cell>
          <cell r="F783" t="str">
            <v>NO</v>
          </cell>
          <cell r="G783" t="str">
            <v>NO</v>
          </cell>
          <cell r="H783" t="str">
            <v>SALA PROCEDIMIENTOS TRAUMATOLOGÍA ADULTO</v>
          </cell>
          <cell r="I783">
            <v>1</v>
          </cell>
          <cell r="J783" t="str">
            <v>C.2.2.3.11</v>
          </cell>
          <cell r="K783" t="str">
            <v>Consultas medicas generales</v>
          </cell>
          <cell r="L783">
            <v>2</v>
          </cell>
          <cell r="M783">
            <v>46036</v>
          </cell>
          <cell r="N783">
            <v>46037</v>
          </cell>
          <cell r="O783">
            <v>2</v>
          </cell>
          <cell r="P783">
            <v>46041</v>
          </cell>
          <cell r="Q783">
            <v>5</v>
          </cell>
          <cell r="R783" t="str">
            <v>NA</v>
          </cell>
          <cell r="S783">
            <v>5</v>
          </cell>
        </row>
        <row r="784">
          <cell r="B784" t="str">
            <v>MNC</v>
          </cell>
          <cell r="C784" t="str">
            <v>HSLB14681</v>
          </cell>
          <cell r="D784">
            <v>204012</v>
          </cell>
          <cell r="E784" t="str">
            <v>Silla Visita</v>
          </cell>
          <cell r="F784" t="str">
            <v>NO</v>
          </cell>
          <cell r="G784" t="str">
            <v>NO</v>
          </cell>
          <cell r="H784" t="str">
            <v>SALA PROCEDIMIENTOS TRAUMATOLOGÍA ADULTO</v>
          </cell>
          <cell r="I784">
            <v>2</v>
          </cell>
          <cell r="J784" t="str">
            <v>C.2.2.3.11</v>
          </cell>
          <cell r="K784" t="str">
            <v>Consultas medicas generales</v>
          </cell>
          <cell r="L784">
            <v>2</v>
          </cell>
          <cell r="M784">
            <v>46036</v>
          </cell>
          <cell r="N784">
            <v>46037</v>
          </cell>
          <cell r="O784">
            <v>2</v>
          </cell>
          <cell r="P784">
            <v>46041</v>
          </cell>
          <cell r="Q784">
            <v>5</v>
          </cell>
          <cell r="R784" t="str">
            <v>NA</v>
          </cell>
          <cell r="S784">
            <v>5</v>
          </cell>
        </row>
        <row r="785">
          <cell r="B785" t="str">
            <v>MNC</v>
          </cell>
          <cell r="C785" t="str">
            <v>HSLB13054</v>
          </cell>
          <cell r="D785">
            <v>201001</v>
          </cell>
          <cell r="E785" t="str">
            <v>Estación de Trabajo</v>
          </cell>
          <cell r="F785" t="str">
            <v>NO</v>
          </cell>
          <cell r="G785" t="str">
            <v>NO</v>
          </cell>
          <cell r="H785" t="str">
            <v>SALA PROCEDIMIENTOS TRAUMATOLOGÍA ADULTO</v>
          </cell>
          <cell r="I785">
            <v>1</v>
          </cell>
          <cell r="J785" t="str">
            <v>C.2.2.3.11</v>
          </cell>
          <cell r="K785" t="str">
            <v>Consultas medicas generales</v>
          </cell>
          <cell r="L785">
            <v>2</v>
          </cell>
          <cell r="M785">
            <v>46036</v>
          </cell>
          <cell r="N785">
            <v>46037</v>
          </cell>
          <cell r="O785">
            <v>2</v>
          </cell>
          <cell r="P785">
            <v>46041</v>
          </cell>
          <cell r="Q785">
            <v>5</v>
          </cell>
          <cell r="R785" t="str">
            <v>NA</v>
          </cell>
          <cell r="S785">
            <v>5</v>
          </cell>
        </row>
        <row r="786">
          <cell r="B786" t="str">
            <v>MNC</v>
          </cell>
          <cell r="C786" t="str">
            <v>HSLB13055</v>
          </cell>
          <cell r="D786">
            <v>201001</v>
          </cell>
          <cell r="E786" t="str">
            <v>Estación de Trabajo</v>
          </cell>
          <cell r="F786" t="str">
            <v>NO</v>
          </cell>
          <cell r="G786" t="str">
            <v>NO</v>
          </cell>
          <cell r="H786" t="str">
            <v>SALA TEST DE ESFUERZO Y ESPIROMETRÍA</v>
          </cell>
          <cell r="I786">
            <v>1</v>
          </cell>
          <cell r="J786" t="str">
            <v>C.2.2.3.12</v>
          </cell>
          <cell r="K786" t="str">
            <v>Consultas medicas generales</v>
          </cell>
          <cell r="L786">
            <v>2</v>
          </cell>
          <cell r="M786">
            <v>46036</v>
          </cell>
          <cell r="N786">
            <v>46037</v>
          </cell>
          <cell r="O786">
            <v>2</v>
          </cell>
          <cell r="P786">
            <v>46041</v>
          </cell>
          <cell r="Q786">
            <v>5</v>
          </cell>
          <cell r="R786" t="str">
            <v>NA</v>
          </cell>
          <cell r="S786">
            <v>5</v>
          </cell>
        </row>
        <row r="787">
          <cell r="B787" t="str">
            <v>MNC</v>
          </cell>
          <cell r="C787" t="str">
            <v>HSLB14226</v>
          </cell>
          <cell r="D787">
            <v>204006</v>
          </cell>
          <cell r="E787" t="str">
            <v>Silla Ergonómica</v>
          </cell>
          <cell r="F787" t="str">
            <v>NO</v>
          </cell>
          <cell r="G787" t="str">
            <v>NO</v>
          </cell>
          <cell r="H787" t="str">
            <v>SALA TEST DE ESFUERZO Y ESPIROMETRÍA</v>
          </cell>
          <cell r="I787">
            <v>1</v>
          </cell>
          <cell r="J787" t="str">
            <v>C.2.2.3.12</v>
          </cell>
          <cell r="K787" t="str">
            <v>Consultas medicas generales</v>
          </cell>
          <cell r="L787">
            <v>2</v>
          </cell>
          <cell r="M787">
            <v>46036</v>
          </cell>
          <cell r="N787">
            <v>46037</v>
          </cell>
          <cell r="O787">
            <v>2</v>
          </cell>
          <cell r="P787">
            <v>46041</v>
          </cell>
          <cell r="Q787">
            <v>5</v>
          </cell>
          <cell r="R787" t="str">
            <v>NA</v>
          </cell>
          <cell r="S787">
            <v>5</v>
          </cell>
        </row>
        <row r="788">
          <cell r="B788" t="str">
            <v>MNC</v>
          </cell>
          <cell r="C788" t="str">
            <v>HSLB14682</v>
          </cell>
          <cell r="D788">
            <v>204012</v>
          </cell>
          <cell r="E788" t="str">
            <v>Silla Visita</v>
          </cell>
          <cell r="F788" t="str">
            <v>NO</v>
          </cell>
          <cell r="G788" t="str">
            <v>NO</v>
          </cell>
          <cell r="H788" t="str">
            <v>SALA TEST DE ESFUERZO Y ESPIROMETRÍA</v>
          </cell>
          <cell r="I788">
            <v>1</v>
          </cell>
          <cell r="J788" t="str">
            <v>C.2.2.3.12</v>
          </cell>
          <cell r="K788" t="str">
            <v>Consultas medicas generales</v>
          </cell>
          <cell r="L788">
            <v>2</v>
          </cell>
          <cell r="M788">
            <v>46036</v>
          </cell>
          <cell r="N788">
            <v>46037</v>
          </cell>
          <cell r="O788">
            <v>2</v>
          </cell>
          <cell r="P788">
            <v>46041</v>
          </cell>
          <cell r="Q788">
            <v>5</v>
          </cell>
          <cell r="R788" t="str">
            <v>NA</v>
          </cell>
          <cell r="S788">
            <v>5</v>
          </cell>
        </row>
        <row r="789">
          <cell r="B789" t="str">
            <v>MNC</v>
          </cell>
          <cell r="C789" t="str">
            <v>HSLB15222</v>
          </cell>
          <cell r="D789">
            <v>204001</v>
          </cell>
          <cell r="E789" t="str">
            <v>Banca Madera</v>
          </cell>
          <cell r="F789" t="str">
            <v>NO</v>
          </cell>
          <cell r="G789" t="str">
            <v>NO</v>
          </cell>
          <cell r="H789" t="str">
            <v>SALA TEST DE ESFUERZO Y ESPIROMETRÍA</v>
          </cell>
          <cell r="I789">
            <v>1</v>
          </cell>
          <cell r="J789" t="str">
            <v>C.2.2.3.12</v>
          </cell>
          <cell r="K789" t="str">
            <v>Consultas medicas generales</v>
          </cell>
          <cell r="L789">
            <v>2</v>
          </cell>
          <cell r="M789">
            <v>46036</v>
          </cell>
          <cell r="N789">
            <v>46037</v>
          </cell>
          <cell r="O789">
            <v>2</v>
          </cell>
          <cell r="P789">
            <v>46041</v>
          </cell>
          <cell r="Q789">
            <v>5</v>
          </cell>
          <cell r="R789" t="str">
            <v>NA</v>
          </cell>
          <cell r="S789">
            <v>5</v>
          </cell>
        </row>
        <row r="790">
          <cell r="B790" t="str">
            <v>MNC</v>
          </cell>
          <cell r="C790" t="str">
            <v>HSLB13056</v>
          </cell>
          <cell r="D790">
            <v>201001</v>
          </cell>
          <cell r="E790" t="str">
            <v>Estación de Trabajo</v>
          </cell>
          <cell r="F790" t="str">
            <v>NO</v>
          </cell>
          <cell r="G790" t="str">
            <v>NO</v>
          </cell>
          <cell r="H790" t="str">
            <v>SALA DE PROCEDIMIENTOS CARDIOLÓGICOS</v>
          </cell>
          <cell r="I790">
            <v>1</v>
          </cell>
          <cell r="J790" t="str">
            <v>C.2.2.3.13</v>
          </cell>
          <cell r="K790" t="str">
            <v>Consultas medicas generales</v>
          </cell>
          <cell r="L790">
            <v>2</v>
          </cell>
          <cell r="M790">
            <v>46036</v>
          </cell>
          <cell r="N790">
            <v>46037</v>
          </cell>
          <cell r="O790">
            <v>2</v>
          </cell>
          <cell r="P790">
            <v>46041</v>
          </cell>
          <cell r="Q790">
            <v>5</v>
          </cell>
          <cell r="R790" t="str">
            <v>NA</v>
          </cell>
          <cell r="S790">
            <v>5</v>
          </cell>
        </row>
        <row r="791">
          <cell r="B791" t="str">
            <v>MNC</v>
          </cell>
          <cell r="C791" t="str">
            <v>HSLB14227</v>
          </cell>
          <cell r="D791">
            <v>204006</v>
          </cell>
          <cell r="E791" t="str">
            <v>Silla Ergonómica</v>
          </cell>
          <cell r="F791" t="str">
            <v>NO</v>
          </cell>
          <cell r="G791" t="str">
            <v>NO</v>
          </cell>
          <cell r="H791" t="str">
            <v>SALA DE PROCEDIMIENTOS CARDIOLÓGICOS</v>
          </cell>
          <cell r="I791">
            <v>1</v>
          </cell>
          <cell r="J791" t="str">
            <v>C.2.2.3.13</v>
          </cell>
          <cell r="K791" t="str">
            <v>Consultas medicas generales</v>
          </cell>
          <cell r="L791">
            <v>2</v>
          </cell>
          <cell r="M791">
            <v>46036</v>
          </cell>
          <cell r="N791">
            <v>46037</v>
          </cell>
          <cell r="O791">
            <v>2</v>
          </cell>
          <cell r="P791">
            <v>46041</v>
          </cell>
          <cell r="Q791">
            <v>5</v>
          </cell>
          <cell r="R791" t="str">
            <v>NA</v>
          </cell>
          <cell r="S791">
            <v>5</v>
          </cell>
        </row>
        <row r="792">
          <cell r="B792" t="str">
            <v>MNC</v>
          </cell>
          <cell r="C792" t="str">
            <v>HSLB14683</v>
          </cell>
          <cell r="D792">
            <v>204012</v>
          </cell>
          <cell r="E792" t="str">
            <v>Silla Visita</v>
          </cell>
          <cell r="F792" t="str">
            <v>NO</v>
          </cell>
          <cell r="G792" t="str">
            <v>NO</v>
          </cell>
          <cell r="H792" t="str">
            <v>SALA DE PROCEDIMIENTOS CARDIOLÓGICOS</v>
          </cell>
          <cell r="I792">
            <v>1</v>
          </cell>
          <cell r="J792" t="str">
            <v>C.2.2.3.13</v>
          </cell>
          <cell r="K792" t="str">
            <v>Consultas medicas generales</v>
          </cell>
          <cell r="L792">
            <v>2</v>
          </cell>
          <cell r="M792">
            <v>46036</v>
          </cell>
          <cell r="N792">
            <v>46037</v>
          </cell>
          <cell r="O792">
            <v>2</v>
          </cell>
          <cell r="P792">
            <v>46041</v>
          </cell>
          <cell r="Q792">
            <v>5</v>
          </cell>
          <cell r="R792" t="str">
            <v>NA</v>
          </cell>
          <cell r="S792">
            <v>5</v>
          </cell>
        </row>
        <row r="793">
          <cell r="B793" t="str">
            <v>MNC</v>
          </cell>
          <cell r="C793" t="str">
            <v>HSLB14228</v>
          </cell>
          <cell r="D793">
            <v>204006</v>
          </cell>
          <cell r="E793" t="str">
            <v>Silla Ergonómica</v>
          </cell>
          <cell r="F793" t="str">
            <v>NO</v>
          </cell>
          <cell r="G793" t="str">
            <v>NO</v>
          </cell>
          <cell r="H793" t="str">
            <v>SALA PROCEDIMIENTOS ENDOSCOPÍA INDIFERENCIADO</v>
          </cell>
          <cell r="I793">
            <v>1</v>
          </cell>
          <cell r="J793" t="str">
            <v>C.2.2.3.14.1</v>
          </cell>
          <cell r="K793" t="str">
            <v>Consultas medicas generales</v>
          </cell>
          <cell r="L793">
            <v>2</v>
          </cell>
          <cell r="M793">
            <v>46036</v>
          </cell>
          <cell r="N793">
            <v>46037</v>
          </cell>
          <cell r="O793">
            <v>2</v>
          </cell>
          <cell r="P793">
            <v>46041</v>
          </cell>
          <cell r="Q793">
            <v>5</v>
          </cell>
          <cell r="R793" t="str">
            <v>NA</v>
          </cell>
          <cell r="S793">
            <v>5</v>
          </cell>
        </row>
        <row r="794">
          <cell r="B794" t="str">
            <v>MNC</v>
          </cell>
          <cell r="C794" t="str">
            <v>HSLB15223</v>
          </cell>
          <cell r="D794">
            <v>204012</v>
          </cell>
          <cell r="E794" t="str">
            <v>Silla Visita</v>
          </cell>
          <cell r="F794" t="str">
            <v>NO</v>
          </cell>
          <cell r="G794" t="str">
            <v>NO</v>
          </cell>
          <cell r="H794" t="str">
            <v>SALA PROCEDIMIENTOS ENDOSCOPÍA INDIFERENCIADO</v>
          </cell>
          <cell r="I794">
            <v>1</v>
          </cell>
          <cell r="J794" t="str">
            <v>C.2.2.3.14.1</v>
          </cell>
          <cell r="K794" t="str">
            <v>Consultas medicas generales</v>
          </cell>
          <cell r="L794">
            <v>2</v>
          </cell>
          <cell r="M794">
            <v>46036</v>
          </cell>
          <cell r="N794">
            <v>46037</v>
          </cell>
          <cell r="O794">
            <v>2</v>
          </cell>
          <cell r="P794">
            <v>46041</v>
          </cell>
          <cell r="Q794">
            <v>5</v>
          </cell>
          <cell r="R794" t="str">
            <v>NA</v>
          </cell>
          <cell r="S794">
            <v>5</v>
          </cell>
        </row>
        <row r="795">
          <cell r="B795" t="str">
            <v>MNC</v>
          </cell>
          <cell r="C795" t="str">
            <v>HSLB13057</v>
          </cell>
          <cell r="D795">
            <v>201001</v>
          </cell>
          <cell r="E795" t="str">
            <v>Estación de Trabajo</v>
          </cell>
          <cell r="F795" t="str">
            <v>NO</v>
          </cell>
          <cell r="G795" t="str">
            <v>NO</v>
          </cell>
          <cell r="H795" t="str">
            <v>SALA PROCEDIMIENTOS ENDOSCOPÍA INDIFERENCIADO</v>
          </cell>
          <cell r="I795">
            <v>1</v>
          </cell>
          <cell r="J795" t="str">
            <v>C.2.2.3.14.1</v>
          </cell>
          <cell r="K795" t="str">
            <v>Consultas medicas generales</v>
          </cell>
          <cell r="L795">
            <v>2</v>
          </cell>
          <cell r="M795">
            <v>46036</v>
          </cell>
          <cell r="N795">
            <v>46037</v>
          </cell>
          <cell r="O795">
            <v>2</v>
          </cell>
          <cell r="P795">
            <v>46041</v>
          </cell>
          <cell r="Q795">
            <v>5</v>
          </cell>
          <cell r="R795" t="str">
            <v>NA</v>
          </cell>
          <cell r="S795">
            <v>5</v>
          </cell>
        </row>
        <row r="796">
          <cell r="B796" t="str">
            <v>MNC</v>
          </cell>
          <cell r="C796" t="str">
            <v>HSLB14229</v>
          </cell>
          <cell r="D796">
            <v>204006</v>
          </cell>
          <cell r="E796" t="str">
            <v>Silla Ergonómica</v>
          </cell>
          <cell r="F796" t="str">
            <v>NO</v>
          </cell>
          <cell r="G796" t="str">
            <v>NO</v>
          </cell>
          <cell r="H796" t="str">
            <v>SALA PROCEDIMIENTOS ENDOSCOPÍA INDIFERENCIADO</v>
          </cell>
          <cell r="I796">
            <v>1</v>
          </cell>
          <cell r="J796" t="str">
            <v>C.2.2.3.14.2</v>
          </cell>
          <cell r="K796" t="str">
            <v>Consultas medicas generales</v>
          </cell>
          <cell r="L796">
            <v>2</v>
          </cell>
          <cell r="M796">
            <v>46036</v>
          </cell>
          <cell r="N796">
            <v>46037</v>
          </cell>
          <cell r="O796">
            <v>2</v>
          </cell>
          <cell r="P796">
            <v>46041</v>
          </cell>
          <cell r="Q796">
            <v>5</v>
          </cell>
          <cell r="R796" t="str">
            <v>NA</v>
          </cell>
          <cell r="S796">
            <v>5</v>
          </cell>
        </row>
        <row r="797">
          <cell r="B797" t="str">
            <v>MNC</v>
          </cell>
          <cell r="C797" t="str">
            <v>HSLB15224</v>
          </cell>
          <cell r="D797">
            <v>204012</v>
          </cell>
          <cell r="E797" t="str">
            <v>Silla Visita</v>
          </cell>
          <cell r="F797" t="str">
            <v>NO</v>
          </cell>
          <cell r="G797" t="str">
            <v>NO</v>
          </cell>
          <cell r="H797" t="str">
            <v>SALA PROCEDIMIENTOS ENDOSCOPÍA INDIFERENCIADO</v>
          </cell>
          <cell r="I797">
            <v>1</v>
          </cell>
          <cell r="J797" t="str">
            <v>C.2.2.3.14.2</v>
          </cell>
          <cell r="K797" t="str">
            <v>Consultas medicas generales</v>
          </cell>
          <cell r="L797">
            <v>2</v>
          </cell>
          <cell r="M797">
            <v>46036</v>
          </cell>
          <cell r="N797">
            <v>46037</v>
          </cell>
          <cell r="O797">
            <v>2</v>
          </cell>
          <cell r="P797">
            <v>46041</v>
          </cell>
          <cell r="Q797">
            <v>5</v>
          </cell>
          <cell r="R797" t="str">
            <v>NA</v>
          </cell>
          <cell r="S797">
            <v>5</v>
          </cell>
        </row>
        <row r="798">
          <cell r="B798" t="str">
            <v>MNC</v>
          </cell>
          <cell r="C798" t="str">
            <v>HSLB13058</v>
          </cell>
          <cell r="D798">
            <v>201001</v>
          </cell>
          <cell r="E798" t="str">
            <v>Estación de Trabajo</v>
          </cell>
          <cell r="F798" t="str">
            <v>NO</v>
          </cell>
          <cell r="G798" t="str">
            <v>NO</v>
          </cell>
          <cell r="H798" t="str">
            <v>SALA PROCEDIMIENTOS ENDOSCOPÍA INDIFERENCIADO</v>
          </cell>
          <cell r="I798">
            <v>1</v>
          </cell>
          <cell r="J798" t="str">
            <v>C.2.2.3.14.2</v>
          </cell>
          <cell r="K798" t="str">
            <v>Consultas medicas generales</v>
          </cell>
          <cell r="L798">
            <v>2</v>
          </cell>
          <cell r="M798">
            <v>46036</v>
          </cell>
          <cell r="N798">
            <v>46037</v>
          </cell>
          <cell r="O798">
            <v>2</v>
          </cell>
          <cell r="P798">
            <v>46041</v>
          </cell>
          <cell r="Q798">
            <v>5</v>
          </cell>
          <cell r="R798" t="str">
            <v>NA</v>
          </cell>
          <cell r="S798">
            <v>5</v>
          </cell>
        </row>
        <row r="799">
          <cell r="B799" t="str">
            <v>MNC</v>
          </cell>
          <cell r="C799" t="str">
            <v>HSLB14230</v>
          </cell>
          <cell r="D799">
            <v>204006</v>
          </cell>
          <cell r="E799" t="str">
            <v>Silla Ergonómica</v>
          </cell>
          <cell r="F799" t="str">
            <v>NO</v>
          </cell>
          <cell r="G799" t="str">
            <v>SI</v>
          </cell>
          <cell r="H799" t="str">
            <v>SALA PROCEDIMIENTOS ENDOSCOPÍA INDIFERENCIADO</v>
          </cell>
          <cell r="I799">
            <v>1</v>
          </cell>
          <cell r="J799" t="str">
            <v>C.2.2.3.14.3</v>
          </cell>
          <cell r="K799" t="str">
            <v>Consultas medicas generales</v>
          </cell>
          <cell r="L799">
            <v>2</v>
          </cell>
          <cell r="M799">
            <v>46003</v>
          </cell>
          <cell r="N799">
            <v>46006</v>
          </cell>
          <cell r="O799">
            <v>1</v>
          </cell>
          <cell r="P799">
            <v>46008</v>
          </cell>
          <cell r="Q799">
            <v>5</v>
          </cell>
          <cell r="R799" t="str">
            <v>NA</v>
          </cell>
          <cell r="S799">
            <v>5</v>
          </cell>
        </row>
        <row r="800">
          <cell r="B800" t="str">
            <v>MNC</v>
          </cell>
          <cell r="C800" t="str">
            <v>HSLB15225</v>
          </cell>
          <cell r="D800">
            <v>204012</v>
          </cell>
          <cell r="E800" t="str">
            <v>Silla Visita</v>
          </cell>
          <cell r="F800" t="str">
            <v>NO</v>
          </cell>
          <cell r="G800" t="str">
            <v>SI</v>
          </cell>
          <cell r="H800" t="str">
            <v>SALA PROCEDIMIENTOS ENDOSCOPÍA INDIFERENCIADO</v>
          </cell>
          <cell r="I800">
            <v>1</v>
          </cell>
          <cell r="J800" t="str">
            <v>C.2.2.3.14.3</v>
          </cell>
          <cell r="K800" t="str">
            <v>Consultas medicas generales</v>
          </cell>
          <cell r="L800">
            <v>2</v>
          </cell>
          <cell r="M800">
            <v>46003</v>
          </cell>
          <cell r="N800">
            <v>46006</v>
          </cell>
          <cell r="O800">
            <v>1</v>
          </cell>
          <cell r="P800">
            <v>46007</v>
          </cell>
          <cell r="Q800">
            <v>5</v>
          </cell>
          <cell r="R800" t="str">
            <v>NA</v>
          </cell>
          <cell r="S800">
            <v>5</v>
          </cell>
        </row>
        <row r="801">
          <cell r="B801" t="str">
            <v>MNC</v>
          </cell>
          <cell r="C801" t="str">
            <v>HSLB13059</v>
          </cell>
          <cell r="D801">
            <v>201001</v>
          </cell>
          <cell r="E801" t="str">
            <v>Estación de Trabajo</v>
          </cell>
          <cell r="F801" t="str">
            <v>NO</v>
          </cell>
          <cell r="G801" t="str">
            <v>SI</v>
          </cell>
          <cell r="H801" t="str">
            <v>SALA PROCEDIMIENTOS ENDOSCOPÍA INDIFERENCIADO</v>
          </cell>
          <cell r="I801">
            <v>1</v>
          </cell>
          <cell r="J801" t="str">
            <v>C.2.2.3.14.3</v>
          </cell>
          <cell r="K801" t="str">
            <v>Consultas medicas generales</v>
          </cell>
          <cell r="L801">
            <v>2</v>
          </cell>
          <cell r="M801">
            <v>46003</v>
          </cell>
          <cell r="N801">
            <v>46006</v>
          </cell>
          <cell r="O801">
            <v>1</v>
          </cell>
          <cell r="P801">
            <v>46008</v>
          </cell>
          <cell r="Q801">
            <v>5</v>
          </cell>
          <cell r="R801" t="str">
            <v>NA</v>
          </cell>
          <cell r="S801">
            <v>5</v>
          </cell>
        </row>
        <row r="802">
          <cell r="B802" t="str">
            <v>MNC</v>
          </cell>
          <cell r="C802" t="str">
            <v>HSLB14231</v>
          </cell>
          <cell r="D802">
            <v>204006</v>
          </cell>
          <cell r="E802" t="str">
            <v>Silla Ergonómica</v>
          </cell>
          <cell r="F802" t="str">
            <v>NO</v>
          </cell>
          <cell r="G802" t="str">
            <v>SI</v>
          </cell>
          <cell r="H802" t="str">
            <v xml:space="preserve">SALA RECUPERACIÓN </v>
          </cell>
          <cell r="I802">
            <v>1</v>
          </cell>
          <cell r="J802" t="str">
            <v>C.2.2.3.15</v>
          </cell>
          <cell r="K802" t="str">
            <v>Consultas medicas generales</v>
          </cell>
          <cell r="L802">
            <v>2</v>
          </cell>
          <cell r="M802">
            <v>46003</v>
          </cell>
          <cell r="N802">
            <v>46006</v>
          </cell>
          <cell r="O802">
            <v>1</v>
          </cell>
          <cell r="P802">
            <v>46008</v>
          </cell>
          <cell r="Q802">
            <v>5</v>
          </cell>
          <cell r="R802" t="str">
            <v>NA</v>
          </cell>
          <cell r="S802">
            <v>5</v>
          </cell>
        </row>
        <row r="803">
          <cell r="B803" t="str">
            <v>MNC</v>
          </cell>
          <cell r="C803" t="str">
            <v>HSLB14232</v>
          </cell>
          <cell r="D803">
            <v>204006</v>
          </cell>
          <cell r="E803" t="str">
            <v>Silla Ergonómica</v>
          </cell>
          <cell r="F803" t="str">
            <v>NO</v>
          </cell>
          <cell r="G803" t="str">
            <v>NO</v>
          </cell>
          <cell r="H803" t="str">
            <v>MESÓN RECEPCIÓN</v>
          </cell>
          <cell r="I803">
            <v>1</v>
          </cell>
          <cell r="J803" t="str">
            <v>C.2.2.3.2.1</v>
          </cell>
          <cell r="K803" t="str">
            <v>Consultas medicas generales</v>
          </cell>
          <cell r="L803">
            <v>2</v>
          </cell>
          <cell r="M803">
            <v>46036</v>
          </cell>
          <cell r="N803">
            <v>46037</v>
          </cell>
          <cell r="O803">
            <v>2</v>
          </cell>
          <cell r="P803">
            <v>46041</v>
          </cell>
          <cell r="Q803">
            <v>5</v>
          </cell>
          <cell r="R803" t="str">
            <v>NA</v>
          </cell>
          <cell r="S803">
            <v>5</v>
          </cell>
        </row>
        <row r="804">
          <cell r="B804" t="str">
            <v>MNC</v>
          </cell>
          <cell r="C804" t="str">
            <v>HSLB13280</v>
          </cell>
          <cell r="D804">
            <v>201001</v>
          </cell>
          <cell r="E804" t="str">
            <v>Estación de Trabajo</v>
          </cell>
          <cell r="F804" t="str">
            <v>NO</v>
          </cell>
          <cell r="G804" t="str">
            <v>NO</v>
          </cell>
          <cell r="H804" t="str">
            <v>OFICINA ENFERMERA COORDINADORA</v>
          </cell>
          <cell r="I804">
            <v>1</v>
          </cell>
          <cell r="J804" t="str">
            <v>C.2.2.3.2.2</v>
          </cell>
          <cell r="K804" t="str">
            <v>Consultas medicas generales</v>
          </cell>
          <cell r="L804">
            <v>2</v>
          </cell>
          <cell r="M804">
            <v>46036</v>
          </cell>
          <cell r="N804">
            <v>46037</v>
          </cell>
          <cell r="O804">
            <v>2</v>
          </cell>
          <cell r="P804">
            <v>46041</v>
          </cell>
          <cell r="Q804">
            <v>5</v>
          </cell>
          <cell r="R804" t="str">
            <v>NA</v>
          </cell>
          <cell r="S804">
            <v>5</v>
          </cell>
        </row>
        <row r="805">
          <cell r="B805" t="str">
            <v>MNC</v>
          </cell>
          <cell r="C805" t="str">
            <v>HSLB14553</v>
          </cell>
          <cell r="D805">
            <v>204006</v>
          </cell>
          <cell r="E805" t="str">
            <v>Silla Ergonómica</v>
          </cell>
          <cell r="F805" t="str">
            <v>NO</v>
          </cell>
          <cell r="G805" t="str">
            <v>NO</v>
          </cell>
          <cell r="H805" t="str">
            <v>OFICINA ENFERMERA COORDINADORA</v>
          </cell>
          <cell r="I805">
            <v>1</v>
          </cell>
          <cell r="J805" t="str">
            <v>C.2.2.3.2.2</v>
          </cell>
          <cell r="K805" t="str">
            <v>Consultas medicas generales</v>
          </cell>
          <cell r="L805">
            <v>2</v>
          </cell>
          <cell r="M805">
            <v>46036</v>
          </cell>
          <cell r="N805">
            <v>46037</v>
          </cell>
          <cell r="O805">
            <v>2</v>
          </cell>
          <cell r="P805">
            <v>46041</v>
          </cell>
          <cell r="Q805">
            <v>5</v>
          </cell>
          <cell r="R805" t="str">
            <v>NA</v>
          </cell>
          <cell r="S805">
            <v>5</v>
          </cell>
        </row>
        <row r="806">
          <cell r="B806" t="str">
            <v>MNC</v>
          </cell>
          <cell r="C806" t="str">
            <v>HSLB14950</v>
          </cell>
          <cell r="D806">
            <v>204012</v>
          </cell>
          <cell r="E806" t="str">
            <v>Silla Visita</v>
          </cell>
          <cell r="F806" t="str">
            <v>NO</v>
          </cell>
          <cell r="G806" t="str">
            <v>NO</v>
          </cell>
          <cell r="H806" t="str">
            <v>OFICINA ENFERMERA COORDINADORA</v>
          </cell>
          <cell r="I806">
            <v>2</v>
          </cell>
          <cell r="J806" t="str">
            <v>C.2.2.3.2.2</v>
          </cell>
          <cell r="K806" t="str">
            <v>Consultas medicas generales</v>
          </cell>
          <cell r="L806">
            <v>2</v>
          </cell>
          <cell r="M806">
            <v>46036</v>
          </cell>
          <cell r="N806">
            <v>46037</v>
          </cell>
          <cell r="O806">
            <v>2</v>
          </cell>
          <cell r="P806">
            <v>46041</v>
          </cell>
          <cell r="Q806">
            <v>5</v>
          </cell>
          <cell r="R806" t="str">
            <v>NA</v>
          </cell>
          <cell r="S806">
            <v>5</v>
          </cell>
        </row>
        <row r="807">
          <cell r="B807" t="str">
            <v>MNC</v>
          </cell>
          <cell r="C807" t="str">
            <v>HSLB13060</v>
          </cell>
          <cell r="D807">
            <v>201001</v>
          </cell>
          <cell r="E807" t="str">
            <v>Estación de Trabajo</v>
          </cell>
          <cell r="F807" t="str">
            <v>NO</v>
          </cell>
          <cell r="G807" t="str">
            <v>NO</v>
          </cell>
          <cell r="H807" t="str">
            <v>BOX CARDIO OTORRINO</v>
          </cell>
          <cell r="I807">
            <v>1</v>
          </cell>
          <cell r="J807" t="str">
            <v>C.2.2.3.3</v>
          </cell>
          <cell r="K807" t="str">
            <v>Consultas medicas generales</v>
          </cell>
          <cell r="L807">
            <v>2</v>
          </cell>
          <cell r="M807">
            <v>46036</v>
          </cell>
          <cell r="N807">
            <v>46037</v>
          </cell>
          <cell r="O807">
            <v>2</v>
          </cell>
          <cell r="P807">
            <v>46041</v>
          </cell>
          <cell r="Q807">
            <v>5</v>
          </cell>
          <cell r="R807" t="str">
            <v>NA</v>
          </cell>
          <cell r="S807">
            <v>5</v>
          </cell>
        </row>
        <row r="808">
          <cell r="B808" t="str">
            <v>MNC</v>
          </cell>
          <cell r="C808" t="str">
            <v>HSLB14233</v>
          </cell>
          <cell r="D808">
            <v>204006</v>
          </cell>
          <cell r="E808" t="str">
            <v>Silla Ergonómica</v>
          </cell>
          <cell r="F808" t="str">
            <v>NO</v>
          </cell>
          <cell r="G808" t="str">
            <v>NO</v>
          </cell>
          <cell r="H808" t="str">
            <v>BOX CARDIO OTORRINO</v>
          </cell>
          <cell r="I808">
            <v>1</v>
          </cell>
          <cell r="J808" t="str">
            <v>C.2.2.3.3</v>
          </cell>
          <cell r="K808" t="str">
            <v>Consultas medicas generales</v>
          </cell>
          <cell r="L808">
            <v>2</v>
          </cell>
          <cell r="M808">
            <v>46036</v>
          </cell>
          <cell r="N808">
            <v>46037</v>
          </cell>
          <cell r="O808">
            <v>2</v>
          </cell>
          <cell r="P808">
            <v>46041</v>
          </cell>
          <cell r="Q808">
            <v>5</v>
          </cell>
          <cell r="R808" t="str">
            <v>NA</v>
          </cell>
          <cell r="S808">
            <v>5</v>
          </cell>
        </row>
        <row r="809">
          <cell r="B809" t="str">
            <v>MNC</v>
          </cell>
          <cell r="C809" t="str">
            <v>HSLB14684</v>
          </cell>
          <cell r="D809">
            <v>204012</v>
          </cell>
          <cell r="E809" t="str">
            <v>Silla Visita</v>
          </cell>
          <cell r="F809" t="str">
            <v>NO</v>
          </cell>
          <cell r="G809" t="str">
            <v>NO</v>
          </cell>
          <cell r="H809" t="str">
            <v>BOX CARDIO OTORRINO</v>
          </cell>
          <cell r="I809">
            <v>2</v>
          </cell>
          <cell r="J809" t="str">
            <v>C.2.2.3.3</v>
          </cell>
          <cell r="K809" t="str">
            <v>Consultas medicas generales</v>
          </cell>
          <cell r="L809">
            <v>2</v>
          </cell>
          <cell r="M809">
            <v>46036</v>
          </cell>
          <cell r="N809">
            <v>46037</v>
          </cell>
          <cell r="O809">
            <v>2</v>
          </cell>
          <cell r="P809">
            <v>46041</v>
          </cell>
          <cell r="Q809">
            <v>5</v>
          </cell>
          <cell r="R809" t="str">
            <v>NA</v>
          </cell>
          <cell r="S809">
            <v>5</v>
          </cell>
        </row>
        <row r="810">
          <cell r="B810" t="str">
            <v>MNC</v>
          </cell>
          <cell r="C810" t="str">
            <v>HSLB13061</v>
          </cell>
          <cell r="D810">
            <v>201001</v>
          </cell>
          <cell r="E810" t="str">
            <v>Estación de Trabajo</v>
          </cell>
          <cell r="F810" t="str">
            <v>NO</v>
          </cell>
          <cell r="G810" t="str">
            <v>NO</v>
          </cell>
          <cell r="H810" t="str">
            <v>BOX OFTALMO URO NEFRO (INDIFERENCIDO)</v>
          </cell>
          <cell r="I810">
            <v>1</v>
          </cell>
          <cell r="J810" t="str">
            <v>C.2.2.3.4</v>
          </cell>
          <cell r="K810" t="str">
            <v>Consultas medicas generales</v>
          </cell>
          <cell r="L810">
            <v>2</v>
          </cell>
          <cell r="M810">
            <v>46036</v>
          </cell>
          <cell r="N810">
            <v>46037</v>
          </cell>
          <cell r="O810">
            <v>2</v>
          </cell>
          <cell r="P810">
            <v>46041</v>
          </cell>
          <cell r="Q810">
            <v>5</v>
          </cell>
          <cell r="R810" t="str">
            <v>NA</v>
          </cell>
          <cell r="S810">
            <v>5</v>
          </cell>
        </row>
        <row r="811">
          <cell r="B811" t="str">
            <v>MNC</v>
          </cell>
          <cell r="C811" t="str">
            <v>HSLB14234</v>
          </cell>
          <cell r="D811">
            <v>204006</v>
          </cell>
          <cell r="E811" t="str">
            <v>Silla Ergonómica</v>
          </cell>
          <cell r="F811" t="str">
            <v>NO</v>
          </cell>
          <cell r="G811" t="str">
            <v>NO</v>
          </cell>
          <cell r="H811" t="str">
            <v>BOX OFTALMO URO NEFRO (INDIFERENCIDO)</v>
          </cell>
          <cell r="I811">
            <v>1</v>
          </cell>
          <cell r="J811" t="str">
            <v>C.2.2.3.4</v>
          </cell>
          <cell r="K811" t="str">
            <v>Consultas medicas generales</v>
          </cell>
          <cell r="L811">
            <v>2</v>
          </cell>
          <cell r="M811">
            <v>46036</v>
          </cell>
          <cell r="N811">
            <v>46037</v>
          </cell>
          <cell r="O811">
            <v>2</v>
          </cell>
          <cell r="P811">
            <v>46041</v>
          </cell>
          <cell r="Q811">
            <v>5</v>
          </cell>
          <cell r="R811" t="str">
            <v>NA</v>
          </cell>
          <cell r="S811">
            <v>5</v>
          </cell>
        </row>
        <row r="812">
          <cell r="B812" t="str">
            <v>MNC</v>
          </cell>
          <cell r="C812" t="str">
            <v>HSLB14685</v>
          </cell>
          <cell r="D812">
            <v>204012</v>
          </cell>
          <cell r="E812" t="str">
            <v>Silla Visita</v>
          </cell>
          <cell r="F812" t="str">
            <v>NO</v>
          </cell>
          <cell r="G812" t="str">
            <v>NO</v>
          </cell>
          <cell r="H812" t="str">
            <v>BOX OFTALMO URO NEFRO (INDIFERENCIDO)</v>
          </cell>
          <cell r="I812">
            <v>2</v>
          </cell>
          <cell r="J812" t="str">
            <v>C.2.2.3.4</v>
          </cell>
          <cell r="K812" t="str">
            <v>Consultas medicas generales</v>
          </cell>
          <cell r="L812">
            <v>2</v>
          </cell>
          <cell r="M812">
            <v>46036</v>
          </cell>
          <cell r="N812">
            <v>46037</v>
          </cell>
          <cell r="O812">
            <v>2</v>
          </cell>
          <cell r="P812">
            <v>46041</v>
          </cell>
          <cell r="Q812">
            <v>5</v>
          </cell>
          <cell r="R812" t="str">
            <v>NA</v>
          </cell>
          <cell r="S812">
            <v>5</v>
          </cell>
        </row>
        <row r="813">
          <cell r="B813" t="str">
            <v>MNC</v>
          </cell>
          <cell r="C813" t="str">
            <v>HSLB14235</v>
          </cell>
          <cell r="D813">
            <v>204006</v>
          </cell>
          <cell r="E813" t="str">
            <v>Silla Ergonómica</v>
          </cell>
          <cell r="F813" t="str">
            <v>NO</v>
          </cell>
          <cell r="G813" t="str">
            <v>NO</v>
          </cell>
          <cell r="H813" t="str">
            <v>BOX TRAUMATOLOGÍA</v>
          </cell>
          <cell r="I813">
            <v>1</v>
          </cell>
          <cell r="J813" t="str">
            <v>C.2.2.3.5</v>
          </cell>
          <cell r="K813" t="str">
            <v>Consultas medicas generales</v>
          </cell>
          <cell r="L813">
            <v>2</v>
          </cell>
          <cell r="M813">
            <v>46036</v>
          </cell>
          <cell r="N813">
            <v>46037</v>
          </cell>
          <cell r="O813">
            <v>2</v>
          </cell>
          <cell r="P813">
            <v>46041</v>
          </cell>
          <cell r="Q813">
            <v>5</v>
          </cell>
          <cell r="R813" t="str">
            <v>NA</v>
          </cell>
          <cell r="S813">
            <v>5</v>
          </cell>
        </row>
        <row r="814">
          <cell r="B814" t="str">
            <v>MNC</v>
          </cell>
          <cell r="C814" t="str">
            <v>HSLB14686</v>
          </cell>
          <cell r="D814">
            <v>204012</v>
          </cell>
          <cell r="E814" t="str">
            <v>Silla Visita</v>
          </cell>
          <cell r="F814" t="str">
            <v>NO</v>
          </cell>
          <cell r="G814" t="str">
            <v>NO</v>
          </cell>
          <cell r="H814" t="str">
            <v>BOX TRAUMATOLOGÍA</v>
          </cell>
          <cell r="I814">
            <v>2</v>
          </cell>
          <cell r="J814" t="str">
            <v>C.2.2.3.5</v>
          </cell>
          <cell r="K814" t="str">
            <v>Consultas medicas generales</v>
          </cell>
          <cell r="L814">
            <v>2</v>
          </cell>
          <cell r="M814">
            <v>46036</v>
          </cell>
          <cell r="N814">
            <v>46037</v>
          </cell>
          <cell r="O814">
            <v>2</v>
          </cell>
          <cell r="P814">
            <v>46041</v>
          </cell>
          <cell r="Q814">
            <v>5</v>
          </cell>
          <cell r="R814" t="str">
            <v>NA</v>
          </cell>
          <cell r="S814">
            <v>5</v>
          </cell>
        </row>
        <row r="815">
          <cell r="B815" t="str">
            <v>MNC</v>
          </cell>
          <cell r="C815" t="str">
            <v>HSLB13062</v>
          </cell>
          <cell r="D815">
            <v>201001</v>
          </cell>
          <cell r="E815" t="str">
            <v>Estación de Trabajo</v>
          </cell>
          <cell r="F815" t="str">
            <v>NO</v>
          </cell>
          <cell r="G815" t="str">
            <v>NO</v>
          </cell>
          <cell r="H815" t="str">
            <v>BOX TRAUMATOLOGÍA</v>
          </cell>
          <cell r="I815">
            <v>1</v>
          </cell>
          <cell r="J815" t="str">
            <v>C.2.2.3.5</v>
          </cell>
          <cell r="K815" t="str">
            <v>Consultas medicas generales</v>
          </cell>
          <cell r="L815">
            <v>2</v>
          </cell>
          <cell r="M815">
            <v>46036</v>
          </cell>
          <cell r="N815">
            <v>46037</v>
          </cell>
          <cell r="O815">
            <v>2</v>
          </cell>
          <cell r="P815">
            <v>46041</v>
          </cell>
          <cell r="Q815">
            <v>5</v>
          </cell>
          <cell r="R815" t="str">
            <v>NA</v>
          </cell>
          <cell r="S815">
            <v>5</v>
          </cell>
        </row>
        <row r="816">
          <cell r="B816" t="str">
            <v>MNC</v>
          </cell>
          <cell r="C816" t="str">
            <v>HSLB13063</v>
          </cell>
          <cell r="D816">
            <v>201001</v>
          </cell>
          <cell r="E816" t="str">
            <v>Estación de Trabajo</v>
          </cell>
          <cell r="F816" t="str">
            <v>NO</v>
          </cell>
          <cell r="G816" t="str">
            <v>NO</v>
          </cell>
          <cell r="H816" t="str">
            <v>SALA DE PROCEDIMIENTOS OFTALMO SIMPLE</v>
          </cell>
          <cell r="I816">
            <v>1</v>
          </cell>
          <cell r="J816" t="str">
            <v>C.2.2.3.6</v>
          </cell>
          <cell r="K816" t="str">
            <v>Consultas medicas generales</v>
          </cell>
          <cell r="L816">
            <v>2</v>
          </cell>
          <cell r="M816">
            <v>46036</v>
          </cell>
          <cell r="N816">
            <v>46037</v>
          </cell>
          <cell r="O816">
            <v>2</v>
          </cell>
          <cell r="P816">
            <v>46041</v>
          </cell>
          <cell r="Q816">
            <v>5</v>
          </cell>
          <cell r="R816" t="str">
            <v>NA</v>
          </cell>
          <cell r="S816">
            <v>5</v>
          </cell>
        </row>
        <row r="817">
          <cell r="B817" t="str">
            <v>MNC</v>
          </cell>
          <cell r="C817" t="str">
            <v>HSLB14236</v>
          </cell>
          <cell r="D817">
            <v>204006</v>
          </cell>
          <cell r="E817" t="str">
            <v>Silla Ergonómica</v>
          </cell>
          <cell r="F817" t="str">
            <v>NO</v>
          </cell>
          <cell r="G817" t="str">
            <v>NO</v>
          </cell>
          <cell r="H817" t="str">
            <v>SALA DE PROCEDIMIENTOS OFTALMO SIMPLE</v>
          </cell>
          <cell r="I817">
            <v>1</v>
          </cell>
          <cell r="J817" t="str">
            <v>C.2.2.3.6</v>
          </cell>
          <cell r="K817" t="str">
            <v>Consultas medicas generales</v>
          </cell>
          <cell r="L817">
            <v>2</v>
          </cell>
          <cell r="M817">
            <v>46036</v>
          </cell>
          <cell r="N817">
            <v>46037</v>
          </cell>
          <cell r="O817">
            <v>2</v>
          </cell>
          <cell r="P817">
            <v>46041</v>
          </cell>
          <cell r="Q817">
            <v>5</v>
          </cell>
          <cell r="R817" t="str">
            <v>NA</v>
          </cell>
          <cell r="S817">
            <v>5</v>
          </cell>
        </row>
        <row r="818">
          <cell r="B818" t="str">
            <v>MNC</v>
          </cell>
          <cell r="C818" t="str">
            <v>HSLB15226</v>
          </cell>
          <cell r="D818">
            <v>204012</v>
          </cell>
          <cell r="E818" t="str">
            <v>Silla Visita</v>
          </cell>
          <cell r="F818" t="str">
            <v>NO</v>
          </cell>
          <cell r="G818" t="str">
            <v>NO</v>
          </cell>
          <cell r="H818" t="str">
            <v>SALA DE PROCEDIMIENTOS OFTALMO SIMPLE</v>
          </cell>
          <cell r="I818">
            <v>2</v>
          </cell>
          <cell r="J818" t="str">
            <v>C.2.2.3.6</v>
          </cell>
          <cell r="K818" t="str">
            <v>Consultas medicas generales</v>
          </cell>
          <cell r="L818">
            <v>2</v>
          </cell>
          <cell r="M818">
            <v>46036</v>
          </cell>
          <cell r="N818">
            <v>46037</v>
          </cell>
          <cell r="O818">
            <v>2</v>
          </cell>
          <cell r="P818">
            <v>46041</v>
          </cell>
          <cell r="Q818">
            <v>5</v>
          </cell>
          <cell r="R818" t="str">
            <v>NA</v>
          </cell>
          <cell r="S818">
            <v>5</v>
          </cell>
        </row>
        <row r="819">
          <cell r="B819" t="str">
            <v>MNC</v>
          </cell>
          <cell r="C819" t="str">
            <v>HSLB13064</v>
          </cell>
          <cell r="D819">
            <v>201001</v>
          </cell>
          <cell r="E819" t="str">
            <v>Estación de Trabajo</v>
          </cell>
          <cell r="F819" t="str">
            <v>NO</v>
          </cell>
          <cell r="G819" t="str">
            <v>NO</v>
          </cell>
          <cell r="H819" t="str">
            <v>SALA DE PROCEDIMIENTOS OFTALMO COMPLEJO</v>
          </cell>
          <cell r="I819">
            <v>1</v>
          </cell>
          <cell r="J819" t="str">
            <v>C.2.2.3.7</v>
          </cell>
          <cell r="K819" t="str">
            <v>Consultas medicas generales</v>
          </cell>
          <cell r="L819">
            <v>2</v>
          </cell>
          <cell r="M819">
            <v>46036</v>
          </cell>
          <cell r="N819">
            <v>46037</v>
          </cell>
          <cell r="O819">
            <v>2</v>
          </cell>
          <cell r="P819">
            <v>46041</v>
          </cell>
          <cell r="Q819">
            <v>5</v>
          </cell>
          <cell r="R819" t="str">
            <v>NA</v>
          </cell>
          <cell r="S819">
            <v>5</v>
          </cell>
        </row>
        <row r="820">
          <cell r="B820" t="str">
            <v>MNC</v>
          </cell>
          <cell r="C820" t="str">
            <v>HSLB14237</v>
          </cell>
          <cell r="D820">
            <v>204006</v>
          </cell>
          <cell r="E820" t="str">
            <v>Silla Ergonómica</v>
          </cell>
          <cell r="F820" t="str">
            <v>NO</v>
          </cell>
          <cell r="G820" t="str">
            <v>NO</v>
          </cell>
          <cell r="H820" t="str">
            <v>SALA DE PROCEDIMIENTOS OFTALMO COMPLEJO</v>
          </cell>
          <cell r="I820">
            <v>1</v>
          </cell>
          <cell r="J820" t="str">
            <v>C.2.2.3.7</v>
          </cell>
          <cell r="K820" t="str">
            <v>Consultas medicas generales</v>
          </cell>
          <cell r="L820">
            <v>2</v>
          </cell>
          <cell r="M820">
            <v>46036</v>
          </cell>
          <cell r="N820">
            <v>46037</v>
          </cell>
          <cell r="O820">
            <v>2</v>
          </cell>
          <cell r="P820">
            <v>46041</v>
          </cell>
          <cell r="Q820">
            <v>5</v>
          </cell>
          <cell r="R820" t="str">
            <v>NA</v>
          </cell>
          <cell r="S820">
            <v>5</v>
          </cell>
        </row>
        <row r="821">
          <cell r="B821" t="str">
            <v>MNC</v>
          </cell>
          <cell r="C821" t="str">
            <v>HSLB15227</v>
          </cell>
          <cell r="D821">
            <v>204012</v>
          </cell>
          <cell r="E821" t="str">
            <v>Silla Visita</v>
          </cell>
          <cell r="F821" t="str">
            <v>NO</v>
          </cell>
          <cell r="G821" t="str">
            <v>NO</v>
          </cell>
          <cell r="H821" t="str">
            <v>SALA DE PROCEDIMIENTOS OFTALMO COMPLEJO</v>
          </cell>
          <cell r="I821">
            <v>2</v>
          </cell>
          <cell r="J821" t="str">
            <v>C.2.2.3.7</v>
          </cell>
          <cell r="K821" t="str">
            <v>Consultas medicas generales</v>
          </cell>
          <cell r="L821">
            <v>2</v>
          </cell>
          <cell r="M821">
            <v>46036</v>
          </cell>
          <cell r="N821">
            <v>46037</v>
          </cell>
          <cell r="O821">
            <v>2</v>
          </cell>
          <cell r="P821">
            <v>46041</v>
          </cell>
          <cell r="Q821">
            <v>5</v>
          </cell>
          <cell r="R821" t="str">
            <v>NA</v>
          </cell>
          <cell r="S821">
            <v>5</v>
          </cell>
        </row>
        <row r="822">
          <cell r="B822" t="str">
            <v>MNC</v>
          </cell>
          <cell r="C822" t="str">
            <v>HSLB13065</v>
          </cell>
          <cell r="D822">
            <v>201001</v>
          </cell>
          <cell r="E822" t="str">
            <v>Estación de Trabajo</v>
          </cell>
          <cell r="F822" t="str">
            <v>NO</v>
          </cell>
          <cell r="G822" t="str">
            <v>NO</v>
          </cell>
          <cell r="H822" t="str">
            <v>SALA PROCEDIMIENTOS OTORRINO ESTUDIOS AUDITIVOS</v>
          </cell>
          <cell r="I822">
            <v>1</v>
          </cell>
          <cell r="J822" t="str">
            <v>C.2.2.3.8</v>
          </cell>
          <cell r="K822" t="str">
            <v>Consultas medicas generales</v>
          </cell>
          <cell r="L822">
            <v>2</v>
          </cell>
          <cell r="M822">
            <v>46036</v>
          </cell>
          <cell r="N822">
            <v>46037</v>
          </cell>
          <cell r="O822">
            <v>2</v>
          </cell>
          <cell r="P822">
            <v>46041</v>
          </cell>
          <cell r="Q822">
            <v>5</v>
          </cell>
          <cell r="R822" t="str">
            <v>NA</v>
          </cell>
          <cell r="S822">
            <v>5</v>
          </cell>
        </row>
        <row r="823">
          <cell r="B823" t="str">
            <v>MNC</v>
          </cell>
          <cell r="C823" t="str">
            <v>HSLB14238</v>
          </cell>
          <cell r="D823">
            <v>204006</v>
          </cell>
          <cell r="E823" t="str">
            <v>Silla Ergonómica</v>
          </cell>
          <cell r="F823" t="str">
            <v>NO</v>
          </cell>
          <cell r="G823" t="str">
            <v>NO</v>
          </cell>
          <cell r="H823" t="str">
            <v>SALA PROCEDIMIENTOS OTORRINO ESTUDIOS AUDITIVOS</v>
          </cell>
          <cell r="I823">
            <v>2</v>
          </cell>
          <cell r="J823" t="str">
            <v>C.2.2.3.8</v>
          </cell>
          <cell r="K823" t="str">
            <v>Consultas medicas generales</v>
          </cell>
          <cell r="L823">
            <v>2</v>
          </cell>
          <cell r="M823">
            <v>46036</v>
          </cell>
          <cell r="N823">
            <v>46037</v>
          </cell>
          <cell r="O823">
            <v>2</v>
          </cell>
          <cell r="P823">
            <v>46041</v>
          </cell>
          <cell r="Q823">
            <v>5</v>
          </cell>
          <cell r="R823" t="str">
            <v>NA</v>
          </cell>
          <cell r="S823">
            <v>5</v>
          </cell>
        </row>
        <row r="824">
          <cell r="B824" t="str">
            <v>MNC</v>
          </cell>
          <cell r="C824" t="str">
            <v>HSLB14687</v>
          </cell>
          <cell r="D824">
            <v>204012</v>
          </cell>
          <cell r="E824" t="str">
            <v>Silla Visita</v>
          </cell>
          <cell r="F824" t="str">
            <v>NO</v>
          </cell>
          <cell r="G824" t="str">
            <v>NO</v>
          </cell>
          <cell r="H824" t="str">
            <v>SALA PROCEDIMIENTOS OTORRINO ESTUDIOS AUDITIVOS</v>
          </cell>
          <cell r="I824">
            <v>2</v>
          </cell>
          <cell r="J824" t="str">
            <v>C.2.2.3.8</v>
          </cell>
          <cell r="K824" t="str">
            <v>Consultas medicas generales</v>
          </cell>
          <cell r="L824">
            <v>2</v>
          </cell>
          <cell r="M824">
            <v>46036</v>
          </cell>
          <cell r="N824">
            <v>46037</v>
          </cell>
          <cell r="O824">
            <v>2</v>
          </cell>
          <cell r="P824">
            <v>46041</v>
          </cell>
          <cell r="Q824">
            <v>5</v>
          </cell>
          <cell r="R824" t="str">
            <v>NA</v>
          </cell>
          <cell r="S824">
            <v>5</v>
          </cell>
        </row>
        <row r="825">
          <cell r="B825" t="str">
            <v>MNC</v>
          </cell>
          <cell r="C825" t="str">
            <v>HSLB13066</v>
          </cell>
          <cell r="D825">
            <v>201001</v>
          </cell>
          <cell r="E825" t="str">
            <v>Estación de Trabajo</v>
          </cell>
          <cell r="F825" t="str">
            <v>NO</v>
          </cell>
          <cell r="G825" t="str">
            <v>NO</v>
          </cell>
          <cell r="H825" t="str">
            <v>SALA PROCEDIMIENTOS OTORRINO VIII PAR</v>
          </cell>
          <cell r="I825">
            <v>1</v>
          </cell>
          <cell r="J825" t="str">
            <v>C.2.2.3.9</v>
          </cell>
          <cell r="K825" t="str">
            <v>Consultas medicas generales</v>
          </cell>
          <cell r="L825">
            <v>2</v>
          </cell>
          <cell r="M825">
            <v>46036</v>
          </cell>
          <cell r="N825">
            <v>46037</v>
          </cell>
          <cell r="O825">
            <v>2</v>
          </cell>
          <cell r="P825">
            <v>46041</v>
          </cell>
          <cell r="Q825">
            <v>5</v>
          </cell>
          <cell r="R825" t="str">
            <v>NA</v>
          </cell>
          <cell r="S825">
            <v>5</v>
          </cell>
        </row>
        <row r="826">
          <cell r="B826" t="str">
            <v>MNC</v>
          </cell>
          <cell r="C826" t="str">
            <v>HSLB14239</v>
          </cell>
          <cell r="D826">
            <v>204006</v>
          </cell>
          <cell r="E826" t="str">
            <v>Silla Ergonómica</v>
          </cell>
          <cell r="F826" t="str">
            <v>NO</v>
          </cell>
          <cell r="G826" t="str">
            <v>NO</v>
          </cell>
          <cell r="H826" t="str">
            <v>SALA PROCEDIMIENTOS OTORRINO VIII PAR</v>
          </cell>
          <cell r="I826">
            <v>1</v>
          </cell>
          <cell r="J826" t="str">
            <v>C.2.2.3.9</v>
          </cell>
          <cell r="K826" t="str">
            <v>Consultas medicas generales</v>
          </cell>
          <cell r="L826">
            <v>2</v>
          </cell>
          <cell r="M826">
            <v>46036</v>
          </cell>
          <cell r="N826">
            <v>46037</v>
          </cell>
          <cell r="O826">
            <v>2</v>
          </cell>
          <cell r="P826">
            <v>46041</v>
          </cell>
          <cell r="Q826">
            <v>5</v>
          </cell>
          <cell r="R826" t="str">
            <v>NA</v>
          </cell>
          <cell r="S826">
            <v>5</v>
          </cell>
        </row>
        <row r="827">
          <cell r="B827" t="str">
            <v>MNC</v>
          </cell>
          <cell r="C827" t="str">
            <v>HSLB15228</v>
          </cell>
          <cell r="D827">
            <v>204012</v>
          </cell>
          <cell r="E827" t="str">
            <v>Silla Visita</v>
          </cell>
          <cell r="F827" t="str">
            <v>NO</v>
          </cell>
          <cell r="G827" t="str">
            <v>NO</v>
          </cell>
          <cell r="H827" t="str">
            <v>SALA PROCEDIMIENTOS OTORRINO VIII PAR</v>
          </cell>
          <cell r="I827">
            <v>2</v>
          </cell>
          <cell r="J827" t="str">
            <v>C.2.2.3.9</v>
          </cell>
          <cell r="K827" t="str">
            <v>Consultas medicas generales</v>
          </cell>
          <cell r="L827">
            <v>2</v>
          </cell>
          <cell r="M827">
            <v>46036</v>
          </cell>
          <cell r="N827">
            <v>46037</v>
          </cell>
          <cell r="O827">
            <v>2</v>
          </cell>
          <cell r="P827">
            <v>46041</v>
          </cell>
          <cell r="Q827">
            <v>5</v>
          </cell>
          <cell r="R827" t="str">
            <v>NA</v>
          </cell>
          <cell r="S827">
            <v>5</v>
          </cell>
        </row>
        <row r="828">
          <cell r="B828" t="str">
            <v>MNC</v>
          </cell>
          <cell r="C828" t="str">
            <v>HSLB14240</v>
          </cell>
          <cell r="D828">
            <v>204006</v>
          </cell>
          <cell r="E828" t="str">
            <v>Silla Ergonómica</v>
          </cell>
          <cell r="F828" t="str">
            <v>NO</v>
          </cell>
          <cell r="G828" t="str">
            <v>NO</v>
          </cell>
          <cell r="H828" t="str">
            <v>MESÓN RECEPCIÓN</v>
          </cell>
          <cell r="I828">
            <v>1</v>
          </cell>
          <cell r="J828" t="str">
            <v>C.2.2.4.1</v>
          </cell>
          <cell r="K828" t="str">
            <v>Odontología</v>
          </cell>
          <cell r="L828">
            <v>2</v>
          </cell>
          <cell r="M828">
            <v>46010</v>
          </cell>
          <cell r="N828">
            <v>46013</v>
          </cell>
          <cell r="O828">
            <v>2</v>
          </cell>
          <cell r="P828">
            <v>46015</v>
          </cell>
          <cell r="Q828">
            <v>5</v>
          </cell>
          <cell r="R828" t="str">
            <v>NA</v>
          </cell>
          <cell r="S828">
            <v>5</v>
          </cell>
        </row>
        <row r="829">
          <cell r="B829" t="str">
            <v>MNC</v>
          </cell>
          <cell r="C829" t="str">
            <v>HSLB14688</v>
          </cell>
          <cell r="D829">
            <v>204012</v>
          </cell>
          <cell r="E829" t="str">
            <v>Silla Visita</v>
          </cell>
          <cell r="F829" t="str">
            <v>NO</v>
          </cell>
          <cell r="G829" t="str">
            <v>NO</v>
          </cell>
          <cell r="H829" t="str">
            <v>MESÓN RECEPCIÓN</v>
          </cell>
          <cell r="I829">
            <v>0</v>
          </cell>
          <cell r="J829" t="str">
            <v>C.2.2.4.1</v>
          </cell>
          <cell r="K829" t="str">
            <v>Odontología</v>
          </cell>
          <cell r="L829">
            <v>2</v>
          </cell>
          <cell r="M829">
            <v>46010</v>
          </cell>
          <cell r="N829">
            <v>46013</v>
          </cell>
          <cell r="O829">
            <v>2</v>
          </cell>
          <cell r="P829">
            <v>46015</v>
          </cell>
          <cell r="Q829">
            <v>5</v>
          </cell>
          <cell r="R829" t="str">
            <v>NA</v>
          </cell>
          <cell r="S829">
            <v>5</v>
          </cell>
        </row>
        <row r="830">
          <cell r="B830" t="str">
            <v>MNC</v>
          </cell>
          <cell r="C830" t="str">
            <v>HSLB14241</v>
          </cell>
          <cell r="D830">
            <v>204006</v>
          </cell>
          <cell r="E830" t="str">
            <v>Silla Ergonómica</v>
          </cell>
          <cell r="F830" t="str">
            <v>NO</v>
          </cell>
          <cell r="G830" t="str">
            <v>NO</v>
          </cell>
          <cell r="H830" t="str">
            <v>SALA INFORMES</v>
          </cell>
          <cell r="I830">
            <v>1</v>
          </cell>
          <cell r="J830" t="str">
            <v>C.2.2.4.11</v>
          </cell>
          <cell r="K830" t="str">
            <v>Odontología</v>
          </cell>
          <cell r="L830">
            <v>2</v>
          </cell>
          <cell r="M830">
            <v>46010</v>
          </cell>
          <cell r="N830">
            <v>46013</v>
          </cell>
          <cell r="O830">
            <v>2</v>
          </cell>
          <cell r="P830">
            <v>46015</v>
          </cell>
          <cell r="Q830">
            <v>5</v>
          </cell>
          <cell r="R830" t="str">
            <v>NA</v>
          </cell>
          <cell r="S830">
            <v>5</v>
          </cell>
        </row>
        <row r="831">
          <cell r="B831" t="str">
            <v>MNC</v>
          </cell>
          <cell r="C831" t="str">
            <v>HSLB13370</v>
          </cell>
          <cell r="D831">
            <v>201009</v>
          </cell>
          <cell r="E831" t="str">
            <v>Mesa Reuniones Tipo II</v>
          </cell>
          <cell r="F831" t="str">
            <v>NO</v>
          </cell>
          <cell r="G831" t="str">
            <v>NO</v>
          </cell>
          <cell r="H831" t="str">
            <v>SALA MULTIUSO (TRABAJO GRUPAL, EDUCACION DE PACIENTES)</v>
          </cell>
          <cell r="I831">
            <v>1</v>
          </cell>
          <cell r="J831" t="str">
            <v>C.2.2.4.16</v>
          </cell>
          <cell r="K831" t="str">
            <v>Odontología</v>
          </cell>
          <cell r="L831">
            <v>2</v>
          </cell>
          <cell r="M831">
            <v>46010</v>
          </cell>
          <cell r="N831">
            <v>46013</v>
          </cell>
          <cell r="O831">
            <v>2</v>
          </cell>
          <cell r="P831">
            <v>46015</v>
          </cell>
          <cell r="Q831">
            <v>5</v>
          </cell>
          <cell r="R831" t="str">
            <v>NA</v>
          </cell>
          <cell r="S831">
            <v>5</v>
          </cell>
        </row>
        <row r="832">
          <cell r="B832" t="str">
            <v>MNC</v>
          </cell>
          <cell r="C832" t="str">
            <v>HSLB14689</v>
          </cell>
          <cell r="D832">
            <v>204012</v>
          </cell>
          <cell r="E832" t="str">
            <v>Silla Visita</v>
          </cell>
          <cell r="F832" t="str">
            <v>NO</v>
          </cell>
          <cell r="G832" t="str">
            <v>NO</v>
          </cell>
          <cell r="H832" t="str">
            <v>SALA MULTIUSO (TRABAJO GRUPAL, EDUCACION DE PACIENTES)</v>
          </cell>
          <cell r="I832">
            <v>10</v>
          </cell>
          <cell r="J832" t="str">
            <v>C.2.2.4.16</v>
          </cell>
          <cell r="K832" t="str">
            <v>Odontología</v>
          </cell>
          <cell r="L832">
            <v>2</v>
          </cell>
          <cell r="M832">
            <v>46010</v>
          </cell>
          <cell r="N832">
            <v>46013</v>
          </cell>
          <cell r="O832">
            <v>2</v>
          </cell>
          <cell r="P832">
            <v>46015</v>
          </cell>
          <cell r="Q832">
            <v>5</v>
          </cell>
          <cell r="R832" t="str">
            <v>NA</v>
          </cell>
          <cell r="S832">
            <v>5</v>
          </cell>
        </row>
        <row r="833">
          <cell r="B833" t="str">
            <v>MNC</v>
          </cell>
          <cell r="C833" t="str">
            <v>HSLB15229</v>
          </cell>
          <cell r="D833">
            <v>204020</v>
          </cell>
          <cell r="E833" t="str">
            <v>Silla Butaca Espera 3 Cuerpos</v>
          </cell>
          <cell r="F833" t="str">
            <v>NO</v>
          </cell>
          <cell r="G833" t="str">
            <v>NO</v>
          </cell>
          <cell r="H833" t="str">
            <v>SALA DE ESPERA</v>
          </cell>
          <cell r="I833">
            <v>8</v>
          </cell>
          <cell r="J833" t="str">
            <v>C.2.2.4.3</v>
          </cell>
          <cell r="K833" t="str">
            <v>Odontología</v>
          </cell>
          <cell r="L833">
            <v>2</v>
          </cell>
          <cell r="M833">
            <v>46010</v>
          </cell>
          <cell r="N833">
            <v>46013</v>
          </cell>
          <cell r="O833">
            <v>2</v>
          </cell>
          <cell r="P833">
            <v>46015</v>
          </cell>
          <cell r="Q833">
            <v>5</v>
          </cell>
          <cell r="R833" t="str">
            <v>NA</v>
          </cell>
          <cell r="S833">
            <v>5</v>
          </cell>
        </row>
        <row r="834">
          <cell r="B834" t="str">
            <v>MNC</v>
          </cell>
          <cell r="C834" t="str">
            <v>HSLB13067</v>
          </cell>
          <cell r="D834">
            <v>201001</v>
          </cell>
          <cell r="E834" t="str">
            <v>Estación de Trabajo</v>
          </cell>
          <cell r="F834" t="str">
            <v>NO</v>
          </cell>
          <cell r="G834" t="str">
            <v>NO</v>
          </cell>
          <cell r="H834" t="str">
            <v>OF. JEFE ODONTOLOGÍA</v>
          </cell>
          <cell r="I834">
            <v>1</v>
          </cell>
          <cell r="J834" t="str">
            <v>C.2.2.4.6</v>
          </cell>
          <cell r="K834" t="str">
            <v>Odontología</v>
          </cell>
          <cell r="L834">
            <v>2</v>
          </cell>
          <cell r="M834">
            <v>46010</v>
          </cell>
          <cell r="N834">
            <v>46013</v>
          </cell>
          <cell r="O834">
            <v>2</v>
          </cell>
          <cell r="P834">
            <v>46015</v>
          </cell>
          <cell r="Q834">
            <v>5</v>
          </cell>
          <cell r="R834" t="str">
            <v>NA</v>
          </cell>
          <cell r="S834">
            <v>5</v>
          </cell>
        </row>
        <row r="835">
          <cell r="B835" t="str">
            <v>MNC</v>
          </cell>
          <cell r="C835" t="str">
            <v>HSLB14243</v>
          </cell>
          <cell r="D835">
            <v>204006</v>
          </cell>
          <cell r="E835" t="str">
            <v>Silla Ergonómica</v>
          </cell>
          <cell r="F835" t="str">
            <v>NO</v>
          </cell>
          <cell r="G835" t="str">
            <v>NO</v>
          </cell>
          <cell r="H835" t="str">
            <v>OF. JEFE ODONTOLOGÍA</v>
          </cell>
          <cell r="I835">
            <v>1</v>
          </cell>
          <cell r="J835" t="str">
            <v>C.2.2.4.6</v>
          </cell>
          <cell r="K835" t="str">
            <v>Odontología</v>
          </cell>
          <cell r="L835">
            <v>2</v>
          </cell>
          <cell r="M835">
            <v>46010</v>
          </cell>
          <cell r="N835">
            <v>46013</v>
          </cell>
          <cell r="O835">
            <v>2</v>
          </cell>
          <cell r="P835">
            <v>46015</v>
          </cell>
          <cell r="Q835">
            <v>5</v>
          </cell>
          <cell r="R835" t="str">
            <v>NA</v>
          </cell>
          <cell r="S835">
            <v>5</v>
          </cell>
        </row>
        <row r="836">
          <cell r="B836" t="str">
            <v>MNC</v>
          </cell>
          <cell r="C836" t="str">
            <v>HSLB14690</v>
          </cell>
          <cell r="D836">
            <v>204012</v>
          </cell>
          <cell r="E836" t="str">
            <v>Silla Visita</v>
          </cell>
          <cell r="F836" t="str">
            <v>NO</v>
          </cell>
          <cell r="G836" t="str">
            <v>NO</v>
          </cell>
          <cell r="H836" t="str">
            <v>OF. JEFE ODONTOLOGÍA</v>
          </cell>
          <cell r="I836">
            <v>2</v>
          </cell>
          <cell r="J836" t="str">
            <v>C.2.2.4.6</v>
          </cell>
          <cell r="K836" t="str">
            <v>Odontología</v>
          </cell>
          <cell r="L836">
            <v>2</v>
          </cell>
          <cell r="M836">
            <v>46010</v>
          </cell>
          <cell r="N836">
            <v>46013</v>
          </cell>
          <cell r="O836">
            <v>2</v>
          </cell>
          <cell r="P836">
            <v>46015</v>
          </cell>
          <cell r="Q836">
            <v>5</v>
          </cell>
          <cell r="R836" t="str">
            <v>NA</v>
          </cell>
          <cell r="S836">
            <v>5</v>
          </cell>
        </row>
        <row r="837">
          <cell r="B837" t="str">
            <v>MNC</v>
          </cell>
          <cell r="C837" t="str">
            <v>HSLB15230</v>
          </cell>
          <cell r="D837">
            <v>204012</v>
          </cell>
          <cell r="E837" t="str">
            <v>Silla Visita</v>
          </cell>
          <cell r="F837" t="str">
            <v>NO</v>
          </cell>
          <cell r="G837" t="str">
            <v>NO</v>
          </cell>
          <cell r="H837" t="str">
            <v>BOX DENTAL POLIFUNCIONAL(1)</v>
          </cell>
          <cell r="I837">
            <v>2</v>
          </cell>
          <cell r="J837" t="str">
            <v>C.2.2.4.7.1</v>
          </cell>
          <cell r="K837" t="str">
            <v>Odontología</v>
          </cell>
          <cell r="L837">
            <v>2</v>
          </cell>
          <cell r="M837">
            <v>46010</v>
          </cell>
          <cell r="N837">
            <v>46013</v>
          </cell>
          <cell r="O837">
            <v>2</v>
          </cell>
          <cell r="P837">
            <v>46015</v>
          </cell>
          <cell r="Q837">
            <v>5</v>
          </cell>
          <cell r="R837" t="str">
            <v>NA</v>
          </cell>
          <cell r="S837">
            <v>5</v>
          </cell>
        </row>
        <row r="838">
          <cell r="B838" t="str">
            <v>MNC</v>
          </cell>
          <cell r="C838" t="str">
            <v>HSLB15231</v>
          </cell>
          <cell r="D838">
            <v>204012</v>
          </cell>
          <cell r="E838" t="str">
            <v>Silla Visita</v>
          </cell>
          <cell r="F838" t="str">
            <v>NO</v>
          </cell>
          <cell r="G838" t="str">
            <v>NO</v>
          </cell>
          <cell r="H838" t="str">
            <v>BOX DENTAL POLIFUNCIONAL(2)</v>
          </cell>
          <cell r="I838">
            <v>2</v>
          </cell>
          <cell r="J838" t="str">
            <v>C.2.2.4.7.2</v>
          </cell>
          <cell r="K838" t="str">
            <v>Odontología</v>
          </cell>
          <cell r="L838">
            <v>2</v>
          </cell>
          <cell r="M838">
            <v>46010</v>
          </cell>
          <cell r="N838">
            <v>46013</v>
          </cell>
          <cell r="O838">
            <v>2</v>
          </cell>
          <cell r="P838">
            <v>46015</v>
          </cell>
          <cell r="Q838">
            <v>5</v>
          </cell>
          <cell r="R838" t="str">
            <v>NA</v>
          </cell>
          <cell r="S838">
            <v>5</v>
          </cell>
        </row>
        <row r="839">
          <cell r="B839" t="str">
            <v>MNC</v>
          </cell>
          <cell r="C839" t="str">
            <v>HSLB15232</v>
          </cell>
          <cell r="D839">
            <v>204012</v>
          </cell>
          <cell r="E839" t="str">
            <v>Silla Visita</v>
          </cell>
          <cell r="F839" t="str">
            <v>NO</v>
          </cell>
          <cell r="G839" t="str">
            <v>NO</v>
          </cell>
          <cell r="H839" t="str">
            <v>BOX DENTAL POLIFUNCIONAL(3)</v>
          </cell>
          <cell r="I839">
            <v>2</v>
          </cell>
          <cell r="J839" t="str">
            <v>C.2.2.4.7.3</v>
          </cell>
          <cell r="K839" t="str">
            <v>Odontología</v>
          </cell>
          <cell r="L839">
            <v>2</v>
          </cell>
          <cell r="M839">
            <v>46010</v>
          </cell>
          <cell r="N839">
            <v>46013</v>
          </cell>
          <cell r="O839">
            <v>2</v>
          </cell>
          <cell r="P839">
            <v>46015</v>
          </cell>
          <cell r="Q839">
            <v>5</v>
          </cell>
          <cell r="R839" t="str">
            <v>NA</v>
          </cell>
          <cell r="S839">
            <v>5</v>
          </cell>
        </row>
        <row r="840">
          <cell r="B840" t="str">
            <v>MNC</v>
          </cell>
          <cell r="C840" t="str">
            <v>HSLB15233</v>
          </cell>
          <cell r="D840">
            <v>204012</v>
          </cell>
          <cell r="E840" t="str">
            <v>Silla Visita</v>
          </cell>
          <cell r="F840" t="str">
            <v>NO</v>
          </cell>
          <cell r="G840" t="str">
            <v>NO</v>
          </cell>
          <cell r="H840" t="str">
            <v>BOX DENTAL POLIFUNCIONAL(4)</v>
          </cell>
          <cell r="I840">
            <v>2</v>
          </cell>
          <cell r="J840" t="str">
            <v>C.2.2.4.7.4</v>
          </cell>
          <cell r="K840" t="str">
            <v>Odontología</v>
          </cell>
          <cell r="L840">
            <v>2</v>
          </cell>
          <cell r="M840">
            <v>46010</v>
          </cell>
          <cell r="N840">
            <v>46013</v>
          </cell>
          <cell r="O840">
            <v>2</v>
          </cell>
          <cell r="P840">
            <v>46015</v>
          </cell>
          <cell r="Q840">
            <v>5</v>
          </cell>
          <cell r="R840" t="str">
            <v>NA</v>
          </cell>
          <cell r="S840">
            <v>5</v>
          </cell>
        </row>
        <row r="841">
          <cell r="B841" t="str">
            <v>MNC</v>
          </cell>
          <cell r="C841" t="str">
            <v>HSLB15234</v>
          </cell>
          <cell r="D841">
            <v>204012</v>
          </cell>
          <cell r="E841" t="str">
            <v>Silla Visita</v>
          </cell>
          <cell r="F841" t="str">
            <v>NO</v>
          </cell>
          <cell r="G841" t="str">
            <v>NO</v>
          </cell>
          <cell r="H841" t="str">
            <v>BOX DENTAL POLIFUNCIONAL(5)</v>
          </cell>
          <cell r="I841">
            <v>2</v>
          </cell>
          <cell r="J841" t="str">
            <v>C.2.2.4.7.5</v>
          </cell>
          <cell r="K841" t="str">
            <v>Odontología</v>
          </cell>
          <cell r="L841">
            <v>2</v>
          </cell>
          <cell r="M841">
            <v>46010</v>
          </cell>
          <cell r="N841">
            <v>46013</v>
          </cell>
          <cell r="O841">
            <v>2</v>
          </cell>
          <cell r="P841">
            <v>46015</v>
          </cell>
          <cell r="Q841">
            <v>5</v>
          </cell>
          <cell r="R841" t="str">
            <v>NA</v>
          </cell>
          <cell r="S841">
            <v>5</v>
          </cell>
        </row>
        <row r="842">
          <cell r="B842" t="str">
            <v>MNC</v>
          </cell>
          <cell r="C842" t="str">
            <v>HSLB15235</v>
          </cell>
          <cell r="D842">
            <v>204012</v>
          </cell>
          <cell r="E842" t="str">
            <v>Silla Visita</v>
          </cell>
          <cell r="F842" t="str">
            <v>NO</v>
          </cell>
          <cell r="G842" t="str">
            <v>NO</v>
          </cell>
          <cell r="H842" t="str">
            <v>BOX DENTAL POLIFUNCIONAL(6)</v>
          </cell>
          <cell r="I842">
            <v>2</v>
          </cell>
          <cell r="J842" t="str">
            <v>C.2.2.4.7.6</v>
          </cell>
          <cell r="K842" t="str">
            <v>Odontología</v>
          </cell>
          <cell r="L842">
            <v>2</v>
          </cell>
          <cell r="M842">
            <v>46010</v>
          </cell>
          <cell r="N842">
            <v>46013</v>
          </cell>
          <cell r="O842">
            <v>2</v>
          </cell>
          <cell r="P842">
            <v>46015</v>
          </cell>
          <cell r="Q842">
            <v>5</v>
          </cell>
          <cell r="R842" t="str">
            <v>NA</v>
          </cell>
          <cell r="S842">
            <v>5</v>
          </cell>
        </row>
        <row r="843">
          <cell r="B843" t="str">
            <v>MNC</v>
          </cell>
          <cell r="C843" t="str">
            <v>HSLB15236</v>
          </cell>
          <cell r="D843">
            <v>204012</v>
          </cell>
          <cell r="E843" t="str">
            <v>Silla Visita</v>
          </cell>
          <cell r="F843" t="str">
            <v>NO</v>
          </cell>
          <cell r="G843" t="str">
            <v>NO</v>
          </cell>
          <cell r="H843" t="str">
            <v>BOX DENTAL POLIFUNCIONAL(7)</v>
          </cell>
          <cell r="I843">
            <v>2</v>
          </cell>
          <cell r="J843" t="str">
            <v>C.2.2.4.7.7</v>
          </cell>
          <cell r="K843" t="str">
            <v>Odontología</v>
          </cell>
          <cell r="L843">
            <v>2</v>
          </cell>
          <cell r="M843">
            <v>46010</v>
          </cell>
          <cell r="N843">
            <v>46013</v>
          </cell>
          <cell r="O843">
            <v>2</v>
          </cell>
          <cell r="P843">
            <v>46015</v>
          </cell>
          <cell r="Q843">
            <v>5</v>
          </cell>
          <cell r="R843" t="str">
            <v>NA</v>
          </cell>
          <cell r="S843">
            <v>5</v>
          </cell>
        </row>
        <row r="844">
          <cell r="B844" t="str">
            <v>MNC</v>
          </cell>
          <cell r="C844" t="str">
            <v>HSLB14691</v>
          </cell>
          <cell r="D844">
            <v>204012</v>
          </cell>
          <cell r="E844" t="str">
            <v>Silla Visita</v>
          </cell>
          <cell r="F844" t="str">
            <v>NO</v>
          </cell>
          <cell r="G844" t="str">
            <v>NO</v>
          </cell>
          <cell r="H844" t="str">
            <v>SALA RAYOS INTRAORAL</v>
          </cell>
          <cell r="I844">
            <v>1</v>
          </cell>
          <cell r="J844" t="str">
            <v>C.2.2.4.8</v>
          </cell>
          <cell r="K844" t="str">
            <v>Odontología</v>
          </cell>
          <cell r="L844">
            <v>2</v>
          </cell>
          <cell r="M844">
            <v>46010</v>
          </cell>
          <cell r="N844">
            <v>46013</v>
          </cell>
          <cell r="O844">
            <v>2</v>
          </cell>
          <cell r="P844">
            <v>46015</v>
          </cell>
          <cell r="Q844">
            <v>5</v>
          </cell>
          <cell r="R844" t="str">
            <v>NA</v>
          </cell>
          <cell r="S844">
            <v>5</v>
          </cell>
        </row>
        <row r="845">
          <cell r="B845" t="str">
            <v>MNC</v>
          </cell>
          <cell r="C845" t="str">
            <v>HSLB13086</v>
          </cell>
          <cell r="D845">
            <v>201001</v>
          </cell>
          <cell r="E845" t="str">
            <v>Estación de Trabajo</v>
          </cell>
          <cell r="F845" t="str">
            <v>NO</v>
          </cell>
          <cell r="G845" t="str">
            <v>NO</v>
          </cell>
          <cell r="H845" t="str">
            <v>SECRETARIA C/ARCHIVO, FOTOCOP.</v>
          </cell>
          <cell r="I845">
            <v>1</v>
          </cell>
          <cell r="J845" t="str">
            <v>C.2.5.1.1</v>
          </cell>
          <cell r="K845" t="str">
            <v>Hospital de día</v>
          </cell>
          <cell r="L845">
            <v>2</v>
          </cell>
          <cell r="M845">
            <v>46003</v>
          </cell>
          <cell r="N845">
            <v>46006</v>
          </cell>
          <cell r="O845">
            <v>5</v>
          </cell>
          <cell r="P845">
            <v>46014</v>
          </cell>
          <cell r="Q845">
            <v>5</v>
          </cell>
          <cell r="R845" t="str">
            <v>NA</v>
          </cell>
          <cell r="S845">
            <v>5</v>
          </cell>
        </row>
        <row r="846">
          <cell r="B846" t="str">
            <v>MNC</v>
          </cell>
          <cell r="C846" t="str">
            <v>HSLB14259</v>
          </cell>
          <cell r="D846">
            <v>204006</v>
          </cell>
          <cell r="E846" t="str">
            <v>Silla Ergonómica</v>
          </cell>
          <cell r="F846" t="str">
            <v>NO</v>
          </cell>
          <cell r="G846" t="str">
            <v>NO</v>
          </cell>
          <cell r="H846" t="str">
            <v>SECRETARIA C/ARCHIVO, FOTOCOP.</v>
          </cell>
          <cell r="I846">
            <v>1</v>
          </cell>
          <cell r="J846" t="str">
            <v>C.2.5.1.1</v>
          </cell>
          <cell r="K846" t="str">
            <v>Hospital de día</v>
          </cell>
          <cell r="L846">
            <v>2</v>
          </cell>
          <cell r="M846">
            <v>46003</v>
          </cell>
          <cell r="N846">
            <v>46006</v>
          </cell>
          <cell r="O846">
            <v>2</v>
          </cell>
          <cell r="P846">
            <v>46009</v>
          </cell>
          <cell r="Q846">
            <v>5</v>
          </cell>
          <cell r="R846" t="str">
            <v>NA</v>
          </cell>
          <cell r="S846">
            <v>5</v>
          </cell>
        </row>
        <row r="847">
          <cell r="B847" t="str">
            <v>MNC</v>
          </cell>
          <cell r="C847" t="str">
            <v>HSLB14703</v>
          </cell>
          <cell r="D847">
            <v>204012</v>
          </cell>
          <cell r="E847" t="str">
            <v>Silla Visita</v>
          </cell>
          <cell r="F847" t="str">
            <v>NO</v>
          </cell>
          <cell r="G847" t="str">
            <v>NO</v>
          </cell>
          <cell r="H847" t="str">
            <v>SECRETARIA C/ARCHIVO, FOTOCOP.</v>
          </cell>
          <cell r="I847">
            <v>1</v>
          </cell>
          <cell r="J847" t="str">
            <v>C.2.5.1.1</v>
          </cell>
          <cell r="K847" t="str">
            <v>Hospital de día</v>
          </cell>
          <cell r="L847">
            <v>2</v>
          </cell>
          <cell r="M847">
            <v>46003</v>
          </cell>
          <cell r="N847">
            <v>46006</v>
          </cell>
          <cell r="O847">
            <v>2</v>
          </cell>
          <cell r="P847">
            <v>46009</v>
          </cell>
          <cell r="Q847">
            <v>5</v>
          </cell>
          <cell r="R847" t="str">
            <v>NA</v>
          </cell>
          <cell r="S847">
            <v>5</v>
          </cell>
        </row>
        <row r="848">
          <cell r="B848" t="str">
            <v>MNC</v>
          </cell>
          <cell r="C848" t="str">
            <v>HSLB13087</v>
          </cell>
          <cell r="D848">
            <v>201001</v>
          </cell>
          <cell r="E848" t="str">
            <v>Estación de Trabajo</v>
          </cell>
          <cell r="F848" t="str">
            <v>NO</v>
          </cell>
          <cell r="G848" t="str">
            <v>NO</v>
          </cell>
          <cell r="H848" t="str">
            <v>OFICINA JEFE SALUD MENTAL</v>
          </cell>
          <cell r="I848">
            <v>1</v>
          </cell>
          <cell r="J848" t="str">
            <v>C.2.5.1.2</v>
          </cell>
          <cell r="K848" t="str">
            <v>Hospital de día</v>
          </cell>
          <cell r="L848">
            <v>2</v>
          </cell>
          <cell r="M848">
            <v>46003</v>
          </cell>
          <cell r="N848">
            <v>46006</v>
          </cell>
          <cell r="O848">
            <v>5</v>
          </cell>
          <cell r="P848">
            <v>46014</v>
          </cell>
          <cell r="Q848">
            <v>5</v>
          </cell>
          <cell r="R848" t="str">
            <v>NA</v>
          </cell>
          <cell r="S848">
            <v>5</v>
          </cell>
        </row>
        <row r="849">
          <cell r="B849" t="str">
            <v>MNC</v>
          </cell>
          <cell r="C849" t="str">
            <v>HSLB14260</v>
          </cell>
          <cell r="D849">
            <v>204006</v>
          </cell>
          <cell r="E849" t="str">
            <v>Silla Ergonómica</v>
          </cell>
          <cell r="F849" t="str">
            <v>NO</v>
          </cell>
          <cell r="G849" t="str">
            <v>NO</v>
          </cell>
          <cell r="H849" t="str">
            <v>OFICINA JEFE SALUD MENTAL</v>
          </cell>
          <cell r="I849">
            <v>1</v>
          </cell>
          <cell r="J849" t="str">
            <v>C.2.5.1.2</v>
          </cell>
          <cell r="K849" t="str">
            <v>Hospital de día</v>
          </cell>
          <cell r="L849">
            <v>2</v>
          </cell>
          <cell r="M849">
            <v>46003</v>
          </cell>
          <cell r="N849">
            <v>46006</v>
          </cell>
          <cell r="O849">
            <v>2</v>
          </cell>
          <cell r="P849">
            <v>46009</v>
          </cell>
          <cell r="Q849">
            <v>5</v>
          </cell>
          <cell r="R849" t="str">
            <v>NA</v>
          </cell>
          <cell r="S849">
            <v>5</v>
          </cell>
        </row>
        <row r="850">
          <cell r="B850" t="str">
            <v>MNC</v>
          </cell>
          <cell r="C850" t="str">
            <v>HSLB14704</v>
          </cell>
          <cell r="D850">
            <v>204012</v>
          </cell>
          <cell r="E850" t="str">
            <v>Silla Visita</v>
          </cell>
          <cell r="F850" t="str">
            <v>NO</v>
          </cell>
          <cell r="G850" t="str">
            <v>NO</v>
          </cell>
          <cell r="H850" t="str">
            <v>OFICINA JEFE SALUD MENTAL</v>
          </cell>
          <cell r="I850">
            <v>2</v>
          </cell>
          <cell r="J850" t="str">
            <v>C.2.5.1.2</v>
          </cell>
          <cell r="K850" t="str">
            <v>Hospital de día</v>
          </cell>
          <cell r="L850">
            <v>2</v>
          </cell>
          <cell r="M850">
            <v>46003</v>
          </cell>
          <cell r="N850">
            <v>46006</v>
          </cell>
          <cell r="O850">
            <v>2</v>
          </cell>
          <cell r="P850">
            <v>46009</v>
          </cell>
          <cell r="Q850">
            <v>5</v>
          </cell>
          <cell r="R850" t="str">
            <v>NA</v>
          </cell>
          <cell r="S850">
            <v>5</v>
          </cell>
        </row>
        <row r="851">
          <cell r="B851" t="str">
            <v>MNC</v>
          </cell>
          <cell r="C851" t="str">
            <v>HSLB13088</v>
          </cell>
          <cell r="D851">
            <v>201001</v>
          </cell>
          <cell r="E851" t="str">
            <v>Estación de Trabajo</v>
          </cell>
          <cell r="F851" t="str">
            <v>NO</v>
          </cell>
          <cell r="G851" t="str">
            <v>NO</v>
          </cell>
          <cell r="H851" t="str">
            <v>OF.COORDINADOR SALUD MENTAL</v>
          </cell>
          <cell r="I851">
            <v>1</v>
          </cell>
          <cell r="J851" t="str">
            <v>C.2.5.1.3</v>
          </cell>
          <cell r="K851" t="str">
            <v>Hospital de día</v>
          </cell>
          <cell r="L851">
            <v>2</v>
          </cell>
          <cell r="M851">
            <v>46003</v>
          </cell>
          <cell r="N851">
            <v>46006</v>
          </cell>
          <cell r="O851">
            <v>5</v>
          </cell>
          <cell r="P851">
            <v>46014</v>
          </cell>
          <cell r="Q851">
            <v>5</v>
          </cell>
          <cell r="R851" t="str">
            <v>NA</v>
          </cell>
          <cell r="S851">
            <v>5</v>
          </cell>
        </row>
        <row r="852">
          <cell r="B852" t="str">
            <v>MNC</v>
          </cell>
          <cell r="C852" t="str">
            <v>HSLB14261</v>
          </cell>
          <cell r="D852">
            <v>204006</v>
          </cell>
          <cell r="E852" t="str">
            <v>Silla Ergonómica</v>
          </cell>
          <cell r="F852" t="str">
            <v>NO</v>
          </cell>
          <cell r="G852" t="str">
            <v>NO</v>
          </cell>
          <cell r="H852" t="str">
            <v>OF.COORDINADOR SALUD MENTAL</v>
          </cell>
          <cell r="I852">
            <v>1</v>
          </cell>
          <cell r="J852" t="str">
            <v>C.2.5.1.3</v>
          </cell>
          <cell r="K852" t="str">
            <v>Hospital de día</v>
          </cell>
          <cell r="L852">
            <v>2</v>
          </cell>
          <cell r="M852">
            <v>46003</v>
          </cell>
          <cell r="N852">
            <v>46006</v>
          </cell>
          <cell r="O852">
            <v>2</v>
          </cell>
          <cell r="P852">
            <v>46009</v>
          </cell>
          <cell r="Q852">
            <v>5</v>
          </cell>
          <cell r="R852" t="str">
            <v>NA</v>
          </cell>
          <cell r="S852">
            <v>5</v>
          </cell>
        </row>
        <row r="853">
          <cell r="B853" t="str">
            <v>MNC</v>
          </cell>
          <cell r="C853" t="str">
            <v>HSLB14705</v>
          </cell>
          <cell r="D853">
            <v>204012</v>
          </cell>
          <cell r="E853" t="str">
            <v>Silla Visita</v>
          </cell>
          <cell r="F853" t="str">
            <v>NO</v>
          </cell>
          <cell r="G853" t="str">
            <v>NO</v>
          </cell>
          <cell r="H853" t="str">
            <v>OF.COORDINADOR SALUD MENTAL</v>
          </cell>
          <cell r="I853">
            <v>2</v>
          </cell>
          <cell r="J853" t="str">
            <v>C.2.5.1.3</v>
          </cell>
          <cell r="K853" t="str">
            <v>Hospital de día</v>
          </cell>
          <cell r="L853">
            <v>2</v>
          </cell>
          <cell r="M853">
            <v>46003</v>
          </cell>
          <cell r="N853">
            <v>46006</v>
          </cell>
          <cell r="O853">
            <v>2</v>
          </cell>
          <cell r="P853">
            <v>46009</v>
          </cell>
          <cell r="Q853">
            <v>5</v>
          </cell>
          <cell r="R853" t="str">
            <v>NA</v>
          </cell>
          <cell r="S853">
            <v>5</v>
          </cell>
        </row>
        <row r="854">
          <cell r="B854" t="str">
            <v>MNC</v>
          </cell>
          <cell r="C854" t="str">
            <v>HSLB13089</v>
          </cell>
          <cell r="D854">
            <v>201001</v>
          </cell>
          <cell r="E854" t="str">
            <v>Estación de Trabajo</v>
          </cell>
          <cell r="F854" t="str">
            <v>NO</v>
          </cell>
          <cell r="G854" t="str">
            <v>NO</v>
          </cell>
          <cell r="H854" t="str">
            <v>OFICINA JEFE SALUD MENTAL AMBULATORIO</v>
          </cell>
          <cell r="I854">
            <v>1</v>
          </cell>
          <cell r="J854" t="str">
            <v>C.2.5.2.1</v>
          </cell>
          <cell r="K854" t="str">
            <v>Psiquiatría</v>
          </cell>
          <cell r="L854">
            <v>2</v>
          </cell>
          <cell r="M854">
            <v>46015</v>
          </cell>
          <cell r="N854">
            <v>46017</v>
          </cell>
          <cell r="O854">
            <v>5</v>
          </cell>
          <cell r="P854">
            <v>46024</v>
          </cell>
          <cell r="Q854">
            <v>5</v>
          </cell>
          <cell r="R854" t="str">
            <v>NA</v>
          </cell>
          <cell r="S854">
            <v>5</v>
          </cell>
        </row>
        <row r="855">
          <cell r="B855" t="str">
            <v>MNC</v>
          </cell>
          <cell r="C855" t="str">
            <v>HSLB14262</v>
          </cell>
          <cell r="D855">
            <v>204006</v>
          </cell>
          <cell r="E855" t="str">
            <v>Silla Ergonómica</v>
          </cell>
          <cell r="F855" t="str">
            <v>NO</v>
          </cell>
          <cell r="G855" t="str">
            <v>NO</v>
          </cell>
          <cell r="H855" t="str">
            <v>OFICINA JEFE SALUD MENTAL AMBULATORIO</v>
          </cell>
          <cell r="I855">
            <v>1</v>
          </cell>
          <cell r="J855" t="str">
            <v>C.2.5.2.1</v>
          </cell>
          <cell r="K855" t="str">
            <v>Psiquiatría</v>
          </cell>
          <cell r="L855">
            <v>2</v>
          </cell>
          <cell r="M855">
            <v>46015</v>
          </cell>
          <cell r="N855">
            <v>46017</v>
          </cell>
          <cell r="O855">
            <v>1</v>
          </cell>
          <cell r="P855">
            <v>46020</v>
          </cell>
          <cell r="Q855">
            <v>5</v>
          </cell>
          <cell r="R855" t="str">
            <v>NA</v>
          </cell>
          <cell r="S855">
            <v>5</v>
          </cell>
        </row>
        <row r="856">
          <cell r="B856" t="str">
            <v>MNC</v>
          </cell>
          <cell r="C856" t="str">
            <v>HSLB14706</v>
          </cell>
          <cell r="D856">
            <v>204012</v>
          </cell>
          <cell r="E856" t="str">
            <v>Silla Visita</v>
          </cell>
          <cell r="F856" t="str">
            <v>NO</v>
          </cell>
          <cell r="G856" t="str">
            <v>NO</v>
          </cell>
          <cell r="H856" t="str">
            <v>OFICINA JEFE SALUD MENTAL AMBULATORIO</v>
          </cell>
          <cell r="I856">
            <v>2</v>
          </cell>
          <cell r="J856" t="str">
            <v>C.2.5.2.1</v>
          </cell>
          <cell r="K856" t="str">
            <v>Psiquiatría</v>
          </cell>
          <cell r="L856">
            <v>2</v>
          </cell>
          <cell r="M856">
            <v>46015</v>
          </cell>
          <cell r="N856">
            <v>46017</v>
          </cell>
          <cell r="O856">
            <v>1</v>
          </cell>
          <cell r="P856">
            <v>46020</v>
          </cell>
          <cell r="Q856">
            <v>5</v>
          </cell>
          <cell r="R856" t="str">
            <v>NA</v>
          </cell>
          <cell r="S856">
            <v>5</v>
          </cell>
        </row>
        <row r="857">
          <cell r="B857" t="str">
            <v>MNC</v>
          </cell>
          <cell r="C857" t="str">
            <v>HSLB13090</v>
          </cell>
          <cell r="D857">
            <v>201001</v>
          </cell>
          <cell r="E857" t="str">
            <v>Estación de Trabajo</v>
          </cell>
          <cell r="F857" t="str">
            <v>NO</v>
          </cell>
          <cell r="G857" t="str">
            <v>NO</v>
          </cell>
          <cell r="H857" t="str">
            <v>BOX ENFERMERA SALUD MENTAL</v>
          </cell>
          <cell r="I857">
            <v>1</v>
          </cell>
          <cell r="J857" t="str">
            <v>C.2.5.2.10</v>
          </cell>
          <cell r="K857" t="str">
            <v>Psiquiatría</v>
          </cell>
          <cell r="L857">
            <v>2</v>
          </cell>
          <cell r="M857">
            <v>46015</v>
          </cell>
          <cell r="N857">
            <v>46017</v>
          </cell>
          <cell r="O857">
            <v>5</v>
          </cell>
          <cell r="P857">
            <v>46024</v>
          </cell>
          <cell r="Q857">
            <v>5</v>
          </cell>
          <cell r="R857" t="str">
            <v>NA</v>
          </cell>
          <cell r="S857">
            <v>5</v>
          </cell>
        </row>
        <row r="858">
          <cell r="B858" t="str">
            <v>MNC</v>
          </cell>
          <cell r="C858" t="str">
            <v>HSLB14263</v>
          </cell>
          <cell r="D858">
            <v>204006</v>
          </cell>
          <cell r="E858" t="str">
            <v>Silla Ergonómica</v>
          </cell>
          <cell r="F858" t="str">
            <v>NO</v>
          </cell>
          <cell r="G858" t="str">
            <v>NO</v>
          </cell>
          <cell r="H858" t="str">
            <v>BOX ENFERMERA SALUD MENTAL</v>
          </cell>
          <cell r="I858">
            <v>1</v>
          </cell>
          <cell r="J858" t="str">
            <v>C.2.5.2.10</v>
          </cell>
          <cell r="K858" t="str">
            <v>Psiquiatría</v>
          </cell>
          <cell r="L858">
            <v>2</v>
          </cell>
          <cell r="M858">
            <v>46015</v>
          </cell>
          <cell r="N858">
            <v>46017</v>
          </cell>
          <cell r="O858">
            <v>1</v>
          </cell>
          <cell r="P858">
            <v>46020</v>
          </cell>
          <cell r="Q858">
            <v>5</v>
          </cell>
          <cell r="R858" t="str">
            <v>NA</v>
          </cell>
          <cell r="S858">
            <v>5</v>
          </cell>
        </row>
        <row r="859">
          <cell r="B859" t="str">
            <v>MNC</v>
          </cell>
          <cell r="C859" t="str">
            <v>HSLB14707</v>
          </cell>
          <cell r="D859">
            <v>204012</v>
          </cell>
          <cell r="E859" t="str">
            <v>Silla Visita</v>
          </cell>
          <cell r="F859" t="str">
            <v>NO</v>
          </cell>
          <cell r="G859" t="str">
            <v>NO</v>
          </cell>
          <cell r="H859" t="str">
            <v>BOX ENFERMERA SALUD MENTAL</v>
          </cell>
          <cell r="I859">
            <v>2</v>
          </cell>
          <cell r="J859" t="str">
            <v>C.2.5.2.10</v>
          </cell>
          <cell r="K859" t="str">
            <v>Psiquiatría</v>
          </cell>
          <cell r="L859">
            <v>2</v>
          </cell>
          <cell r="M859">
            <v>46015</v>
          </cell>
          <cell r="N859">
            <v>46017</v>
          </cell>
          <cell r="O859">
            <v>1</v>
          </cell>
          <cell r="P859">
            <v>46020</v>
          </cell>
          <cell r="Q859">
            <v>5</v>
          </cell>
          <cell r="R859" t="str">
            <v>NA</v>
          </cell>
          <cell r="S859">
            <v>5</v>
          </cell>
        </row>
        <row r="860">
          <cell r="B860" t="str">
            <v>MNC</v>
          </cell>
          <cell r="C860" t="str">
            <v>HSLB13091</v>
          </cell>
          <cell r="D860">
            <v>201001</v>
          </cell>
          <cell r="E860" t="str">
            <v>Estación de Trabajo</v>
          </cell>
          <cell r="F860" t="str">
            <v>NO</v>
          </cell>
          <cell r="G860" t="str">
            <v>NO</v>
          </cell>
          <cell r="H860" t="str">
            <v>BOX PSICÓLOGO ADULTO</v>
          </cell>
          <cell r="I860">
            <v>1</v>
          </cell>
          <cell r="J860" t="str">
            <v>C.2.5.2.11.1</v>
          </cell>
          <cell r="K860" t="str">
            <v>Psiquiatría</v>
          </cell>
          <cell r="L860">
            <v>2</v>
          </cell>
          <cell r="M860">
            <v>46015</v>
          </cell>
          <cell r="N860">
            <v>46017</v>
          </cell>
          <cell r="O860">
            <v>5</v>
          </cell>
          <cell r="P860">
            <v>46024</v>
          </cell>
          <cell r="Q860">
            <v>5</v>
          </cell>
          <cell r="R860" t="str">
            <v>NA</v>
          </cell>
          <cell r="S860">
            <v>5</v>
          </cell>
        </row>
        <row r="861">
          <cell r="B861" t="str">
            <v>MNC</v>
          </cell>
          <cell r="C861" t="str">
            <v>HSLB14264</v>
          </cell>
          <cell r="D861">
            <v>204006</v>
          </cell>
          <cell r="E861" t="str">
            <v>Silla Ergonómica</v>
          </cell>
          <cell r="F861" t="str">
            <v>NO</v>
          </cell>
          <cell r="G861" t="str">
            <v>NO</v>
          </cell>
          <cell r="H861" t="str">
            <v>BOX PSICÓLOGO ADULTO</v>
          </cell>
          <cell r="I861">
            <v>1</v>
          </cell>
          <cell r="J861" t="str">
            <v>C.2.5.2.11.1</v>
          </cell>
          <cell r="K861" t="str">
            <v>Psiquiatría</v>
          </cell>
          <cell r="L861">
            <v>2</v>
          </cell>
          <cell r="M861">
            <v>46015</v>
          </cell>
          <cell r="N861">
            <v>46017</v>
          </cell>
          <cell r="O861">
            <v>1</v>
          </cell>
          <cell r="P861">
            <v>46020</v>
          </cell>
          <cell r="Q861">
            <v>5</v>
          </cell>
          <cell r="R861" t="str">
            <v>NA</v>
          </cell>
          <cell r="S861">
            <v>5</v>
          </cell>
        </row>
        <row r="862">
          <cell r="B862" t="str">
            <v>MNC</v>
          </cell>
          <cell r="C862" t="str">
            <v>HSLB14708</v>
          </cell>
          <cell r="D862">
            <v>204012</v>
          </cell>
          <cell r="E862" t="str">
            <v>Silla Visita</v>
          </cell>
          <cell r="F862" t="str">
            <v>NO</v>
          </cell>
          <cell r="G862" t="str">
            <v>NO</v>
          </cell>
          <cell r="H862" t="str">
            <v>BOX PSICÓLOGO ADULTO</v>
          </cell>
          <cell r="I862">
            <v>2</v>
          </cell>
          <cell r="J862" t="str">
            <v>C.2.5.2.11.1</v>
          </cell>
          <cell r="K862" t="str">
            <v>Psiquiatría</v>
          </cell>
          <cell r="L862">
            <v>2</v>
          </cell>
          <cell r="M862">
            <v>46015</v>
          </cell>
          <cell r="N862">
            <v>46017</v>
          </cell>
          <cell r="O862">
            <v>1</v>
          </cell>
          <cell r="P862">
            <v>46020</v>
          </cell>
          <cell r="Q862">
            <v>5</v>
          </cell>
          <cell r="R862" t="str">
            <v>NA</v>
          </cell>
          <cell r="S862">
            <v>5</v>
          </cell>
        </row>
        <row r="863">
          <cell r="B863" t="str">
            <v>MNC</v>
          </cell>
          <cell r="C863" t="str">
            <v>HSLB14959</v>
          </cell>
          <cell r="D863">
            <v>204013</v>
          </cell>
          <cell r="E863" t="str">
            <v>Sillón 1 Cuerpo</v>
          </cell>
          <cell r="F863" t="str">
            <v>NO</v>
          </cell>
          <cell r="G863" t="str">
            <v>NO</v>
          </cell>
          <cell r="H863" t="str">
            <v>BOX PSICÓLOGO ADULTO</v>
          </cell>
          <cell r="I863">
            <v>1</v>
          </cell>
          <cell r="J863" t="str">
            <v>C.2.5.2.11.1</v>
          </cell>
          <cell r="K863" t="str">
            <v>Psiquiatría</v>
          </cell>
          <cell r="L863">
            <v>2</v>
          </cell>
          <cell r="M863">
            <v>46015</v>
          </cell>
          <cell r="N863">
            <v>46017</v>
          </cell>
          <cell r="O863">
            <v>1</v>
          </cell>
          <cell r="P863">
            <v>46020</v>
          </cell>
          <cell r="Q863">
            <v>5</v>
          </cell>
          <cell r="R863" t="str">
            <v>NA</v>
          </cell>
          <cell r="S863">
            <v>5</v>
          </cell>
        </row>
        <row r="864">
          <cell r="B864" t="str">
            <v>MNC</v>
          </cell>
          <cell r="C864" t="str">
            <v>HSLB14982</v>
          </cell>
          <cell r="D864">
            <v>204014</v>
          </cell>
          <cell r="E864" t="str">
            <v>Sillón 2 Cuerpo</v>
          </cell>
          <cell r="F864" t="str">
            <v>NO</v>
          </cell>
          <cell r="G864" t="str">
            <v>NO</v>
          </cell>
          <cell r="H864" t="str">
            <v>BOX PSICÓLOGO ADULTO</v>
          </cell>
          <cell r="I864">
            <v>1</v>
          </cell>
          <cell r="J864" t="str">
            <v>C.2.5.2.11.1</v>
          </cell>
          <cell r="K864" t="str">
            <v>Psiquiatría</v>
          </cell>
          <cell r="L864">
            <v>2</v>
          </cell>
          <cell r="M864">
            <v>46015</v>
          </cell>
          <cell r="N864">
            <v>46017</v>
          </cell>
          <cell r="O864">
            <v>1</v>
          </cell>
          <cell r="P864">
            <v>46020</v>
          </cell>
          <cell r="Q864">
            <v>5</v>
          </cell>
          <cell r="R864" t="str">
            <v>NA</v>
          </cell>
          <cell r="S864">
            <v>5</v>
          </cell>
        </row>
        <row r="865">
          <cell r="B865" t="str">
            <v>MNC</v>
          </cell>
          <cell r="C865" t="str">
            <v>HSLB13092</v>
          </cell>
          <cell r="D865">
            <v>201001</v>
          </cell>
          <cell r="E865" t="str">
            <v>Estación de Trabajo</v>
          </cell>
          <cell r="F865" t="str">
            <v>NO</v>
          </cell>
          <cell r="G865" t="str">
            <v>NO</v>
          </cell>
          <cell r="H865" t="str">
            <v>BOX PSICÓLOGO ADULTO</v>
          </cell>
          <cell r="I865">
            <v>1</v>
          </cell>
          <cell r="J865" t="str">
            <v>C.2.5.2.11.2</v>
          </cell>
          <cell r="K865" t="str">
            <v>Psiquiatría</v>
          </cell>
          <cell r="L865">
            <v>2</v>
          </cell>
          <cell r="M865">
            <v>46015</v>
          </cell>
          <cell r="N865">
            <v>46017</v>
          </cell>
          <cell r="O865">
            <v>5</v>
          </cell>
          <cell r="P865">
            <v>46024</v>
          </cell>
          <cell r="Q865">
            <v>5</v>
          </cell>
          <cell r="R865" t="str">
            <v>NA</v>
          </cell>
          <cell r="S865">
            <v>5</v>
          </cell>
        </row>
        <row r="866">
          <cell r="B866" t="str">
            <v>MNC</v>
          </cell>
          <cell r="C866" t="str">
            <v>HSLB14265</v>
          </cell>
          <cell r="D866">
            <v>204006</v>
          </cell>
          <cell r="E866" t="str">
            <v>Silla Ergonómica</v>
          </cell>
          <cell r="F866" t="str">
            <v>NO</v>
          </cell>
          <cell r="G866" t="str">
            <v>NO</v>
          </cell>
          <cell r="H866" t="str">
            <v>BOX PSICÓLOGO ADULTO</v>
          </cell>
          <cell r="I866">
            <v>1</v>
          </cell>
          <cell r="J866" t="str">
            <v>C.2.5.2.11.2</v>
          </cell>
          <cell r="K866" t="str">
            <v>Psiquiatría</v>
          </cell>
          <cell r="L866">
            <v>2</v>
          </cell>
          <cell r="M866">
            <v>46015</v>
          </cell>
          <cell r="N866">
            <v>46017</v>
          </cell>
          <cell r="O866">
            <v>1</v>
          </cell>
          <cell r="P866">
            <v>46020</v>
          </cell>
          <cell r="Q866">
            <v>5</v>
          </cell>
          <cell r="R866" t="str">
            <v>NA</v>
          </cell>
          <cell r="S866">
            <v>5</v>
          </cell>
        </row>
        <row r="867">
          <cell r="B867" t="str">
            <v>MNC</v>
          </cell>
          <cell r="C867" t="str">
            <v>HSLB14709</v>
          </cell>
          <cell r="D867">
            <v>204012</v>
          </cell>
          <cell r="E867" t="str">
            <v>Silla Visita</v>
          </cell>
          <cell r="F867" t="str">
            <v>NO</v>
          </cell>
          <cell r="G867" t="str">
            <v>NO</v>
          </cell>
          <cell r="H867" t="str">
            <v>BOX PSICÓLOGO ADULTO</v>
          </cell>
          <cell r="I867">
            <v>2</v>
          </cell>
          <cell r="J867" t="str">
            <v>C.2.5.2.11.2</v>
          </cell>
          <cell r="K867" t="str">
            <v>Psiquiatría</v>
          </cell>
          <cell r="L867">
            <v>2</v>
          </cell>
          <cell r="M867">
            <v>46015</v>
          </cell>
          <cell r="N867">
            <v>46017</v>
          </cell>
          <cell r="O867">
            <v>1</v>
          </cell>
          <cell r="P867">
            <v>46020</v>
          </cell>
          <cell r="Q867">
            <v>5</v>
          </cell>
          <cell r="R867" t="str">
            <v>NA</v>
          </cell>
          <cell r="S867">
            <v>5</v>
          </cell>
        </row>
        <row r="868">
          <cell r="B868" t="str">
            <v>MNC</v>
          </cell>
          <cell r="C868" t="str">
            <v>HSLB14960</v>
          </cell>
          <cell r="D868">
            <v>204013</v>
          </cell>
          <cell r="E868" t="str">
            <v>Sillón 1 Cuerpo</v>
          </cell>
          <cell r="F868" t="str">
            <v>NO</v>
          </cell>
          <cell r="G868" t="str">
            <v>NO</v>
          </cell>
          <cell r="H868" t="str">
            <v>BOX PSICÓLOGO ADULTO</v>
          </cell>
          <cell r="I868">
            <v>1</v>
          </cell>
          <cell r="J868" t="str">
            <v>C.2.5.2.11.2</v>
          </cell>
          <cell r="K868" t="str">
            <v>Psiquiatría</v>
          </cell>
          <cell r="L868">
            <v>2</v>
          </cell>
          <cell r="M868">
            <v>46015</v>
          </cell>
          <cell r="N868">
            <v>46017</v>
          </cell>
          <cell r="O868">
            <v>1</v>
          </cell>
          <cell r="P868">
            <v>46020</v>
          </cell>
          <cell r="Q868">
            <v>5</v>
          </cell>
          <cell r="R868" t="str">
            <v>NA</v>
          </cell>
          <cell r="S868">
            <v>5</v>
          </cell>
        </row>
        <row r="869">
          <cell r="B869" t="str">
            <v>MNC</v>
          </cell>
          <cell r="C869" t="str">
            <v>HSLB14983</v>
          </cell>
          <cell r="D869">
            <v>204014</v>
          </cell>
          <cell r="E869" t="str">
            <v>Sillón 2 Cuerpo</v>
          </cell>
          <cell r="F869" t="str">
            <v>NO</v>
          </cell>
          <cell r="G869" t="str">
            <v>NO</v>
          </cell>
          <cell r="H869" t="str">
            <v>BOX PSICÓLOGO ADULTO</v>
          </cell>
          <cell r="I869">
            <v>1</v>
          </cell>
          <cell r="J869" t="str">
            <v>C.2.5.2.11.2</v>
          </cell>
          <cell r="K869" t="str">
            <v>Psiquiatría</v>
          </cell>
          <cell r="L869">
            <v>2</v>
          </cell>
          <cell r="M869">
            <v>46015</v>
          </cell>
          <cell r="N869">
            <v>46017</v>
          </cell>
          <cell r="O869">
            <v>1</v>
          </cell>
          <cell r="P869">
            <v>46020</v>
          </cell>
          <cell r="Q869">
            <v>5</v>
          </cell>
          <cell r="R869" t="str">
            <v>NA</v>
          </cell>
          <cell r="S869">
            <v>5</v>
          </cell>
        </row>
        <row r="870">
          <cell r="B870" t="str">
            <v>MNC</v>
          </cell>
          <cell r="C870" t="str">
            <v>HSLB13093</v>
          </cell>
          <cell r="D870">
            <v>201001</v>
          </cell>
          <cell r="E870" t="str">
            <v>Estación de Trabajo</v>
          </cell>
          <cell r="F870" t="str">
            <v>NO</v>
          </cell>
          <cell r="G870" t="str">
            <v>NO</v>
          </cell>
          <cell r="H870" t="str">
            <v>BOX PSICÓLOGO ADULTO</v>
          </cell>
          <cell r="I870">
            <v>1</v>
          </cell>
          <cell r="J870" t="str">
            <v>C.2.5.2.11.3</v>
          </cell>
          <cell r="K870" t="str">
            <v>Psiquiatría</v>
          </cell>
          <cell r="L870">
            <v>2</v>
          </cell>
          <cell r="M870">
            <v>46015</v>
          </cell>
          <cell r="N870">
            <v>46017</v>
          </cell>
          <cell r="O870">
            <v>5</v>
          </cell>
          <cell r="P870">
            <v>46024</v>
          </cell>
          <cell r="Q870">
            <v>5</v>
          </cell>
          <cell r="R870" t="str">
            <v>NA</v>
          </cell>
          <cell r="S870">
            <v>5</v>
          </cell>
        </row>
        <row r="871">
          <cell r="B871" t="str">
            <v>MNC</v>
          </cell>
          <cell r="C871" t="str">
            <v>HSLB14266</v>
          </cell>
          <cell r="D871">
            <v>204006</v>
          </cell>
          <cell r="E871" t="str">
            <v>Silla Ergonómica</v>
          </cell>
          <cell r="F871" t="str">
            <v>NO</v>
          </cell>
          <cell r="G871" t="str">
            <v>NO</v>
          </cell>
          <cell r="H871" t="str">
            <v>BOX PSICÓLOGO ADULTO</v>
          </cell>
          <cell r="I871">
            <v>1</v>
          </cell>
          <cell r="J871" t="str">
            <v>C.2.5.2.11.3</v>
          </cell>
          <cell r="K871" t="str">
            <v>Psiquiatría</v>
          </cell>
          <cell r="L871">
            <v>2</v>
          </cell>
          <cell r="M871">
            <v>46015</v>
          </cell>
          <cell r="N871">
            <v>46017</v>
          </cell>
          <cell r="O871">
            <v>1</v>
          </cell>
          <cell r="P871">
            <v>46020</v>
          </cell>
          <cell r="Q871">
            <v>5</v>
          </cell>
          <cell r="R871" t="str">
            <v>NA</v>
          </cell>
          <cell r="S871">
            <v>5</v>
          </cell>
        </row>
        <row r="872">
          <cell r="B872" t="str">
            <v>MNC</v>
          </cell>
          <cell r="C872" t="str">
            <v>HSLB14710</v>
          </cell>
          <cell r="D872">
            <v>204012</v>
          </cell>
          <cell r="E872" t="str">
            <v>Silla Visita</v>
          </cell>
          <cell r="F872" t="str">
            <v>NO</v>
          </cell>
          <cell r="G872" t="str">
            <v>NO</v>
          </cell>
          <cell r="H872" t="str">
            <v>BOX PSICÓLOGO ADULTO</v>
          </cell>
          <cell r="I872">
            <v>2</v>
          </cell>
          <cell r="J872" t="str">
            <v>C.2.5.2.11.3</v>
          </cell>
          <cell r="K872" t="str">
            <v>Psiquiatría</v>
          </cell>
          <cell r="L872">
            <v>2</v>
          </cell>
          <cell r="M872">
            <v>46015</v>
          </cell>
          <cell r="N872">
            <v>46017</v>
          </cell>
          <cell r="O872">
            <v>1</v>
          </cell>
          <cell r="P872">
            <v>46020</v>
          </cell>
          <cell r="Q872">
            <v>5</v>
          </cell>
          <cell r="R872" t="str">
            <v>NA</v>
          </cell>
          <cell r="S872">
            <v>5</v>
          </cell>
        </row>
        <row r="873">
          <cell r="B873" t="str">
            <v>MNC</v>
          </cell>
          <cell r="C873" t="str">
            <v>HSLB14961</v>
          </cell>
          <cell r="D873">
            <v>204013</v>
          </cell>
          <cell r="E873" t="str">
            <v>Sillón 1 Cuerpo</v>
          </cell>
          <cell r="F873" t="str">
            <v>NO</v>
          </cell>
          <cell r="G873" t="str">
            <v>NO</v>
          </cell>
          <cell r="H873" t="str">
            <v>BOX PSICÓLOGO ADULTO</v>
          </cell>
          <cell r="I873">
            <v>1</v>
          </cell>
          <cell r="J873" t="str">
            <v>C.2.5.2.11.3</v>
          </cell>
          <cell r="K873" t="str">
            <v>Psiquiatría</v>
          </cell>
          <cell r="L873">
            <v>2</v>
          </cell>
          <cell r="M873">
            <v>46015</v>
          </cell>
          <cell r="N873">
            <v>46017</v>
          </cell>
          <cell r="O873">
            <v>1</v>
          </cell>
          <cell r="P873">
            <v>46020</v>
          </cell>
          <cell r="Q873">
            <v>5</v>
          </cell>
          <cell r="R873" t="str">
            <v>NA</v>
          </cell>
          <cell r="S873">
            <v>5</v>
          </cell>
        </row>
        <row r="874">
          <cell r="B874" t="str">
            <v>MNC</v>
          </cell>
          <cell r="C874" t="str">
            <v>HSLB14984</v>
          </cell>
          <cell r="D874">
            <v>204014</v>
          </cell>
          <cell r="E874" t="str">
            <v>Sillón 2 Cuerpo</v>
          </cell>
          <cell r="F874" t="str">
            <v>NO</v>
          </cell>
          <cell r="G874" t="str">
            <v>NO</v>
          </cell>
          <cell r="H874" t="str">
            <v>BOX PSICÓLOGO ADULTO</v>
          </cell>
          <cell r="I874">
            <v>1</v>
          </cell>
          <cell r="J874" t="str">
            <v>C.2.5.2.11.3</v>
          </cell>
          <cell r="K874" t="str">
            <v>Psiquiatría</v>
          </cell>
          <cell r="L874">
            <v>2</v>
          </cell>
          <cell r="M874">
            <v>46015</v>
          </cell>
          <cell r="N874">
            <v>46017</v>
          </cell>
          <cell r="O874">
            <v>1</v>
          </cell>
          <cell r="P874">
            <v>46020</v>
          </cell>
          <cell r="Q874">
            <v>5</v>
          </cell>
          <cell r="R874" t="str">
            <v>NA</v>
          </cell>
          <cell r="S874">
            <v>5</v>
          </cell>
        </row>
        <row r="875">
          <cell r="B875" t="str">
            <v>MNC</v>
          </cell>
          <cell r="C875" t="str">
            <v>HSLB14985</v>
          </cell>
          <cell r="D875">
            <v>204014</v>
          </cell>
          <cell r="E875" t="str">
            <v>Sillón 2 Cuerpo</v>
          </cell>
          <cell r="F875" t="str">
            <v>NO</v>
          </cell>
          <cell r="G875" t="str">
            <v>NO</v>
          </cell>
          <cell r="H875" t="str">
            <v>SALA ENTREVISTA A PACIENTES</v>
          </cell>
          <cell r="I875">
            <v>1</v>
          </cell>
          <cell r="J875" t="str">
            <v>C.2.5.2.12</v>
          </cell>
          <cell r="K875" t="str">
            <v>Psiquiatría</v>
          </cell>
          <cell r="L875">
            <v>2</v>
          </cell>
          <cell r="M875">
            <v>46015</v>
          </cell>
          <cell r="N875">
            <v>46017</v>
          </cell>
          <cell r="O875">
            <v>1</v>
          </cell>
          <cell r="P875">
            <v>46020</v>
          </cell>
          <cell r="Q875">
            <v>5</v>
          </cell>
          <cell r="R875" t="str">
            <v>NA</v>
          </cell>
          <cell r="S875">
            <v>5</v>
          </cell>
        </row>
        <row r="876">
          <cell r="B876" t="str">
            <v>MNC</v>
          </cell>
          <cell r="C876" t="str">
            <v>HSLB15143</v>
          </cell>
          <cell r="D876">
            <v>204016</v>
          </cell>
          <cell r="E876" t="str">
            <v>Sillón Tipo Poltrona</v>
          </cell>
          <cell r="F876" t="str">
            <v>NO</v>
          </cell>
          <cell r="G876" t="str">
            <v>NO</v>
          </cell>
          <cell r="H876" t="str">
            <v>SALA ENTREVISTA A PACIENTES</v>
          </cell>
          <cell r="I876">
            <v>2</v>
          </cell>
          <cell r="J876" t="str">
            <v>C.2.5.2.12</v>
          </cell>
          <cell r="K876" t="str">
            <v>Psiquiatría</v>
          </cell>
          <cell r="L876">
            <v>2</v>
          </cell>
          <cell r="M876">
            <v>46015</v>
          </cell>
          <cell r="N876">
            <v>46017</v>
          </cell>
          <cell r="O876">
            <v>1</v>
          </cell>
          <cell r="P876">
            <v>46020</v>
          </cell>
          <cell r="Q876">
            <v>5</v>
          </cell>
          <cell r="R876" t="str">
            <v>NA</v>
          </cell>
          <cell r="S876">
            <v>5</v>
          </cell>
        </row>
        <row r="877">
          <cell r="B877" t="str">
            <v>MNC</v>
          </cell>
          <cell r="C877" t="str">
            <v>HSLB13094</v>
          </cell>
          <cell r="D877">
            <v>201001</v>
          </cell>
          <cell r="E877" t="str">
            <v>Estación de Trabajo</v>
          </cell>
          <cell r="F877" t="str">
            <v>NO</v>
          </cell>
          <cell r="G877" t="str">
            <v>NO</v>
          </cell>
          <cell r="H877" t="str">
            <v xml:space="preserve">SALA SEGUIMIENTO A ENTREVISTA </v>
          </cell>
          <cell r="I877">
            <v>1</v>
          </cell>
          <cell r="J877" t="str">
            <v>C.2.5.2.13</v>
          </cell>
          <cell r="K877" t="str">
            <v>Psiquiatría</v>
          </cell>
          <cell r="L877">
            <v>2</v>
          </cell>
          <cell r="M877">
            <v>46015</v>
          </cell>
          <cell r="N877">
            <v>46017</v>
          </cell>
          <cell r="O877">
            <v>5</v>
          </cell>
          <cell r="P877">
            <v>46024</v>
          </cell>
          <cell r="Q877">
            <v>5</v>
          </cell>
          <cell r="R877" t="str">
            <v>NA</v>
          </cell>
          <cell r="S877">
            <v>5</v>
          </cell>
        </row>
        <row r="878">
          <cell r="B878" t="str">
            <v>MNC</v>
          </cell>
          <cell r="C878" t="str">
            <v>HSLB14267</v>
          </cell>
          <cell r="D878">
            <v>204006</v>
          </cell>
          <cell r="E878" t="str">
            <v>Silla Ergonómica</v>
          </cell>
          <cell r="F878" t="str">
            <v>NO</v>
          </cell>
          <cell r="G878" t="str">
            <v>NO</v>
          </cell>
          <cell r="H878" t="str">
            <v xml:space="preserve">SALA SEGUIMIENTO A ENTREVISTA </v>
          </cell>
          <cell r="I878">
            <v>1</v>
          </cell>
          <cell r="J878" t="str">
            <v>C.2.5.2.13</v>
          </cell>
          <cell r="K878" t="str">
            <v>Psiquiatría</v>
          </cell>
          <cell r="L878">
            <v>2</v>
          </cell>
          <cell r="M878">
            <v>46015</v>
          </cell>
          <cell r="N878">
            <v>46017</v>
          </cell>
          <cell r="O878">
            <v>1</v>
          </cell>
          <cell r="P878">
            <v>46020</v>
          </cell>
          <cell r="Q878">
            <v>5</v>
          </cell>
          <cell r="R878" t="str">
            <v>NA</v>
          </cell>
          <cell r="S878">
            <v>5</v>
          </cell>
        </row>
        <row r="879">
          <cell r="B879" t="str">
            <v>MNC</v>
          </cell>
          <cell r="C879" t="str">
            <v>HSLB14623</v>
          </cell>
          <cell r="D879">
            <v>204011</v>
          </cell>
          <cell r="E879" t="str">
            <v>Silla Tipo Universitaria</v>
          </cell>
          <cell r="F879" t="str">
            <v>NO</v>
          </cell>
          <cell r="G879" t="str">
            <v>NO</v>
          </cell>
          <cell r="H879" t="str">
            <v xml:space="preserve">SALA SEGUIMIENTO A ENTREVISTA </v>
          </cell>
          <cell r="I879">
            <v>4</v>
          </cell>
          <cell r="J879" t="str">
            <v>C.2.5.2.13</v>
          </cell>
          <cell r="K879" t="str">
            <v>Psiquiatría</v>
          </cell>
          <cell r="L879">
            <v>2</v>
          </cell>
          <cell r="M879">
            <v>46015</v>
          </cell>
          <cell r="N879">
            <v>46017</v>
          </cell>
          <cell r="O879">
            <v>1</v>
          </cell>
          <cell r="P879">
            <v>46020</v>
          </cell>
          <cell r="Q879">
            <v>5</v>
          </cell>
          <cell r="R879" t="str">
            <v>NA</v>
          </cell>
          <cell r="S879">
            <v>5</v>
          </cell>
        </row>
        <row r="880">
          <cell r="B880" t="str">
            <v>MNC</v>
          </cell>
          <cell r="C880" t="str">
            <v>HSLB15257</v>
          </cell>
          <cell r="D880">
            <v>204018</v>
          </cell>
          <cell r="E880" t="str">
            <v>Silla Alta Cafetería</v>
          </cell>
          <cell r="F880" t="str">
            <v>NO</v>
          </cell>
          <cell r="G880" t="str">
            <v>NO</v>
          </cell>
          <cell r="H880" t="str">
            <v>TALLER DE COCINA</v>
          </cell>
          <cell r="I880">
            <v>6</v>
          </cell>
          <cell r="J880" t="str">
            <v>C.2.5.2.14</v>
          </cell>
          <cell r="K880" t="str">
            <v>Psiquiatría</v>
          </cell>
          <cell r="L880">
            <v>2</v>
          </cell>
          <cell r="M880">
            <v>46015</v>
          </cell>
          <cell r="N880">
            <v>46017</v>
          </cell>
          <cell r="O880">
            <v>1</v>
          </cell>
          <cell r="P880">
            <v>46020</v>
          </cell>
          <cell r="Q880">
            <v>5</v>
          </cell>
          <cell r="R880" t="str">
            <v>NA</v>
          </cell>
          <cell r="S880">
            <v>5</v>
          </cell>
        </row>
        <row r="881">
          <cell r="B881" t="str">
            <v>MNC</v>
          </cell>
          <cell r="C881" t="str">
            <v>HSLB13371</v>
          </cell>
          <cell r="D881">
            <v>201009</v>
          </cell>
          <cell r="E881" t="str">
            <v>Mesa Reuniones Tipo II</v>
          </cell>
          <cell r="F881" t="str">
            <v>NO</v>
          </cell>
          <cell r="G881" t="str">
            <v>NO</v>
          </cell>
          <cell r="H881" t="str">
            <v>SALA TRABAJO GRUPAL ADULTO</v>
          </cell>
          <cell r="I881">
            <v>1</v>
          </cell>
          <cell r="J881" t="str">
            <v>C.2.5.2.15</v>
          </cell>
          <cell r="K881" t="str">
            <v>Psiquiatría</v>
          </cell>
          <cell r="L881">
            <v>2</v>
          </cell>
          <cell r="M881">
            <v>46015</v>
          </cell>
          <cell r="N881">
            <v>46017</v>
          </cell>
          <cell r="O881">
            <v>2</v>
          </cell>
          <cell r="P881">
            <v>46021</v>
          </cell>
          <cell r="Q881">
            <v>5</v>
          </cell>
          <cell r="R881" t="str">
            <v>NA</v>
          </cell>
          <cell r="S881">
            <v>5</v>
          </cell>
        </row>
        <row r="882">
          <cell r="B882" t="str">
            <v>MNC</v>
          </cell>
          <cell r="C882" t="str">
            <v>HSLB14711</v>
          </cell>
          <cell r="D882">
            <v>204012</v>
          </cell>
          <cell r="E882" t="str">
            <v>Silla Visita</v>
          </cell>
          <cell r="F882" t="str">
            <v>NO</v>
          </cell>
          <cell r="G882" t="str">
            <v>NO</v>
          </cell>
          <cell r="H882" t="str">
            <v>SALA TRABAJO GRUPAL ADULTO</v>
          </cell>
          <cell r="I882">
            <v>8</v>
          </cell>
          <cell r="J882" t="str">
            <v>C.2.5.2.15</v>
          </cell>
          <cell r="K882" t="str">
            <v>Psiquiatría</v>
          </cell>
          <cell r="L882">
            <v>2</v>
          </cell>
          <cell r="M882">
            <v>46015</v>
          </cell>
          <cell r="N882">
            <v>46017</v>
          </cell>
          <cell r="O882">
            <v>1</v>
          </cell>
          <cell r="P882">
            <v>46020</v>
          </cell>
          <cell r="Q882">
            <v>5</v>
          </cell>
          <cell r="R882" t="str">
            <v>NA</v>
          </cell>
          <cell r="S882">
            <v>5</v>
          </cell>
        </row>
        <row r="883">
          <cell r="B883" t="str">
            <v>MNC</v>
          </cell>
          <cell r="C883" t="str">
            <v>HSLB15258</v>
          </cell>
          <cell r="D883">
            <v>204012</v>
          </cell>
          <cell r="E883" t="str">
            <v>Silla Visita</v>
          </cell>
          <cell r="F883" t="str">
            <v>NO</v>
          </cell>
          <cell r="G883" t="str">
            <v>NO</v>
          </cell>
          <cell r="H883" t="str">
            <v>SALA TRABAJO GRUPAL ADULTO</v>
          </cell>
          <cell r="I883">
            <v>1</v>
          </cell>
          <cell r="J883" t="str">
            <v>C.2.5.2.16</v>
          </cell>
          <cell r="K883" t="str">
            <v>Psiquiatría</v>
          </cell>
          <cell r="L883">
            <v>2</v>
          </cell>
          <cell r="M883">
            <v>46015</v>
          </cell>
          <cell r="N883">
            <v>46017</v>
          </cell>
          <cell r="O883">
            <v>1</v>
          </cell>
          <cell r="P883">
            <v>46020</v>
          </cell>
          <cell r="Q883">
            <v>5</v>
          </cell>
          <cell r="R883" t="str">
            <v>NA</v>
          </cell>
          <cell r="S883">
            <v>5</v>
          </cell>
        </row>
        <row r="884">
          <cell r="B884" t="str">
            <v>MNC</v>
          </cell>
          <cell r="C884" t="str">
            <v>HSLB13095</v>
          </cell>
          <cell r="D884">
            <v>201001</v>
          </cell>
          <cell r="E884" t="str">
            <v>Estación de Trabajo</v>
          </cell>
          <cell r="F884" t="str">
            <v>NO</v>
          </cell>
          <cell r="G884" t="str">
            <v>NO</v>
          </cell>
          <cell r="H884" t="str">
            <v>SALA DE PROCEDIMIENTOS INYECTABLES</v>
          </cell>
          <cell r="I884">
            <v>1</v>
          </cell>
          <cell r="J884" t="str">
            <v>C.2.5.2.16</v>
          </cell>
          <cell r="K884" t="str">
            <v>Psiquiatría</v>
          </cell>
          <cell r="L884">
            <v>2</v>
          </cell>
          <cell r="M884">
            <v>46015</v>
          </cell>
          <cell r="N884">
            <v>46017</v>
          </cell>
          <cell r="O884">
            <v>5</v>
          </cell>
          <cell r="P884">
            <v>46024</v>
          </cell>
          <cell r="Q884">
            <v>5</v>
          </cell>
          <cell r="R884" t="str">
            <v>NA</v>
          </cell>
          <cell r="S884">
            <v>5</v>
          </cell>
        </row>
        <row r="885">
          <cell r="B885" t="str">
            <v>MNC</v>
          </cell>
          <cell r="C885" t="str">
            <v>HSLB13096</v>
          </cell>
          <cell r="D885">
            <v>201001</v>
          </cell>
          <cell r="E885" t="str">
            <v>Estación de Trabajo</v>
          </cell>
          <cell r="F885" t="str">
            <v>NO</v>
          </cell>
          <cell r="G885" t="str">
            <v>NO</v>
          </cell>
          <cell r="H885" t="str">
            <v>BOX PSIQUIATRÍA INFANTO JUVENIL</v>
          </cell>
          <cell r="I885">
            <v>1</v>
          </cell>
          <cell r="J885" t="str">
            <v>C.2.5.2.18</v>
          </cell>
          <cell r="K885" t="str">
            <v>Psiquiatría</v>
          </cell>
          <cell r="L885">
            <v>2</v>
          </cell>
          <cell r="M885">
            <v>46015</v>
          </cell>
          <cell r="N885">
            <v>46017</v>
          </cell>
          <cell r="O885">
            <v>5</v>
          </cell>
          <cell r="P885">
            <v>46024</v>
          </cell>
          <cell r="Q885">
            <v>5</v>
          </cell>
          <cell r="R885" t="str">
            <v>NA</v>
          </cell>
          <cell r="S885">
            <v>5</v>
          </cell>
        </row>
        <row r="886">
          <cell r="B886" t="str">
            <v>MNC</v>
          </cell>
          <cell r="C886" t="str">
            <v>HSLB14268</v>
          </cell>
          <cell r="D886">
            <v>204006</v>
          </cell>
          <cell r="E886" t="str">
            <v>Silla Ergonómica</v>
          </cell>
          <cell r="F886" t="str">
            <v>NO</v>
          </cell>
          <cell r="G886" t="str">
            <v>NO</v>
          </cell>
          <cell r="H886" t="str">
            <v>BOX PSIQUIATRÍA INFANTO JUVENIL</v>
          </cell>
          <cell r="I886">
            <v>1</v>
          </cell>
          <cell r="J886" t="str">
            <v>C.2.5.2.18</v>
          </cell>
          <cell r="K886" t="str">
            <v>Psiquiatría</v>
          </cell>
          <cell r="L886">
            <v>2</v>
          </cell>
          <cell r="M886">
            <v>46015</v>
          </cell>
          <cell r="N886">
            <v>46017</v>
          </cell>
          <cell r="O886">
            <v>1</v>
          </cell>
          <cell r="P886">
            <v>46020</v>
          </cell>
          <cell r="Q886">
            <v>5</v>
          </cell>
          <cell r="R886" t="str">
            <v>NA</v>
          </cell>
          <cell r="S886">
            <v>5</v>
          </cell>
        </row>
        <row r="887">
          <cell r="B887" t="str">
            <v>MNC</v>
          </cell>
          <cell r="C887" t="str">
            <v>HSLB14712</v>
          </cell>
          <cell r="D887">
            <v>204012</v>
          </cell>
          <cell r="E887" t="str">
            <v>Silla Visita</v>
          </cell>
          <cell r="F887" t="str">
            <v>NO</v>
          </cell>
          <cell r="G887" t="str">
            <v>NO</v>
          </cell>
          <cell r="H887" t="str">
            <v>BOX PSIQUIATRÍA INFANTO JUVENIL</v>
          </cell>
          <cell r="I887">
            <v>2</v>
          </cell>
          <cell r="J887" t="str">
            <v>C.2.5.2.18</v>
          </cell>
          <cell r="K887" t="str">
            <v>Psiquiatría</v>
          </cell>
          <cell r="L887">
            <v>2</v>
          </cell>
          <cell r="M887">
            <v>46015</v>
          </cell>
          <cell r="N887">
            <v>46017</v>
          </cell>
          <cell r="O887">
            <v>1</v>
          </cell>
          <cell r="P887">
            <v>46020</v>
          </cell>
          <cell r="Q887">
            <v>5</v>
          </cell>
          <cell r="R887" t="str">
            <v>NA</v>
          </cell>
          <cell r="S887">
            <v>5</v>
          </cell>
        </row>
        <row r="888">
          <cell r="B888" t="str">
            <v>MNC</v>
          </cell>
          <cell r="C888" t="str">
            <v>HSLB13097</v>
          </cell>
          <cell r="D888">
            <v>201001</v>
          </cell>
          <cell r="E888" t="str">
            <v>Estación de Trabajo</v>
          </cell>
          <cell r="F888" t="str">
            <v>NO</v>
          </cell>
          <cell r="G888" t="str">
            <v>NO</v>
          </cell>
          <cell r="H888" t="str">
            <v>BOX PSICÓLOGO INFANTO JUVENIL</v>
          </cell>
          <cell r="I888">
            <v>1</v>
          </cell>
          <cell r="J888" t="str">
            <v>C.2.5.2.19.1</v>
          </cell>
          <cell r="K888" t="str">
            <v>Psiquiatría</v>
          </cell>
          <cell r="L888">
            <v>2</v>
          </cell>
          <cell r="M888">
            <v>46015</v>
          </cell>
          <cell r="N888">
            <v>46017</v>
          </cell>
          <cell r="O888">
            <v>5</v>
          </cell>
          <cell r="P888">
            <v>46024</v>
          </cell>
          <cell r="Q888">
            <v>5</v>
          </cell>
          <cell r="R888" t="str">
            <v>NA</v>
          </cell>
          <cell r="S888">
            <v>5</v>
          </cell>
        </row>
        <row r="889">
          <cell r="B889" t="str">
            <v>MNC</v>
          </cell>
          <cell r="C889" t="str">
            <v>HSLB13301</v>
          </cell>
          <cell r="D889">
            <v>201004</v>
          </cell>
          <cell r="E889" t="str">
            <v>Mesa Párvulo Tipo I</v>
          </cell>
          <cell r="F889" t="str">
            <v>NO</v>
          </cell>
          <cell r="G889" t="str">
            <v>NO</v>
          </cell>
          <cell r="H889" t="str">
            <v>BOX PSICÓLOGO INFANTO JUVENIL</v>
          </cell>
          <cell r="I889">
            <v>1</v>
          </cell>
          <cell r="J889" t="str">
            <v>C.2.5.2.19.1</v>
          </cell>
          <cell r="K889" t="str">
            <v>Psiquiatría</v>
          </cell>
          <cell r="L889">
            <v>2</v>
          </cell>
          <cell r="M889">
            <v>46015</v>
          </cell>
          <cell r="N889">
            <v>46017</v>
          </cell>
          <cell r="O889">
            <v>2</v>
          </cell>
          <cell r="P889">
            <v>46021</v>
          </cell>
          <cell r="Q889">
            <v>5</v>
          </cell>
          <cell r="R889" t="str">
            <v>NA</v>
          </cell>
          <cell r="S889">
            <v>5</v>
          </cell>
        </row>
        <row r="890">
          <cell r="B890" t="str">
            <v>MNC</v>
          </cell>
          <cell r="C890" t="str">
            <v>HSLB14269</v>
          </cell>
          <cell r="D890">
            <v>204006</v>
          </cell>
          <cell r="E890" t="str">
            <v>Silla Ergonómica</v>
          </cell>
          <cell r="F890" t="str">
            <v>NO</v>
          </cell>
          <cell r="G890" t="str">
            <v>NO</v>
          </cell>
          <cell r="H890" t="str">
            <v>BOX PSICÓLOGO INFANTO JUVENIL</v>
          </cell>
          <cell r="I890">
            <v>1</v>
          </cell>
          <cell r="J890" t="str">
            <v>C.2.5.2.19.1</v>
          </cell>
          <cell r="K890" t="str">
            <v>Psiquiatría</v>
          </cell>
          <cell r="L890">
            <v>2</v>
          </cell>
          <cell r="M890">
            <v>46015</v>
          </cell>
          <cell r="N890">
            <v>46017</v>
          </cell>
          <cell r="O890">
            <v>1</v>
          </cell>
          <cell r="P890">
            <v>46020</v>
          </cell>
          <cell r="Q890">
            <v>5</v>
          </cell>
          <cell r="R890" t="str">
            <v>NA</v>
          </cell>
          <cell r="S890">
            <v>5</v>
          </cell>
        </row>
        <row r="891">
          <cell r="B891" t="str">
            <v>MNC</v>
          </cell>
          <cell r="C891" t="str">
            <v>HSLB14571</v>
          </cell>
          <cell r="D891">
            <v>204009</v>
          </cell>
          <cell r="E891" t="str">
            <v>Silla Párvulo</v>
          </cell>
          <cell r="F891" t="str">
            <v>NO</v>
          </cell>
          <cell r="G891" t="str">
            <v>NO</v>
          </cell>
          <cell r="H891" t="str">
            <v>BOX PSICÓLOGO INFANTO JUVENIL</v>
          </cell>
          <cell r="I891">
            <v>4</v>
          </cell>
          <cell r="J891" t="str">
            <v>C.2.5.2.19.1</v>
          </cell>
          <cell r="K891" t="str">
            <v>Psiquiatría</v>
          </cell>
          <cell r="L891">
            <v>2</v>
          </cell>
          <cell r="M891">
            <v>46015</v>
          </cell>
          <cell r="N891">
            <v>46017</v>
          </cell>
          <cell r="O891">
            <v>1</v>
          </cell>
          <cell r="P891">
            <v>46020</v>
          </cell>
          <cell r="Q891">
            <v>5</v>
          </cell>
          <cell r="R891" t="str">
            <v>NA</v>
          </cell>
          <cell r="S891">
            <v>5</v>
          </cell>
        </row>
        <row r="892">
          <cell r="B892" t="str">
            <v>MNC</v>
          </cell>
          <cell r="C892" t="str">
            <v>HSLB14713</v>
          </cell>
          <cell r="D892">
            <v>204012</v>
          </cell>
          <cell r="E892" t="str">
            <v>Silla Visita</v>
          </cell>
          <cell r="F892" t="str">
            <v>NO</v>
          </cell>
          <cell r="G892" t="str">
            <v>NO</v>
          </cell>
          <cell r="H892" t="str">
            <v>BOX PSICÓLOGO INFANTO JUVENIL</v>
          </cell>
          <cell r="I892">
            <v>2</v>
          </cell>
          <cell r="J892" t="str">
            <v>C.2.5.2.19.1</v>
          </cell>
          <cell r="K892" t="str">
            <v>Psiquiatría</v>
          </cell>
          <cell r="L892">
            <v>2</v>
          </cell>
          <cell r="M892">
            <v>46015</v>
          </cell>
          <cell r="N892">
            <v>46017</v>
          </cell>
          <cell r="O892">
            <v>1</v>
          </cell>
          <cell r="P892">
            <v>46020</v>
          </cell>
          <cell r="Q892">
            <v>5</v>
          </cell>
          <cell r="R892" t="str">
            <v>NA</v>
          </cell>
          <cell r="S892">
            <v>5</v>
          </cell>
        </row>
        <row r="893">
          <cell r="B893" t="str">
            <v>MNC</v>
          </cell>
          <cell r="C893" t="str">
            <v>HSLB14962</v>
          </cell>
          <cell r="D893">
            <v>204013</v>
          </cell>
          <cell r="E893" t="str">
            <v>Sillón 1 Cuerpo</v>
          </cell>
          <cell r="F893" t="str">
            <v>NO</v>
          </cell>
          <cell r="G893" t="str">
            <v>NO</v>
          </cell>
          <cell r="H893" t="str">
            <v>BOX PSICÓLOGO INFANTO JUVENIL</v>
          </cell>
          <cell r="I893">
            <v>1</v>
          </cell>
          <cell r="J893" t="str">
            <v>C.2.5.2.19.1</v>
          </cell>
          <cell r="K893" t="str">
            <v>Psiquiatría</v>
          </cell>
          <cell r="L893">
            <v>2</v>
          </cell>
          <cell r="M893">
            <v>46015</v>
          </cell>
          <cell r="N893">
            <v>46017</v>
          </cell>
          <cell r="O893">
            <v>1</v>
          </cell>
          <cell r="P893">
            <v>46020</v>
          </cell>
          <cell r="Q893">
            <v>5</v>
          </cell>
          <cell r="R893" t="str">
            <v>NA</v>
          </cell>
          <cell r="S893">
            <v>5</v>
          </cell>
        </row>
        <row r="894">
          <cell r="B894" t="str">
            <v>MNC</v>
          </cell>
          <cell r="C894" t="str">
            <v>HSLB14986</v>
          </cell>
          <cell r="D894">
            <v>204014</v>
          </cell>
          <cell r="E894" t="str">
            <v>Sillón 2 Cuerpo</v>
          </cell>
          <cell r="F894" t="str">
            <v>NO</v>
          </cell>
          <cell r="G894" t="str">
            <v>NO</v>
          </cell>
          <cell r="H894" t="str">
            <v>BOX PSICÓLOGO INFANTO JUVENIL</v>
          </cell>
          <cell r="I894">
            <v>1</v>
          </cell>
          <cell r="J894" t="str">
            <v>C.2.5.2.19.1</v>
          </cell>
          <cell r="K894" t="str">
            <v>Psiquiatría</v>
          </cell>
          <cell r="L894">
            <v>2</v>
          </cell>
          <cell r="M894">
            <v>46015</v>
          </cell>
          <cell r="N894">
            <v>46017</v>
          </cell>
          <cell r="O894">
            <v>1</v>
          </cell>
          <cell r="P894">
            <v>46020</v>
          </cell>
          <cell r="Q894">
            <v>5</v>
          </cell>
          <cell r="R894" t="str">
            <v>NA</v>
          </cell>
          <cell r="S894">
            <v>5</v>
          </cell>
        </row>
        <row r="895">
          <cell r="B895" t="str">
            <v>MNC</v>
          </cell>
          <cell r="C895" t="str">
            <v>HSLB13098</v>
          </cell>
          <cell r="D895">
            <v>201001</v>
          </cell>
          <cell r="E895" t="str">
            <v>Estación de Trabajo</v>
          </cell>
          <cell r="F895" t="str">
            <v>NO</v>
          </cell>
          <cell r="G895" t="str">
            <v>NO</v>
          </cell>
          <cell r="H895" t="str">
            <v>BOX PSICÓLOGO INFANTO JUVENIL</v>
          </cell>
          <cell r="I895">
            <v>1</v>
          </cell>
          <cell r="J895" t="str">
            <v>C.2.5.2.19.2</v>
          </cell>
          <cell r="K895" t="str">
            <v>Psiquiatría</v>
          </cell>
          <cell r="L895">
            <v>2</v>
          </cell>
          <cell r="M895">
            <v>46015</v>
          </cell>
          <cell r="N895">
            <v>46017</v>
          </cell>
          <cell r="O895">
            <v>5</v>
          </cell>
          <cell r="P895">
            <v>46024</v>
          </cell>
          <cell r="Q895">
            <v>5</v>
          </cell>
          <cell r="R895" t="str">
            <v>NA</v>
          </cell>
          <cell r="S895">
            <v>5</v>
          </cell>
        </row>
        <row r="896">
          <cell r="B896" t="str">
            <v>MNC</v>
          </cell>
          <cell r="C896" t="str">
            <v>HSLB13302</v>
          </cell>
          <cell r="D896">
            <v>201004</v>
          </cell>
          <cell r="E896" t="str">
            <v>Mesa Párvulo Tipo I</v>
          </cell>
          <cell r="F896" t="str">
            <v>NO</v>
          </cell>
          <cell r="G896" t="str">
            <v>NO</v>
          </cell>
          <cell r="H896" t="str">
            <v>BOX PSICÓLOGO INFANTO JUVENIL</v>
          </cell>
          <cell r="I896">
            <v>1</v>
          </cell>
          <cell r="J896" t="str">
            <v>C.2.5.2.19.2</v>
          </cell>
          <cell r="K896" t="str">
            <v>Psiquiatría</v>
          </cell>
          <cell r="L896">
            <v>2</v>
          </cell>
          <cell r="M896">
            <v>46015</v>
          </cell>
          <cell r="N896">
            <v>46017</v>
          </cell>
          <cell r="O896">
            <v>2</v>
          </cell>
          <cell r="P896">
            <v>46021</v>
          </cell>
          <cell r="Q896">
            <v>5</v>
          </cell>
          <cell r="R896" t="str">
            <v>NA</v>
          </cell>
          <cell r="S896">
            <v>5</v>
          </cell>
        </row>
        <row r="897">
          <cell r="B897" t="str">
            <v>MNC</v>
          </cell>
          <cell r="C897" t="str">
            <v>HSLB14270</v>
          </cell>
          <cell r="D897">
            <v>204006</v>
          </cell>
          <cell r="E897" t="str">
            <v>Silla Ergonómica</v>
          </cell>
          <cell r="F897" t="str">
            <v>NO</v>
          </cell>
          <cell r="G897" t="str">
            <v>NO</v>
          </cell>
          <cell r="H897" t="str">
            <v>BOX PSICÓLOGO INFANTO JUVENIL</v>
          </cell>
          <cell r="I897">
            <v>1</v>
          </cell>
          <cell r="J897" t="str">
            <v>C.2.5.2.19.2</v>
          </cell>
          <cell r="K897" t="str">
            <v>Psiquiatría</v>
          </cell>
          <cell r="L897">
            <v>2</v>
          </cell>
          <cell r="M897">
            <v>46015</v>
          </cell>
          <cell r="N897">
            <v>46017</v>
          </cell>
          <cell r="O897">
            <v>1</v>
          </cell>
          <cell r="P897">
            <v>46020</v>
          </cell>
          <cell r="Q897">
            <v>5</v>
          </cell>
          <cell r="R897" t="str">
            <v>NA</v>
          </cell>
          <cell r="S897">
            <v>5</v>
          </cell>
        </row>
        <row r="898">
          <cell r="B898" t="str">
            <v>MNC</v>
          </cell>
          <cell r="C898" t="str">
            <v>HSLB14572</v>
          </cell>
          <cell r="D898">
            <v>204009</v>
          </cell>
          <cell r="E898" t="str">
            <v>Silla Párvulo</v>
          </cell>
          <cell r="F898" t="str">
            <v>NO</v>
          </cell>
          <cell r="G898" t="str">
            <v>NO</v>
          </cell>
          <cell r="H898" t="str">
            <v>BOX PSICÓLOGO INFANTO JUVENIL</v>
          </cell>
          <cell r="I898">
            <v>4</v>
          </cell>
          <cell r="J898" t="str">
            <v>C.2.5.2.19.2</v>
          </cell>
          <cell r="K898" t="str">
            <v>Psiquiatría</v>
          </cell>
          <cell r="L898">
            <v>2</v>
          </cell>
          <cell r="M898">
            <v>46015</v>
          </cell>
          <cell r="N898">
            <v>46017</v>
          </cell>
          <cell r="O898">
            <v>1</v>
          </cell>
          <cell r="P898">
            <v>46020</v>
          </cell>
          <cell r="Q898">
            <v>5</v>
          </cell>
          <cell r="R898" t="str">
            <v>NA</v>
          </cell>
          <cell r="S898">
            <v>5</v>
          </cell>
        </row>
        <row r="899">
          <cell r="B899" t="str">
            <v>MNC</v>
          </cell>
          <cell r="C899" t="str">
            <v>HSLB14714</v>
          </cell>
          <cell r="D899">
            <v>204012</v>
          </cell>
          <cell r="E899" t="str">
            <v>Silla Visita</v>
          </cell>
          <cell r="F899" t="str">
            <v>NO</v>
          </cell>
          <cell r="G899" t="str">
            <v>NO</v>
          </cell>
          <cell r="H899" t="str">
            <v>BOX PSICÓLOGO INFANTO JUVENIL</v>
          </cell>
          <cell r="I899">
            <v>2</v>
          </cell>
          <cell r="J899" t="str">
            <v>C.2.5.2.19.2</v>
          </cell>
          <cell r="K899" t="str">
            <v>Psiquiatría</v>
          </cell>
          <cell r="L899">
            <v>2</v>
          </cell>
          <cell r="M899">
            <v>46015</v>
          </cell>
          <cell r="N899">
            <v>46017</v>
          </cell>
          <cell r="O899">
            <v>1</v>
          </cell>
          <cell r="P899">
            <v>46020</v>
          </cell>
          <cell r="Q899">
            <v>5</v>
          </cell>
          <cell r="R899" t="str">
            <v>NA</v>
          </cell>
          <cell r="S899">
            <v>5</v>
          </cell>
        </row>
        <row r="900">
          <cell r="B900" t="str">
            <v>MNC</v>
          </cell>
          <cell r="C900" t="str">
            <v>HSLB14963</v>
          </cell>
          <cell r="D900">
            <v>204013</v>
          </cell>
          <cell r="E900" t="str">
            <v>Sillón 1 Cuerpo</v>
          </cell>
          <cell r="F900" t="str">
            <v>NO</v>
          </cell>
          <cell r="G900" t="str">
            <v>NO</v>
          </cell>
          <cell r="H900" t="str">
            <v>BOX PSICÓLOGO INFANTO JUVENIL</v>
          </cell>
          <cell r="I900">
            <v>1</v>
          </cell>
          <cell r="J900" t="str">
            <v>C.2.5.2.19.2</v>
          </cell>
          <cell r="K900" t="str">
            <v>Psiquiatría</v>
          </cell>
          <cell r="L900">
            <v>2</v>
          </cell>
          <cell r="M900">
            <v>46015</v>
          </cell>
          <cell r="N900">
            <v>46017</v>
          </cell>
          <cell r="O900">
            <v>1</v>
          </cell>
          <cell r="P900">
            <v>46020</v>
          </cell>
          <cell r="Q900">
            <v>5</v>
          </cell>
          <cell r="R900" t="str">
            <v>NA</v>
          </cell>
          <cell r="S900">
            <v>5</v>
          </cell>
        </row>
        <row r="901">
          <cell r="B901" t="str">
            <v>MNC</v>
          </cell>
          <cell r="C901" t="str">
            <v>HSLB14987</v>
          </cell>
          <cell r="D901">
            <v>204014</v>
          </cell>
          <cell r="E901" t="str">
            <v>Sillón 2 Cuerpo</v>
          </cell>
          <cell r="F901" t="str">
            <v>NO</v>
          </cell>
          <cell r="G901" t="str">
            <v>NO</v>
          </cell>
          <cell r="H901" t="str">
            <v>BOX PSICÓLOGO INFANTO JUVENIL</v>
          </cell>
          <cell r="I901">
            <v>1</v>
          </cell>
          <cell r="J901" t="str">
            <v>C.2.5.2.19.2</v>
          </cell>
          <cell r="K901" t="str">
            <v>Psiquiatría</v>
          </cell>
          <cell r="L901">
            <v>2</v>
          </cell>
          <cell r="M901">
            <v>46015</v>
          </cell>
          <cell r="N901">
            <v>46017</v>
          </cell>
          <cell r="O901">
            <v>1</v>
          </cell>
          <cell r="P901">
            <v>46020</v>
          </cell>
          <cell r="Q901">
            <v>5</v>
          </cell>
          <cell r="R901" t="str">
            <v>NA</v>
          </cell>
          <cell r="S901">
            <v>5</v>
          </cell>
        </row>
        <row r="902">
          <cell r="B902" t="str">
            <v>MNC</v>
          </cell>
          <cell r="C902" t="str">
            <v>HSLB13099</v>
          </cell>
          <cell r="D902">
            <v>201001</v>
          </cell>
          <cell r="E902" t="str">
            <v>Estación de Trabajo</v>
          </cell>
          <cell r="F902" t="str">
            <v>NO</v>
          </cell>
          <cell r="G902" t="str">
            <v>NO</v>
          </cell>
          <cell r="H902" t="str">
            <v>OFICINA COORDINADOR SALUD MENTAL AMBULATORIO</v>
          </cell>
          <cell r="I902">
            <v>1</v>
          </cell>
          <cell r="J902" t="str">
            <v>C.2.5.2.2</v>
          </cell>
          <cell r="K902" t="str">
            <v>Psiquiatría</v>
          </cell>
          <cell r="L902">
            <v>2</v>
          </cell>
          <cell r="M902">
            <v>46015</v>
          </cell>
          <cell r="N902">
            <v>46017</v>
          </cell>
          <cell r="O902">
            <v>5</v>
          </cell>
          <cell r="P902">
            <v>46024</v>
          </cell>
          <cell r="Q902">
            <v>5</v>
          </cell>
          <cell r="R902" t="str">
            <v>NA</v>
          </cell>
          <cell r="S902">
            <v>5</v>
          </cell>
        </row>
        <row r="903">
          <cell r="B903" t="str">
            <v>MNC</v>
          </cell>
          <cell r="C903" t="str">
            <v>HSLB14271</v>
          </cell>
          <cell r="D903">
            <v>204006</v>
          </cell>
          <cell r="E903" t="str">
            <v>Silla Ergonómica</v>
          </cell>
          <cell r="F903" t="str">
            <v>NO</v>
          </cell>
          <cell r="G903" t="str">
            <v>NO</v>
          </cell>
          <cell r="H903" t="str">
            <v>OFICINA COORDINADOR SALUD MENTAL AMBULATORIO</v>
          </cell>
          <cell r="I903">
            <v>1</v>
          </cell>
          <cell r="J903" t="str">
            <v>C.2.5.2.2</v>
          </cell>
          <cell r="K903" t="str">
            <v>Psiquiatría</v>
          </cell>
          <cell r="L903">
            <v>2</v>
          </cell>
          <cell r="M903">
            <v>46015</v>
          </cell>
          <cell r="N903">
            <v>46017</v>
          </cell>
          <cell r="O903">
            <v>1</v>
          </cell>
          <cell r="P903">
            <v>46020</v>
          </cell>
          <cell r="Q903">
            <v>5</v>
          </cell>
          <cell r="R903" t="str">
            <v>NA</v>
          </cell>
          <cell r="S903">
            <v>5</v>
          </cell>
        </row>
        <row r="904">
          <cell r="B904" t="str">
            <v>MNC</v>
          </cell>
          <cell r="C904" t="str">
            <v>HSLB14715</v>
          </cell>
          <cell r="D904">
            <v>204012</v>
          </cell>
          <cell r="E904" t="str">
            <v>Silla Visita</v>
          </cell>
          <cell r="F904" t="str">
            <v>NO</v>
          </cell>
          <cell r="G904" t="str">
            <v>NO</v>
          </cell>
          <cell r="H904" t="str">
            <v>OFICINA COORDINADOR SALUD MENTAL AMBULATORIO</v>
          </cell>
          <cell r="I904">
            <v>2</v>
          </cell>
          <cell r="J904" t="str">
            <v>C.2.5.2.2</v>
          </cell>
          <cell r="K904" t="str">
            <v>Psiquiatría</v>
          </cell>
          <cell r="L904">
            <v>2</v>
          </cell>
          <cell r="M904">
            <v>46015</v>
          </cell>
          <cell r="N904">
            <v>46017</v>
          </cell>
          <cell r="O904">
            <v>1</v>
          </cell>
          <cell r="P904">
            <v>46020</v>
          </cell>
          <cell r="Q904">
            <v>5</v>
          </cell>
          <cell r="R904" t="str">
            <v>NA</v>
          </cell>
          <cell r="S904">
            <v>5</v>
          </cell>
        </row>
        <row r="905">
          <cell r="B905" t="str">
            <v>MNC</v>
          </cell>
          <cell r="C905" t="str">
            <v>HSLB13100</v>
          </cell>
          <cell r="D905">
            <v>201001</v>
          </cell>
          <cell r="E905" t="str">
            <v>Estación de Trabajo</v>
          </cell>
          <cell r="F905" t="str">
            <v>NO</v>
          </cell>
          <cell r="G905" t="str">
            <v>NO</v>
          </cell>
          <cell r="H905" t="str">
            <v>BOX ENFERMERA INFANTO JUVENIL</v>
          </cell>
          <cell r="I905">
            <v>1</v>
          </cell>
          <cell r="J905" t="str">
            <v>C.2.5.2.20</v>
          </cell>
          <cell r="K905" t="str">
            <v>Psiquiatría</v>
          </cell>
          <cell r="L905">
            <v>2</v>
          </cell>
          <cell r="M905">
            <v>46015</v>
          </cell>
          <cell r="N905">
            <v>46017</v>
          </cell>
          <cell r="O905">
            <v>5</v>
          </cell>
          <cell r="P905">
            <v>46024</v>
          </cell>
          <cell r="Q905">
            <v>5</v>
          </cell>
          <cell r="R905" t="str">
            <v>NA</v>
          </cell>
          <cell r="S905">
            <v>5</v>
          </cell>
        </row>
        <row r="906">
          <cell r="B906" t="str">
            <v>MNC</v>
          </cell>
          <cell r="C906" t="str">
            <v>HSLB14272</v>
          </cell>
          <cell r="D906">
            <v>204006</v>
          </cell>
          <cell r="E906" t="str">
            <v>Silla Ergonómica</v>
          </cell>
          <cell r="F906" t="str">
            <v>NO</v>
          </cell>
          <cell r="G906" t="str">
            <v>NO</v>
          </cell>
          <cell r="H906" t="str">
            <v>BOX ENFERMERA INFANTO JUVENIL</v>
          </cell>
          <cell r="I906">
            <v>1</v>
          </cell>
          <cell r="J906" t="str">
            <v>C.2.5.2.20</v>
          </cell>
          <cell r="K906" t="str">
            <v>Psiquiatría</v>
          </cell>
          <cell r="L906">
            <v>2</v>
          </cell>
          <cell r="M906">
            <v>46015</v>
          </cell>
          <cell r="N906">
            <v>46017</v>
          </cell>
          <cell r="O906">
            <v>1</v>
          </cell>
          <cell r="P906">
            <v>46020</v>
          </cell>
          <cell r="Q906">
            <v>5</v>
          </cell>
          <cell r="R906" t="str">
            <v>NA</v>
          </cell>
          <cell r="S906">
            <v>5</v>
          </cell>
        </row>
        <row r="907">
          <cell r="B907" t="str">
            <v>MNC</v>
          </cell>
          <cell r="C907" t="str">
            <v>HSLB14716</v>
          </cell>
          <cell r="D907">
            <v>204012</v>
          </cell>
          <cell r="E907" t="str">
            <v>Silla Visita</v>
          </cell>
          <cell r="F907" t="str">
            <v>NO</v>
          </cell>
          <cell r="G907" t="str">
            <v>NO</v>
          </cell>
          <cell r="H907" t="str">
            <v>BOX ENFERMERA INFANTO JUVENIL</v>
          </cell>
          <cell r="I907">
            <v>2</v>
          </cell>
          <cell r="J907" t="str">
            <v>C.2.5.2.20</v>
          </cell>
          <cell r="K907" t="str">
            <v>Psiquiatría</v>
          </cell>
          <cell r="L907">
            <v>2</v>
          </cell>
          <cell r="M907">
            <v>46015</v>
          </cell>
          <cell r="N907">
            <v>46017</v>
          </cell>
          <cell r="O907">
            <v>1</v>
          </cell>
          <cell r="P907">
            <v>46020</v>
          </cell>
          <cell r="Q907">
            <v>5</v>
          </cell>
          <cell r="R907" t="str">
            <v>NA</v>
          </cell>
          <cell r="S907">
            <v>5</v>
          </cell>
        </row>
        <row r="908">
          <cell r="B908" t="str">
            <v>MNC</v>
          </cell>
          <cell r="C908" t="str">
            <v>HSLB13303</v>
          </cell>
          <cell r="D908">
            <v>201004</v>
          </cell>
          <cell r="E908" t="str">
            <v>Mesa Párvulo Tipo I</v>
          </cell>
          <cell r="F908" t="str">
            <v>NO</v>
          </cell>
          <cell r="G908" t="str">
            <v>NO</v>
          </cell>
          <cell r="H908" t="str">
            <v>SALA DE REHABILITACIÓN INFANTIL</v>
          </cell>
          <cell r="I908">
            <v>1</v>
          </cell>
          <cell r="J908" t="str">
            <v>C.2.5.2.21</v>
          </cell>
          <cell r="K908" t="str">
            <v>Psiquiatría</v>
          </cell>
          <cell r="L908">
            <v>2</v>
          </cell>
          <cell r="M908">
            <v>46015</v>
          </cell>
          <cell r="N908">
            <v>46017</v>
          </cell>
          <cell r="O908">
            <v>2</v>
          </cell>
          <cell r="P908">
            <v>46021</v>
          </cell>
          <cell r="Q908">
            <v>5</v>
          </cell>
          <cell r="R908" t="str">
            <v>NA</v>
          </cell>
          <cell r="S908">
            <v>5</v>
          </cell>
        </row>
        <row r="909">
          <cell r="B909" t="str">
            <v>MNC</v>
          </cell>
          <cell r="C909" t="str">
            <v>HSLB14573</v>
          </cell>
          <cell r="D909">
            <v>204009</v>
          </cell>
          <cell r="E909" t="str">
            <v>Silla Párvulo</v>
          </cell>
          <cell r="F909" t="str">
            <v>NO</v>
          </cell>
          <cell r="G909" t="str">
            <v>NO</v>
          </cell>
          <cell r="H909" t="str">
            <v>SALA DE REHABILITACIÓN INFANTIL</v>
          </cell>
          <cell r="I909">
            <v>4</v>
          </cell>
          <cell r="J909" t="str">
            <v>C.2.5.2.21</v>
          </cell>
          <cell r="K909" t="str">
            <v>Psiquiatría</v>
          </cell>
          <cell r="L909">
            <v>2</v>
          </cell>
          <cell r="M909">
            <v>46015</v>
          </cell>
          <cell r="N909">
            <v>46017</v>
          </cell>
          <cell r="O909">
            <v>1</v>
          </cell>
          <cell r="P909">
            <v>46020</v>
          </cell>
          <cell r="Q909">
            <v>5</v>
          </cell>
          <cell r="R909" t="str">
            <v>NA</v>
          </cell>
          <cell r="S909">
            <v>5</v>
          </cell>
        </row>
        <row r="910">
          <cell r="B910" t="str">
            <v>MNC</v>
          </cell>
          <cell r="C910" t="str">
            <v>HSLB14717</v>
          </cell>
          <cell r="D910">
            <v>204012</v>
          </cell>
          <cell r="E910" t="str">
            <v>Silla Visita</v>
          </cell>
          <cell r="F910" t="str">
            <v>NO</v>
          </cell>
          <cell r="G910" t="str">
            <v>NO</v>
          </cell>
          <cell r="H910" t="str">
            <v>SALA DE REHABILITACIÓN INFANTIL</v>
          </cell>
          <cell r="I910">
            <v>4</v>
          </cell>
          <cell r="J910" t="str">
            <v>C.2.5.2.21</v>
          </cell>
          <cell r="K910" t="str">
            <v>Psiquiatría</v>
          </cell>
          <cell r="L910">
            <v>2</v>
          </cell>
          <cell r="M910">
            <v>46015</v>
          </cell>
          <cell r="N910">
            <v>46017</v>
          </cell>
          <cell r="O910">
            <v>1</v>
          </cell>
          <cell r="P910">
            <v>46020</v>
          </cell>
          <cell r="Q910">
            <v>5</v>
          </cell>
          <cell r="R910" t="str">
            <v>NA</v>
          </cell>
          <cell r="S910">
            <v>5</v>
          </cell>
        </row>
        <row r="911">
          <cell r="B911" t="str">
            <v>MNC</v>
          </cell>
          <cell r="C911" t="str">
            <v>HSLB13372</v>
          </cell>
          <cell r="D911">
            <v>201009</v>
          </cell>
          <cell r="E911" t="str">
            <v>Mesa Reuniones Tipo II</v>
          </cell>
          <cell r="F911" t="str">
            <v>NO</v>
          </cell>
          <cell r="G911" t="str">
            <v>SI</v>
          </cell>
          <cell r="H911" t="str">
            <v>SALA TRABAJO GRUPAL</v>
          </cell>
          <cell r="I911">
            <v>1</v>
          </cell>
          <cell r="J911" t="str">
            <v>C.2.5.2.22</v>
          </cell>
          <cell r="K911" t="str">
            <v>Psiquiatría</v>
          </cell>
          <cell r="L911">
            <v>2</v>
          </cell>
          <cell r="M911">
            <v>46003</v>
          </cell>
          <cell r="N911">
            <v>46006</v>
          </cell>
          <cell r="O911">
            <v>1</v>
          </cell>
          <cell r="P911">
            <v>46007</v>
          </cell>
          <cell r="Q911">
            <v>5</v>
          </cell>
          <cell r="R911" t="str">
            <v>NA</v>
          </cell>
          <cell r="S911">
            <v>5</v>
          </cell>
        </row>
        <row r="912">
          <cell r="B912" t="str">
            <v>MNC</v>
          </cell>
          <cell r="C912" t="str">
            <v>HSLB14574</v>
          </cell>
          <cell r="D912">
            <v>204009</v>
          </cell>
          <cell r="E912" t="str">
            <v>Silla Párvulo</v>
          </cell>
          <cell r="F912" t="str">
            <v>NO</v>
          </cell>
          <cell r="G912" t="str">
            <v>SI</v>
          </cell>
          <cell r="H912" t="str">
            <v>SALA TRABAJO GRUPAL</v>
          </cell>
          <cell r="I912">
            <v>2</v>
          </cell>
          <cell r="J912" t="str">
            <v>C.2.5.2.22</v>
          </cell>
          <cell r="K912" t="str">
            <v>Psiquiatría</v>
          </cell>
          <cell r="L912">
            <v>2</v>
          </cell>
          <cell r="M912">
            <v>46003</v>
          </cell>
          <cell r="N912">
            <v>46006</v>
          </cell>
          <cell r="O912">
            <v>1</v>
          </cell>
          <cell r="P912">
            <v>46007</v>
          </cell>
          <cell r="Q912">
            <v>5</v>
          </cell>
          <cell r="R912" t="str">
            <v>NA</v>
          </cell>
          <cell r="S912">
            <v>5</v>
          </cell>
        </row>
        <row r="913">
          <cell r="B913" t="str">
            <v>MNC</v>
          </cell>
          <cell r="C913" t="str">
            <v>HSLB14718</v>
          </cell>
          <cell r="D913">
            <v>204012</v>
          </cell>
          <cell r="E913" t="str">
            <v>Silla Visita</v>
          </cell>
          <cell r="F913" t="str">
            <v>NO</v>
          </cell>
          <cell r="G913" t="str">
            <v>SI</v>
          </cell>
          <cell r="H913" t="str">
            <v>SALA TRABAJO GRUPAL</v>
          </cell>
          <cell r="I913">
            <v>8</v>
          </cell>
          <cell r="J913" t="str">
            <v>C.2.5.2.22</v>
          </cell>
          <cell r="K913" t="str">
            <v>Psiquiatría</v>
          </cell>
          <cell r="L913">
            <v>2</v>
          </cell>
          <cell r="M913">
            <v>46003</v>
          </cell>
          <cell r="N913">
            <v>46006</v>
          </cell>
          <cell r="O913">
            <v>1</v>
          </cell>
          <cell r="P913">
            <v>46008</v>
          </cell>
          <cell r="Q913">
            <v>5</v>
          </cell>
          <cell r="R913" t="str">
            <v>NA</v>
          </cell>
          <cell r="S913">
            <v>5</v>
          </cell>
        </row>
        <row r="914">
          <cell r="B914" t="str">
            <v>MNC</v>
          </cell>
          <cell r="C914" t="str">
            <v>HSLB13101</v>
          </cell>
          <cell r="D914">
            <v>201001</v>
          </cell>
          <cell r="E914" t="str">
            <v>Estación de Trabajo</v>
          </cell>
          <cell r="F914" t="str">
            <v>NO</v>
          </cell>
          <cell r="G914" t="str">
            <v>NO</v>
          </cell>
          <cell r="H914" t="str">
            <v>MÓDULO DE TRABAJO PROFESIONALES</v>
          </cell>
          <cell r="I914">
            <v>8</v>
          </cell>
          <cell r="J914" t="str">
            <v>C.2.5.2.24</v>
          </cell>
          <cell r="K914" t="str">
            <v>Psiquiatría</v>
          </cell>
          <cell r="L914">
            <v>2</v>
          </cell>
          <cell r="M914">
            <v>46015</v>
          </cell>
          <cell r="N914">
            <v>46017</v>
          </cell>
          <cell r="O914">
            <v>5</v>
          </cell>
          <cell r="P914">
            <v>46024</v>
          </cell>
          <cell r="Q914">
            <v>5</v>
          </cell>
          <cell r="R914" t="str">
            <v>NA</v>
          </cell>
          <cell r="S914">
            <v>5</v>
          </cell>
        </row>
        <row r="915">
          <cell r="B915" t="str">
            <v>MNC</v>
          </cell>
          <cell r="C915" t="str">
            <v>HSLB14273</v>
          </cell>
          <cell r="D915">
            <v>204006</v>
          </cell>
          <cell r="E915" t="str">
            <v>Silla Ergonómica</v>
          </cell>
          <cell r="F915" t="str">
            <v>NO</v>
          </cell>
          <cell r="G915" t="str">
            <v>NO</v>
          </cell>
          <cell r="H915" t="str">
            <v>MÓDULO DE TRABAJO PROFESIONALES</v>
          </cell>
          <cell r="I915">
            <v>8</v>
          </cell>
          <cell r="J915" t="str">
            <v>C.2.5.2.24</v>
          </cell>
          <cell r="K915" t="str">
            <v>Psiquiatría</v>
          </cell>
          <cell r="L915">
            <v>2</v>
          </cell>
          <cell r="M915">
            <v>46015</v>
          </cell>
          <cell r="N915">
            <v>46017</v>
          </cell>
          <cell r="O915">
            <v>1</v>
          </cell>
          <cell r="P915">
            <v>46020</v>
          </cell>
          <cell r="Q915">
            <v>5</v>
          </cell>
          <cell r="R915" t="str">
            <v>NA</v>
          </cell>
          <cell r="S915">
            <v>5</v>
          </cell>
        </row>
        <row r="916">
          <cell r="B916" t="str">
            <v>MNC</v>
          </cell>
          <cell r="C916" t="str">
            <v>HSLB14274</v>
          </cell>
          <cell r="D916">
            <v>204006</v>
          </cell>
          <cell r="E916" t="str">
            <v>Silla Ergonómica</v>
          </cell>
          <cell r="F916" t="str">
            <v>NO</v>
          </cell>
          <cell r="G916" t="str">
            <v>NO</v>
          </cell>
          <cell r="H916" t="str">
            <v>MÓDULO SOME ADMISIÓN</v>
          </cell>
          <cell r="I916">
            <v>2</v>
          </cell>
          <cell r="J916" t="str">
            <v>C.2.5.2.3</v>
          </cell>
          <cell r="K916" t="str">
            <v>Psiquiatría</v>
          </cell>
          <cell r="L916">
            <v>2</v>
          </cell>
          <cell r="M916">
            <v>46015</v>
          </cell>
          <cell r="N916">
            <v>46017</v>
          </cell>
          <cell r="O916">
            <v>1</v>
          </cell>
          <cell r="P916">
            <v>46020</v>
          </cell>
          <cell r="Q916">
            <v>5</v>
          </cell>
          <cell r="R916" t="str">
            <v>NA</v>
          </cell>
          <cell r="S916">
            <v>5</v>
          </cell>
        </row>
        <row r="917">
          <cell r="B917" t="str">
            <v>MNC</v>
          </cell>
          <cell r="C917" t="str">
            <v>HSLB14275</v>
          </cell>
          <cell r="D917">
            <v>204006</v>
          </cell>
          <cell r="E917" t="str">
            <v>Silla Ergonómica</v>
          </cell>
          <cell r="F917" t="str">
            <v>NO</v>
          </cell>
          <cell r="G917" t="str">
            <v>NO</v>
          </cell>
          <cell r="H917" t="str">
            <v>MÓDULO SOME RECAUDACIÓN</v>
          </cell>
          <cell r="I917">
            <v>1</v>
          </cell>
          <cell r="J917" t="str">
            <v>C.2.5.2.4</v>
          </cell>
          <cell r="K917" t="str">
            <v>Psiquiatría</v>
          </cell>
          <cell r="L917">
            <v>2</v>
          </cell>
          <cell r="M917">
            <v>46015</v>
          </cell>
          <cell r="N917">
            <v>46017</v>
          </cell>
          <cell r="O917">
            <v>1</v>
          </cell>
          <cell r="P917">
            <v>46020</v>
          </cell>
          <cell r="Q917">
            <v>5</v>
          </cell>
          <cell r="R917" t="str">
            <v>NA</v>
          </cell>
          <cell r="S917">
            <v>5</v>
          </cell>
        </row>
        <row r="918">
          <cell r="B918" t="str">
            <v>MNC</v>
          </cell>
          <cell r="C918" t="str">
            <v>HSLB15261</v>
          </cell>
          <cell r="D918">
            <v>204020</v>
          </cell>
          <cell r="E918" t="str">
            <v>Silla Butaca Espera 3 Cuerpos</v>
          </cell>
          <cell r="F918" t="str">
            <v>NO</v>
          </cell>
          <cell r="G918" t="str">
            <v>NO</v>
          </cell>
          <cell r="H918" t="str">
            <v>SALA DE ESPERA</v>
          </cell>
          <cell r="I918">
            <v>13</v>
          </cell>
          <cell r="J918" t="str">
            <v>C.2.5.2.5.1</v>
          </cell>
          <cell r="K918" t="str">
            <v>Psiquiatría</v>
          </cell>
          <cell r="L918">
            <v>2</v>
          </cell>
          <cell r="M918">
            <v>46015</v>
          </cell>
          <cell r="N918">
            <v>46017</v>
          </cell>
          <cell r="O918">
            <v>1</v>
          </cell>
          <cell r="P918">
            <v>46020</v>
          </cell>
          <cell r="Q918">
            <v>5</v>
          </cell>
          <cell r="R918" t="str">
            <v>NA</v>
          </cell>
          <cell r="S918">
            <v>5</v>
          </cell>
        </row>
        <row r="919">
          <cell r="B919" t="str">
            <v>MNC</v>
          </cell>
          <cell r="C919" t="str">
            <v>HSLB13102</v>
          </cell>
          <cell r="D919">
            <v>201001</v>
          </cell>
          <cell r="E919" t="str">
            <v>Estación de Trabajo</v>
          </cell>
          <cell r="F919" t="str">
            <v>NO</v>
          </cell>
          <cell r="G919" t="str">
            <v>NO</v>
          </cell>
          <cell r="H919" t="str">
            <v>OFICINA ASISTENTE SOCIAL PSICOPEDAGOGÍA</v>
          </cell>
          <cell r="I919">
            <v>1</v>
          </cell>
          <cell r="J919" t="str">
            <v>C.2.5.2.7</v>
          </cell>
          <cell r="K919" t="str">
            <v>Psiquiatría</v>
          </cell>
          <cell r="L919">
            <v>2</v>
          </cell>
          <cell r="M919">
            <v>46015</v>
          </cell>
          <cell r="N919">
            <v>46017</v>
          </cell>
          <cell r="O919">
            <v>5</v>
          </cell>
          <cell r="P919">
            <v>46024</v>
          </cell>
          <cell r="Q919">
            <v>5</v>
          </cell>
          <cell r="R919" t="str">
            <v>NA</v>
          </cell>
          <cell r="S919">
            <v>5</v>
          </cell>
        </row>
        <row r="920">
          <cell r="B920" t="str">
            <v>MNC</v>
          </cell>
          <cell r="C920" t="str">
            <v>HSLB13304</v>
          </cell>
          <cell r="D920">
            <v>201004</v>
          </cell>
          <cell r="E920" t="str">
            <v>Mesa Párvulo Tipo I</v>
          </cell>
          <cell r="F920" t="str">
            <v>NO</v>
          </cell>
          <cell r="G920" t="str">
            <v>NO</v>
          </cell>
          <cell r="H920" t="str">
            <v>OFICINA ASISTENTE SOCIAL PSICOPEDAGOGÍA</v>
          </cell>
          <cell r="I920">
            <v>1</v>
          </cell>
          <cell r="J920" t="str">
            <v>C.2.5.2.7</v>
          </cell>
          <cell r="K920" t="str">
            <v>Psiquiatría</v>
          </cell>
          <cell r="L920">
            <v>2</v>
          </cell>
          <cell r="M920">
            <v>46015</v>
          </cell>
          <cell r="N920">
            <v>46017</v>
          </cell>
          <cell r="O920">
            <v>2</v>
          </cell>
          <cell r="P920">
            <v>46021</v>
          </cell>
          <cell r="Q920">
            <v>5</v>
          </cell>
          <cell r="R920" t="str">
            <v>NA</v>
          </cell>
          <cell r="S920">
            <v>5</v>
          </cell>
        </row>
        <row r="921">
          <cell r="B921" t="str">
            <v>MNC</v>
          </cell>
          <cell r="C921" t="str">
            <v>HSLB14276</v>
          </cell>
          <cell r="D921">
            <v>204006</v>
          </cell>
          <cell r="E921" t="str">
            <v>Silla Ergonómica</v>
          </cell>
          <cell r="F921" t="str">
            <v>NO</v>
          </cell>
          <cell r="G921" t="str">
            <v>NO</v>
          </cell>
          <cell r="H921" t="str">
            <v>OFICINA ASISTENTE SOCIAL PSICOPEDAGOGÍA</v>
          </cell>
          <cell r="I921">
            <v>1</v>
          </cell>
          <cell r="J921" t="str">
            <v>C.2.5.2.7</v>
          </cell>
          <cell r="K921" t="str">
            <v>Psiquiatría</v>
          </cell>
          <cell r="L921">
            <v>2</v>
          </cell>
          <cell r="M921">
            <v>46015</v>
          </cell>
          <cell r="N921">
            <v>46017</v>
          </cell>
          <cell r="O921">
            <v>1</v>
          </cell>
          <cell r="P921">
            <v>46020</v>
          </cell>
          <cell r="Q921">
            <v>5</v>
          </cell>
          <cell r="R921" t="str">
            <v>NA</v>
          </cell>
          <cell r="S921">
            <v>5</v>
          </cell>
        </row>
        <row r="922">
          <cell r="B922" t="str">
            <v>MNC</v>
          </cell>
          <cell r="C922" t="str">
            <v>HSLB14575</v>
          </cell>
          <cell r="D922">
            <v>204009</v>
          </cell>
          <cell r="E922" t="str">
            <v>Silla Párvulo</v>
          </cell>
          <cell r="F922" t="str">
            <v>NO</v>
          </cell>
          <cell r="G922" t="str">
            <v>NO</v>
          </cell>
          <cell r="H922" t="str">
            <v>OFICINA ASISTENTE SOCIAL PSICOPEDAGOGÍA</v>
          </cell>
          <cell r="I922">
            <v>1</v>
          </cell>
          <cell r="J922" t="str">
            <v>C.2.5.2.7</v>
          </cell>
          <cell r="K922" t="str">
            <v>Psiquiatría</v>
          </cell>
          <cell r="L922">
            <v>2</v>
          </cell>
          <cell r="M922">
            <v>46015</v>
          </cell>
          <cell r="N922">
            <v>46017</v>
          </cell>
          <cell r="O922">
            <v>1</v>
          </cell>
          <cell r="P922">
            <v>46020</v>
          </cell>
          <cell r="Q922">
            <v>5</v>
          </cell>
          <cell r="R922" t="str">
            <v>NA</v>
          </cell>
          <cell r="S922">
            <v>5</v>
          </cell>
        </row>
        <row r="923">
          <cell r="B923" t="str">
            <v>MNC</v>
          </cell>
          <cell r="C923" t="str">
            <v>HSLB14719</v>
          </cell>
          <cell r="D923">
            <v>204012</v>
          </cell>
          <cell r="E923" t="str">
            <v>Silla Visita</v>
          </cell>
          <cell r="F923" t="str">
            <v>NO</v>
          </cell>
          <cell r="G923" t="str">
            <v>NO</v>
          </cell>
          <cell r="H923" t="str">
            <v>OFICINA ASISTENTE SOCIAL PSICOPEDAGOGÍA</v>
          </cell>
          <cell r="I923">
            <v>2</v>
          </cell>
          <cell r="J923" t="str">
            <v>C.2.5.2.7</v>
          </cell>
          <cell r="K923" t="str">
            <v>Psiquiatría</v>
          </cell>
          <cell r="L923">
            <v>2</v>
          </cell>
          <cell r="M923">
            <v>46015</v>
          </cell>
          <cell r="N923">
            <v>46017</v>
          </cell>
          <cell r="O923">
            <v>1</v>
          </cell>
          <cell r="P923">
            <v>46020</v>
          </cell>
          <cell r="Q923">
            <v>5</v>
          </cell>
          <cell r="R923" t="str">
            <v>NA</v>
          </cell>
          <cell r="S923">
            <v>5</v>
          </cell>
        </row>
        <row r="924">
          <cell r="B924" t="str">
            <v>MNC</v>
          </cell>
          <cell r="C924" t="str">
            <v>HSLB13103</v>
          </cell>
          <cell r="D924">
            <v>201001</v>
          </cell>
          <cell r="E924" t="str">
            <v>Estación de Trabajo</v>
          </cell>
          <cell r="F924" t="str">
            <v>NO</v>
          </cell>
          <cell r="G924" t="str">
            <v>NO</v>
          </cell>
          <cell r="H924" t="str">
            <v>BOX TERAPEUTA OCUPACIONAL</v>
          </cell>
          <cell r="I924">
            <v>1</v>
          </cell>
          <cell r="J924" t="str">
            <v>C.2.5.2.8</v>
          </cell>
          <cell r="K924" t="str">
            <v>Psiquiatría</v>
          </cell>
          <cell r="L924">
            <v>2</v>
          </cell>
          <cell r="M924">
            <v>46015</v>
          </cell>
          <cell r="N924">
            <v>46017</v>
          </cell>
          <cell r="O924">
            <v>5</v>
          </cell>
          <cell r="P924">
            <v>46024</v>
          </cell>
          <cell r="Q924">
            <v>5</v>
          </cell>
          <cell r="R924" t="str">
            <v>NA</v>
          </cell>
          <cell r="S924">
            <v>5</v>
          </cell>
        </row>
        <row r="925">
          <cell r="B925" t="str">
            <v>MNC</v>
          </cell>
          <cell r="C925" t="str">
            <v>HSLB13332</v>
          </cell>
          <cell r="D925">
            <v>201008</v>
          </cell>
          <cell r="E925" t="str">
            <v>Mesa Reuniones Tipo I</v>
          </cell>
          <cell r="F925" t="str">
            <v>NO</v>
          </cell>
          <cell r="G925" t="str">
            <v>NO</v>
          </cell>
          <cell r="H925" t="str">
            <v>BOX TERAPEUTA OCUPACIONAL</v>
          </cell>
          <cell r="I925">
            <v>1</v>
          </cell>
          <cell r="J925" t="str">
            <v>C.2.5.2.8</v>
          </cell>
          <cell r="K925" t="str">
            <v>Psiquiatría</v>
          </cell>
          <cell r="L925">
            <v>2</v>
          </cell>
          <cell r="M925">
            <v>46015</v>
          </cell>
          <cell r="N925">
            <v>46017</v>
          </cell>
          <cell r="O925">
            <v>2</v>
          </cell>
          <cell r="P925">
            <v>46021</v>
          </cell>
          <cell r="Q925">
            <v>5</v>
          </cell>
          <cell r="R925" t="str">
            <v>NA</v>
          </cell>
          <cell r="S925">
            <v>5</v>
          </cell>
        </row>
        <row r="926">
          <cell r="B926" t="str">
            <v>MNC</v>
          </cell>
          <cell r="C926" t="str">
            <v>HSLB14277</v>
          </cell>
          <cell r="D926">
            <v>204006</v>
          </cell>
          <cell r="E926" t="str">
            <v>Silla Ergonómica</v>
          </cell>
          <cell r="F926" t="str">
            <v>NO</v>
          </cell>
          <cell r="G926" t="str">
            <v>NO</v>
          </cell>
          <cell r="H926" t="str">
            <v>BOX TERAPEUTA OCUPACIONAL</v>
          </cell>
          <cell r="I926">
            <v>1</v>
          </cell>
          <cell r="J926" t="str">
            <v>C.2.5.2.8</v>
          </cell>
          <cell r="K926" t="str">
            <v>Psiquiatría</v>
          </cell>
          <cell r="L926">
            <v>2</v>
          </cell>
          <cell r="M926">
            <v>46015</v>
          </cell>
          <cell r="N926">
            <v>46017</v>
          </cell>
          <cell r="O926">
            <v>1</v>
          </cell>
          <cell r="P926">
            <v>46020</v>
          </cell>
          <cell r="Q926">
            <v>5</v>
          </cell>
          <cell r="R926" t="str">
            <v>NA</v>
          </cell>
          <cell r="S926">
            <v>5</v>
          </cell>
        </row>
        <row r="927">
          <cell r="B927" t="str">
            <v>MNC</v>
          </cell>
          <cell r="C927" t="str">
            <v>HSLB14720</v>
          </cell>
          <cell r="D927">
            <v>204012</v>
          </cell>
          <cell r="E927" t="str">
            <v>Silla Visita</v>
          </cell>
          <cell r="F927" t="str">
            <v>NO</v>
          </cell>
          <cell r="G927" t="str">
            <v>NO</v>
          </cell>
          <cell r="H927" t="str">
            <v>BOX TERAPEUTA OCUPACIONAL</v>
          </cell>
          <cell r="I927">
            <v>4</v>
          </cell>
          <cell r="J927" t="str">
            <v>C.2.5.2.8</v>
          </cell>
          <cell r="K927" t="str">
            <v>Psiquiatría</v>
          </cell>
          <cell r="L927">
            <v>2</v>
          </cell>
          <cell r="M927">
            <v>46015</v>
          </cell>
          <cell r="N927">
            <v>46017</v>
          </cell>
          <cell r="O927">
            <v>1</v>
          </cell>
          <cell r="P927">
            <v>46020</v>
          </cell>
          <cell r="Q927">
            <v>5</v>
          </cell>
          <cell r="R927" t="str">
            <v>NA</v>
          </cell>
          <cell r="S927">
            <v>5</v>
          </cell>
        </row>
        <row r="928">
          <cell r="B928" t="str">
            <v>MNC</v>
          </cell>
          <cell r="C928" t="str">
            <v>HSLB13104</v>
          </cell>
          <cell r="D928">
            <v>201001</v>
          </cell>
          <cell r="E928" t="str">
            <v>Estación de Trabajo</v>
          </cell>
          <cell r="F928" t="str">
            <v>NO</v>
          </cell>
          <cell r="G928" t="str">
            <v>NO</v>
          </cell>
          <cell r="H928" t="str">
            <v>BOX PSIQUIATRÍA ADULTO</v>
          </cell>
          <cell r="I928">
            <v>1</v>
          </cell>
          <cell r="J928" t="str">
            <v>C.2.5.2.9.1</v>
          </cell>
          <cell r="K928" t="str">
            <v>Psiquiatría</v>
          </cell>
          <cell r="L928">
            <v>2</v>
          </cell>
          <cell r="M928">
            <v>46015</v>
          </cell>
          <cell r="N928">
            <v>46017</v>
          </cell>
          <cell r="O928">
            <v>5</v>
          </cell>
          <cell r="P928">
            <v>46024</v>
          </cell>
          <cell r="Q928">
            <v>5</v>
          </cell>
          <cell r="R928" t="str">
            <v>NA</v>
          </cell>
          <cell r="S928">
            <v>5</v>
          </cell>
        </row>
        <row r="929">
          <cell r="B929" t="str">
            <v>MNC</v>
          </cell>
          <cell r="C929" t="str">
            <v>HSLB14278</v>
          </cell>
          <cell r="D929">
            <v>204006</v>
          </cell>
          <cell r="E929" t="str">
            <v>Silla Ergonómica</v>
          </cell>
          <cell r="F929" t="str">
            <v>NO</v>
          </cell>
          <cell r="G929" t="str">
            <v>NO</v>
          </cell>
          <cell r="H929" t="str">
            <v>BOX PSIQUIATRÍA ADULTO</v>
          </cell>
          <cell r="I929">
            <v>1</v>
          </cell>
          <cell r="J929" t="str">
            <v>C.2.5.2.9.1</v>
          </cell>
          <cell r="K929" t="str">
            <v>Psiquiatría</v>
          </cell>
          <cell r="L929">
            <v>2</v>
          </cell>
          <cell r="M929">
            <v>46015</v>
          </cell>
          <cell r="N929">
            <v>46017</v>
          </cell>
          <cell r="O929">
            <v>1</v>
          </cell>
          <cell r="P929">
            <v>46020</v>
          </cell>
          <cell r="Q929">
            <v>5</v>
          </cell>
          <cell r="R929" t="str">
            <v>NA</v>
          </cell>
          <cell r="S929">
            <v>5</v>
          </cell>
        </row>
        <row r="930">
          <cell r="B930" t="str">
            <v>MNC</v>
          </cell>
          <cell r="C930" t="str">
            <v>HSLB14721</v>
          </cell>
          <cell r="D930">
            <v>204012</v>
          </cell>
          <cell r="E930" t="str">
            <v>Silla Visita</v>
          </cell>
          <cell r="F930" t="str">
            <v>NO</v>
          </cell>
          <cell r="G930" t="str">
            <v>NO</v>
          </cell>
          <cell r="H930" t="str">
            <v>BOX PSIQUIATRÍA ADULTO</v>
          </cell>
          <cell r="I930">
            <v>2</v>
          </cell>
          <cell r="J930" t="str">
            <v>C.2.5.2.9.1</v>
          </cell>
          <cell r="K930" t="str">
            <v>Psiquiatría</v>
          </cell>
          <cell r="L930">
            <v>2</v>
          </cell>
          <cell r="M930">
            <v>46015</v>
          </cell>
          <cell r="N930">
            <v>46017</v>
          </cell>
          <cell r="O930">
            <v>1</v>
          </cell>
          <cell r="P930">
            <v>46020</v>
          </cell>
          <cell r="Q930">
            <v>5</v>
          </cell>
          <cell r="R930" t="str">
            <v>NA</v>
          </cell>
          <cell r="S930">
            <v>5</v>
          </cell>
        </row>
        <row r="931">
          <cell r="B931" t="str">
            <v>MNC</v>
          </cell>
          <cell r="C931" t="str">
            <v>HSLB13105</v>
          </cell>
          <cell r="D931">
            <v>201001</v>
          </cell>
          <cell r="E931" t="str">
            <v>Estación de Trabajo</v>
          </cell>
          <cell r="F931" t="str">
            <v>NO</v>
          </cell>
          <cell r="G931" t="str">
            <v>NO</v>
          </cell>
          <cell r="H931" t="str">
            <v>BOX PSIQUIATRÍA ADULTO</v>
          </cell>
          <cell r="I931">
            <v>1</v>
          </cell>
          <cell r="J931" t="str">
            <v>C.2.5.2.9.2</v>
          </cell>
          <cell r="K931" t="str">
            <v>Psiquiatría</v>
          </cell>
          <cell r="L931">
            <v>2</v>
          </cell>
          <cell r="M931">
            <v>46015</v>
          </cell>
          <cell r="N931">
            <v>46017</v>
          </cell>
          <cell r="O931">
            <v>5</v>
          </cell>
          <cell r="P931">
            <v>46024</v>
          </cell>
          <cell r="Q931">
            <v>5</v>
          </cell>
          <cell r="R931" t="str">
            <v>NA</v>
          </cell>
          <cell r="S931">
            <v>5</v>
          </cell>
        </row>
        <row r="932">
          <cell r="B932" t="str">
            <v>MNC</v>
          </cell>
          <cell r="C932" t="str">
            <v>HSLB14279</v>
          </cell>
          <cell r="D932">
            <v>204006</v>
          </cell>
          <cell r="E932" t="str">
            <v>Silla Ergonómica</v>
          </cell>
          <cell r="F932" t="str">
            <v>NO</v>
          </cell>
          <cell r="G932" t="str">
            <v>NO</v>
          </cell>
          <cell r="H932" t="str">
            <v>BOX PSIQUIATRÍA ADULTO</v>
          </cell>
          <cell r="I932">
            <v>1</v>
          </cell>
          <cell r="J932" t="str">
            <v>C.2.5.2.9.2</v>
          </cell>
          <cell r="K932" t="str">
            <v>Psiquiatría</v>
          </cell>
          <cell r="L932">
            <v>2</v>
          </cell>
          <cell r="M932">
            <v>46015</v>
          </cell>
          <cell r="N932">
            <v>46017</v>
          </cell>
          <cell r="O932">
            <v>1</v>
          </cell>
          <cell r="P932">
            <v>46020</v>
          </cell>
          <cell r="Q932">
            <v>5</v>
          </cell>
          <cell r="R932" t="str">
            <v>NA</v>
          </cell>
          <cell r="S932">
            <v>5</v>
          </cell>
        </row>
        <row r="933">
          <cell r="B933" t="str">
            <v>MNC</v>
          </cell>
          <cell r="C933" t="str">
            <v>HSLB14722</v>
          </cell>
          <cell r="D933">
            <v>204012</v>
          </cell>
          <cell r="E933" t="str">
            <v>Silla Visita</v>
          </cell>
          <cell r="F933" t="str">
            <v>NO</v>
          </cell>
          <cell r="G933" t="str">
            <v>NO</v>
          </cell>
          <cell r="H933" t="str">
            <v>BOX PSIQUIATRÍA ADULTO</v>
          </cell>
          <cell r="I933">
            <v>2</v>
          </cell>
          <cell r="J933" t="str">
            <v>C.2.5.2.9.2</v>
          </cell>
          <cell r="K933" t="str">
            <v>Psiquiatría</v>
          </cell>
          <cell r="L933">
            <v>2</v>
          </cell>
          <cell r="M933">
            <v>46015</v>
          </cell>
          <cell r="N933">
            <v>46017</v>
          </cell>
          <cell r="O933">
            <v>1</v>
          </cell>
          <cell r="P933">
            <v>46020</v>
          </cell>
          <cell r="Q933">
            <v>5</v>
          </cell>
          <cell r="R933" t="str">
            <v>NA</v>
          </cell>
          <cell r="S933">
            <v>5</v>
          </cell>
        </row>
        <row r="934">
          <cell r="B934" t="str">
            <v>MNC</v>
          </cell>
          <cell r="C934" t="str">
            <v>HSLB14967</v>
          </cell>
          <cell r="D934">
            <v>204013</v>
          </cell>
          <cell r="E934" t="str">
            <v>Sillón 1 Cuerpo</v>
          </cell>
          <cell r="F934" t="str">
            <v>NO</v>
          </cell>
          <cell r="G934" t="str">
            <v>NO</v>
          </cell>
          <cell r="H934" t="str">
            <v>SALA DE ENTREVISTA PACIENTES (CÁMARA)</v>
          </cell>
          <cell r="I934">
            <v>2</v>
          </cell>
          <cell r="J934" t="str">
            <v>C.2.5.3.14</v>
          </cell>
          <cell r="K934" t="str">
            <v>Hospital de día</v>
          </cell>
          <cell r="L934">
            <v>2</v>
          </cell>
          <cell r="M934">
            <v>46003</v>
          </cell>
          <cell r="N934">
            <v>46006</v>
          </cell>
          <cell r="O934">
            <v>2</v>
          </cell>
          <cell r="P934">
            <v>46008</v>
          </cell>
          <cell r="Q934">
            <v>5</v>
          </cell>
          <cell r="R934" t="str">
            <v>NA</v>
          </cell>
          <cell r="S934">
            <v>5</v>
          </cell>
        </row>
        <row r="935">
          <cell r="B935" t="str">
            <v>MNC</v>
          </cell>
          <cell r="C935" t="str">
            <v>HSLB14988</v>
          </cell>
          <cell r="D935">
            <v>204014</v>
          </cell>
          <cell r="E935" t="str">
            <v>Sillón 2 Cuerpo</v>
          </cell>
          <cell r="F935" t="str">
            <v>NO</v>
          </cell>
          <cell r="G935" t="str">
            <v>NO</v>
          </cell>
          <cell r="H935" t="str">
            <v>SALA DE ENTREVISTA PACIENTES (CÁMARA)</v>
          </cell>
          <cell r="I935">
            <v>1</v>
          </cell>
          <cell r="J935" t="str">
            <v>C.2.5.3.14</v>
          </cell>
          <cell r="K935" t="str">
            <v>Hospital de día</v>
          </cell>
          <cell r="L935">
            <v>2</v>
          </cell>
          <cell r="M935">
            <v>46003</v>
          </cell>
          <cell r="N935">
            <v>46006</v>
          </cell>
          <cell r="O935">
            <v>2</v>
          </cell>
          <cell r="P935">
            <v>46008</v>
          </cell>
          <cell r="Q935">
            <v>5</v>
          </cell>
          <cell r="R935" t="str">
            <v>NA</v>
          </cell>
          <cell r="S935">
            <v>5</v>
          </cell>
        </row>
        <row r="936">
          <cell r="B936" t="str">
            <v>MNC</v>
          </cell>
          <cell r="C936" t="str">
            <v>HSLB13113</v>
          </cell>
          <cell r="D936">
            <v>201001</v>
          </cell>
          <cell r="E936" t="str">
            <v>Estación de Trabajo</v>
          </cell>
          <cell r="F936" t="str">
            <v>NO</v>
          </cell>
          <cell r="G936" t="str">
            <v>NO</v>
          </cell>
          <cell r="H936" t="str">
            <v>SALA DE SEGUIMIENTO ENTREVISTA (MONITOR)</v>
          </cell>
          <cell r="I936">
            <v>1</v>
          </cell>
          <cell r="J936" t="str">
            <v>C.2.5.3.15</v>
          </cell>
          <cell r="K936" t="str">
            <v>Hospital de día</v>
          </cell>
          <cell r="L936">
            <v>2</v>
          </cell>
          <cell r="M936">
            <v>46003</v>
          </cell>
          <cell r="N936">
            <v>46006</v>
          </cell>
          <cell r="O936">
            <v>5</v>
          </cell>
          <cell r="P936">
            <v>46014</v>
          </cell>
          <cell r="Q936">
            <v>5</v>
          </cell>
          <cell r="R936" t="str">
            <v>NA</v>
          </cell>
          <cell r="S936">
            <v>5</v>
          </cell>
        </row>
        <row r="937">
          <cell r="B937" t="str">
            <v>MNC</v>
          </cell>
          <cell r="C937" t="str">
            <v>HSLB14284</v>
          </cell>
          <cell r="D937">
            <v>204006</v>
          </cell>
          <cell r="E937" t="str">
            <v>Silla Ergonómica</v>
          </cell>
          <cell r="F937" t="str">
            <v>NO</v>
          </cell>
          <cell r="G937" t="str">
            <v>NO</v>
          </cell>
          <cell r="H937" t="str">
            <v>SALA DE SEGUIMIENTO ENTREVISTA (MONITOR)</v>
          </cell>
          <cell r="I937">
            <v>1</v>
          </cell>
          <cell r="J937" t="str">
            <v>C.2.5.3.15</v>
          </cell>
          <cell r="K937" t="str">
            <v>Hospital de día</v>
          </cell>
          <cell r="L937">
            <v>2</v>
          </cell>
          <cell r="M937">
            <v>46003</v>
          </cell>
          <cell r="N937">
            <v>46006</v>
          </cell>
          <cell r="O937">
            <v>2</v>
          </cell>
          <cell r="P937">
            <v>46009</v>
          </cell>
          <cell r="Q937">
            <v>5</v>
          </cell>
          <cell r="R937" t="str">
            <v>NA</v>
          </cell>
          <cell r="S937">
            <v>5</v>
          </cell>
        </row>
        <row r="938">
          <cell r="B938" t="str">
            <v>MNC</v>
          </cell>
          <cell r="C938" t="str">
            <v>HSLB14624</v>
          </cell>
          <cell r="D938">
            <v>204011</v>
          </cell>
          <cell r="E938" t="str">
            <v>Silla Tipo Universitaria</v>
          </cell>
          <cell r="F938" t="str">
            <v>NO</v>
          </cell>
          <cell r="G938" t="str">
            <v>NO</v>
          </cell>
          <cell r="H938" t="str">
            <v>SALA DE SEGUIMIENTO ENTREVISTA (MONITOR)</v>
          </cell>
          <cell r="I938">
            <v>4</v>
          </cell>
          <cell r="J938" t="str">
            <v>C.2.5.3.15</v>
          </cell>
          <cell r="K938" t="str">
            <v>Hospital de día</v>
          </cell>
          <cell r="L938">
            <v>2</v>
          </cell>
          <cell r="M938">
            <v>46003</v>
          </cell>
          <cell r="N938">
            <v>46006</v>
          </cell>
          <cell r="O938">
            <v>2</v>
          </cell>
          <cell r="P938">
            <v>46009</v>
          </cell>
          <cell r="Q938">
            <v>5</v>
          </cell>
          <cell r="R938" t="str">
            <v>NA</v>
          </cell>
          <cell r="S938">
            <v>5</v>
          </cell>
        </row>
        <row r="939">
          <cell r="B939" t="str">
            <v>MNC</v>
          </cell>
          <cell r="C939" t="str">
            <v>HSLB14291</v>
          </cell>
          <cell r="D939">
            <v>204006</v>
          </cell>
          <cell r="E939" t="str">
            <v>Silla Ergonómica</v>
          </cell>
          <cell r="F939" t="str">
            <v>NO</v>
          </cell>
          <cell r="G939" t="str">
            <v>NO</v>
          </cell>
          <cell r="H939" t="str">
            <v>SECRETARIA C/ARCHIVO, FOTOCOP.</v>
          </cell>
          <cell r="I939">
            <v>1</v>
          </cell>
          <cell r="J939" t="str">
            <v>C.2.5.4.1</v>
          </cell>
          <cell r="K939" t="str">
            <v>Hospital de día</v>
          </cell>
          <cell r="L939">
            <v>2</v>
          </cell>
          <cell r="M939">
            <v>46003</v>
          </cell>
          <cell r="N939">
            <v>46006</v>
          </cell>
          <cell r="O939">
            <v>2</v>
          </cell>
          <cell r="P939">
            <v>46009</v>
          </cell>
          <cell r="Q939">
            <v>5</v>
          </cell>
          <cell r="R939" t="str">
            <v>NA</v>
          </cell>
          <cell r="S939">
            <v>5</v>
          </cell>
        </row>
        <row r="940">
          <cell r="B940" t="str">
            <v>MNC</v>
          </cell>
          <cell r="C940" t="str">
            <v>HSLB13119</v>
          </cell>
          <cell r="D940">
            <v>201001</v>
          </cell>
          <cell r="E940" t="str">
            <v>Estación de Trabajo</v>
          </cell>
          <cell r="F940" t="str">
            <v>NO</v>
          </cell>
          <cell r="G940" t="str">
            <v>NO</v>
          </cell>
          <cell r="H940" t="str">
            <v xml:space="preserve">BOX ATENCIÓN </v>
          </cell>
          <cell r="I940">
            <v>1</v>
          </cell>
          <cell r="J940" t="str">
            <v>C.2.5.4.10</v>
          </cell>
          <cell r="K940" t="str">
            <v>Hospital de día</v>
          </cell>
          <cell r="L940">
            <v>2</v>
          </cell>
          <cell r="M940">
            <v>46003</v>
          </cell>
          <cell r="N940">
            <v>46006</v>
          </cell>
          <cell r="O940">
            <v>5</v>
          </cell>
          <cell r="P940">
            <v>46013</v>
          </cell>
          <cell r="Q940">
            <v>5</v>
          </cell>
          <cell r="R940" t="str">
            <v>NA</v>
          </cell>
          <cell r="S940">
            <v>5</v>
          </cell>
        </row>
        <row r="941">
          <cell r="B941" t="str">
            <v>MNC</v>
          </cell>
          <cell r="C941" t="str">
            <v>HSLB14292</v>
          </cell>
          <cell r="D941">
            <v>204006</v>
          </cell>
          <cell r="E941" t="str">
            <v>Silla Ergonómica</v>
          </cell>
          <cell r="F941" t="str">
            <v>NO</v>
          </cell>
          <cell r="G941" t="str">
            <v>NO</v>
          </cell>
          <cell r="H941" t="str">
            <v xml:space="preserve">BOX ATENCIÓN </v>
          </cell>
          <cell r="I941">
            <v>1</v>
          </cell>
          <cell r="J941" t="str">
            <v>C.2.5.4.10</v>
          </cell>
          <cell r="K941" t="str">
            <v>Hospital de día</v>
          </cell>
          <cell r="L941">
            <v>2</v>
          </cell>
          <cell r="M941">
            <v>46003</v>
          </cell>
          <cell r="N941">
            <v>46006</v>
          </cell>
          <cell r="O941">
            <v>2</v>
          </cell>
          <cell r="P941">
            <v>46009</v>
          </cell>
          <cell r="Q941">
            <v>5</v>
          </cell>
          <cell r="R941" t="str">
            <v>NA</v>
          </cell>
          <cell r="S941">
            <v>5</v>
          </cell>
        </row>
        <row r="942">
          <cell r="B942" t="str">
            <v>MNC</v>
          </cell>
          <cell r="C942" t="str">
            <v>HSLB14738</v>
          </cell>
          <cell r="D942">
            <v>204012</v>
          </cell>
          <cell r="E942" t="str">
            <v>Silla Visita</v>
          </cell>
          <cell r="F942" t="str">
            <v>NO</v>
          </cell>
          <cell r="G942" t="str">
            <v>NO</v>
          </cell>
          <cell r="H942" t="str">
            <v xml:space="preserve">BOX ATENCIÓN </v>
          </cell>
          <cell r="I942">
            <v>2</v>
          </cell>
          <cell r="J942" t="str">
            <v>C.2.5.4.10</v>
          </cell>
          <cell r="K942" t="str">
            <v>Hospital de día</v>
          </cell>
          <cell r="L942">
            <v>2</v>
          </cell>
          <cell r="M942">
            <v>46003</v>
          </cell>
          <cell r="N942">
            <v>46006</v>
          </cell>
          <cell r="O942">
            <v>2</v>
          </cell>
          <cell r="P942">
            <v>46009</v>
          </cell>
          <cell r="Q942">
            <v>5</v>
          </cell>
          <cell r="R942" t="str">
            <v>NA</v>
          </cell>
          <cell r="S942">
            <v>5</v>
          </cell>
        </row>
        <row r="943">
          <cell r="B943" t="str">
            <v>MNC</v>
          </cell>
          <cell r="C943" t="str">
            <v>HSLB13120</v>
          </cell>
          <cell r="D943">
            <v>201001</v>
          </cell>
          <cell r="E943" t="str">
            <v>Estación de Trabajo</v>
          </cell>
          <cell r="F943" t="str">
            <v>NO</v>
          </cell>
          <cell r="G943" t="str">
            <v>NO</v>
          </cell>
          <cell r="H943" t="str">
            <v xml:space="preserve">BOX 2 MULTIPROPOSITO </v>
          </cell>
          <cell r="I943">
            <v>1</v>
          </cell>
          <cell r="J943" t="str">
            <v>C.2.5.4.11.1</v>
          </cell>
          <cell r="K943" t="str">
            <v>Hospital de día</v>
          </cell>
          <cell r="L943">
            <v>2</v>
          </cell>
          <cell r="M943">
            <v>46003</v>
          </cell>
          <cell r="N943">
            <v>46006</v>
          </cell>
          <cell r="O943">
            <v>5</v>
          </cell>
          <cell r="P943">
            <v>46014</v>
          </cell>
          <cell r="Q943">
            <v>5</v>
          </cell>
          <cell r="R943" t="str">
            <v>NA</v>
          </cell>
          <cell r="S943">
            <v>5</v>
          </cell>
        </row>
        <row r="944">
          <cell r="B944" t="str">
            <v>MNC</v>
          </cell>
          <cell r="C944" t="str">
            <v>HSLB14293</v>
          </cell>
          <cell r="D944">
            <v>204006</v>
          </cell>
          <cell r="E944" t="str">
            <v>Silla Ergonómica</v>
          </cell>
          <cell r="F944" t="str">
            <v>NO</v>
          </cell>
          <cell r="G944" t="str">
            <v>NO</v>
          </cell>
          <cell r="H944" t="str">
            <v xml:space="preserve">BOX 2 MULTIPROPOSITO </v>
          </cell>
          <cell r="I944">
            <v>1</v>
          </cell>
          <cell r="J944" t="str">
            <v>C.2.5.4.11.1</v>
          </cell>
          <cell r="K944" t="str">
            <v>Hospital de día</v>
          </cell>
          <cell r="L944">
            <v>2</v>
          </cell>
          <cell r="M944">
            <v>46003</v>
          </cell>
          <cell r="N944">
            <v>46006</v>
          </cell>
          <cell r="O944">
            <v>2</v>
          </cell>
          <cell r="P944">
            <v>46009</v>
          </cell>
          <cell r="Q944">
            <v>5</v>
          </cell>
          <cell r="R944" t="str">
            <v>NA</v>
          </cell>
          <cell r="S944">
            <v>5</v>
          </cell>
        </row>
        <row r="945">
          <cell r="B945" t="str">
            <v>MNC</v>
          </cell>
          <cell r="C945" t="str">
            <v>HSLB14739</v>
          </cell>
          <cell r="D945">
            <v>204012</v>
          </cell>
          <cell r="E945" t="str">
            <v>Silla Visita</v>
          </cell>
          <cell r="F945" t="str">
            <v>NO</v>
          </cell>
          <cell r="G945" t="str">
            <v>NO</v>
          </cell>
          <cell r="H945" t="str">
            <v xml:space="preserve">BOX 2 MULTIPROPOSITO </v>
          </cell>
          <cell r="I945">
            <v>2</v>
          </cell>
          <cell r="J945" t="str">
            <v>C.2.5.4.11.1</v>
          </cell>
          <cell r="K945" t="str">
            <v>Hospital de día</v>
          </cell>
          <cell r="L945">
            <v>2</v>
          </cell>
          <cell r="M945">
            <v>46003</v>
          </cell>
          <cell r="N945">
            <v>46006</v>
          </cell>
          <cell r="O945">
            <v>2</v>
          </cell>
          <cell r="P945">
            <v>46009</v>
          </cell>
          <cell r="Q945">
            <v>5</v>
          </cell>
          <cell r="R945" t="str">
            <v>NA</v>
          </cell>
          <cell r="S945">
            <v>5</v>
          </cell>
        </row>
        <row r="946">
          <cell r="B946" t="str">
            <v>MNC</v>
          </cell>
          <cell r="C946" t="str">
            <v>HSLB13121</v>
          </cell>
          <cell r="D946">
            <v>201001</v>
          </cell>
          <cell r="E946" t="str">
            <v>Estación de Trabajo</v>
          </cell>
          <cell r="F946" t="str">
            <v>NO</v>
          </cell>
          <cell r="G946" t="str">
            <v>NO</v>
          </cell>
          <cell r="H946" t="str">
            <v xml:space="preserve">BOX 2 MULTIPROPOSITO </v>
          </cell>
          <cell r="I946">
            <v>1</v>
          </cell>
          <cell r="J946" t="str">
            <v>C.2.5.4.11.2</v>
          </cell>
          <cell r="K946" t="str">
            <v>Hospital de día</v>
          </cell>
          <cell r="L946">
            <v>2</v>
          </cell>
          <cell r="M946">
            <v>46003</v>
          </cell>
          <cell r="N946">
            <v>46006</v>
          </cell>
          <cell r="O946">
            <v>5</v>
          </cell>
          <cell r="P946">
            <v>46013</v>
          </cell>
          <cell r="Q946">
            <v>5</v>
          </cell>
          <cell r="R946" t="str">
            <v>NA</v>
          </cell>
          <cell r="S946">
            <v>5</v>
          </cell>
        </row>
        <row r="947">
          <cell r="B947" t="str">
            <v>MNC</v>
          </cell>
          <cell r="C947" t="str">
            <v>HSLB14294</v>
          </cell>
          <cell r="D947">
            <v>204006</v>
          </cell>
          <cell r="E947" t="str">
            <v>Silla Ergonómica</v>
          </cell>
          <cell r="F947" t="str">
            <v>NO</v>
          </cell>
          <cell r="G947" t="str">
            <v>NO</v>
          </cell>
          <cell r="H947" t="str">
            <v xml:space="preserve">BOX 2 MULTIPROPOSITO </v>
          </cell>
          <cell r="I947">
            <v>1</v>
          </cell>
          <cell r="J947" t="str">
            <v>C.2.5.4.11.2</v>
          </cell>
          <cell r="K947" t="str">
            <v>Hospital de día</v>
          </cell>
          <cell r="L947">
            <v>2</v>
          </cell>
          <cell r="M947">
            <v>46003</v>
          </cell>
          <cell r="N947">
            <v>46006</v>
          </cell>
          <cell r="O947">
            <v>2</v>
          </cell>
          <cell r="P947">
            <v>46008</v>
          </cell>
          <cell r="Q947">
            <v>5</v>
          </cell>
          <cell r="R947" t="str">
            <v>NA</v>
          </cell>
          <cell r="S947">
            <v>5</v>
          </cell>
        </row>
        <row r="948">
          <cell r="B948" t="str">
            <v>MNC</v>
          </cell>
          <cell r="C948" t="str">
            <v>HSLB14740</v>
          </cell>
          <cell r="D948">
            <v>204012</v>
          </cell>
          <cell r="E948" t="str">
            <v>Silla Visita</v>
          </cell>
          <cell r="F948" t="str">
            <v>NO</v>
          </cell>
          <cell r="G948" t="str">
            <v>NO</v>
          </cell>
          <cell r="H948" t="str">
            <v xml:space="preserve">BOX 2 MULTIPROPOSITO </v>
          </cell>
          <cell r="I948">
            <v>2</v>
          </cell>
          <cell r="J948" t="str">
            <v>C.2.5.4.11.2</v>
          </cell>
          <cell r="K948" t="str">
            <v>Hospital de día</v>
          </cell>
          <cell r="L948">
            <v>2</v>
          </cell>
          <cell r="M948">
            <v>46003</v>
          </cell>
          <cell r="N948">
            <v>46006</v>
          </cell>
          <cell r="O948">
            <v>2</v>
          </cell>
          <cell r="P948">
            <v>46008</v>
          </cell>
          <cell r="Q948">
            <v>5</v>
          </cell>
          <cell r="R948" t="str">
            <v>NA</v>
          </cell>
          <cell r="S948">
            <v>5</v>
          </cell>
        </row>
        <row r="949">
          <cell r="B949" t="str">
            <v>MNC</v>
          </cell>
          <cell r="C949" t="str">
            <v>HSLB13122</v>
          </cell>
          <cell r="D949">
            <v>201001</v>
          </cell>
          <cell r="E949" t="str">
            <v>Estación de Trabajo</v>
          </cell>
          <cell r="F949" t="str">
            <v>NO</v>
          </cell>
          <cell r="G949" t="str">
            <v>NO</v>
          </cell>
          <cell r="H949" t="str">
            <v>SALA DE ENTREVISTAS</v>
          </cell>
          <cell r="I949">
            <v>1</v>
          </cell>
          <cell r="J949" t="str">
            <v>C.2.5.4.12</v>
          </cell>
          <cell r="K949" t="str">
            <v>Hospital de día</v>
          </cell>
          <cell r="L949">
            <v>2</v>
          </cell>
          <cell r="M949">
            <v>46003</v>
          </cell>
          <cell r="N949">
            <v>46006</v>
          </cell>
          <cell r="O949">
            <v>5</v>
          </cell>
          <cell r="P949">
            <v>46014</v>
          </cell>
          <cell r="Q949">
            <v>5</v>
          </cell>
          <cell r="R949" t="str">
            <v>NA</v>
          </cell>
          <cell r="S949">
            <v>5</v>
          </cell>
        </row>
        <row r="950">
          <cell r="B950" t="str">
            <v>MNC</v>
          </cell>
          <cell r="C950" t="str">
            <v>HSLB13337</v>
          </cell>
          <cell r="D950">
            <v>201008</v>
          </cell>
          <cell r="E950" t="str">
            <v>Mesa Reuniones Tipo I</v>
          </cell>
          <cell r="F950" t="str">
            <v>NO</v>
          </cell>
          <cell r="G950" t="str">
            <v>NO</v>
          </cell>
          <cell r="H950" t="str">
            <v>SALA DE ENTREVISTAS</v>
          </cell>
          <cell r="I950">
            <v>1</v>
          </cell>
          <cell r="J950" t="str">
            <v>C.2.5.4.12</v>
          </cell>
          <cell r="K950" t="str">
            <v>Hospital de día</v>
          </cell>
          <cell r="L950">
            <v>2</v>
          </cell>
          <cell r="M950">
            <v>46003</v>
          </cell>
          <cell r="N950">
            <v>46006</v>
          </cell>
          <cell r="P950">
            <v>46006</v>
          </cell>
          <cell r="Q950">
            <v>5</v>
          </cell>
          <cell r="R950" t="str">
            <v>NA</v>
          </cell>
          <cell r="S950">
            <v>5</v>
          </cell>
        </row>
        <row r="951">
          <cell r="B951" t="str">
            <v>MNC</v>
          </cell>
          <cell r="C951" t="str">
            <v>HSLB14295</v>
          </cell>
          <cell r="D951">
            <v>204006</v>
          </cell>
          <cell r="E951" t="str">
            <v>Silla Ergonómica</v>
          </cell>
          <cell r="F951" t="str">
            <v>NO</v>
          </cell>
          <cell r="G951" t="str">
            <v>NO</v>
          </cell>
          <cell r="H951" t="str">
            <v>SALA DE ENTREVISTAS</v>
          </cell>
          <cell r="I951">
            <v>1</v>
          </cell>
          <cell r="J951" t="str">
            <v>C.2.5.4.12</v>
          </cell>
          <cell r="K951" t="str">
            <v>Hospital de día</v>
          </cell>
          <cell r="L951">
            <v>2</v>
          </cell>
          <cell r="M951">
            <v>46003</v>
          </cell>
          <cell r="N951">
            <v>46006</v>
          </cell>
          <cell r="O951">
            <v>2</v>
          </cell>
          <cell r="P951">
            <v>46008</v>
          </cell>
          <cell r="Q951">
            <v>5</v>
          </cell>
          <cell r="R951" t="str">
            <v>NA</v>
          </cell>
          <cell r="S951">
            <v>5</v>
          </cell>
        </row>
        <row r="952">
          <cell r="B952" t="str">
            <v>MNC</v>
          </cell>
          <cell r="C952" t="str">
            <v>HSLB14741</v>
          </cell>
          <cell r="D952">
            <v>204012</v>
          </cell>
          <cell r="E952" t="str">
            <v>Silla Visita</v>
          </cell>
          <cell r="F952" t="str">
            <v>NO</v>
          </cell>
          <cell r="G952" t="str">
            <v>NO</v>
          </cell>
          <cell r="H952" t="str">
            <v>SALA DE ENTREVISTAS</v>
          </cell>
          <cell r="I952">
            <v>6</v>
          </cell>
          <cell r="J952" t="str">
            <v>C.2.5.4.12</v>
          </cell>
          <cell r="K952" t="str">
            <v>Hospital de día</v>
          </cell>
          <cell r="L952">
            <v>2</v>
          </cell>
          <cell r="M952">
            <v>46003</v>
          </cell>
          <cell r="N952">
            <v>46006</v>
          </cell>
          <cell r="O952">
            <v>2</v>
          </cell>
          <cell r="P952">
            <v>46008</v>
          </cell>
          <cell r="Q952">
            <v>5</v>
          </cell>
          <cell r="R952" t="str">
            <v>NA</v>
          </cell>
          <cell r="S952">
            <v>5</v>
          </cell>
        </row>
        <row r="953">
          <cell r="B953" t="str">
            <v>MNC</v>
          </cell>
          <cell r="C953" t="str">
            <v>HSLB15269</v>
          </cell>
          <cell r="D953">
            <v>204012</v>
          </cell>
          <cell r="E953" t="str">
            <v>Silla Visita</v>
          </cell>
          <cell r="F953" t="str">
            <v>NO</v>
          </cell>
          <cell r="G953" t="str">
            <v>NO</v>
          </cell>
          <cell r="H953" t="str">
            <v>SALA DE PROCEDIMIENTO</v>
          </cell>
          <cell r="I953">
            <v>1</v>
          </cell>
          <cell r="J953" t="str">
            <v>C.2.5.4.13</v>
          </cell>
          <cell r="K953" t="str">
            <v>Hospital de día</v>
          </cell>
          <cell r="L953">
            <v>2</v>
          </cell>
          <cell r="M953">
            <v>46003</v>
          </cell>
          <cell r="N953">
            <v>46006</v>
          </cell>
          <cell r="O953">
            <v>2</v>
          </cell>
          <cell r="P953">
            <v>46008</v>
          </cell>
          <cell r="Q953">
            <v>5</v>
          </cell>
          <cell r="R953" t="str">
            <v>NA</v>
          </cell>
          <cell r="S953">
            <v>5</v>
          </cell>
        </row>
        <row r="954">
          <cell r="B954" t="str">
            <v>MNC</v>
          </cell>
          <cell r="C954" t="str">
            <v>HSLB15270</v>
          </cell>
          <cell r="D954">
            <v>201001</v>
          </cell>
          <cell r="E954" t="str">
            <v>Estación de Trabajo</v>
          </cell>
          <cell r="F954" t="str">
            <v>NO</v>
          </cell>
          <cell r="G954" t="str">
            <v>NO</v>
          </cell>
          <cell r="H954" t="str">
            <v>SALA DE PROCEDIMIENTO</v>
          </cell>
          <cell r="I954">
            <v>1</v>
          </cell>
          <cell r="J954" t="str">
            <v>C.2.5.4.13</v>
          </cell>
          <cell r="K954" t="str">
            <v>Hospital de día</v>
          </cell>
          <cell r="L954">
            <v>2</v>
          </cell>
          <cell r="M954">
            <v>46003</v>
          </cell>
          <cell r="N954">
            <v>46006</v>
          </cell>
          <cell r="O954">
            <v>5</v>
          </cell>
          <cell r="P954">
            <v>46014</v>
          </cell>
          <cell r="Q954">
            <v>5</v>
          </cell>
          <cell r="R954" t="str">
            <v>NA</v>
          </cell>
          <cell r="S954">
            <v>5</v>
          </cell>
        </row>
        <row r="955">
          <cell r="B955" t="str">
            <v>MNC</v>
          </cell>
          <cell r="C955" t="str">
            <v>HSLB13123</v>
          </cell>
          <cell r="D955">
            <v>201001</v>
          </cell>
          <cell r="E955" t="str">
            <v>Estación de Trabajo</v>
          </cell>
          <cell r="F955" t="str">
            <v>NO</v>
          </cell>
          <cell r="G955" t="str">
            <v>NO</v>
          </cell>
          <cell r="H955" t="str">
            <v>SALA ESTIMULACIÓN COGNITIVA</v>
          </cell>
          <cell r="I955">
            <v>1</v>
          </cell>
          <cell r="J955" t="str">
            <v>C.2.5.4.14</v>
          </cell>
          <cell r="K955" t="str">
            <v>Hospital de día</v>
          </cell>
          <cell r="L955">
            <v>2</v>
          </cell>
          <cell r="M955">
            <v>46003</v>
          </cell>
          <cell r="N955">
            <v>46006</v>
          </cell>
          <cell r="O955">
            <v>5</v>
          </cell>
          <cell r="P955">
            <v>46013</v>
          </cell>
          <cell r="Q955">
            <v>5</v>
          </cell>
          <cell r="R955" t="str">
            <v>NA</v>
          </cell>
          <cell r="S955">
            <v>5</v>
          </cell>
        </row>
        <row r="956">
          <cell r="B956" t="str">
            <v>MNC</v>
          </cell>
          <cell r="C956" t="str">
            <v>HSLB13338</v>
          </cell>
          <cell r="D956">
            <v>201008</v>
          </cell>
          <cell r="E956" t="str">
            <v>Mesa Reuniones Tipo I</v>
          </cell>
          <cell r="F956" t="str">
            <v>NO</v>
          </cell>
          <cell r="G956" t="str">
            <v>NO</v>
          </cell>
          <cell r="H956" t="str">
            <v>SALA ESTIMULACIÓN COGNITIVA</v>
          </cell>
          <cell r="I956">
            <v>1</v>
          </cell>
          <cell r="J956" t="str">
            <v>C.2.5.4.14</v>
          </cell>
          <cell r="K956" t="str">
            <v>Hospital de día</v>
          </cell>
          <cell r="L956">
            <v>2</v>
          </cell>
          <cell r="M956">
            <v>46003</v>
          </cell>
          <cell r="N956">
            <v>46006</v>
          </cell>
          <cell r="P956">
            <v>46006</v>
          </cell>
          <cell r="Q956">
            <v>5</v>
          </cell>
          <cell r="R956" t="str">
            <v>NA</v>
          </cell>
          <cell r="S956">
            <v>5</v>
          </cell>
        </row>
        <row r="957">
          <cell r="B957" t="str">
            <v>MNC</v>
          </cell>
          <cell r="C957" t="str">
            <v>HSLB14296</v>
          </cell>
          <cell r="D957">
            <v>204006</v>
          </cell>
          <cell r="E957" t="str">
            <v>Silla Ergonómica</v>
          </cell>
          <cell r="F957" t="str">
            <v>NO</v>
          </cell>
          <cell r="G957" t="str">
            <v>NO</v>
          </cell>
          <cell r="H957" t="str">
            <v>SALA ESTIMULACIÓN COGNITIVA</v>
          </cell>
          <cell r="I957">
            <v>1</v>
          </cell>
          <cell r="J957" t="str">
            <v>C.2.5.4.14</v>
          </cell>
          <cell r="K957" t="str">
            <v>Hospital de día</v>
          </cell>
          <cell r="L957">
            <v>2</v>
          </cell>
          <cell r="M957">
            <v>46003</v>
          </cell>
          <cell r="N957">
            <v>46006</v>
          </cell>
          <cell r="O957">
            <v>2</v>
          </cell>
          <cell r="P957">
            <v>46009</v>
          </cell>
          <cell r="Q957">
            <v>5</v>
          </cell>
          <cell r="R957" t="str">
            <v>NA</v>
          </cell>
          <cell r="S957">
            <v>5</v>
          </cell>
        </row>
        <row r="958">
          <cell r="B958" t="str">
            <v>MNC</v>
          </cell>
          <cell r="C958" t="str">
            <v>HSLB14742</v>
          </cell>
          <cell r="D958">
            <v>204012</v>
          </cell>
          <cell r="E958" t="str">
            <v>Silla Visita</v>
          </cell>
          <cell r="F958" t="str">
            <v>NO</v>
          </cell>
          <cell r="G958" t="str">
            <v>NO</v>
          </cell>
          <cell r="H958" t="str">
            <v>SALA ESTIMULACIÓN COGNITIVA</v>
          </cell>
          <cell r="I958">
            <v>4</v>
          </cell>
          <cell r="J958" t="str">
            <v>C.2.5.4.14</v>
          </cell>
          <cell r="K958" t="str">
            <v>Hospital de día</v>
          </cell>
          <cell r="L958">
            <v>2</v>
          </cell>
          <cell r="M958">
            <v>46003</v>
          </cell>
          <cell r="N958">
            <v>46006</v>
          </cell>
          <cell r="O958">
            <v>2</v>
          </cell>
          <cell r="P958">
            <v>46009</v>
          </cell>
          <cell r="Q958">
            <v>5</v>
          </cell>
          <cell r="R958" t="str">
            <v>NA</v>
          </cell>
          <cell r="S958">
            <v>5</v>
          </cell>
        </row>
        <row r="959">
          <cell r="B959" t="str">
            <v>MNC</v>
          </cell>
          <cell r="C959" t="str">
            <v>HSLB13316</v>
          </cell>
          <cell r="D959">
            <v>201007</v>
          </cell>
          <cell r="E959" t="str">
            <v>Mesa Reuniones Plegable</v>
          </cell>
          <cell r="F959" t="str">
            <v>NO</v>
          </cell>
          <cell r="G959" t="str">
            <v>NO</v>
          </cell>
          <cell r="H959" t="str">
            <v>SALA MULTIUSO</v>
          </cell>
          <cell r="I959">
            <v>1</v>
          </cell>
          <cell r="J959" t="str">
            <v>C.2.5.4.15.1</v>
          </cell>
          <cell r="K959" t="str">
            <v>Hospital de día</v>
          </cell>
          <cell r="L959">
            <v>2</v>
          </cell>
          <cell r="M959">
            <v>46003</v>
          </cell>
          <cell r="N959">
            <v>46006</v>
          </cell>
          <cell r="P959">
            <v>46006</v>
          </cell>
          <cell r="Q959">
            <v>5</v>
          </cell>
          <cell r="R959" t="str">
            <v>NA</v>
          </cell>
          <cell r="S959">
            <v>5</v>
          </cell>
        </row>
        <row r="960">
          <cell r="B960" t="str">
            <v>MNC</v>
          </cell>
          <cell r="C960" t="str">
            <v>HSLB14743</v>
          </cell>
          <cell r="D960">
            <v>204012</v>
          </cell>
          <cell r="E960" t="str">
            <v>Silla Visita</v>
          </cell>
          <cell r="F960" t="str">
            <v>NO</v>
          </cell>
          <cell r="G960" t="str">
            <v>NO</v>
          </cell>
          <cell r="H960" t="str">
            <v>SALA MULTIUSO</v>
          </cell>
          <cell r="I960">
            <v>4</v>
          </cell>
          <cell r="J960" t="str">
            <v>C.2.5.4.15.1</v>
          </cell>
          <cell r="K960" t="str">
            <v>Hospital de día</v>
          </cell>
          <cell r="L960">
            <v>2</v>
          </cell>
          <cell r="M960">
            <v>46003</v>
          </cell>
          <cell r="N960">
            <v>46006</v>
          </cell>
          <cell r="O960">
            <v>2</v>
          </cell>
          <cell r="P960">
            <v>46009</v>
          </cell>
          <cell r="Q960">
            <v>5</v>
          </cell>
          <cell r="R960" t="str">
            <v>NA</v>
          </cell>
          <cell r="S960">
            <v>5</v>
          </cell>
        </row>
        <row r="961">
          <cell r="B961" t="str">
            <v>MNC</v>
          </cell>
          <cell r="C961" t="str">
            <v>HSLB13317</v>
          </cell>
          <cell r="D961">
            <v>201007</v>
          </cell>
          <cell r="E961" t="str">
            <v>Mesa Reuniones Plegable</v>
          </cell>
          <cell r="F961" t="str">
            <v>NO</v>
          </cell>
          <cell r="G961" t="str">
            <v>NO</v>
          </cell>
          <cell r="H961" t="str">
            <v>SALA MULTIUSO</v>
          </cell>
          <cell r="I961">
            <v>1</v>
          </cell>
          <cell r="J961" t="str">
            <v>C.2.5.4.15.2</v>
          </cell>
          <cell r="K961" t="str">
            <v>Hospital de día</v>
          </cell>
          <cell r="L961">
            <v>2</v>
          </cell>
          <cell r="M961">
            <v>46003</v>
          </cell>
          <cell r="N961">
            <v>46006</v>
          </cell>
          <cell r="P961">
            <v>46006</v>
          </cell>
          <cell r="Q961">
            <v>5</v>
          </cell>
          <cell r="R961" t="str">
            <v>NA</v>
          </cell>
          <cell r="S961">
            <v>5</v>
          </cell>
        </row>
        <row r="962">
          <cell r="B962" t="str">
            <v>MNC</v>
          </cell>
          <cell r="C962" t="str">
            <v>HSLB14744</v>
          </cell>
          <cell r="D962">
            <v>204012</v>
          </cell>
          <cell r="E962" t="str">
            <v>Silla Visita</v>
          </cell>
          <cell r="F962" t="str">
            <v>NO</v>
          </cell>
          <cell r="G962" t="str">
            <v>NO</v>
          </cell>
          <cell r="H962" t="str">
            <v>SALA MULTIUSO</v>
          </cell>
          <cell r="I962">
            <v>4</v>
          </cell>
          <cell r="J962" t="str">
            <v>C.2.5.4.15.2</v>
          </cell>
          <cell r="K962" t="str">
            <v>Hospital de día</v>
          </cell>
          <cell r="L962">
            <v>2</v>
          </cell>
          <cell r="M962">
            <v>46003</v>
          </cell>
          <cell r="N962">
            <v>46006</v>
          </cell>
          <cell r="O962">
            <v>2</v>
          </cell>
          <cell r="P962">
            <v>46009</v>
          </cell>
          <cell r="Q962">
            <v>5</v>
          </cell>
          <cell r="R962" t="str">
            <v>NA</v>
          </cell>
          <cell r="S962">
            <v>5</v>
          </cell>
        </row>
        <row r="963">
          <cell r="B963" t="str">
            <v>MNC</v>
          </cell>
          <cell r="C963" t="str">
            <v>HSLB14745</v>
          </cell>
          <cell r="D963">
            <v>204012</v>
          </cell>
          <cell r="E963" t="str">
            <v>Silla Visita</v>
          </cell>
          <cell r="F963" t="str">
            <v>NO</v>
          </cell>
          <cell r="G963" t="str">
            <v>NO</v>
          </cell>
          <cell r="H963" t="str">
            <v>TALLER DE COMPUTACIÓN</v>
          </cell>
          <cell r="I963">
            <v>6</v>
          </cell>
          <cell r="J963" t="str">
            <v>C.2.5.4.16</v>
          </cell>
          <cell r="K963" t="str">
            <v>Hospital de día</v>
          </cell>
          <cell r="L963">
            <v>2</v>
          </cell>
          <cell r="M963">
            <v>46003</v>
          </cell>
          <cell r="N963">
            <v>46006</v>
          </cell>
          <cell r="O963">
            <v>2</v>
          </cell>
          <cell r="P963">
            <v>46009</v>
          </cell>
          <cell r="Q963">
            <v>5</v>
          </cell>
          <cell r="R963" t="str">
            <v>NA</v>
          </cell>
          <cell r="S963">
            <v>5</v>
          </cell>
        </row>
        <row r="964">
          <cell r="B964" t="str">
            <v>MNC</v>
          </cell>
          <cell r="C964" t="str">
            <v>HSLB15149</v>
          </cell>
          <cell r="D964">
            <v>201001</v>
          </cell>
          <cell r="E964" t="str">
            <v>Estación de Trabajo</v>
          </cell>
          <cell r="F964" t="str">
            <v>NO</v>
          </cell>
          <cell r="G964" t="str">
            <v>NO</v>
          </cell>
          <cell r="H964" t="str">
            <v>SALA DE PROCEDIMIENTOS CARDIOLÓGICOS</v>
          </cell>
          <cell r="I964">
            <v>6</v>
          </cell>
          <cell r="J964" t="str">
            <v>C.2.5.4.16</v>
          </cell>
          <cell r="K964" t="str">
            <v>Hospital de día</v>
          </cell>
          <cell r="L964">
            <v>2</v>
          </cell>
          <cell r="M964">
            <v>46003</v>
          </cell>
          <cell r="N964">
            <v>46006</v>
          </cell>
          <cell r="O964">
            <v>5</v>
          </cell>
          <cell r="P964">
            <v>46013</v>
          </cell>
          <cell r="Q964">
            <v>5</v>
          </cell>
          <cell r="R964" t="str">
            <v>NA</v>
          </cell>
          <cell r="S964">
            <v>5</v>
          </cell>
        </row>
        <row r="965">
          <cell r="B965" t="str">
            <v>MNC</v>
          </cell>
          <cell r="C965" t="str">
            <v>HSLB13400</v>
          </cell>
          <cell r="D965">
            <v>201011</v>
          </cell>
          <cell r="E965" t="str">
            <v>Mesa Tipo Casino</v>
          </cell>
          <cell r="F965" t="str">
            <v>NO</v>
          </cell>
          <cell r="G965" t="str">
            <v>NO</v>
          </cell>
          <cell r="H965" t="str">
            <v>SALA DE ESTAR /COMEDOR</v>
          </cell>
          <cell r="I965">
            <v>2</v>
          </cell>
          <cell r="J965" t="str">
            <v>C.2.5.4.17</v>
          </cell>
          <cell r="K965" t="str">
            <v>Hospital de día</v>
          </cell>
          <cell r="L965">
            <v>2</v>
          </cell>
          <cell r="M965">
            <v>46003</v>
          </cell>
          <cell r="N965">
            <v>46006</v>
          </cell>
          <cell r="P965">
            <v>46006</v>
          </cell>
          <cell r="Q965">
            <v>5</v>
          </cell>
          <cell r="R965" t="str">
            <v>NA</v>
          </cell>
          <cell r="S965">
            <v>5</v>
          </cell>
        </row>
        <row r="966">
          <cell r="B966" t="str">
            <v>MNC</v>
          </cell>
          <cell r="C966" t="str">
            <v>HSLB14586</v>
          </cell>
          <cell r="D966">
            <v>204010</v>
          </cell>
          <cell r="E966" t="str">
            <v>Silla tipo Casino</v>
          </cell>
          <cell r="F966" t="str">
            <v>NO</v>
          </cell>
          <cell r="G966" t="str">
            <v>NO</v>
          </cell>
          <cell r="H966" t="str">
            <v>SALA DE ESTAR /COMEDOR</v>
          </cell>
          <cell r="I966">
            <v>8</v>
          </cell>
          <cell r="J966" t="str">
            <v>C.2.5.4.17</v>
          </cell>
          <cell r="K966" t="str">
            <v>Hospital de día</v>
          </cell>
          <cell r="L966">
            <v>2</v>
          </cell>
          <cell r="M966">
            <v>46003</v>
          </cell>
          <cell r="N966">
            <v>46006</v>
          </cell>
          <cell r="O966">
            <v>2</v>
          </cell>
          <cell r="P966">
            <v>46008</v>
          </cell>
          <cell r="Q966">
            <v>5</v>
          </cell>
          <cell r="R966" t="str">
            <v>NA</v>
          </cell>
          <cell r="S966">
            <v>5</v>
          </cell>
        </row>
        <row r="967">
          <cell r="B967" t="str">
            <v>MNC</v>
          </cell>
          <cell r="C967" t="str">
            <v>HSLB14969</v>
          </cell>
          <cell r="D967">
            <v>204013</v>
          </cell>
          <cell r="E967" t="str">
            <v>Sillón 1 Cuerpo</v>
          </cell>
          <cell r="F967" t="str">
            <v>NO</v>
          </cell>
          <cell r="G967" t="str">
            <v>NO</v>
          </cell>
          <cell r="H967" t="str">
            <v>SALA DE ESTAR /COMEDOR</v>
          </cell>
          <cell r="I967">
            <v>1</v>
          </cell>
          <cell r="J967" t="str">
            <v>C.2.5.4.17</v>
          </cell>
          <cell r="K967" t="str">
            <v>Hospital de día</v>
          </cell>
          <cell r="L967">
            <v>2</v>
          </cell>
          <cell r="M967">
            <v>46003</v>
          </cell>
          <cell r="N967">
            <v>46006</v>
          </cell>
          <cell r="O967">
            <v>2</v>
          </cell>
          <cell r="P967">
            <v>46008</v>
          </cell>
          <cell r="Q967">
            <v>5</v>
          </cell>
          <cell r="R967" t="str">
            <v>NA</v>
          </cell>
          <cell r="S967">
            <v>5</v>
          </cell>
        </row>
        <row r="968">
          <cell r="B968" t="str">
            <v>MNC</v>
          </cell>
          <cell r="C968" t="str">
            <v>HSLB14992</v>
          </cell>
          <cell r="D968">
            <v>204014</v>
          </cell>
          <cell r="E968" t="str">
            <v>Sillón 2 Cuerpo</v>
          </cell>
          <cell r="F968" t="str">
            <v>NO</v>
          </cell>
          <cell r="G968" t="str">
            <v>NO</v>
          </cell>
          <cell r="H968" t="str">
            <v>SALA DE ESTAR /COMEDOR</v>
          </cell>
          <cell r="I968">
            <v>2</v>
          </cell>
          <cell r="J968" t="str">
            <v>C.2.5.4.17</v>
          </cell>
          <cell r="K968" t="str">
            <v>Hospital de día</v>
          </cell>
          <cell r="L968">
            <v>2</v>
          </cell>
          <cell r="M968">
            <v>46003</v>
          </cell>
          <cell r="N968">
            <v>46006</v>
          </cell>
          <cell r="O968">
            <v>2</v>
          </cell>
          <cell r="P968">
            <v>46008</v>
          </cell>
          <cell r="Q968">
            <v>5</v>
          </cell>
          <cell r="R968" t="str">
            <v>NA</v>
          </cell>
          <cell r="S968">
            <v>5</v>
          </cell>
        </row>
        <row r="969">
          <cell r="B969" t="str">
            <v>MNC</v>
          </cell>
          <cell r="C969" t="str">
            <v>HSLB15271</v>
          </cell>
          <cell r="D969">
            <v>204010</v>
          </cell>
          <cell r="E969" t="str">
            <v>Silla tipo Casino</v>
          </cell>
          <cell r="F969" t="str">
            <v>NO</v>
          </cell>
          <cell r="G969" t="str">
            <v>NO</v>
          </cell>
          <cell r="H969" t="str">
            <v>ACT. DE LA VIDA DIARIA C/ KITCH Y REPOSTERO</v>
          </cell>
          <cell r="I969">
            <v>5</v>
          </cell>
          <cell r="J969" t="str">
            <v>C.2.5.4.18</v>
          </cell>
          <cell r="K969" t="str">
            <v>Hospital de día</v>
          </cell>
          <cell r="L969">
            <v>2</v>
          </cell>
          <cell r="M969">
            <v>46003</v>
          </cell>
          <cell r="N969">
            <v>46006</v>
          </cell>
          <cell r="O969">
            <v>2</v>
          </cell>
          <cell r="P969">
            <v>46008</v>
          </cell>
          <cell r="Q969">
            <v>5</v>
          </cell>
          <cell r="R969" t="str">
            <v>NA</v>
          </cell>
          <cell r="S969">
            <v>5</v>
          </cell>
        </row>
        <row r="970">
          <cell r="B970" t="str">
            <v>MNC</v>
          </cell>
          <cell r="C970" t="str">
            <v>HSLB15272</v>
          </cell>
          <cell r="D970">
            <v>204020</v>
          </cell>
          <cell r="E970" t="str">
            <v>Silla Butaca Espera 3 Cuerpos</v>
          </cell>
          <cell r="F970" t="str">
            <v>NO</v>
          </cell>
          <cell r="G970" t="str">
            <v>NO</v>
          </cell>
          <cell r="H970" t="str">
            <v>SALA DE ESPERA</v>
          </cell>
          <cell r="I970">
            <v>8</v>
          </cell>
          <cell r="J970" t="str">
            <v>C.2.5.4.2</v>
          </cell>
          <cell r="K970" t="str">
            <v>Hospital de día</v>
          </cell>
          <cell r="L970">
            <v>2</v>
          </cell>
          <cell r="M970">
            <v>46003</v>
          </cell>
          <cell r="N970">
            <v>46006</v>
          </cell>
          <cell r="O970">
            <v>2</v>
          </cell>
          <cell r="P970">
            <v>46008</v>
          </cell>
          <cell r="Q970">
            <v>5</v>
          </cell>
          <cell r="R970" t="str">
            <v>NA</v>
          </cell>
          <cell r="S970">
            <v>5</v>
          </cell>
        </row>
        <row r="971">
          <cell r="B971" t="str">
            <v>MNC</v>
          </cell>
          <cell r="C971" t="str">
            <v>HSLB14746</v>
          </cell>
          <cell r="D971">
            <v>204012</v>
          </cell>
          <cell r="E971" t="str">
            <v>Silla Visita</v>
          </cell>
          <cell r="F971" t="str">
            <v>NO</v>
          </cell>
          <cell r="G971" t="str">
            <v>NO</v>
          </cell>
          <cell r="H971" t="str">
            <v>PATIO CUBIERTO</v>
          </cell>
          <cell r="I971">
            <v>4</v>
          </cell>
          <cell r="J971" t="str">
            <v>C.2.5.4.20</v>
          </cell>
          <cell r="K971" t="str">
            <v>Hospital de día</v>
          </cell>
          <cell r="L971">
            <v>2</v>
          </cell>
          <cell r="M971">
            <v>46003</v>
          </cell>
          <cell r="N971">
            <v>46006</v>
          </cell>
          <cell r="O971">
            <v>2</v>
          </cell>
          <cell r="P971">
            <v>46008</v>
          </cell>
          <cell r="Q971">
            <v>5</v>
          </cell>
          <cell r="R971" t="str">
            <v>NA</v>
          </cell>
          <cell r="S971">
            <v>5</v>
          </cell>
        </row>
        <row r="972">
          <cell r="B972" t="str">
            <v>MNC</v>
          </cell>
          <cell r="C972" t="str">
            <v>HSLB13124</v>
          </cell>
          <cell r="D972">
            <v>201001</v>
          </cell>
          <cell r="E972" t="str">
            <v>Estación de Trabajo</v>
          </cell>
          <cell r="F972" t="str">
            <v>NO</v>
          </cell>
          <cell r="G972" t="str">
            <v>NO</v>
          </cell>
          <cell r="H972" t="str">
            <v>OF. JEFE HOSP.DIA</v>
          </cell>
          <cell r="I972">
            <v>1</v>
          </cell>
          <cell r="J972" t="str">
            <v>C.2.5.4.3</v>
          </cell>
          <cell r="K972" t="str">
            <v>Hospital de día</v>
          </cell>
          <cell r="L972">
            <v>2</v>
          </cell>
          <cell r="M972">
            <v>46003</v>
          </cell>
          <cell r="N972">
            <v>46006</v>
          </cell>
          <cell r="O972">
            <v>5</v>
          </cell>
          <cell r="P972">
            <v>46013</v>
          </cell>
          <cell r="Q972">
            <v>5</v>
          </cell>
          <cell r="R972" t="str">
            <v>NA</v>
          </cell>
          <cell r="S972">
            <v>5</v>
          </cell>
        </row>
        <row r="973">
          <cell r="B973" t="str">
            <v>MNC</v>
          </cell>
          <cell r="C973" t="str">
            <v>HSLB14297</v>
          </cell>
          <cell r="D973">
            <v>204006</v>
          </cell>
          <cell r="E973" t="str">
            <v>Silla Ergonómica</v>
          </cell>
          <cell r="F973" t="str">
            <v>NO</v>
          </cell>
          <cell r="G973" t="str">
            <v>NO</v>
          </cell>
          <cell r="H973" t="str">
            <v>OF. JEFE HOSP.DIA</v>
          </cell>
          <cell r="I973">
            <v>1</v>
          </cell>
          <cell r="J973" t="str">
            <v>C.2.5.4.3</v>
          </cell>
          <cell r="K973" t="str">
            <v>Hospital de día</v>
          </cell>
          <cell r="L973">
            <v>2</v>
          </cell>
          <cell r="M973">
            <v>46003</v>
          </cell>
          <cell r="N973">
            <v>46006</v>
          </cell>
          <cell r="O973">
            <v>2</v>
          </cell>
          <cell r="P973">
            <v>46008</v>
          </cell>
          <cell r="Q973">
            <v>5</v>
          </cell>
          <cell r="R973" t="str">
            <v>NA</v>
          </cell>
          <cell r="S973">
            <v>5</v>
          </cell>
        </row>
        <row r="974">
          <cell r="B974" t="str">
            <v>MNC</v>
          </cell>
          <cell r="C974" t="str">
            <v>HSLB14747</v>
          </cell>
          <cell r="D974">
            <v>204012</v>
          </cell>
          <cell r="E974" t="str">
            <v>Silla Visita</v>
          </cell>
          <cell r="F974" t="str">
            <v>NO</v>
          </cell>
          <cell r="G974" t="str">
            <v>NO</v>
          </cell>
          <cell r="H974" t="str">
            <v>OF. JEFE HOSP.DIA</v>
          </cell>
          <cell r="I974">
            <v>2</v>
          </cell>
          <cell r="J974" t="str">
            <v>C.2.5.4.3</v>
          </cell>
          <cell r="K974" t="str">
            <v>Hospital de día</v>
          </cell>
          <cell r="L974">
            <v>2</v>
          </cell>
          <cell r="M974">
            <v>46003</v>
          </cell>
          <cell r="N974">
            <v>46006</v>
          </cell>
          <cell r="O974">
            <v>2</v>
          </cell>
          <cell r="P974">
            <v>46008</v>
          </cell>
          <cell r="Q974">
            <v>5</v>
          </cell>
          <cell r="R974" t="str">
            <v>NA</v>
          </cell>
          <cell r="S974">
            <v>5</v>
          </cell>
        </row>
        <row r="975">
          <cell r="B975" t="str">
            <v>MNC</v>
          </cell>
          <cell r="C975" t="str">
            <v>HSLB13125</v>
          </cell>
          <cell r="D975">
            <v>201001</v>
          </cell>
          <cell r="E975" t="str">
            <v>Estación de Trabajo</v>
          </cell>
          <cell r="F975" t="str">
            <v>NO</v>
          </cell>
          <cell r="G975" t="str">
            <v>NO</v>
          </cell>
          <cell r="H975" t="str">
            <v>OF. COORDINADOR HOSP. DÍA</v>
          </cell>
          <cell r="I975">
            <v>1</v>
          </cell>
          <cell r="J975" t="str">
            <v>C.2.5.4.4</v>
          </cell>
          <cell r="K975" t="str">
            <v>Hospital de día</v>
          </cell>
          <cell r="L975">
            <v>2</v>
          </cell>
          <cell r="M975">
            <v>46003</v>
          </cell>
          <cell r="N975">
            <v>46006</v>
          </cell>
          <cell r="O975">
            <v>5</v>
          </cell>
          <cell r="P975">
            <v>46014</v>
          </cell>
          <cell r="Q975">
            <v>5</v>
          </cell>
          <cell r="R975" t="str">
            <v>NA</v>
          </cell>
          <cell r="S975">
            <v>5</v>
          </cell>
        </row>
        <row r="976">
          <cell r="B976" t="str">
            <v>MNC</v>
          </cell>
          <cell r="C976" t="str">
            <v>HSLB14298</v>
          </cell>
          <cell r="D976">
            <v>204006</v>
          </cell>
          <cell r="E976" t="str">
            <v>Silla Ergonómica</v>
          </cell>
          <cell r="F976" t="str">
            <v>NO</v>
          </cell>
          <cell r="G976" t="str">
            <v>NO</v>
          </cell>
          <cell r="H976" t="str">
            <v>OF. COORDINADOR HOSP. DÍA</v>
          </cell>
          <cell r="I976">
            <v>1</v>
          </cell>
          <cell r="J976" t="str">
            <v>C.2.5.4.4</v>
          </cell>
          <cell r="K976" t="str">
            <v>Hospital de día</v>
          </cell>
          <cell r="L976">
            <v>2</v>
          </cell>
          <cell r="M976">
            <v>46003</v>
          </cell>
          <cell r="N976">
            <v>46006</v>
          </cell>
          <cell r="O976">
            <v>2</v>
          </cell>
          <cell r="P976">
            <v>46009</v>
          </cell>
          <cell r="Q976">
            <v>5</v>
          </cell>
          <cell r="R976" t="str">
            <v>NA</v>
          </cell>
          <cell r="S976">
            <v>5</v>
          </cell>
        </row>
        <row r="977">
          <cell r="B977" t="str">
            <v>MNC</v>
          </cell>
          <cell r="C977" t="str">
            <v>HSLB14748</v>
          </cell>
          <cell r="D977">
            <v>204012</v>
          </cell>
          <cell r="E977" t="str">
            <v>Silla Visita</v>
          </cell>
          <cell r="F977" t="str">
            <v>NO</v>
          </cell>
          <cell r="G977" t="str">
            <v>NO</v>
          </cell>
          <cell r="H977" t="str">
            <v>OF. COORDINADOR HOSP. DÍA</v>
          </cell>
          <cell r="I977">
            <v>2</v>
          </cell>
          <cell r="J977" t="str">
            <v>C.2.5.4.4</v>
          </cell>
          <cell r="K977" t="str">
            <v>Hospital de día</v>
          </cell>
          <cell r="L977">
            <v>2</v>
          </cell>
          <cell r="M977">
            <v>46003</v>
          </cell>
          <cell r="N977">
            <v>46006</v>
          </cell>
          <cell r="O977">
            <v>2</v>
          </cell>
          <cell r="P977">
            <v>46009</v>
          </cell>
          <cell r="Q977">
            <v>5</v>
          </cell>
          <cell r="R977" t="str">
            <v>NA</v>
          </cell>
          <cell r="S977">
            <v>5</v>
          </cell>
        </row>
        <row r="978">
          <cell r="B978" t="str">
            <v>MNC</v>
          </cell>
          <cell r="C978" t="str">
            <v>HSLB13126</v>
          </cell>
          <cell r="D978">
            <v>201001</v>
          </cell>
          <cell r="E978" t="str">
            <v>Estación de Trabajo</v>
          </cell>
          <cell r="F978" t="str">
            <v>NO</v>
          </cell>
          <cell r="G978" t="str">
            <v>NO</v>
          </cell>
          <cell r="H978" t="str">
            <v>MOD. DE TRABAJO (MONITORES)</v>
          </cell>
          <cell r="I978">
            <v>4</v>
          </cell>
          <cell r="J978" t="str">
            <v>C.2.5.4.5</v>
          </cell>
          <cell r="K978" t="str">
            <v>Hospital de día</v>
          </cell>
          <cell r="L978">
            <v>2</v>
          </cell>
          <cell r="M978">
            <v>46003</v>
          </cell>
          <cell r="N978">
            <v>46006</v>
          </cell>
          <cell r="O978">
            <v>5</v>
          </cell>
          <cell r="P978">
            <v>46013</v>
          </cell>
          <cell r="Q978">
            <v>5</v>
          </cell>
          <cell r="R978" t="str">
            <v>NA</v>
          </cell>
          <cell r="S978">
            <v>5</v>
          </cell>
        </row>
        <row r="979">
          <cell r="B979" t="str">
            <v>MNC</v>
          </cell>
          <cell r="C979" t="str">
            <v>HSLB13339</v>
          </cell>
          <cell r="D979">
            <v>201008</v>
          </cell>
          <cell r="E979" t="str">
            <v>Mesa Reuniones Tipo I</v>
          </cell>
          <cell r="F979" t="str">
            <v>NO</v>
          </cell>
          <cell r="G979" t="str">
            <v>NO</v>
          </cell>
          <cell r="H979" t="str">
            <v>MOD. DE TRABAJO (MONITORES)</v>
          </cell>
          <cell r="I979">
            <v>1</v>
          </cell>
          <cell r="J979" t="str">
            <v>C.2.5.4.5</v>
          </cell>
          <cell r="K979" t="str">
            <v>Hospital de día</v>
          </cell>
          <cell r="L979">
            <v>2</v>
          </cell>
          <cell r="M979">
            <v>46003</v>
          </cell>
          <cell r="N979">
            <v>46006</v>
          </cell>
          <cell r="P979">
            <v>46006</v>
          </cell>
          <cell r="Q979">
            <v>5</v>
          </cell>
          <cell r="R979" t="str">
            <v>NA</v>
          </cell>
          <cell r="S979">
            <v>5</v>
          </cell>
        </row>
        <row r="980">
          <cell r="B980" t="str">
            <v>MNC</v>
          </cell>
          <cell r="C980" t="str">
            <v>HSLB14299</v>
          </cell>
          <cell r="D980">
            <v>204006</v>
          </cell>
          <cell r="E980" t="str">
            <v>Silla Ergonómica</v>
          </cell>
          <cell r="F980" t="str">
            <v>NO</v>
          </cell>
          <cell r="G980" t="str">
            <v>NO</v>
          </cell>
          <cell r="H980" t="str">
            <v>MOD. DE TRABAJO (MONITORES)</v>
          </cell>
          <cell r="I980">
            <v>4</v>
          </cell>
          <cell r="J980" t="str">
            <v>C.2.5.4.5</v>
          </cell>
          <cell r="K980" t="str">
            <v>Hospital de día</v>
          </cell>
          <cell r="L980">
            <v>2</v>
          </cell>
          <cell r="M980">
            <v>46003</v>
          </cell>
          <cell r="N980">
            <v>46006</v>
          </cell>
          <cell r="O980">
            <v>2</v>
          </cell>
          <cell r="P980">
            <v>46008</v>
          </cell>
          <cell r="Q980">
            <v>5</v>
          </cell>
          <cell r="R980" t="str">
            <v>NA</v>
          </cell>
          <cell r="S980">
            <v>5</v>
          </cell>
        </row>
        <row r="981">
          <cell r="B981" t="str">
            <v>MNC</v>
          </cell>
          <cell r="C981" t="str">
            <v>HSLB14749</v>
          </cell>
          <cell r="D981">
            <v>204012</v>
          </cell>
          <cell r="E981" t="str">
            <v>Silla Visita</v>
          </cell>
          <cell r="F981" t="str">
            <v>NO</v>
          </cell>
          <cell r="G981" t="str">
            <v>NO</v>
          </cell>
          <cell r="H981" t="str">
            <v>MOD. DE TRABAJO (MONITORES)</v>
          </cell>
          <cell r="I981">
            <v>4</v>
          </cell>
          <cell r="J981" t="str">
            <v>C.2.5.4.5</v>
          </cell>
          <cell r="K981" t="str">
            <v>Hospital de día</v>
          </cell>
          <cell r="L981">
            <v>2</v>
          </cell>
          <cell r="M981">
            <v>46003</v>
          </cell>
          <cell r="N981">
            <v>46006</v>
          </cell>
          <cell r="O981">
            <v>2</v>
          </cell>
          <cell r="P981">
            <v>46008</v>
          </cell>
          <cell r="Q981">
            <v>5</v>
          </cell>
          <cell r="R981" t="str">
            <v>NA</v>
          </cell>
          <cell r="S981">
            <v>5</v>
          </cell>
        </row>
        <row r="982">
          <cell r="B982" t="str">
            <v>MNC</v>
          </cell>
          <cell r="C982" t="str">
            <v>HSLB13288</v>
          </cell>
          <cell r="D982">
            <v>201002</v>
          </cell>
          <cell r="E982" t="str">
            <v>Mesa Lateral</v>
          </cell>
          <cell r="F982" t="str">
            <v>NO</v>
          </cell>
          <cell r="G982" t="str">
            <v>NO</v>
          </cell>
          <cell r="H982" t="str">
            <v>SALA DE ESTAR FAMILIARES</v>
          </cell>
          <cell r="I982">
            <v>2</v>
          </cell>
          <cell r="J982" t="str">
            <v>C.2.5.4.6</v>
          </cell>
          <cell r="K982" t="str">
            <v>Hospital de día</v>
          </cell>
          <cell r="L982">
            <v>2</v>
          </cell>
          <cell r="M982">
            <v>46003</v>
          </cell>
          <cell r="N982">
            <v>46006</v>
          </cell>
          <cell r="P982">
            <v>46006</v>
          </cell>
          <cell r="Q982">
            <v>5</v>
          </cell>
          <cell r="R982" t="str">
            <v>NA</v>
          </cell>
          <cell r="S982">
            <v>5</v>
          </cell>
        </row>
        <row r="983">
          <cell r="B983" t="str">
            <v>MNC</v>
          </cell>
          <cell r="C983" t="str">
            <v>HSLB13401</v>
          </cell>
          <cell r="D983">
            <v>201011</v>
          </cell>
          <cell r="E983" t="str">
            <v>Mesa Tipo Casino</v>
          </cell>
          <cell r="F983" t="str">
            <v>NO</v>
          </cell>
          <cell r="G983" t="str">
            <v>NO</v>
          </cell>
          <cell r="H983" t="str">
            <v>SALA DE ESTAR FAMILIARES</v>
          </cell>
          <cell r="I983">
            <v>1</v>
          </cell>
          <cell r="J983" t="str">
            <v>C.2.5.4.6</v>
          </cell>
          <cell r="K983" t="str">
            <v>Hospital de día</v>
          </cell>
          <cell r="L983">
            <v>2</v>
          </cell>
          <cell r="M983">
            <v>46003</v>
          </cell>
          <cell r="N983">
            <v>46006</v>
          </cell>
          <cell r="P983">
            <v>46006</v>
          </cell>
          <cell r="Q983">
            <v>5</v>
          </cell>
          <cell r="R983" t="str">
            <v>NA</v>
          </cell>
          <cell r="S983">
            <v>5</v>
          </cell>
        </row>
        <row r="984">
          <cell r="B984" t="str">
            <v>MNC</v>
          </cell>
          <cell r="C984" t="str">
            <v>HSLB14587</v>
          </cell>
          <cell r="D984">
            <v>204010</v>
          </cell>
          <cell r="E984" t="str">
            <v>Silla tipo Casino</v>
          </cell>
          <cell r="F984" t="str">
            <v>NO</v>
          </cell>
          <cell r="G984" t="str">
            <v>NO</v>
          </cell>
          <cell r="H984" t="str">
            <v>SALA DE ESTAR FAMILIARES</v>
          </cell>
          <cell r="I984">
            <v>4</v>
          </cell>
          <cell r="J984" t="str">
            <v>C.2.5.4.6</v>
          </cell>
          <cell r="K984" t="str">
            <v>Hospital de día</v>
          </cell>
          <cell r="L984">
            <v>2</v>
          </cell>
          <cell r="M984">
            <v>46003</v>
          </cell>
          <cell r="N984">
            <v>46006</v>
          </cell>
          <cell r="O984">
            <v>2</v>
          </cell>
          <cell r="P984">
            <v>46008</v>
          </cell>
          <cell r="Q984">
            <v>5</v>
          </cell>
          <cell r="R984" t="str">
            <v>NA</v>
          </cell>
          <cell r="S984">
            <v>5</v>
          </cell>
        </row>
        <row r="985">
          <cell r="B985" t="str">
            <v>MNC</v>
          </cell>
          <cell r="C985" t="str">
            <v>HSLB14970</v>
          </cell>
          <cell r="D985">
            <v>204013</v>
          </cell>
          <cell r="E985" t="str">
            <v>Sillón 1 Cuerpo</v>
          </cell>
          <cell r="F985" t="str">
            <v>NO</v>
          </cell>
          <cell r="G985" t="str">
            <v>NO</v>
          </cell>
          <cell r="H985" t="str">
            <v>SALA DE ESTAR FAMILIARES</v>
          </cell>
          <cell r="I985">
            <v>1</v>
          </cell>
          <cell r="J985" t="str">
            <v>C.2.5.4.6</v>
          </cell>
          <cell r="K985" t="str">
            <v>Hospital de día</v>
          </cell>
          <cell r="L985">
            <v>2</v>
          </cell>
          <cell r="M985">
            <v>46003</v>
          </cell>
          <cell r="N985">
            <v>46006</v>
          </cell>
          <cell r="O985">
            <v>2</v>
          </cell>
          <cell r="P985">
            <v>46008</v>
          </cell>
          <cell r="Q985">
            <v>5</v>
          </cell>
          <cell r="R985" t="str">
            <v>NA</v>
          </cell>
          <cell r="S985">
            <v>5</v>
          </cell>
        </row>
        <row r="986">
          <cell r="B986" t="str">
            <v>MNC</v>
          </cell>
          <cell r="C986" t="str">
            <v>HSLB14993</v>
          </cell>
          <cell r="D986">
            <v>204014</v>
          </cell>
          <cell r="E986" t="str">
            <v>Sillón 2 Cuerpo</v>
          </cell>
          <cell r="F986" t="str">
            <v>NO</v>
          </cell>
          <cell r="G986" t="str">
            <v>NO</v>
          </cell>
          <cell r="H986" t="str">
            <v>SALA DE ESTAR FAMILIARES</v>
          </cell>
          <cell r="I986">
            <v>1</v>
          </cell>
          <cell r="J986" t="str">
            <v>C.2.5.4.6</v>
          </cell>
          <cell r="K986" t="str">
            <v>Hospital de día</v>
          </cell>
          <cell r="L986">
            <v>2</v>
          </cell>
          <cell r="M986">
            <v>46003</v>
          </cell>
          <cell r="N986">
            <v>46006</v>
          </cell>
          <cell r="O986">
            <v>2</v>
          </cell>
          <cell r="P986">
            <v>46008</v>
          </cell>
          <cell r="Q986">
            <v>5</v>
          </cell>
          <cell r="R986" t="str">
            <v>NA</v>
          </cell>
          <cell r="S986">
            <v>5</v>
          </cell>
        </row>
        <row r="987">
          <cell r="B987" t="str">
            <v>MNC</v>
          </cell>
          <cell r="C987" t="str">
            <v>HSLB13374</v>
          </cell>
          <cell r="D987">
            <v>201009</v>
          </cell>
          <cell r="E987" t="str">
            <v>Mesa Reuniones Tipo II</v>
          </cell>
          <cell r="F987" t="str">
            <v>NO</v>
          </cell>
          <cell r="G987" t="str">
            <v>NO</v>
          </cell>
          <cell r="H987" t="str">
            <v>SALA DE REUNIONES</v>
          </cell>
          <cell r="I987">
            <v>1</v>
          </cell>
          <cell r="J987" t="str">
            <v>C.2.5.4.8</v>
          </cell>
          <cell r="K987" t="str">
            <v>Hospital de día</v>
          </cell>
          <cell r="L987">
            <v>2</v>
          </cell>
          <cell r="M987">
            <v>46003</v>
          </cell>
          <cell r="N987">
            <v>46006</v>
          </cell>
          <cell r="P987">
            <v>46006</v>
          </cell>
          <cell r="Q987">
            <v>5</v>
          </cell>
          <cell r="R987" t="str">
            <v>NA</v>
          </cell>
          <cell r="S987">
            <v>5</v>
          </cell>
        </row>
        <row r="988">
          <cell r="B988" t="str">
            <v>MNC</v>
          </cell>
          <cell r="C988" t="str">
            <v>HSLB14750</v>
          </cell>
          <cell r="D988">
            <v>204012</v>
          </cell>
          <cell r="E988" t="str">
            <v>Silla Visita</v>
          </cell>
          <cell r="F988" t="str">
            <v>NO</v>
          </cell>
          <cell r="G988" t="str">
            <v>NO</v>
          </cell>
          <cell r="H988" t="str">
            <v>SALA DE REUNIONES</v>
          </cell>
          <cell r="I988">
            <v>8</v>
          </cell>
          <cell r="J988" t="str">
            <v>C.2.5.4.8</v>
          </cell>
          <cell r="K988" t="str">
            <v>Hospital de día</v>
          </cell>
          <cell r="L988">
            <v>2</v>
          </cell>
          <cell r="M988">
            <v>46003</v>
          </cell>
          <cell r="N988">
            <v>46006</v>
          </cell>
          <cell r="O988">
            <v>2</v>
          </cell>
          <cell r="P988">
            <v>46008</v>
          </cell>
          <cell r="Q988">
            <v>5</v>
          </cell>
          <cell r="R988" t="str">
            <v>NA</v>
          </cell>
          <cell r="S988">
            <v>5</v>
          </cell>
        </row>
        <row r="989">
          <cell r="B989" t="str">
            <v>MNC</v>
          </cell>
          <cell r="C989" t="str">
            <v>HSLB13277</v>
          </cell>
          <cell r="D989">
            <v>201001</v>
          </cell>
          <cell r="E989" t="str">
            <v>Estación de Trabajo</v>
          </cell>
          <cell r="F989" t="str">
            <v>NO</v>
          </cell>
          <cell r="G989" t="str">
            <v>NO</v>
          </cell>
          <cell r="H989" t="str">
            <v>SALA TELEMEDICINA</v>
          </cell>
          <cell r="I989">
            <v>1</v>
          </cell>
          <cell r="J989" t="str">
            <v>C.2.6.1.1</v>
          </cell>
          <cell r="K989" t="str">
            <v>Odontología</v>
          </cell>
          <cell r="L989">
            <v>2</v>
          </cell>
          <cell r="M989">
            <v>46010</v>
          </cell>
          <cell r="N989">
            <v>46013</v>
          </cell>
          <cell r="O989">
            <v>2</v>
          </cell>
          <cell r="P989">
            <v>46015</v>
          </cell>
          <cell r="Q989">
            <v>5</v>
          </cell>
          <cell r="R989" t="str">
            <v>NA</v>
          </cell>
          <cell r="S989">
            <v>5</v>
          </cell>
        </row>
        <row r="990">
          <cell r="B990" t="str">
            <v>MNC</v>
          </cell>
          <cell r="C990" t="str">
            <v>HSLB14548</v>
          </cell>
          <cell r="D990">
            <v>204006</v>
          </cell>
          <cell r="E990" t="str">
            <v>Silla Ergonómica</v>
          </cell>
          <cell r="F990" t="str">
            <v>NO</v>
          </cell>
          <cell r="G990" t="str">
            <v>NO</v>
          </cell>
          <cell r="H990" t="str">
            <v>SALA TELEMEDICINA</v>
          </cell>
          <cell r="I990">
            <v>1</v>
          </cell>
          <cell r="J990" t="str">
            <v>C.2.6.1.1</v>
          </cell>
          <cell r="K990" t="str">
            <v>Odontología</v>
          </cell>
          <cell r="L990">
            <v>2</v>
          </cell>
          <cell r="M990">
            <v>46010</v>
          </cell>
          <cell r="N990">
            <v>46013</v>
          </cell>
          <cell r="O990">
            <v>2</v>
          </cell>
          <cell r="P990">
            <v>46015</v>
          </cell>
          <cell r="Q990">
            <v>5</v>
          </cell>
          <cell r="R990" t="str">
            <v>NA</v>
          </cell>
          <cell r="S990">
            <v>5</v>
          </cell>
        </row>
        <row r="991">
          <cell r="B991" t="str">
            <v>MNC</v>
          </cell>
          <cell r="C991" t="str">
            <v>HSLB14945</v>
          </cell>
          <cell r="D991">
            <v>204012</v>
          </cell>
          <cell r="E991" t="str">
            <v>Silla Visita</v>
          </cell>
          <cell r="F991" t="str">
            <v>NO</v>
          </cell>
          <cell r="G991" t="str">
            <v>NO</v>
          </cell>
          <cell r="H991" t="str">
            <v>SALA TELEMEDICINA</v>
          </cell>
          <cell r="I991">
            <v>2</v>
          </cell>
          <cell r="J991" t="str">
            <v>C.2.6.1.1</v>
          </cell>
          <cell r="K991" t="str">
            <v>Odontología</v>
          </cell>
          <cell r="L991">
            <v>2</v>
          </cell>
          <cell r="M991">
            <v>46010</v>
          </cell>
          <cell r="N991">
            <v>46013</v>
          </cell>
          <cell r="O991">
            <v>2</v>
          </cell>
          <cell r="P991">
            <v>46015</v>
          </cell>
          <cell r="Q991">
            <v>5</v>
          </cell>
          <cell r="R991" t="str">
            <v>NA</v>
          </cell>
          <cell r="S991">
            <v>5</v>
          </cell>
        </row>
        <row r="992">
          <cell r="B992" t="str">
            <v>MNC</v>
          </cell>
          <cell r="C992" t="str">
            <v>HSLB13127</v>
          </cell>
          <cell r="D992">
            <v>201001</v>
          </cell>
          <cell r="E992" t="str">
            <v>Estación de Trabajo</v>
          </cell>
          <cell r="F992" t="str">
            <v>NO</v>
          </cell>
          <cell r="G992" t="str">
            <v>NO</v>
          </cell>
          <cell r="H992" t="str">
            <v>SALA TELEMEDICINA</v>
          </cell>
          <cell r="I992">
            <v>1</v>
          </cell>
          <cell r="J992" t="str">
            <v>C.2.6.1.2</v>
          </cell>
          <cell r="K992" t="str">
            <v>Odontología</v>
          </cell>
          <cell r="L992">
            <v>2</v>
          </cell>
          <cell r="M992">
            <v>46010</v>
          </cell>
          <cell r="N992">
            <v>46013</v>
          </cell>
          <cell r="O992">
            <v>2</v>
          </cell>
          <cell r="P992">
            <v>46015</v>
          </cell>
          <cell r="Q992">
            <v>5</v>
          </cell>
          <cell r="R992" t="str">
            <v>NA</v>
          </cell>
          <cell r="S992">
            <v>5</v>
          </cell>
        </row>
        <row r="993">
          <cell r="B993" t="str">
            <v>MNC</v>
          </cell>
          <cell r="C993" t="str">
            <v>HSLB14300</v>
          </cell>
          <cell r="D993">
            <v>204006</v>
          </cell>
          <cell r="E993" t="str">
            <v>Silla Ergonómica</v>
          </cell>
          <cell r="F993" t="str">
            <v>NO</v>
          </cell>
          <cell r="G993" t="str">
            <v>NO</v>
          </cell>
          <cell r="H993" t="str">
            <v>SALA TELEMEDICINA</v>
          </cell>
          <cell r="I993">
            <v>1</v>
          </cell>
          <cell r="J993" t="str">
            <v>C.2.6.1.2</v>
          </cell>
          <cell r="K993" t="str">
            <v>Odontología</v>
          </cell>
          <cell r="L993">
            <v>2</v>
          </cell>
          <cell r="M993">
            <v>46010</v>
          </cell>
          <cell r="N993">
            <v>46013</v>
          </cell>
          <cell r="O993">
            <v>2</v>
          </cell>
          <cell r="P993">
            <v>46015</v>
          </cell>
          <cell r="Q993">
            <v>5</v>
          </cell>
          <cell r="R993" t="str">
            <v>NA</v>
          </cell>
          <cell r="S993">
            <v>5</v>
          </cell>
        </row>
        <row r="994">
          <cell r="B994" t="str">
            <v>MNC</v>
          </cell>
          <cell r="C994" t="str">
            <v>HSLB14751</v>
          </cell>
          <cell r="D994">
            <v>204012</v>
          </cell>
          <cell r="E994" t="str">
            <v>Silla Visita</v>
          </cell>
          <cell r="F994" t="str">
            <v>NO</v>
          </cell>
          <cell r="G994" t="str">
            <v>NO</v>
          </cell>
          <cell r="H994" t="str">
            <v>SALA TELEMEDICINA</v>
          </cell>
          <cell r="I994">
            <v>2</v>
          </cell>
          <cell r="J994" t="str">
            <v>C.2.6.1.2</v>
          </cell>
          <cell r="K994" t="str">
            <v>Odontología</v>
          </cell>
          <cell r="L994">
            <v>2</v>
          </cell>
          <cell r="M994">
            <v>46010</v>
          </cell>
          <cell r="N994">
            <v>46013</v>
          </cell>
          <cell r="O994">
            <v>2</v>
          </cell>
          <cell r="P994">
            <v>46015</v>
          </cell>
          <cell r="Q994">
            <v>5</v>
          </cell>
          <cell r="R994" t="str">
            <v>NA</v>
          </cell>
          <cell r="S994">
            <v>5</v>
          </cell>
        </row>
        <row r="995">
          <cell r="B995" t="str">
            <v>MNC</v>
          </cell>
          <cell r="C995" t="str">
            <v>HSLB13387</v>
          </cell>
          <cell r="D995">
            <v>201010</v>
          </cell>
          <cell r="E995" t="str">
            <v>Mesa Reuniones Tipo III</v>
          </cell>
          <cell r="F995" t="str">
            <v>NO</v>
          </cell>
          <cell r="G995" t="str">
            <v>NO</v>
          </cell>
          <cell r="H995" t="str">
            <v>SALA DE REUNIONES</v>
          </cell>
          <cell r="I995">
            <v>1</v>
          </cell>
          <cell r="J995" t="str">
            <v>C.2.6.2.1</v>
          </cell>
          <cell r="K995" t="str">
            <v>Odontología</v>
          </cell>
          <cell r="L995">
            <v>2</v>
          </cell>
          <cell r="M995">
            <v>46010</v>
          </cell>
          <cell r="N995">
            <v>46013</v>
          </cell>
          <cell r="O995">
            <v>2</v>
          </cell>
          <cell r="P995">
            <v>46015</v>
          </cell>
          <cell r="Q995">
            <v>5</v>
          </cell>
          <cell r="R995" t="str">
            <v>NA</v>
          </cell>
          <cell r="S995">
            <v>5</v>
          </cell>
        </row>
        <row r="996">
          <cell r="B996" t="str">
            <v>MNC</v>
          </cell>
          <cell r="C996" t="str">
            <v>HSLB14946</v>
          </cell>
          <cell r="D996">
            <v>204012</v>
          </cell>
          <cell r="E996" t="str">
            <v>Silla Visita</v>
          </cell>
          <cell r="F996" t="str">
            <v>NO</v>
          </cell>
          <cell r="G996" t="str">
            <v>NO</v>
          </cell>
          <cell r="H996" t="str">
            <v>SALA DE REUNIONES</v>
          </cell>
          <cell r="I996">
            <v>8</v>
          </cell>
          <cell r="J996" t="str">
            <v>C.2.6.2.1</v>
          </cell>
          <cell r="K996" t="str">
            <v>Odontología</v>
          </cell>
          <cell r="L996">
            <v>2</v>
          </cell>
          <cell r="M996">
            <v>46010</v>
          </cell>
          <cell r="N996">
            <v>46013</v>
          </cell>
          <cell r="O996">
            <v>2</v>
          </cell>
          <cell r="P996">
            <v>46015</v>
          </cell>
          <cell r="Q996">
            <v>5</v>
          </cell>
          <cell r="R996" t="str">
            <v>NA</v>
          </cell>
          <cell r="S996">
            <v>5</v>
          </cell>
        </row>
        <row r="997">
          <cell r="B997" t="str">
            <v>MNC</v>
          </cell>
          <cell r="C997" t="str">
            <v>HSLB13388</v>
          </cell>
          <cell r="D997">
            <v>201010</v>
          </cell>
          <cell r="E997" t="str">
            <v>Mesa Reuniones Tipo III</v>
          </cell>
          <cell r="F997" t="str">
            <v>NO</v>
          </cell>
          <cell r="G997" t="str">
            <v>NO</v>
          </cell>
          <cell r="H997" t="str">
            <v>SALA DE REUNIONES</v>
          </cell>
          <cell r="I997">
            <v>1</v>
          </cell>
          <cell r="J997" t="str">
            <v>C.2.6.2.2</v>
          </cell>
          <cell r="K997" t="str">
            <v>Biblioteca</v>
          </cell>
          <cell r="L997">
            <v>2</v>
          </cell>
          <cell r="M997">
            <v>46038</v>
          </cell>
          <cell r="N997">
            <v>46041</v>
          </cell>
          <cell r="O997">
            <v>1</v>
          </cell>
          <cell r="P997">
            <v>46042</v>
          </cell>
          <cell r="Q997">
            <v>5</v>
          </cell>
          <cell r="R997" t="str">
            <v>NA</v>
          </cell>
          <cell r="S997">
            <v>5</v>
          </cell>
        </row>
        <row r="998">
          <cell r="B998" t="str">
            <v>MNC</v>
          </cell>
          <cell r="C998" t="str">
            <v>HSLB14752</v>
          </cell>
          <cell r="D998">
            <v>204012</v>
          </cell>
          <cell r="E998" t="str">
            <v>Silla Visita</v>
          </cell>
          <cell r="F998" t="str">
            <v>NO</v>
          </cell>
          <cell r="G998" t="str">
            <v>NO</v>
          </cell>
          <cell r="H998" t="str">
            <v>SALA DE REUNIONES</v>
          </cell>
          <cell r="I998">
            <v>8</v>
          </cell>
          <cell r="J998" t="str">
            <v>C.2.6.2.2</v>
          </cell>
          <cell r="K998" t="str">
            <v>Biblioteca</v>
          </cell>
          <cell r="L998">
            <v>2</v>
          </cell>
          <cell r="M998">
            <v>46038</v>
          </cell>
          <cell r="N998">
            <v>46041</v>
          </cell>
          <cell r="O998">
            <v>2</v>
          </cell>
          <cell r="P998">
            <v>46043</v>
          </cell>
          <cell r="Q998">
            <v>5</v>
          </cell>
          <cell r="R998" t="str">
            <v>NA</v>
          </cell>
          <cell r="S998">
            <v>5</v>
          </cell>
        </row>
        <row r="999">
          <cell r="B999" t="str">
            <v>MNC</v>
          </cell>
          <cell r="C999" t="str">
            <v>HSLB14306</v>
          </cell>
          <cell r="D999">
            <v>204006</v>
          </cell>
          <cell r="E999" t="str">
            <v>Silla Ergonómica</v>
          </cell>
          <cell r="F999" t="str">
            <v>NO</v>
          </cell>
          <cell r="G999" t="str">
            <v>NO</v>
          </cell>
          <cell r="H999" t="str">
            <v>MESÓN DE RECEPCIÓN</v>
          </cell>
          <cell r="I999">
            <v>1</v>
          </cell>
          <cell r="J999" t="str">
            <v>C.3.3.1</v>
          </cell>
          <cell r="K999" t="str">
            <v>Laboratorio UMT</v>
          </cell>
          <cell r="L999">
            <v>2</v>
          </cell>
          <cell r="M999">
            <v>46024</v>
          </cell>
          <cell r="N999">
            <v>46027</v>
          </cell>
          <cell r="O999">
            <v>2</v>
          </cell>
          <cell r="P999">
            <v>46029</v>
          </cell>
          <cell r="Q999">
            <v>5</v>
          </cell>
          <cell r="R999" t="str">
            <v>NA</v>
          </cell>
          <cell r="S999">
            <v>5</v>
          </cell>
        </row>
        <row r="1000">
          <cell r="B1000" t="str">
            <v>MNC</v>
          </cell>
          <cell r="C1000" t="str">
            <v>HSLB13130</v>
          </cell>
          <cell r="D1000">
            <v>201001</v>
          </cell>
          <cell r="E1000" t="str">
            <v>Estación de Trabajo</v>
          </cell>
          <cell r="F1000" t="str">
            <v>NO</v>
          </cell>
          <cell r="G1000" t="str">
            <v>NO</v>
          </cell>
          <cell r="H1000" t="str">
            <v>OF. JEFE H. DOMICILIARIA</v>
          </cell>
          <cell r="I1000">
            <v>1</v>
          </cell>
          <cell r="J1000" t="str">
            <v>C.3.3.4</v>
          </cell>
          <cell r="K1000" t="str">
            <v>Laboratorio UMT</v>
          </cell>
          <cell r="L1000">
            <v>2</v>
          </cell>
          <cell r="M1000">
            <v>46024</v>
          </cell>
          <cell r="N1000">
            <v>46027</v>
          </cell>
          <cell r="O1000">
            <v>2</v>
          </cell>
          <cell r="P1000">
            <v>46029</v>
          </cell>
          <cell r="Q1000">
            <v>5</v>
          </cell>
          <cell r="R1000" t="str">
            <v>NA</v>
          </cell>
          <cell r="S1000">
            <v>5</v>
          </cell>
        </row>
        <row r="1001">
          <cell r="B1001" t="str">
            <v>MNC</v>
          </cell>
          <cell r="C1001" t="str">
            <v>HSLB13340</v>
          </cell>
          <cell r="D1001">
            <v>201008</v>
          </cell>
          <cell r="E1001" t="str">
            <v>Mesa Reuniones Tipo I</v>
          </cell>
          <cell r="F1001" t="str">
            <v>NO</v>
          </cell>
          <cell r="G1001" t="str">
            <v>NO</v>
          </cell>
          <cell r="H1001" t="str">
            <v>OF. JEFE H. DOMICILIARIA</v>
          </cell>
          <cell r="I1001">
            <v>1</v>
          </cell>
          <cell r="J1001" t="str">
            <v>C.3.3.4</v>
          </cell>
          <cell r="K1001" t="str">
            <v>Laboratorio UMT</v>
          </cell>
          <cell r="L1001">
            <v>2</v>
          </cell>
          <cell r="M1001">
            <v>46024</v>
          </cell>
          <cell r="N1001">
            <v>46027</v>
          </cell>
          <cell r="O1001">
            <v>2</v>
          </cell>
          <cell r="P1001">
            <v>46029</v>
          </cell>
          <cell r="Q1001">
            <v>5</v>
          </cell>
          <cell r="R1001" t="str">
            <v>NA</v>
          </cell>
          <cell r="S1001">
            <v>5</v>
          </cell>
        </row>
        <row r="1002">
          <cell r="B1002" t="str">
            <v>MNC</v>
          </cell>
          <cell r="C1002" t="str">
            <v>HSLB14307</v>
          </cell>
          <cell r="D1002">
            <v>204006</v>
          </cell>
          <cell r="E1002" t="str">
            <v>Silla Ergonómica</v>
          </cell>
          <cell r="F1002" t="str">
            <v>NO</v>
          </cell>
          <cell r="G1002" t="str">
            <v>NO</v>
          </cell>
          <cell r="H1002" t="str">
            <v>OF. JEFE H. DOMICILIARIA</v>
          </cell>
          <cell r="I1002">
            <v>1</v>
          </cell>
          <cell r="J1002" t="str">
            <v>C.3.3.4</v>
          </cell>
          <cell r="K1002" t="str">
            <v>Laboratorio UMT</v>
          </cell>
          <cell r="L1002">
            <v>2</v>
          </cell>
          <cell r="M1002">
            <v>46024</v>
          </cell>
          <cell r="N1002">
            <v>46027</v>
          </cell>
          <cell r="O1002">
            <v>2</v>
          </cell>
          <cell r="P1002">
            <v>46030</v>
          </cell>
          <cell r="Q1002">
            <v>5</v>
          </cell>
          <cell r="R1002" t="str">
            <v>NA</v>
          </cell>
          <cell r="S1002">
            <v>5</v>
          </cell>
        </row>
        <row r="1003">
          <cell r="B1003" t="str">
            <v>MNC</v>
          </cell>
          <cell r="C1003" t="str">
            <v>HSLB14757</v>
          </cell>
          <cell r="D1003">
            <v>204012</v>
          </cell>
          <cell r="E1003" t="str">
            <v>Silla Visita</v>
          </cell>
          <cell r="F1003" t="str">
            <v>NO</v>
          </cell>
          <cell r="G1003" t="str">
            <v>NO</v>
          </cell>
          <cell r="H1003" t="str">
            <v>OF. JEFE H. DOMICILIARIA</v>
          </cell>
          <cell r="I1003">
            <v>4</v>
          </cell>
          <cell r="J1003" t="str">
            <v>C.3.3.4</v>
          </cell>
          <cell r="K1003" t="str">
            <v>Laboratorio UMT</v>
          </cell>
          <cell r="L1003">
            <v>2</v>
          </cell>
          <cell r="M1003">
            <v>46024</v>
          </cell>
          <cell r="N1003">
            <v>46027</v>
          </cell>
          <cell r="O1003">
            <v>2</v>
          </cell>
          <cell r="P1003">
            <v>46031</v>
          </cell>
          <cell r="Q1003">
            <v>5</v>
          </cell>
          <cell r="R1003" t="str">
            <v>NA</v>
          </cell>
          <cell r="S1003">
            <v>5</v>
          </cell>
        </row>
        <row r="1004">
          <cell r="B1004" t="str">
            <v>MNC</v>
          </cell>
          <cell r="C1004" t="str">
            <v>HSLB13131</v>
          </cell>
          <cell r="D1004">
            <v>201001</v>
          </cell>
          <cell r="E1004" t="str">
            <v>Estación de Trabajo</v>
          </cell>
          <cell r="F1004" t="str">
            <v>NO</v>
          </cell>
          <cell r="G1004" t="str">
            <v>NO</v>
          </cell>
          <cell r="H1004" t="str">
            <v>MÓDULO DE TRABAJO</v>
          </cell>
          <cell r="I1004">
            <v>6</v>
          </cell>
          <cell r="J1004" t="str">
            <v>C.3.3.5</v>
          </cell>
          <cell r="K1004" t="str">
            <v>Laboratorio UMT</v>
          </cell>
          <cell r="L1004">
            <v>2</v>
          </cell>
          <cell r="M1004">
            <v>46024</v>
          </cell>
          <cell r="N1004">
            <v>46027</v>
          </cell>
          <cell r="O1004">
            <v>5</v>
          </cell>
          <cell r="P1004">
            <v>46036</v>
          </cell>
          <cell r="Q1004">
            <v>5</v>
          </cell>
          <cell r="R1004" t="str">
            <v>NA</v>
          </cell>
          <cell r="S1004">
            <v>5</v>
          </cell>
        </row>
        <row r="1005">
          <cell r="B1005" t="str">
            <v>MNC</v>
          </cell>
          <cell r="C1005" t="str">
            <v>HSLB14308</v>
          </cell>
          <cell r="D1005">
            <v>204006</v>
          </cell>
          <cell r="E1005" t="str">
            <v>Silla Ergonómica</v>
          </cell>
          <cell r="F1005" t="str">
            <v>NO</v>
          </cell>
          <cell r="G1005" t="str">
            <v>NO</v>
          </cell>
          <cell r="H1005" t="str">
            <v>MÓDULO DE TRABAJO</v>
          </cell>
          <cell r="I1005">
            <v>6</v>
          </cell>
          <cell r="J1005" t="str">
            <v>C.3.3.5</v>
          </cell>
          <cell r="K1005" t="str">
            <v>Laboratorio UMT</v>
          </cell>
          <cell r="L1005">
            <v>2</v>
          </cell>
          <cell r="M1005">
            <v>46024</v>
          </cell>
          <cell r="N1005">
            <v>46027</v>
          </cell>
          <cell r="O1005">
            <v>2</v>
          </cell>
          <cell r="P1005">
            <v>46031</v>
          </cell>
          <cell r="Q1005">
            <v>5</v>
          </cell>
          <cell r="R1005" t="str">
            <v>NA</v>
          </cell>
          <cell r="S1005">
            <v>5</v>
          </cell>
        </row>
        <row r="1006">
          <cell r="B1006" t="str">
            <v>MNC</v>
          </cell>
          <cell r="C1006" t="str">
            <v>HSLB14758</v>
          </cell>
          <cell r="D1006">
            <v>204012</v>
          </cell>
          <cell r="E1006" t="str">
            <v>Silla Visita</v>
          </cell>
          <cell r="F1006" t="str">
            <v>NO</v>
          </cell>
          <cell r="G1006" t="str">
            <v>NO</v>
          </cell>
          <cell r="H1006" t="str">
            <v>MÓDULO DE TRABAJO</v>
          </cell>
          <cell r="I1006">
            <v>3</v>
          </cell>
          <cell r="J1006" t="str">
            <v>C.3.3.5</v>
          </cell>
          <cell r="K1006" t="str">
            <v>Laboratorio UMT</v>
          </cell>
          <cell r="L1006">
            <v>2</v>
          </cell>
          <cell r="M1006">
            <v>46024</v>
          </cell>
          <cell r="N1006">
            <v>46027</v>
          </cell>
          <cell r="O1006">
            <v>2</v>
          </cell>
          <cell r="P1006">
            <v>46030</v>
          </cell>
          <cell r="Q1006">
            <v>5</v>
          </cell>
          <cell r="R1006" t="str">
            <v>NA</v>
          </cell>
          <cell r="S1006">
            <v>5</v>
          </cell>
        </row>
        <row r="1007">
          <cell r="B1007" t="str">
            <v>MNC</v>
          </cell>
          <cell r="C1007" t="str">
            <v>HSLB13132</v>
          </cell>
          <cell r="D1007">
            <v>201001</v>
          </cell>
          <cell r="E1007" t="str">
            <v>Estación de Trabajo</v>
          </cell>
          <cell r="F1007" t="str">
            <v>NO</v>
          </cell>
          <cell r="G1007" t="str">
            <v>NO</v>
          </cell>
          <cell r="H1007" t="str">
            <v>OFICINA ASISTENTE SOCIAL</v>
          </cell>
          <cell r="I1007">
            <v>1</v>
          </cell>
          <cell r="J1007" t="str">
            <v>C.3.3.6</v>
          </cell>
          <cell r="K1007" t="str">
            <v>Laboratorio UMT</v>
          </cell>
          <cell r="L1007">
            <v>2</v>
          </cell>
          <cell r="M1007">
            <v>46024</v>
          </cell>
          <cell r="N1007">
            <v>46027</v>
          </cell>
          <cell r="O1007">
            <v>2</v>
          </cell>
          <cell r="P1007">
            <v>46030</v>
          </cell>
          <cell r="Q1007">
            <v>5</v>
          </cell>
          <cell r="R1007" t="str">
            <v>NA</v>
          </cell>
          <cell r="S1007">
            <v>5</v>
          </cell>
        </row>
        <row r="1008">
          <cell r="B1008" t="str">
            <v>MNC</v>
          </cell>
          <cell r="C1008" t="str">
            <v>HSLB14309</v>
          </cell>
          <cell r="D1008">
            <v>204006</v>
          </cell>
          <cell r="E1008" t="str">
            <v>Silla Ergonómica</v>
          </cell>
          <cell r="F1008" t="str">
            <v>NO</v>
          </cell>
          <cell r="G1008" t="str">
            <v>NO</v>
          </cell>
          <cell r="H1008" t="str">
            <v>OFICINA ASISTENTE SOCIAL</v>
          </cell>
          <cell r="I1008">
            <v>1</v>
          </cell>
          <cell r="J1008" t="str">
            <v>C.3.3.6</v>
          </cell>
          <cell r="K1008" t="str">
            <v>Laboratorio UMT</v>
          </cell>
          <cell r="L1008">
            <v>2</v>
          </cell>
          <cell r="M1008">
            <v>46024</v>
          </cell>
          <cell r="N1008">
            <v>46027</v>
          </cell>
          <cell r="O1008">
            <v>2</v>
          </cell>
          <cell r="P1008">
            <v>46030</v>
          </cell>
          <cell r="Q1008">
            <v>5</v>
          </cell>
          <cell r="R1008" t="str">
            <v>NA</v>
          </cell>
          <cell r="S1008">
            <v>5</v>
          </cell>
        </row>
        <row r="1009">
          <cell r="B1009" t="str">
            <v>MNC</v>
          </cell>
          <cell r="C1009" t="str">
            <v>HSLB14759</v>
          </cell>
          <cell r="D1009">
            <v>204012</v>
          </cell>
          <cell r="E1009" t="str">
            <v>Silla Visita</v>
          </cell>
          <cell r="F1009" t="str">
            <v>NO</v>
          </cell>
          <cell r="G1009" t="str">
            <v>NO</v>
          </cell>
          <cell r="H1009" t="str">
            <v>OFICINA ASISTENTE SOCIAL</v>
          </cell>
          <cell r="I1009">
            <v>2</v>
          </cell>
          <cell r="J1009" t="str">
            <v>C.3.3.6</v>
          </cell>
          <cell r="K1009" t="str">
            <v>Laboratorio UMT</v>
          </cell>
          <cell r="L1009">
            <v>2</v>
          </cell>
          <cell r="M1009">
            <v>46024</v>
          </cell>
          <cell r="N1009">
            <v>46027</v>
          </cell>
          <cell r="O1009">
            <v>2</v>
          </cell>
          <cell r="P1009">
            <v>46030</v>
          </cell>
          <cell r="Q1009">
            <v>5</v>
          </cell>
          <cell r="R1009" t="str">
            <v>NA</v>
          </cell>
          <cell r="S1009">
            <v>5</v>
          </cell>
        </row>
        <row r="1010">
          <cell r="B1010" t="str">
            <v>MNC</v>
          </cell>
          <cell r="C1010" t="str">
            <v>HSLB13341</v>
          </cell>
          <cell r="D1010">
            <v>201008</v>
          </cell>
          <cell r="E1010" t="str">
            <v>Mesa Reuniones Tipo II</v>
          </cell>
          <cell r="F1010" t="str">
            <v>NO</v>
          </cell>
          <cell r="G1010" t="str">
            <v>NO</v>
          </cell>
          <cell r="H1010" t="str">
            <v>SALA MULTIUSO</v>
          </cell>
          <cell r="I1010">
            <v>1</v>
          </cell>
          <cell r="J1010" t="str">
            <v>C.3.3.7</v>
          </cell>
          <cell r="K1010" t="str">
            <v>Laboratorio UMT</v>
          </cell>
          <cell r="L1010">
            <v>2</v>
          </cell>
          <cell r="M1010">
            <v>46024</v>
          </cell>
          <cell r="N1010">
            <v>46027</v>
          </cell>
          <cell r="O1010">
            <v>2</v>
          </cell>
          <cell r="P1010">
            <v>46031</v>
          </cell>
          <cell r="Q1010">
            <v>5</v>
          </cell>
          <cell r="R1010" t="str">
            <v>NA</v>
          </cell>
          <cell r="S1010">
            <v>5</v>
          </cell>
        </row>
        <row r="1011">
          <cell r="B1011" t="str">
            <v>MNC</v>
          </cell>
          <cell r="C1011" t="str">
            <v>HSLB14760</v>
          </cell>
          <cell r="D1011">
            <v>204012</v>
          </cell>
          <cell r="E1011" t="str">
            <v>Silla Visita</v>
          </cell>
          <cell r="F1011" t="str">
            <v>NO</v>
          </cell>
          <cell r="G1011" t="str">
            <v>NO</v>
          </cell>
          <cell r="H1011" t="str">
            <v>SALA MULTIUSO</v>
          </cell>
          <cell r="I1011">
            <v>8</v>
          </cell>
          <cell r="J1011" t="str">
            <v>C.3.3.7</v>
          </cell>
          <cell r="K1011" t="str">
            <v>Laboratorio UMT</v>
          </cell>
          <cell r="L1011">
            <v>2</v>
          </cell>
          <cell r="M1011">
            <v>46024</v>
          </cell>
          <cell r="N1011">
            <v>46027</v>
          </cell>
          <cell r="O1011">
            <v>2</v>
          </cell>
          <cell r="P1011">
            <v>46031</v>
          </cell>
          <cell r="Q1011">
            <v>5</v>
          </cell>
          <cell r="R1011" t="str">
            <v>NA</v>
          </cell>
          <cell r="S1011">
            <v>5</v>
          </cell>
        </row>
        <row r="1012">
          <cell r="B1012" t="str">
            <v>MNC</v>
          </cell>
          <cell r="C1012" t="str">
            <v>HSLB15275</v>
          </cell>
          <cell r="D1012">
            <v>201001</v>
          </cell>
          <cell r="E1012" t="str">
            <v>Estación de Trabajo</v>
          </cell>
          <cell r="F1012" t="str">
            <v>NO</v>
          </cell>
          <cell r="G1012" t="str">
            <v>NO</v>
          </cell>
          <cell r="H1012" t="str">
            <v>SALA DE PREPARACIÓN DE INSUMOS</v>
          </cell>
          <cell r="I1012">
            <v>1</v>
          </cell>
          <cell r="J1012" t="str">
            <v>C.3.3.8</v>
          </cell>
          <cell r="K1012" t="str">
            <v>Laboratorio UMT</v>
          </cell>
          <cell r="L1012">
            <v>2</v>
          </cell>
          <cell r="M1012">
            <v>46024</v>
          </cell>
          <cell r="N1012">
            <v>46027</v>
          </cell>
          <cell r="O1012">
            <v>2</v>
          </cell>
          <cell r="P1012">
            <v>46031</v>
          </cell>
          <cell r="Q1012">
            <v>5</v>
          </cell>
          <cell r="R1012" t="str">
            <v>NA</v>
          </cell>
          <cell r="S1012">
            <v>5</v>
          </cell>
        </row>
        <row r="1013">
          <cell r="B1013" t="str">
            <v>MNC</v>
          </cell>
          <cell r="C1013" t="str">
            <v>HSLB15141</v>
          </cell>
          <cell r="D1013">
            <v>204015</v>
          </cell>
          <cell r="E1013" t="str">
            <v>Sillón Bergere</v>
          </cell>
          <cell r="F1013" t="str">
            <v>NO</v>
          </cell>
          <cell r="G1013" t="str">
            <v>NO</v>
          </cell>
          <cell r="H1013" t="str">
            <v>RESIDENCIA MÉDICA C/BAÑO</v>
          </cell>
          <cell r="I1013">
            <v>1</v>
          </cell>
          <cell r="J1013" t="str">
            <v>C.3.8.3.1</v>
          </cell>
          <cell r="K1013" t="str">
            <v>Laboratorio</v>
          </cell>
          <cell r="L1013">
            <v>2</v>
          </cell>
          <cell r="M1013">
            <v>46024</v>
          </cell>
          <cell r="N1013">
            <v>46027</v>
          </cell>
          <cell r="O1013">
            <v>2</v>
          </cell>
          <cell r="P1013">
            <v>46031</v>
          </cell>
          <cell r="Q1013">
            <v>5</v>
          </cell>
          <cell r="R1013" t="str">
            <v>NA</v>
          </cell>
          <cell r="S1013">
            <v>5</v>
          </cell>
        </row>
        <row r="1014">
          <cell r="B1014" t="str">
            <v>MNC</v>
          </cell>
          <cell r="C1014" t="str">
            <v>HSLB15367</v>
          </cell>
          <cell r="D1014">
            <v>204020</v>
          </cell>
          <cell r="E1014" t="str">
            <v>Silla Butaca Espera 3 Cuerpos</v>
          </cell>
          <cell r="F1014" t="str">
            <v>NO</v>
          </cell>
          <cell r="G1014" t="str">
            <v>NO</v>
          </cell>
          <cell r="H1014" t="str">
            <v>SALA DE ESPERA TOMA DE MUESTRA</v>
          </cell>
          <cell r="I1014">
            <v>12</v>
          </cell>
          <cell r="J1014" t="str">
            <v>C.5.2.1</v>
          </cell>
          <cell r="K1014" t="str">
            <v>Laboratorio</v>
          </cell>
          <cell r="L1014">
            <v>2</v>
          </cell>
          <cell r="M1014">
            <v>46024</v>
          </cell>
          <cell r="N1014">
            <v>46027</v>
          </cell>
          <cell r="O1014">
            <v>2</v>
          </cell>
          <cell r="P1014">
            <v>46030</v>
          </cell>
          <cell r="Q1014">
            <v>5</v>
          </cell>
          <cell r="R1014" t="str">
            <v>NA</v>
          </cell>
          <cell r="S1014">
            <v>5</v>
          </cell>
        </row>
        <row r="1015">
          <cell r="B1015" t="str">
            <v>MNC</v>
          </cell>
          <cell r="C1015" t="str">
            <v>HSLB13375</v>
          </cell>
          <cell r="D1015">
            <v>201009</v>
          </cell>
          <cell r="E1015" t="str">
            <v>Mesa Reuniones Tipo II</v>
          </cell>
          <cell r="F1015" t="str">
            <v>NO</v>
          </cell>
          <cell r="G1015" t="str">
            <v>NO</v>
          </cell>
          <cell r="H1015" t="str">
            <v>SALA DE ESPERA SECUNDARIA Y REUNIONES</v>
          </cell>
          <cell r="I1015">
            <v>1</v>
          </cell>
          <cell r="J1015" t="str">
            <v>C.5.2.10</v>
          </cell>
          <cell r="K1015" t="str">
            <v>Laboratorio</v>
          </cell>
          <cell r="L1015">
            <v>2</v>
          </cell>
          <cell r="M1015">
            <v>46024</v>
          </cell>
          <cell r="N1015">
            <v>46027</v>
          </cell>
          <cell r="O1015">
            <v>2</v>
          </cell>
          <cell r="P1015">
            <v>46030</v>
          </cell>
          <cell r="Q1015">
            <v>5</v>
          </cell>
          <cell r="R1015" t="str">
            <v>NA</v>
          </cell>
          <cell r="S1015">
            <v>5</v>
          </cell>
        </row>
        <row r="1016">
          <cell r="B1016" t="str">
            <v>MNC</v>
          </cell>
          <cell r="C1016" t="str">
            <v>HSLB14814</v>
          </cell>
          <cell r="D1016">
            <v>204012</v>
          </cell>
          <cell r="E1016" t="str">
            <v>Silla Visita</v>
          </cell>
          <cell r="F1016" t="str">
            <v>NO</v>
          </cell>
          <cell r="G1016" t="str">
            <v>NO</v>
          </cell>
          <cell r="H1016" t="str">
            <v>SALA DE ESPERA SECUNDARIA Y REUNIONES</v>
          </cell>
          <cell r="I1016">
            <v>8</v>
          </cell>
          <cell r="J1016" t="str">
            <v>C.5.2.10</v>
          </cell>
          <cell r="K1016" t="str">
            <v>Laboratorio</v>
          </cell>
          <cell r="L1016">
            <v>2</v>
          </cell>
          <cell r="M1016">
            <v>46024</v>
          </cell>
          <cell r="N1016">
            <v>46027</v>
          </cell>
          <cell r="O1016">
            <v>2</v>
          </cell>
          <cell r="P1016">
            <v>46030</v>
          </cell>
          <cell r="Q1016">
            <v>5</v>
          </cell>
          <cell r="R1016" t="str">
            <v>NA</v>
          </cell>
          <cell r="S1016">
            <v>5</v>
          </cell>
        </row>
        <row r="1017">
          <cell r="B1017" t="str">
            <v>MNC</v>
          </cell>
          <cell r="C1017" t="str">
            <v>HSLB13163</v>
          </cell>
          <cell r="D1017">
            <v>201001</v>
          </cell>
          <cell r="E1017" t="str">
            <v>Estación de Trabajo</v>
          </cell>
          <cell r="F1017" t="str">
            <v>NO</v>
          </cell>
          <cell r="G1017" t="str">
            <v>NO</v>
          </cell>
          <cell r="H1017" t="str">
            <v>OFICINA SECRETARÍA</v>
          </cell>
          <cell r="I1017">
            <v>1</v>
          </cell>
          <cell r="J1017" t="str">
            <v>C.5.2.11</v>
          </cell>
          <cell r="K1017" t="str">
            <v>Laboratorio</v>
          </cell>
          <cell r="L1017">
            <v>2</v>
          </cell>
          <cell r="M1017">
            <v>46024</v>
          </cell>
          <cell r="N1017">
            <v>46027</v>
          </cell>
          <cell r="O1017">
            <v>2</v>
          </cell>
          <cell r="P1017">
            <v>46031</v>
          </cell>
          <cell r="Q1017">
            <v>5</v>
          </cell>
          <cell r="R1017" t="str">
            <v>NA</v>
          </cell>
          <cell r="S1017">
            <v>5</v>
          </cell>
        </row>
        <row r="1018">
          <cell r="B1018" t="str">
            <v>MNC</v>
          </cell>
          <cell r="C1018" t="str">
            <v>HSLB14365</v>
          </cell>
          <cell r="D1018">
            <v>204006</v>
          </cell>
          <cell r="E1018" t="str">
            <v>Silla Ergonómica</v>
          </cell>
          <cell r="F1018" t="str">
            <v>NO</v>
          </cell>
          <cell r="G1018" t="str">
            <v>NO</v>
          </cell>
          <cell r="H1018" t="str">
            <v>OFICINA SECRETARÍA</v>
          </cell>
          <cell r="I1018">
            <v>1</v>
          </cell>
          <cell r="J1018" t="str">
            <v>C.5.2.11</v>
          </cell>
          <cell r="K1018" t="str">
            <v>Laboratorio</v>
          </cell>
          <cell r="L1018">
            <v>2</v>
          </cell>
          <cell r="M1018">
            <v>46024</v>
          </cell>
          <cell r="N1018">
            <v>46027</v>
          </cell>
          <cell r="O1018">
            <v>2</v>
          </cell>
          <cell r="P1018">
            <v>46031</v>
          </cell>
          <cell r="Q1018">
            <v>5</v>
          </cell>
          <cell r="R1018" t="str">
            <v>NA</v>
          </cell>
          <cell r="S1018">
            <v>5</v>
          </cell>
        </row>
        <row r="1019">
          <cell r="B1019" t="str">
            <v>MNC</v>
          </cell>
          <cell r="C1019" t="str">
            <v>HSLB14812</v>
          </cell>
          <cell r="D1019">
            <v>204012</v>
          </cell>
          <cell r="E1019" t="str">
            <v>Silla Visita</v>
          </cell>
          <cell r="F1019" t="str">
            <v>NO</v>
          </cell>
          <cell r="G1019" t="str">
            <v>NO</v>
          </cell>
          <cell r="H1019" t="str">
            <v>OFICINA SECRETARÍA</v>
          </cell>
          <cell r="I1019">
            <v>4</v>
          </cell>
          <cell r="J1019" t="str">
            <v>C.5.2.11</v>
          </cell>
          <cell r="K1019" t="str">
            <v>Laboratorio</v>
          </cell>
          <cell r="L1019">
            <v>2</v>
          </cell>
          <cell r="M1019">
            <v>46024</v>
          </cell>
          <cell r="N1019">
            <v>46027</v>
          </cell>
          <cell r="O1019">
            <v>2</v>
          </cell>
          <cell r="P1019">
            <v>46031</v>
          </cell>
          <cell r="Q1019">
            <v>5</v>
          </cell>
          <cell r="R1019" t="str">
            <v>NA</v>
          </cell>
          <cell r="S1019">
            <v>5</v>
          </cell>
        </row>
        <row r="1020">
          <cell r="B1020" t="str">
            <v>MNC</v>
          </cell>
          <cell r="C1020" t="str">
            <v>HSLB13164</v>
          </cell>
          <cell r="D1020">
            <v>201001</v>
          </cell>
          <cell r="E1020" t="str">
            <v>Estación de Trabajo</v>
          </cell>
          <cell r="F1020" t="str">
            <v>NO</v>
          </cell>
          <cell r="G1020" t="str">
            <v>NO</v>
          </cell>
          <cell r="H1020" t="str">
            <v>OFICINA JEFE LABORATORIO</v>
          </cell>
          <cell r="I1020">
            <v>1</v>
          </cell>
          <cell r="J1020" t="str">
            <v>C.5.2.12</v>
          </cell>
          <cell r="K1020" t="str">
            <v>Laboratorio</v>
          </cell>
          <cell r="L1020">
            <v>2</v>
          </cell>
          <cell r="M1020">
            <v>46024</v>
          </cell>
          <cell r="N1020">
            <v>46027</v>
          </cell>
          <cell r="O1020">
            <v>2</v>
          </cell>
          <cell r="P1020">
            <v>46031</v>
          </cell>
          <cell r="Q1020">
            <v>5</v>
          </cell>
          <cell r="R1020" t="str">
            <v>NA</v>
          </cell>
          <cell r="S1020">
            <v>5</v>
          </cell>
        </row>
        <row r="1021">
          <cell r="B1021" t="str">
            <v>MNC</v>
          </cell>
          <cell r="C1021" t="str">
            <v>HSLB14366</v>
          </cell>
          <cell r="D1021">
            <v>204006</v>
          </cell>
          <cell r="E1021" t="str">
            <v>Silla Ergonómica</v>
          </cell>
          <cell r="F1021" t="str">
            <v>NO</v>
          </cell>
          <cell r="G1021" t="str">
            <v>NO</v>
          </cell>
          <cell r="H1021" t="str">
            <v>OFICINA JEFE LABORATORIO</v>
          </cell>
          <cell r="I1021">
            <v>1</v>
          </cell>
          <cell r="J1021" t="str">
            <v>C.5.2.12</v>
          </cell>
          <cell r="K1021" t="str">
            <v>Laboratorio</v>
          </cell>
          <cell r="L1021">
            <v>2</v>
          </cell>
          <cell r="M1021">
            <v>46024</v>
          </cell>
          <cell r="N1021">
            <v>46027</v>
          </cell>
          <cell r="O1021">
            <v>2</v>
          </cell>
          <cell r="P1021">
            <v>46031</v>
          </cell>
          <cell r="Q1021">
            <v>5</v>
          </cell>
          <cell r="R1021" t="str">
            <v>NA</v>
          </cell>
          <cell r="S1021">
            <v>5</v>
          </cell>
        </row>
        <row r="1022">
          <cell r="B1022" t="str">
            <v>MNC</v>
          </cell>
          <cell r="C1022" t="str">
            <v>HSLB14813</v>
          </cell>
          <cell r="D1022">
            <v>204012</v>
          </cell>
          <cell r="E1022" t="str">
            <v>Silla Visita</v>
          </cell>
          <cell r="F1022" t="str">
            <v>NO</v>
          </cell>
          <cell r="G1022" t="str">
            <v>NO</v>
          </cell>
          <cell r="H1022" t="str">
            <v>OFICINA JEFE LABORATORIO</v>
          </cell>
          <cell r="I1022">
            <v>2</v>
          </cell>
          <cell r="J1022" t="str">
            <v>C.5.2.12</v>
          </cell>
          <cell r="K1022" t="str">
            <v>Laboratorio</v>
          </cell>
          <cell r="L1022">
            <v>2</v>
          </cell>
          <cell r="M1022">
            <v>46024</v>
          </cell>
          <cell r="N1022">
            <v>46027</v>
          </cell>
          <cell r="O1022">
            <v>2</v>
          </cell>
          <cell r="P1022">
            <v>46031</v>
          </cell>
          <cell r="Q1022">
            <v>5</v>
          </cell>
          <cell r="R1022" t="str">
            <v>NA</v>
          </cell>
          <cell r="S1022">
            <v>5</v>
          </cell>
        </row>
        <row r="1023">
          <cell r="B1023" t="str">
            <v>MNC</v>
          </cell>
          <cell r="C1023" t="str">
            <v>HSLB13165</v>
          </cell>
          <cell r="D1023">
            <v>201001</v>
          </cell>
          <cell r="E1023" t="str">
            <v>Estación de Trabajo</v>
          </cell>
          <cell r="F1023" t="str">
            <v>NO</v>
          </cell>
          <cell r="G1023" t="str">
            <v>NO</v>
          </cell>
          <cell r="H1023" t="str">
            <v>MÓDULO DE TRABAJO TECNÓLOGO MÉDICO</v>
          </cell>
          <cell r="I1023">
            <v>6</v>
          </cell>
          <cell r="J1023" t="str">
            <v>C.5.2.13</v>
          </cell>
          <cell r="K1023" t="str">
            <v>Laboratorio</v>
          </cell>
          <cell r="L1023">
            <v>2</v>
          </cell>
          <cell r="M1023">
            <v>46024</v>
          </cell>
          <cell r="N1023">
            <v>46027</v>
          </cell>
          <cell r="O1023">
            <v>5</v>
          </cell>
          <cell r="P1023">
            <v>46036</v>
          </cell>
          <cell r="Q1023">
            <v>5</v>
          </cell>
          <cell r="R1023" t="str">
            <v>NA</v>
          </cell>
          <cell r="S1023">
            <v>5</v>
          </cell>
        </row>
        <row r="1024">
          <cell r="B1024" t="str">
            <v>MNC</v>
          </cell>
          <cell r="C1024" t="str">
            <v>HSLB14367</v>
          </cell>
          <cell r="D1024">
            <v>204006</v>
          </cell>
          <cell r="E1024" t="str">
            <v>Silla Ergonómica</v>
          </cell>
          <cell r="F1024" t="str">
            <v>NO</v>
          </cell>
          <cell r="G1024" t="str">
            <v>NO</v>
          </cell>
          <cell r="H1024" t="str">
            <v>MÓDULO DE TRABAJO TECNÓLOGO MÉDICO</v>
          </cell>
          <cell r="I1024">
            <v>6</v>
          </cell>
          <cell r="J1024" t="str">
            <v>C.5.2.13</v>
          </cell>
          <cell r="K1024" t="str">
            <v>Laboratorio</v>
          </cell>
          <cell r="L1024">
            <v>2</v>
          </cell>
          <cell r="M1024">
            <v>46024</v>
          </cell>
          <cell r="N1024">
            <v>46027</v>
          </cell>
          <cell r="O1024">
            <v>2</v>
          </cell>
          <cell r="P1024">
            <v>46031</v>
          </cell>
          <cell r="Q1024">
            <v>5</v>
          </cell>
          <cell r="R1024" t="str">
            <v>NA</v>
          </cell>
          <cell r="S1024">
            <v>5</v>
          </cell>
        </row>
        <row r="1025">
          <cell r="B1025" t="str">
            <v>MNC</v>
          </cell>
          <cell r="C1025" t="str">
            <v>HSLB13420</v>
          </cell>
          <cell r="D1025">
            <v>201011</v>
          </cell>
          <cell r="E1025" t="str">
            <v>Mesa Tipo Casino</v>
          </cell>
          <cell r="F1025" t="str">
            <v>NO</v>
          </cell>
          <cell r="G1025" t="str">
            <v>NO</v>
          </cell>
          <cell r="H1025" t="str">
            <v>ESTAR PERSONAL C/ KITCHENETTE</v>
          </cell>
          <cell r="I1025">
            <v>1</v>
          </cell>
          <cell r="J1025" t="str">
            <v>C.5.2.14</v>
          </cell>
          <cell r="K1025" t="str">
            <v>Laboratorio</v>
          </cell>
          <cell r="L1025">
            <v>2</v>
          </cell>
          <cell r="M1025">
            <v>46024</v>
          </cell>
          <cell r="N1025">
            <v>46027</v>
          </cell>
          <cell r="O1025">
            <v>2</v>
          </cell>
          <cell r="P1025">
            <v>46031</v>
          </cell>
          <cell r="Q1025">
            <v>5</v>
          </cell>
          <cell r="R1025" t="str">
            <v>NA</v>
          </cell>
          <cell r="S1025">
            <v>5</v>
          </cell>
        </row>
        <row r="1026">
          <cell r="B1026" t="str">
            <v>MNC</v>
          </cell>
          <cell r="C1026" t="str">
            <v>HSLB14605</v>
          </cell>
          <cell r="D1026">
            <v>204010</v>
          </cell>
          <cell r="E1026" t="str">
            <v>Silla tipo Casino</v>
          </cell>
          <cell r="F1026" t="str">
            <v>NO</v>
          </cell>
          <cell r="G1026" t="str">
            <v>NO</v>
          </cell>
          <cell r="H1026" t="str">
            <v>ESTAR PERSONAL C/ KITCHENETTE</v>
          </cell>
          <cell r="I1026">
            <v>4</v>
          </cell>
          <cell r="J1026" t="str">
            <v>C.5.2.14</v>
          </cell>
          <cell r="K1026" t="str">
            <v>Laboratorio</v>
          </cell>
          <cell r="L1026">
            <v>2</v>
          </cell>
          <cell r="M1026">
            <v>46024</v>
          </cell>
          <cell r="N1026">
            <v>46027</v>
          </cell>
          <cell r="O1026">
            <v>2</v>
          </cell>
          <cell r="P1026">
            <v>46030</v>
          </cell>
          <cell r="Q1026">
            <v>5</v>
          </cell>
          <cell r="R1026" t="str">
            <v>NA</v>
          </cell>
          <cell r="S1026">
            <v>5</v>
          </cell>
        </row>
        <row r="1027">
          <cell r="B1027" t="str">
            <v>MNC</v>
          </cell>
          <cell r="C1027" t="str">
            <v>HSLB15021</v>
          </cell>
          <cell r="D1027">
            <v>204014</v>
          </cell>
          <cell r="E1027" t="str">
            <v>Sillón 2 Cuerpo</v>
          </cell>
          <cell r="F1027" t="str">
            <v>NO</v>
          </cell>
          <cell r="G1027" t="str">
            <v>NO</v>
          </cell>
          <cell r="H1027" t="str">
            <v>ESTAR PERSONAL C/ KITCHENETTE</v>
          </cell>
          <cell r="I1027">
            <v>1</v>
          </cell>
          <cell r="J1027" t="str">
            <v>C.5.2.14</v>
          </cell>
          <cell r="K1027" t="str">
            <v>Laboratorio</v>
          </cell>
          <cell r="L1027">
            <v>2</v>
          </cell>
          <cell r="M1027">
            <v>46024</v>
          </cell>
          <cell r="N1027">
            <v>46027</v>
          </cell>
          <cell r="O1027">
            <v>2</v>
          </cell>
          <cell r="P1027">
            <v>46029</v>
          </cell>
          <cell r="Q1027">
            <v>5</v>
          </cell>
          <cell r="R1027" t="str">
            <v>NA</v>
          </cell>
          <cell r="S1027">
            <v>5</v>
          </cell>
        </row>
        <row r="1028">
          <cell r="B1028" t="str">
            <v>MNC</v>
          </cell>
          <cell r="C1028" t="str">
            <v>HSLB14368</v>
          </cell>
          <cell r="D1028">
            <v>204006</v>
          </cell>
          <cell r="E1028" t="str">
            <v>Silla Ergonómica</v>
          </cell>
          <cell r="F1028" t="str">
            <v>NO</v>
          </cell>
          <cell r="G1028" t="str">
            <v>NO</v>
          </cell>
          <cell r="H1028" t="str">
            <v>SECCIÓN HEMATOLOGÍA Y COAGULACIÓN</v>
          </cell>
          <cell r="I1028">
            <v>1</v>
          </cell>
          <cell r="J1028" t="str">
            <v>C.5.2.18</v>
          </cell>
          <cell r="K1028" t="str">
            <v>Laboratorio</v>
          </cell>
          <cell r="L1028">
            <v>2</v>
          </cell>
          <cell r="M1028">
            <v>46024</v>
          </cell>
          <cell r="N1028">
            <v>46027</v>
          </cell>
          <cell r="O1028">
            <v>2</v>
          </cell>
          <cell r="P1028">
            <v>46029</v>
          </cell>
          <cell r="Q1028">
            <v>5</v>
          </cell>
          <cell r="R1028" t="str">
            <v>NA</v>
          </cell>
          <cell r="S1028">
            <v>5</v>
          </cell>
        </row>
        <row r="1029">
          <cell r="B1029" t="str">
            <v>MNC</v>
          </cell>
          <cell r="C1029" t="str">
            <v>HSLB14369</v>
          </cell>
          <cell r="D1029">
            <v>204006</v>
          </cell>
          <cell r="E1029" t="str">
            <v>Silla Ergonómica</v>
          </cell>
          <cell r="F1029" t="str">
            <v>NO</v>
          </cell>
          <cell r="G1029" t="str">
            <v>NO</v>
          </cell>
          <cell r="H1029" t="str">
            <v>SECCIÓN BIOQUÍMICA</v>
          </cell>
          <cell r="I1029">
            <v>1</v>
          </cell>
          <cell r="J1029" t="str">
            <v>C.5.2.19</v>
          </cell>
          <cell r="K1029" t="str">
            <v>Laboratorio</v>
          </cell>
          <cell r="L1029">
            <v>2</v>
          </cell>
          <cell r="M1029">
            <v>46024</v>
          </cell>
          <cell r="N1029">
            <v>46027</v>
          </cell>
          <cell r="O1029">
            <v>2</v>
          </cell>
          <cell r="P1029">
            <v>46029</v>
          </cell>
          <cell r="Q1029">
            <v>5</v>
          </cell>
          <cell r="R1029" t="str">
            <v>NA</v>
          </cell>
          <cell r="S1029">
            <v>5</v>
          </cell>
        </row>
        <row r="1030">
          <cell r="B1030" t="str">
            <v>MNC</v>
          </cell>
          <cell r="C1030" t="str">
            <v>HSLB13166</v>
          </cell>
          <cell r="D1030">
            <v>201001</v>
          </cell>
          <cell r="E1030" t="str">
            <v>Estación de Trabajo</v>
          </cell>
          <cell r="F1030" t="str">
            <v>NO</v>
          </cell>
          <cell r="G1030" t="str">
            <v>NO</v>
          </cell>
          <cell r="H1030" t="str">
            <v>SALA DE ENTREVISTAS</v>
          </cell>
          <cell r="I1030">
            <v>1</v>
          </cell>
          <cell r="J1030" t="str">
            <v>C.5.2.2</v>
          </cell>
          <cell r="K1030" t="str">
            <v>Laboratorio</v>
          </cell>
          <cell r="L1030">
            <v>2</v>
          </cell>
          <cell r="M1030">
            <v>46024</v>
          </cell>
          <cell r="N1030">
            <v>46027</v>
          </cell>
          <cell r="O1030">
            <v>2</v>
          </cell>
          <cell r="P1030">
            <v>46029</v>
          </cell>
          <cell r="Q1030">
            <v>5</v>
          </cell>
          <cell r="R1030" t="str">
            <v>NA</v>
          </cell>
          <cell r="S1030">
            <v>5</v>
          </cell>
        </row>
        <row r="1031">
          <cell r="B1031" t="str">
            <v>MNC</v>
          </cell>
          <cell r="C1031" t="str">
            <v>HSLB14370</v>
          </cell>
          <cell r="D1031">
            <v>204006</v>
          </cell>
          <cell r="E1031" t="str">
            <v>Silla Ergonómica</v>
          </cell>
          <cell r="F1031" t="str">
            <v>NO</v>
          </cell>
          <cell r="G1031" t="str">
            <v>NO</v>
          </cell>
          <cell r="H1031" t="str">
            <v>SALA DE ENTREVISTAS</v>
          </cell>
          <cell r="I1031">
            <v>1</v>
          </cell>
          <cell r="J1031" t="str">
            <v>C.5.2.2</v>
          </cell>
          <cell r="K1031" t="str">
            <v>Laboratorio</v>
          </cell>
          <cell r="L1031">
            <v>2</v>
          </cell>
          <cell r="M1031">
            <v>46024</v>
          </cell>
          <cell r="N1031">
            <v>46027</v>
          </cell>
          <cell r="O1031">
            <v>2</v>
          </cell>
          <cell r="P1031">
            <v>46029</v>
          </cell>
          <cell r="Q1031">
            <v>5</v>
          </cell>
          <cell r="R1031" t="str">
            <v>NA</v>
          </cell>
          <cell r="S1031">
            <v>5</v>
          </cell>
        </row>
        <row r="1032">
          <cell r="B1032" t="str">
            <v>MNC</v>
          </cell>
          <cell r="C1032" t="str">
            <v>HSLB14815</v>
          </cell>
          <cell r="D1032">
            <v>204012</v>
          </cell>
          <cell r="E1032" t="str">
            <v>Silla Visita</v>
          </cell>
          <cell r="F1032" t="str">
            <v>NO</v>
          </cell>
          <cell r="G1032" t="str">
            <v>NO</v>
          </cell>
          <cell r="H1032" t="str">
            <v>SALA DE ENTREVISTAS</v>
          </cell>
          <cell r="I1032">
            <v>1</v>
          </cell>
          <cell r="J1032" t="str">
            <v>C.5.2.2</v>
          </cell>
          <cell r="K1032" t="str">
            <v>Laboratorio</v>
          </cell>
          <cell r="L1032">
            <v>2</v>
          </cell>
          <cell r="M1032">
            <v>46024</v>
          </cell>
          <cell r="N1032">
            <v>46027</v>
          </cell>
          <cell r="O1032">
            <v>2</v>
          </cell>
          <cell r="P1032">
            <v>46029</v>
          </cell>
          <cell r="Q1032">
            <v>5</v>
          </cell>
          <cell r="R1032" t="str">
            <v>NA</v>
          </cell>
          <cell r="S1032">
            <v>5</v>
          </cell>
        </row>
        <row r="1033">
          <cell r="B1033" t="str">
            <v>MNC</v>
          </cell>
          <cell r="C1033" t="str">
            <v>HSLB14554</v>
          </cell>
          <cell r="D1033">
            <v>204006</v>
          </cell>
          <cell r="E1033" t="str">
            <v>Silla Ergonómica</v>
          </cell>
          <cell r="F1033" t="str">
            <v>NO</v>
          </cell>
          <cell r="G1033" t="str">
            <v>NO</v>
          </cell>
          <cell r="H1033" t="str">
            <v>SECCIÓN ENDOCRINOLOGÍA</v>
          </cell>
          <cell r="I1033">
            <v>1</v>
          </cell>
          <cell r="J1033" t="str">
            <v>C.5.2.20</v>
          </cell>
          <cell r="K1033" t="str">
            <v>Laboratorio</v>
          </cell>
          <cell r="L1033">
            <v>2</v>
          </cell>
          <cell r="M1033">
            <v>46024</v>
          </cell>
          <cell r="N1033">
            <v>46027</v>
          </cell>
          <cell r="O1033">
            <v>2</v>
          </cell>
          <cell r="P1033">
            <v>46029</v>
          </cell>
          <cell r="Q1033">
            <v>5</v>
          </cell>
          <cell r="R1033" t="str">
            <v>NA</v>
          </cell>
          <cell r="S1033">
            <v>5</v>
          </cell>
        </row>
        <row r="1034">
          <cell r="B1034" t="str">
            <v>MNC</v>
          </cell>
          <cell r="C1034" t="str">
            <v>HSLB14555</v>
          </cell>
          <cell r="D1034">
            <v>204006</v>
          </cell>
          <cell r="E1034" t="str">
            <v>Silla Ergonómica</v>
          </cell>
          <cell r="F1034" t="str">
            <v>NO</v>
          </cell>
          <cell r="G1034" t="str">
            <v>NO</v>
          </cell>
          <cell r="H1034" t="str">
            <v>SECCIÓN INMUNOLOGÍA</v>
          </cell>
          <cell r="I1034">
            <v>1</v>
          </cell>
          <cell r="J1034" t="str">
            <v>C.5.2.21</v>
          </cell>
          <cell r="K1034" t="str">
            <v>Laboratorio</v>
          </cell>
          <cell r="L1034">
            <v>2</v>
          </cell>
          <cell r="M1034">
            <v>46024</v>
          </cell>
          <cell r="N1034">
            <v>46027</v>
          </cell>
          <cell r="O1034">
            <v>2</v>
          </cell>
          <cell r="P1034">
            <v>46029</v>
          </cell>
          <cell r="Q1034">
            <v>5</v>
          </cell>
          <cell r="R1034" t="str">
            <v>NA</v>
          </cell>
          <cell r="S1034">
            <v>5</v>
          </cell>
        </row>
        <row r="1035">
          <cell r="B1035" t="str">
            <v>MNC</v>
          </cell>
          <cell r="C1035" t="str">
            <v>HSLB14371</v>
          </cell>
          <cell r="D1035">
            <v>204006</v>
          </cell>
          <cell r="E1035" t="str">
            <v>Silla Ergonómica</v>
          </cell>
          <cell r="F1035" t="str">
            <v>NO</v>
          </cell>
          <cell r="G1035" t="str">
            <v>NO</v>
          </cell>
          <cell r="H1035" t="str">
            <v>SECCIÓN ORINA</v>
          </cell>
          <cell r="I1035">
            <v>1</v>
          </cell>
          <cell r="J1035" t="str">
            <v>C.5.2.22</v>
          </cell>
          <cell r="K1035" t="str">
            <v>Laboratorio</v>
          </cell>
          <cell r="L1035">
            <v>2</v>
          </cell>
          <cell r="M1035">
            <v>46024</v>
          </cell>
          <cell r="N1035">
            <v>46027</v>
          </cell>
          <cell r="O1035">
            <v>2</v>
          </cell>
          <cell r="P1035">
            <v>46029</v>
          </cell>
          <cell r="Q1035">
            <v>5</v>
          </cell>
          <cell r="R1035" t="str">
            <v>NA</v>
          </cell>
          <cell r="S1035">
            <v>5</v>
          </cell>
        </row>
        <row r="1036">
          <cell r="B1036" t="str">
            <v>MNC</v>
          </cell>
          <cell r="C1036" t="str">
            <v>HSLB14372</v>
          </cell>
          <cell r="D1036">
            <v>204006</v>
          </cell>
          <cell r="E1036" t="str">
            <v>Silla Ergonómica</v>
          </cell>
          <cell r="F1036" t="str">
            <v>NO</v>
          </cell>
          <cell r="G1036" t="str">
            <v>NO</v>
          </cell>
          <cell r="H1036" t="str">
            <v>SECCIÓN BACTERIOLOGÍA</v>
          </cell>
          <cell r="I1036">
            <v>3</v>
          </cell>
          <cell r="J1036" t="str">
            <v>C.5.2.23</v>
          </cell>
          <cell r="K1036" t="str">
            <v>Laboratorio</v>
          </cell>
          <cell r="L1036">
            <v>2</v>
          </cell>
          <cell r="M1036">
            <v>46024</v>
          </cell>
          <cell r="N1036">
            <v>46027</v>
          </cell>
          <cell r="O1036">
            <v>2</v>
          </cell>
          <cell r="P1036">
            <v>46029</v>
          </cell>
          <cell r="Q1036">
            <v>5</v>
          </cell>
          <cell r="R1036" t="str">
            <v>NA</v>
          </cell>
          <cell r="S1036">
            <v>5</v>
          </cell>
        </row>
        <row r="1037">
          <cell r="B1037" t="str">
            <v>MNC</v>
          </cell>
          <cell r="C1037" t="str">
            <v>HSLB14373</v>
          </cell>
          <cell r="D1037">
            <v>204006</v>
          </cell>
          <cell r="E1037" t="str">
            <v>Silla Ergonómica</v>
          </cell>
          <cell r="F1037" t="str">
            <v>NO</v>
          </cell>
          <cell r="G1037" t="str">
            <v>SI</v>
          </cell>
          <cell r="H1037" t="str">
            <v>SECCIÓN PARASITOLOGÍA</v>
          </cell>
          <cell r="I1037">
            <v>1</v>
          </cell>
          <cell r="J1037" t="str">
            <v>C.5.2.24</v>
          </cell>
          <cell r="K1037" t="str">
            <v>Laboratorio</v>
          </cell>
          <cell r="L1037">
            <v>2</v>
          </cell>
          <cell r="M1037">
            <v>46003</v>
          </cell>
          <cell r="N1037">
            <v>46006</v>
          </cell>
          <cell r="O1037">
            <v>1</v>
          </cell>
          <cell r="P1037">
            <v>46007</v>
          </cell>
          <cell r="Q1037">
            <v>5</v>
          </cell>
          <cell r="R1037" t="str">
            <v>NA</v>
          </cell>
          <cell r="S1037">
            <v>5</v>
          </cell>
        </row>
        <row r="1038">
          <cell r="B1038" t="str">
            <v>MNC</v>
          </cell>
          <cell r="C1038" t="str">
            <v>HSLB14374</v>
          </cell>
          <cell r="D1038">
            <v>204006</v>
          </cell>
          <cell r="E1038" t="str">
            <v>Silla Ergonómica</v>
          </cell>
          <cell r="F1038" t="str">
            <v>NO</v>
          </cell>
          <cell r="G1038" t="str">
            <v>NO</v>
          </cell>
          <cell r="H1038" t="str">
            <v>SECCIÓN VDRL</v>
          </cell>
          <cell r="I1038">
            <v>1</v>
          </cell>
          <cell r="J1038" t="str">
            <v>C.5.2.25</v>
          </cell>
          <cell r="K1038" t="str">
            <v>Laboratorio</v>
          </cell>
          <cell r="L1038">
            <v>2</v>
          </cell>
          <cell r="M1038">
            <v>46024</v>
          </cell>
          <cell r="N1038">
            <v>46027</v>
          </cell>
          <cell r="O1038">
            <v>2</v>
          </cell>
          <cell r="P1038">
            <v>46029</v>
          </cell>
          <cell r="Q1038">
            <v>5</v>
          </cell>
          <cell r="R1038" t="str">
            <v>NA</v>
          </cell>
          <cell r="S1038">
            <v>5</v>
          </cell>
        </row>
        <row r="1039">
          <cell r="B1039" t="str">
            <v>MNC</v>
          </cell>
          <cell r="C1039" t="str">
            <v>HSLB14375</v>
          </cell>
          <cell r="D1039">
            <v>204006</v>
          </cell>
          <cell r="E1039" t="str">
            <v>Silla Ergonómica</v>
          </cell>
          <cell r="F1039" t="str">
            <v>NO</v>
          </cell>
          <cell r="G1039" t="str">
            <v>NO</v>
          </cell>
          <cell r="H1039" t="str">
            <v>INMUNOFLUORECENCIA Y VIROLOGÍA</v>
          </cell>
          <cell r="I1039">
            <v>2</v>
          </cell>
          <cell r="J1039" t="str">
            <v>C.5.2.26</v>
          </cell>
          <cell r="K1039" t="str">
            <v>Laboratorio</v>
          </cell>
          <cell r="L1039">
            <v>2</v>
          </cell>
          <cell r="M1039">
            <v>46024</v>
          </cell>
          <cell r="N1039">
            <v>46027</v>
          </cell>
          <cell r="O1039">
            <v>2</v>
          </cell>
          <cell r="P1039">
            <v>46029</v>
          </cell>
          <cell r="Q1039">
            <v>5</v>
          </cell>
          <cell r="R1039" t="str">
            <v>NA</v>
          </cell>
          <cell r="S1039">
            <v>5</v>
          </cell>
        </row>
        <row r="1040">
          <cell r="B1040" t="str">
            <v>MNC</v>
          </cell>
          <cell r="C1040" t="str">
            <v>HSLB14376</v>
          </cell>
          <cell r="D1040">
            <v>204006</v>
          </cell>
          <cell r="E1040" t="str">
            <v>Silla Ergonómica</v>
          </cell>
          <cell r="F1040" t="str">
            <v>NO</v>
          </cell>
          <cell r="G1040" t="str">
            <v>SI</v>
          </cell>
          <cell r="H1040" t="str">
            <v>SECCIÓN BACILOSCOPÍA Y TBC</v>
          </cell>
          <cell r="I1040">
            <v>2</v>
          </cell>
          <cell r="J1040" t="str">
            <v>C.5.2.27</v>
          </cell>
          <cell r="K1040" t="str">
            <v>Laboratorio</v>
          </cell>
          <cell r="L1040">
            <v>2</v>
          </cell>
          <cell r="M1040">
            <v>46003</v>
          </cell>
          <cell r="N1040">
            <v>46006</v>
          </cell>
          <cell r="O1040">
            <v>1</v>
          </cell>
          <cell r="P1040">
            <v>46007</v>
          </cell>
          <cell r="Q1040">
            <v>5</v>
          </cell>
          <cell r="R1040" t="str">
            <v>NA</v>
          </cell>
          <cell r="S1040">
            <v>5</v>
          </cell>
        </row>
        <row r="1041">
          <cell r="B1041" t="str">
            <v>MNC</v>
          </cell>
          <cell r="C1041" t="str">
            <v>HSLB13167</v>
          </cell>
          <cell r="D1041">
            <v>201001</v>
          </cell>
          <cell r="E1041" t="str">
            <v>Estación de Trabajo</v>
          </cell>
          <cell r="F1041" t="str">
            <v>NO</v>
          </cell>
          <cell r="G1041" t="str">
            <v>NO</v>
          </cell>
          <cell r="H1041" t="str">
            <v>SECRETARÍA C/ARCHIVO Y FOTOCOPIADORA</v>
          </cell>
          <cell r="I1041">
            <v>1</v>
          </cell>
          <cell r="J1041" t="str">
            <v>C.5.2.29</v>
          </cell>
          <cell r="K1041" t="str">
            <v>Laboratorio</v>
          </cell>
          <cell r="L1041">
            <v>2</v>
          </cell>
          <cell r="M1041">
            <v>46024</v>
          </cell>
          <cell r="N1041">
            <v>46027</v>
          </cell>
          <cell r="O1041">
            <v>2</v>
          </cell>
          <cell r="P1041">
            <v>46029</v>
          </cell>
          <cell r="Q1041">
            <v>5</v>
          </cell>
          <cell r="R1041" t="str">
            <v>NA</v>
          </cell>
          <cell r="S1041">
            <v>5</v>
          </cell>
        </row>
        <row r="1042">
          <cell r="B1042" t="str">
            <v>MNC</v>
          </cell>
          <cell r="C1042" t="str">
            <v>HSLB14377</v>
          </cell>
          <cell r="D1042">
            <v>204006</v>
          </cell>
          <cell r="E1042" t="str">
            <v>Silla Ergonómica</v>
          </cell>
          <cell r="F1042" t="str">
            <v>NO</v>
          </cell>
          <cell r="G1042" t="str">
            <v>NO</v>
          </cell>
          <cell r="H1042" t="str">
            <v>SECRETARÍA C/ARCHIVO Y FOTOCOPIADORA</v>
          </cell>
          <cell r="I1042">
            <v>1</v>
          </cell>
          <cell r="J1042" t="str">
            <v>C.5.2.29</v>
          </cell>
          <cell r="K1042" t="str">
            <v>Laboratorio</v>
          </cell>
          <cell r="L1042">
            <v>2</v>
          </cell>
          <cell r="M1042">
            <v>46024</v>
          </cell>
          <cell r="N1042">
            <v>46027</v>
          </cell>
          <cell r="O1042">
            <v>2</v>
          </cell>
          <cell r="P1042">
            <v>46029</v>
          </cell>
          <cell r="Q1042">
            <v>5</v>
          </cell>
          <cell r="R1042" t="str">
            <v>NA</v>
          </cell>
          <cell r="S1042">
            <v>5</v>
          </cell>
        </row>
        <row r="1043">
          <cell r="B1043" t="str">
            <v>MNC</v>
          </cell>
          <cell r="C1043" t="str">
            <v>HSLB14816</v>
          </cell>
          <cell r="D1043">
            <v>204012</v>
          </cell>
          <cell r="E1043" t="str">
            <v>Silla Visita</v>
          </cell>
          <cell r="F1043" t="str">
            <v>NO</v>
          </cell>
          <cell r="G1043" t="str">
            <v>NO</v>
          </cell>
          <cell r="H1043" t="str">
            <v>SECRETARÍA C/ARCHIVO Y FOTOCOPIADORA</v>
          </cell>
          <cell r="I1043">
            <v>2</v>
          </cell>
          <cell r="J1043" t="str">
            <v>C.5.2.29</v>
          </cell>
          <cell r="K1043" t="str">
            <v>Laboratorio</v>
          </cell>
          <cell r="L1043">
            <v>2</v>
          </cell>
          <cell r="M1043">
            <v>46024</v>
          </cell>
          <cell r="N1043">
            <v>46027</v>
          </cell>
          <cell r="O1043">
            <v>2</v>
          </cell>
          <cell r="P1043">
            <v>46029</v>
          </cell>
          <cell r="Q1043">
            <v>5</v>
          </cell>
          <cell r="R1043" t="str">
            <v>NA</v>
          </cell>
          <cell r="S1043">
            <v>5</v>
          </cell>
        </row>
        <row r="1044">
          <cell r="B1044" t="str">
            <v>MNC</v>
          </cell>
          <cell r="C1044" t="str">
            <v>HSLB14378</v>
          </cell>
          <cell r="D1044">
            <v>204006</v>
          </cell>
          <cell r="E1044" t="str">
            <v>Silla Ergonómica</v>
          </cell>
          <cell r="F1044" t="str">
            <v>NO</v>
          </cell>
          <cell r="G1044" t="str">
            <v>NO</v>
          </cell>
          <cell r="H1044" t="str">
            <v>MESÓN RECEPCIÓN</v>
          </cell>
          <cell r="I1044">
            <v>2</v>
          </cell>
          <cell r="J1044" t="str">
            <v>C.5.2.3</v>
          </cell>
          <cell r="K1044" t="str">
            <v>Laboratorio</v>
          </cell>
          <cell r="L1044">
            <v>2</v>
          </cell>
          <cell r="M1044">
            <v>46024</v>
          </cell>
          <cell r="N1044">
            <v>46027</v>
          </cell>
          <cell r="O1044">
            <v>2</v>
          </cell>
          <cell r="P1044">
            <v>46029</v>
          </cell>
          <cell r="Q1044">
            <v>5</v>
          </cell>
          <cell r="R1044" t="str">
            <v>NA</v>
          </cell>
          <cell r="S1044">
            <v>5</v>
          </cell>
        </row>
        <row r="1045">
          <cell r="B1045" t="str">
            <v>MNC</v>
          </cell>
          <cell r="C1045" t="str">
            <v>HSLB14379</v>
          </cell>
          <cell r="D1045">
            <v>204006</v>
          </cell>
          <cell r="E1045" t="str">
            <v>Silla Ergonómica</v>
          </cell>
          <cell r="F1045" t="str">
            <v>NO</v>
          </cell>
          <cell r="G1045" t="str">
            <v>NO</v>
          </cell>
          <cell r="H1045" t="str">
            <v>RECEPCIÓN HEMOCOMPONENTES</v>
          </cell>
          <cell r="I1045">
            <v>1</v>
          </cell>
          <cell r="J1045" t="str">
            <v>C.5.2.30</v>
          </cell>
          <cell r="K1045" t="str">
            <v>Laboratorio</v>
          </cell>
          <cell r="L1045">
            <v>2</v>
          </cell>
          <cell r="M1045">
            <v>46024</v>
          </cell>
          <cell r="N1045">
            <v>46027</v>
          </cell>
          <cell r="O1045">
            <v>2</v>
          </cell>
          <cell r="P1045">
            <v>46029</v>
          </cell>
          <cell r="Q1045">
            <v>5</v>
          </cell>
          <cell r="R1045" t="str">
            <v>NA</v>
          </cell>
          <cell r="S1045">
            <v>5</v>
          </cell>
        </row>
        <row r="1046">
          <cell r="B1046" t="str">
            <v>MNC</v>
          </cell>
          <cell r="C1046" t="str">
            <v>HSLB14380</v>
          </cell>
          <cell r="D1046">
            <v>204006</v>
          </cell>
          <cell r="E1046" t="str">
            <v>Silla Ergonómica</v>
          </cell>
          <cell r="F1046" t="str">
            <v>NO</v>
          </cell>
          <cell r="G1046" t="str">
            <v>NO</v>
          </cell>
          <cell r="H1046" t="str">
            <v>SECCIÓN INMUNO HEMATOLOGÍA</v>
          </cell>
          <cell r="I1046">
            <v>2</v>
          </cell>
          <cell r="J1046" t="str">
            <v>C.5.2.31</v>
          </cell>
          <cell r="K1046" t="str">
            <v>Laboratorio</v>
          </cell>
          <cell r="L1046">
            <v>2</v>
          </cell>
          <cell r="M1046">
            <v>46024</v>
          </cell>
          <cell r="N1046">
            <v>46027</v>
          </cell>
          <cell r="O1046">
            <v>2</v>
          </cell>
          <cell r="P1046">
            <v>46029</v>
          </cell>
          <cell r="Q1046">
            <v>5</v>
          </cell>
          <cell r="R1046" t="str">
            <v>NA</v>
          </cell>
          <cell r="S1046">
            <v>5</v>
          </cell>
        </row>
        <row r="1047">
          <cell r="B1047" t="str">
            <v>MNC</v>
          </cell>
          <cell r="C1047" t="str">
            <v>HSLB14381</v>
          </cell>
          <cell r="D1047">
            <v>204006</v>
          </cell>
          <cell r="E1047" t="str">
            <v>Silla Ergonómica</v>
          </cell>
          <cell r="F1047" t="str">
            <v>NO</v>
          </cell>
          <cell r="G1047" t="str">
            <v>NO</v>
          </cell>
          <cell r="H1047" t="str">
            <v>PREPARACIÓN Y DESPACHO TRANSFUSIÓN</v>
          </cell>
          <cell r="I1047">
            <v>1</v>
          </cell>
          <cell r="J1047" t="str">
            <v>C.5.2.32</v>
          </cell>
          <cell r="K1047" t="str">
            <v>Laboratorio</v>
          </cell>
          <cell r="L1047">
            <v>2</v>
          </cell>
          <cell r="M1047">
            <v>46024</v>
          </cell>
          <cell r="N1047">
            <v>46027</v>
          </cell>
          <cell r="O1047">
            <v>2</v>
          </cell>
          <cell r="P1047">
            <v>46029</v>
          </cell>
          <cell r="Q1047">
            <v>5</v>
          </cell>
          <cell r="R1047" t="str">
            <v>NA</v>
          </cell>
          <cell r="S1047">
            <v>5</v>
          </cell>
        </row>
        <row r="1048">
          <cell r="B1048" t="str">
            <v>MNC</v>
          </cell>
          <cell r="C1048" t="str">
            <v>HSLB13168</v>
          </cell>
          <cell r="D1048">
            <v>201001</v>
          </cell>
          <cell r="E1048" t="str">
            <v>Estación de Trabajo</v>
          </cell>
          <cell r="F1048" t="str">
            <v>NO</v>
          </cell>
          <cell r="G1048" t="str">
            <v>NO</v>
          </cell>
          <cell r="H1048" t="str">
            <v>OFICINA TECNÓLOGO</v>
          </cell>
          <cell r="I1048">
            <v>1</v>
          </cell>
          <cell r="J1048" t="str">
            <v>C.5.2.33.1</v>
          </cell>
          <cell r="K1048" t="str">
            <v>Laboratorio</v>
          </cell>
          <cell r="L1048">
            <v>2</v>
          </cell>
          <cell r="M1048">
            <v>46024</v>
          </cell>
          <cell r="N1048">
            <v>46027</v>
          </cell>
          <cell r="O1048">
            <v>2</v>
          </cell>
          <cell r="P1048">
            <v>46029</v>
          </cell>
          <cell r="Q1048">
            <v>5</v>
          </cell>
          <cell r="R1048" t="str">
            <v>NA</v>
          </cell>
          <cell r="S1048">
            <v>5</v>
          </cell>
        </row>
        <row r="1049">
          <cell r="B1049" t="str">
            <v>MNC</v>
          </cell>
          <cell r="C1049" t="str">
            <v>HSLB14382</v>
          </cell>
          <cell r="D1049">
            <v>204006</v>
          </cell>
          <cell r="E1049" t="str">
            <v>Silla Ergonómica</v>
          </cell>
          <cell r="F1049" t="str">
            <v>NO</v>
          </cell>
          <cell r="G1049" t="str">
            <v>NO</v>
          </cell>
          <cell r="H1049" t="str">
            <v>OFICINA TECNÓLOGO</v>
          </cell>
          <cell r="I1049">
            <v>1</v>
          </cell>
          <cell r="J1049" t="str">
            <v>C.5.2.33.1</v>
          </cell>
          <cell r="K1049" t="str">
            <v>Laboratorio</v>
          </cell>
          <cell r="L1049">
            <v>2</v>
          </cell>
          <cell r="M1049">
            <v>46024</v>
          </cell>
          <cell r="N1049">
            <v>46027</v>
          </cell>
          <cell r="O1049">
            <v>2</v>
          </cell>
          <cell r="P1049">
            <v>46029</v>
          </cell>
          <cell r="Q1049">
            <v>5</v>
          </cell>
          <cell r="R1049" t="str">
            <v>NA</v>
          </cell>
          <cell r="S1049">
            <v>5</v>
          </cell>
        </row>
        <row r="1050">
          <cell r="B1050" t="str">
            <v>MNC</v>
          </cell>
          <cell r="C1050" t="str">
            <v>HSLB14817</v>
          </cell>
          <cell r="D1050">
            <v>204012</v>
          </cell>
          <cell r="E1050" t="str">
            <v>Silla Visita</v>
          </cell>
          <cell r="F1050" t="str">
            <v>NO</v>
          </cell>
          <cell r="G1050" t="str">
            <v>NO</v>
          </cell>
          <cell r="H1050" t="str">
            <v>OFICINA TECNÓLOGO</v>
          </cell>
          <cell r="I1050">
            <v>2</v>
          </cell>
          <cell r="J1050" t="str">
            <v>C.5.2.33.1</v>
          </cell>
          <cell r="K1050" t="str">
            <v>Laboratorio</v>
          </cell>
          <cell r="L1050">
            <v>2</v>
          </cell>
          <cell r="M1050">
            <v>46024</v>
          </cell>
          <cell r="N1050">
            <v>46027</v>
          </cell>
          <cell r="O1050">
            <v>2</v>
          </cell>
          <cell r="P1050">
            <v>46029</v>
          </cell>
          <cell r="Q1050">
            <v>5</v>
          </cell>
          <cell r="R1050" t="str">
            <v>NA</v>
          </cell>
          <cell r="S1050">
            <v>5</v>
          </cell>
        </row>
        <row r="1051">
          <cell r="B1051" t="str">
            <v>MNC</v>
          </cell>
          <cell r="C1051" t="str">
            <v>HSLB14818</v>
          </cell>
          <cell r="D1051">
            <v>204012</v>
          </cell>
          <cell r="E1051" t="str">
            <v>Silla Visita</v>
          </cell>
          <cell r="F1051" t="str">
            <v>NO</v>
          </cell>
          <cell r="G1051" t="str">
            <v>NO</v>
          </cell>
          <cell r="H1051" t="str">
            <v>TOMA DE MUESTRA COMUN</v>
          </cell>
          <cell r="I1051">
            <v>1</v>
          </cell>
          <cell r="J1051" t="str">
            <v>C.5.2.4.1</v>
          </cell>
          <cell r="K1051" t="str">
            <v>Laboratorio</v>
          </cell>
          <cell r="L1051">
            <v>2</v>
          </cell>
          <cell r="M1051">
            <v>46024</v>
          </cell>
          <cell r="N1051">
            <v>46027</v>
          </cell>
          <cell r="O1051">
            <v>2</v>
          </cell>
          <cell r="P1051">
            <v>46029</v>
          </cell>
          <cell r="Q1051">
            <v>5</v>
          </cell>
          <cell r="R1051" t="str">
            <v>NA</v>
          </cell>
          <cell r="S1051">
            <v>5</v>
          </cell>
        </row>
        <row r="1052">
          <cell r="B1052" t="str">
            <v>MNC</v>
          </cell>
          <cell r="C1052" t="str">
            <v>HSLB14819</v>
          </cell>
          <cell r="D1052">
            <v>204012</v>
          </cell>
          <cell r="E1052" t="str">
            <v>Silla Visita</v>
          </cell>
          <cell r="F1052" t="str">
            <v>NO</v>
          </cell>
          <cell r="G1052" t="str">
            <v>NO</v>
          </cell>
          <cell r="H1052" t="str">
            <v>TOMA DE MUESTRA COMUN</v>
          </cell>
          <cell r="I1052">
            <v>1</v>
          </cell>
          <cell r="J1052" t="str">
            <v>C.5.2.4.2</v>
          </cell>
          <cell r="K1052" t="str">
            <v>Laboratorio</v>
          </cell>
          <cell r="L1052">
            <v>2</v>
          </cell>
          <cell r="M1052">
            <v>46024</v>
          </cell>
          <cell r="N1052">
            <v>46027</v>
          </cell>
          <cell r="O1052">
            <v>2</v>
          </cell>
          <cell r="P1052">
            <v>46029</v>
          </cell>
          <cell r="Q1052">
            <v>5</v>
          </cell>
          <cell r="R1052" t="str">
            <v>NA</v>
          </cell>
          <cell r="S1052">
            <v>5</v>
          </cell>
        </row>
        <row r="1053">
          <cell r="B1053" t="str">
            <v>MNC</v>
          </cell>
          <cell r="C1053" t="str">
            <v>HSLB15172</v>
          </cell>
          <cell r="D1053">
            <v>201001</v>
          </cell>
          <cell r="E1053" t="str">
            <v>Estación de Trabajo</v>
          </cell>
          <cell r="F1053" t="str">
            <v>NO</v>
          </cell>
          <cell r="G1053" t="str">
            <v>NO</v>
          </cell>
          <cell r="H1053" t="str">
            <v>TOMA DE MUESTRA COMUN</v>
          </cell>
          <cell r="I1053">
            <v>1</v>
          </cell>
          <cell r="J1053" t="str">
            <v>C.5.2.4.2</v>
          </cell>
          <cell r="K1053" t="str">
            <v>Laboratorio</v>
          </cell>
          <cell r="L1053">
            <v>2</v>
          </cell>
          <cell r="M1053">
            <v>46024</v>
          </cell>
          <cell r="N1053">
            <v>46027</v>
          </cell>
          <cell r="O1053">
            <v>2</v>
          </cell>
          <cell r="P1053">
            <v>46029</v>
          </cell>
          <cell r="Q1053">
            <v>5</v>
          </cell>
          <cell r="R1053" t="str">
            <v>NA</v>
          </cell>
          <cell r="S1053">
            <v>5</v>
          </cell>
        </row>
        <row r="1054">
          <cell r="B1054" t="str">
            <v>MNC</v>
          </cell>
          <cell r="C1054" t="str">
            <v>HSLB15368</v>
          </cell>
          <cell r="D1054">
            <v>204006</v>
          </cell>
          <cell r="E1054" t="str">
            <v>Silla Ergonómica</v>
          </cell>
          <cell r="F1054" t="str">
            <v>NO</v>
          </cell>
          <cell r="G1054" t="str">
            <v>NO</v>
          </cell>
          <cell r="H1054" t="str">
            <v>TOMA DE MUESTRA COMUN</v>
          </cell>
          <cell r="I1054">
            <v>1</v>
          </cell>
          <cell r="J1054" t="str">
            <v>C.5.2.4.2</v>
          </cell>
          <cell r="K1054" t="str">
            <v>Laboratorio</v>
          </cell>
          <cell r="L1054">
            <v>2</v>
          </cell>
          <cell r="M1054">
            <v>46024</v>
          </cell>
          <cell r="N1054">
            <v>46027</v>
          </cell>
          <cell r="O1054">
            <v>2</v>
          </cell>
          <cell r="P1054">
            <v>46029</v>
          </cell>
          <cell r="Q1054">
            <v>5</v>
          </cell>
          <cell r="R1054" t="str">
            <v>NA</v>
          </cell>
          <cell r="S1054">
            <v>5</v>
          </cell>
        </row>
        <row r="1055">
          <cell r="B1055" t="str">
            <v>MNC</v>
          </cell>
          <cell r="C1055" t="str">
            <v>HSLB14820</v>
          </cell>
          <cell r="D1055">
            <v>204012</v>
          </cell>
          <cell r="E1055" t="str">
            <v>Silla Visita</v>
          </cell>
          <cell r="F1055" t="str">
            <v>NO</v>
          </cell>
          <cell r="G1055" t="str">
            <v>NO</v>
          </cell>
          <cell r="H1055" t="str">
            <v>TOMA DE MUESTRA COMUN</v>
          </cell>
          <cell r="I1055">
            <v>1</v>
          </cell>
          <cell r="J1055" t="str">
            <v>C.5.2.4.3</v>
          </cell>
          <cell r="K1055" t="str">
            <v>Laboratorio</v>
          </cell>
          <cell r="L1055">
            <v>2</v>
          </cell>
          <cell r="M1055">
            <v>46024</v>
          </cell>
          <cell r="N1055">
            <v>46027</v>
          </cell>
          <cell r="O1055">
            <v>2</v>
          </cell>
          <cell r="P1055">
            <v>46029</v>
          </cell>
          <cell r="Q1055">
            <v>5</v>
          </cell>
          <cell r="R1055" t="str">
            <v>NA</v>
          </cell>
          <cell r="S1055">
            <v>5</v>
          </cell>
        </row>
        <row r="1056">
          <cell r="B1056" t="str">
            <v>MNC</v>
          </cell>
          <cell r="C1056" t="str">
            <v>HSLB14821</v>
          </cell>
          <cell r="D1056">
            <v>204012</v>
          </cell>
          <cell r="E1056" t="str">
            <v>Silla Visita</v>
          </cell>
          <cell r="F1056" t="str">
            <v>NO</v>
          </cell>
          <cell r="G1056" t="str">
            <v>NO</v>
          </cell>
          <cell r="H1056" t="str">
            <v>TOMA DE MUESTRA COMUN</v>
          </cell>
          <cell r="I1056">
            <v>1</v>
          </cell>
          <cell r="J1056" t="str">
            <v>C.5.2.4.4</v>
          </cell>
          <cell r="K1056" t="str">
            <v>Laboratorio</v>
          </cell>
          <cell r="L1056">
            <v>2</v>
          </cell>
          <cell r="M1056">
            <v>46024</v>
          </cell>
          <cell r="N1056">
            <v>46027</v>
          </cell>
          <cell r="O1056">
            <v>2</v>
          </cell>
          <cell r="P1056">
            <v>46029</v>
          </cell>
          <cell r="Q1056">
            <v>5</v>
          </cell>
          <cell r="R1056" t="str">
            <v>NA</v>
          </cell>
          <cell r="S1056">
            <v>5</v>
          </cell>
        </row>
        <row r="1057">
          <cell r="B1057" t="str">
            <v>MNC</v>
          </cell>
          <cell r="C1057" t="str">
            <v>HSLB15173</v>
          </cell>
          <cell r="D1057">
            <v>201001</v>
          </cell>
          <cell r="E1057" t="str">
            <v>Estación de Trabajo</v>
          </cell>
          <cell r="F1057" t="str">
            <v>NO</v>
          </cell>
          <cell r="G1057" t="str">
            <v>NO</v>
          </cell>
          <cell r="H1057" t="str">
            <v>TOMA DE MUESTRA COMUN</v>
          </cell>
          <cell r="I1057">
            <v>1</v>
          </cell>
          <cell r="J1057" t="str">
            <v>C.5.2.4.4</v>
          </cell>
          <cell r="K1057" t="str">
            <v>Laboratorio</v>
          </cell>
          <cell r="L1057">
            <v>2</v>
          </cell>
          <cell r="M1057">
            <v>46024</v>
          </cell>
          <cell r="N1057">
            <v>46027</v>
          </cell>
          <cell r="O1057">
            <v>2</v>
          </cell>
          <cell r="P1057">
            <v>46029</v>
          </cell>
          <cell r="Q1057">
            <v>5</v>
          </cell>
          <cell r="R1057" t="str">
            <v>NA</v>
          </cell>
          <cell r="S1057">
            <v>5</v>
          </cell>
        </row>
        <row r="1058">
          <cell r="B1058" t="str">
            <v>MNC</v>
          </cell>
          <cell r="C1058" t="str">
            <v>HSLB15369</v>
          </cell>
          <cell r="D1058">
            <v>204006</v>
          </cell>
          <cell r="E1058" t="str">
            <v>Silla Ergonómica</v>
          </cell>
          <cell r="F1058" t="str">
            <v>NO</v>
          </cell>
          <cell r="G1058" t="str">
            <v>NO</v>
          </cell>
          <cell r="H1058" t="str">
            <v>TOMA DE MUESTRA COMUN</v>
          </cell>
          <cell r="I1058">
            <v>1</v>
          </cell>
          <cell r="J1058" t="str">
            <v>C.5.2.4.4</v>
          </cell>
          <cell r="K1058" t="str">
            <v>Laboratorio</v>
          </cell>
          <cell r="L1058">
            <v>2</v>
          </cell>
          <cell r="M1058">
            <v>46024</v>
          </cell>
          <cell r="N1058">
            <v>46027</v>
          </cell>
          <cell r="O1058">
            <v>2</v>
          </cell>
          <cell r="P1058">
            <v>46029</v>
          </cell>
          <cell r="Q1058">
            <v>5</v>
          </cell>
          <cell r="R1058" t="str">
            <v>NA</v>
          </cell>
          <cell r="S1058">
            <v>5</v>
          </cell>
        </row>
        <row r="1059">
          <cell r="B1059" t="str">
            <v>MNC</v>
          </cell>
          <cell r="C1059" t="str">
            <v>HSLB14822</v>
          </cell>
          <cell r="D1059">
            <v>204012</v>
          </cell>
          <cell r="E1059" t="str">
            <v>Silla Visita</v>
          </cell>
          <cell r="F1059" t="str">
            <v>NO</v>
          </cell>
          <cell r="G1059" t="str">
            <v>NO</v>
          </cell>
          <cell r="H1059" t="str">
            <v>TOMA DE MUESTRA PEDIÁTRICA (1CUPO)</v>
          </cell>
          <cell r="I1059">
            <v>1</v>
          </cell>
          <cell r="J1059" t="str">
            <v>C.5.2.4.5</v>
          </cell>
          <cell r="K1059" t="str">
            <v>Laboratorio</v>
          </cell>
          <cell r="L1059">
            <v>2</v>
          </cell>
          <cell r="M1059">
            <v>46024</v>
          </cell>
          <cell r="N1059">
            <v>46027</v>
          </cell>
          <cell r="O1059">
            <v>2</v>
          </cell>
          <cell r="P1059">
            <v>46029</v>
          </cell>
          <cell r="Q1059">
            <v>5</v>
          </cell>
          <cell r="R1059" t="str">
            <v>NA</v>
          </cell>
          <cell r="S1059">
            <v>5</v>
          </cell>
        </row>
        <row r="1060">
          <cell r="B1060" t="str">
            <v>MNC</v>
          </cell>
          <cell r="C1060" t="str">
            <v>HSLB15370</v>
          </cell>
          <cell r="D1060">
            <v>201001</v>
          </cell>
          <cell r="E1060" t="str">
            <v>Estación de Trabajo</v>
          </cell>
          <cell r="F1060" t="str">
            <v>NO</v>
          </cell>
          <cell r="G1060" t="str">
            <v>NO</v>
          </cell>
          <cell r="H1060" t="str">
            <v>TOMA DE MUESTRA PEDIÁTRICA (1CUPO)</v>
          </cell>
          <cell r="I1060">
            <v>1</v>
          </cell>
          <cell r="J1060" t="str">
            <v>C.5.2.4.5</v>
          </cell>
          <cell r="K1060" t="str">
            <v>Laboratorio</v>
          </cell>
          <cell r="L1060">
            <v>2</v>
          </cell>
          <cell r="M1060">
            <v>46024</v>
          </cell>
          <cell r="N1060">
            <v>46027</v>
          </cell>
          <cell r="O1060">
            <v>2</v>
          </cell>
          <cell r="P1060">
            <v>46029</v>
          </cell>
          <cell r="Q1060">
            <v>5</v>
          </cell>
          <cell r="R1060" t="str">
            <v>NA</v>
          </cell>
          <cell r="S1060">
            <v>5</v>
          </cell>
        </row>
        <row r="1061">
          <cell r="B1061" t="str">
            <v>MNC</v>
          </cell>
          <cell r="C1061" t="str">
            <v>HSLB14823</v>
          </cell>
          <cell r="D1061">
            <v>204012</v>
          </cell>
          <cell r="E1061" t="str">
            <v>Silla Visita</v>
          </cell>
          <cell r="F1061" t="str">
            <v>NO</v>
          </cell>
          <cell r="G1061" t="str">
            <v>NO</v>
          </cell>
          <cell r="H1061" t="str">
            <v>TOMA DE MUESTRA PEDIÁTRICA (1CUPO)</v>
          </cell>
          <cell r="I1061">
            <v>1</v>
          </cell>
          <cell r="J1061" t="str">
            <v>C.5.2.4.6</v>
          </cell>
          <cell r="K1061" t="str">
            <v>Laboratorio</v>
          </cell>
          <cell r="L1061">
            <v>2</v>
          </cell>
          <cell r="M1061">
            <v>46024</v>
          </cell>
          <cell r="N1061">
            <v>46027</v>
          </cell>
          <cell r="O1061">
            <v>2</v>
          </cell>
          <cell r="P1061">
            <v>46029</v>
          </cell>
          <cell r="Q1061">
            <v>5</v>
          </cell>
          <cell r="R1061" t="str">
            <v>NA</v>
          </cell>
          <cell r="S1061">
            <v>5</v>
          </cell>
        </row>
        <row r="1062">
          <cell r="B1062" t="str">
            <v>MNC</v>
          </cell>
          <cell r="C1062" t="str">
            <v>HSLB15371</v>
          </cell>
          <cell r="D1062">
            <v>201001</v>
          </cell>
          <cell r="E1062" t="str">
            <v>Estación de Trabajo</v>
          </cell>
          <cell r="F1062" t="str">
            <v>NO</v>
          </cell>
          <cell r="G1062" t="str">
            <v>SI</v>
          </cell>
          <cell r="H1062" t="str">
            <v>TOMA DE MUESTRA URGO GINE</v>
          </cell>
          <cell r="I1062">
            <v>1</v>
          </cell>
          <cell r="J1062" t="str">
            <v>C.5.2.4.7</v>
          </cell>
          <cell r="K1062" t="str">
            <v>Laboratorio</v>
          </cell>
          <cell r="L1062">
            <v>2</v>
          </cell>
          <cell r="M1062">
            <v>46003</v>
          </cell>
          <cell r="N1062">
            <v>46006</v>
          </cell>
          <cell r="O1062">
            <v>1</v>
          </cell>
          <cell r="P1062">
            <v>46007</v>
          </cell>
          <cell r="Q1062">
            <v>5</v>
          </cell>
          <cell r="R1062" t="str">
            <v>NA</v>
          </cell>
          <cell r="S1062">
            <v>5</v>
          </cell>
        </row>
        <row r="1063">
          <cell r="B1063" t="str">
            <v>MNC</v>
          </cell>
          <cell r="C1063" t="str">
            <v>HSLB15372</v>
          </cell>
          <cell r="D1063">
            <v>201001</v>
          </cell>
          <cell r="E1063" t="str">
            <v>Estación de Trabajo</v>
          </cell>
          <cell r="F1063" t="str">
            <v>NO</v>
          </cell>
          <cell r="G1063" t="str">
            <v>NO</v>
          </cell>
          <cell r="H1063" t="str">
            <v>SALA DE TRANSFUSIÓN AMBULATORIA</v>
          </cell>
          <cell r="I1063">
            <v>1</v>
          </cell>
          <cell r="J1063" t="str">
            <v>C.5.2.6</v>
          </cell>
          <cell r="K1063" t="str">
            <v>Laboratorio</v>
          </cell>
          <cell r="L1063">
            <v>2</v>
          </cell>
          <cell r="M1063">
            <v>46024</v>
          </cell>
          <cell r="N1063">
            <v>46027</v>
          </cell>
          <cell r="O1063">
            <v>2</v>
          </cell>
          <cell r="P1063">
            <v>46029</v>
          </cell>
          <cell r="Q1063">
            <v>5</v>
          </cell>
          <cell r="R1063" t="str">
            <v>NA</v>
          </cell>
          <cell r="S1063">
            <v>5</v>
          </cell>
        </row>
        <row r="1064">
          <cell r="B1064" t="str">
            <v>MNC</v>
          </cell>
          <cell r="C1064" t="str">
            <v>HSLB14383</v>
          </cell>
          <cell r="D1064">
            <v>204006</v>
          </cell>
          <cell r="E1064" t="str">
            <v>Silla Ergonómica</v>
          </cell>
          <cell r="F1064" t="str">
            <v>NO</v>
          </cell>
          <cell r="G1064" t="str">
            <v>NO</v>
          </cell>
          <cell r="H1064" t="str">
            <v>RECEPCIÓN DE MUESTRAS</v>
          </cell>
          <cell r="I1064">
            <v>2</v>
          </cell>
          <cell r="J1064" t="str">
            <v>C.5.2.8</v>
          </cell>
          <cell r="K1064" t="str">
            <v>Laboratorio</v>
          </cell>
          <cell r="L1064">
            <v>2</v>
          </cell>
          <cell r="M1064">
            <v>46024</v>
          </cell>
          <cell r="N1064">
            <v>46027</v>
          </cell>
          <cell r="O1064">
            <v>2</v>
          </cell>
          <cell r="P1064">
            <v>46029</v>
          </cell>
          <cell r="Q1064">
            <v>5</v>
          </cell>
          <cell r="R1064" t="str">
            <v>NA</v>
          </cell>
          <cell r="S1064">
            <v>5</v>
          </cell>
        </row>
        <row r="1065">
          <cell r="B1065" t="str">
            <v>MNC</v>
          </cell>
          <cell r="C1065" t="str">
            <v>HSLB14384</v>
          </cell>
          <cell r="D1065">
            <v>204006</v>
          </cell>
          <cell r="E1065" t="str">
            <v>Silla Ergonómica</v>
          </cell>
          <cell r="F1065" t="str">
            <v>NO</v>
          </cell>
          <cell r="G1065" t="str">
            <v>NO</v>
          </cell>
          <cell r="H1065" t="str">
            <v>SALA CENTRÍFUGA</v>
          </cell>
          <cell r="I1065">
            <v>2</v>
          </cell>
          <cell r="J1065" t="str">
            <v>C.5.2.9</v>
          </cell>
          <cell r="K1065" t="str">
            <v>Laboratorio</v>
          </cell>
          <cell r="L1065">
            <v>2</v>
          </cell>
          <cell r="M1065">
            <v>46024</v>
          </cell>
          <cell r="N1065">
            <v>46027</v>
          </cell>
          <cell r="O1065">
            <v>2</v>
          </cell>
          <cell r="P1065">
            <v>46029</v>
          </cell>
          <cell r="Q1065">
            <v>5</v>
          </cell>
          <cell r="R1065" t="str">
            <v>NA</v>
          </cell>
          <cell r="S1065">
            <v>5</v>
          </cell>
        </row>
        <row r="1066">
          <cell r="B1066" t="str">
            <v>MNC</v>
          </cell>
          <cell r="C1066" t="str">
            <v>HSLB15377</v>
          </cell>
          <cell r="D1066">
            <v>204020</v>
          </cell>
          <cell r="E1066" t="str">
            <v>Silla Butaca Espera 3 Cuerpos</v>
          </cell>
          <cell r="F1066" t="str">
            <v>NO</v>
          </cell>
          <cell r="G1066" t="str">
            <v>NO</v>
          </cell>
          <cell r="H1066" t="str">
            <v>SALA DE ESPERA FARMACIA AMBULATORIA</v>
          </cell>
          <cell r="I1066">
            <v>13</v>
          </cell>
          <cell r="J1066" t="str">
            <v>C.5.4.1</v>
          </cell>
          <cell r="K1066" t="str">
            <v>Farmacia</v>
          </cell>
          <cell r="L1066">
            <v>2</v>
          </cell>
          <cell r="M1066">
            <v>46039</v>
          </cell>
          <cell r="N1066">
            <v>46041</v>
          </cell>
          <cell r="O1066">
            <v>2</v>
          </cell>
          <cell r="P1066">
            <v>46043</v>
          </cell>
          <cell r="Q1066">
            <v>5</v>
          </cell>
          <cell r="R1066" t="str">
            <v>NA</v>
          </cell>
          <cell r="S1066">
            <v>5</v>
          </cell>
        </row>
        <row r="1067">
          <cell r="B1067" t="str">
            <v>MNC</v>
          </cell>
          <cell r="C1067" t="str">
            <v>HSLB14409</v>
          </cell>
          <cell r="D1067">
            <v>204006</v>
          </cell>
          <cell r="E1067" t="str">
            <v>Silla Ergonómica</v>
          </cell>
          <cell r="F1067" t="str">
            <v>NO</v>
          </cell>
          <cell r="G1067" t="str">
            <v>NO</v>
          </cell>
          <cell r="H1067" t="str">
            <v>DESPACHO Y ESTACIONAMIENTO DE CARROS</v>
          </cell>
          <cell r="I1067">
            <v>4</v>
          </cell>
          <cell r="J1067" t="str">
            <v>C.5.4.10</v>
          </cell>
          <cell r="K1067" t="str">
            <v>Farmacia</v>
          </cell>
          <cell r="L1067">
            <v>2</v>
          </cell>
          <cell r="M1067">
            <v>46039</v>
          </cell>
          <cell r="N1067">
            <v>46041</v>
          </cell>
          <cell r="O1067">
            <v>2</v>
          </cell>
          <cell r="P1067">
            <v>46043</v>
          </cell>
          <cell r="Q1067">
            <v>5</v>
          </cell>
          <cell r="R1067" t="str">
            <v>NA</v>
          </cell>
          <cell r="S1067">
            <v>5</v>
          </cell>
        </row>
        <row r="1068">
          <cell r="B1068" t="str">
            <v>MNC</v>
          </cell>
          <cell r="C1068" t="str">
            <v>HSLB14398</v>
          </cell>
          <cell r="D1068">
            <v>204006</v>
          </cell>
          <cell r="E1068" t="str">
            <v>Silla Ergonómica</v>
          </cell>
          <cell r="F1068" t="str">
            <v>NO</v>
          </cell>
          <cell r="G1068" t="str">
            <v>NO</v>
          </cell>
          <cell r="H1068" t="str">
            <v>FRACCIONAMIENTO Y REENVASADO</v>
          </cell>
          <cell r="I1068">
            <v>2</v>
          </cell>
          <cell r="J1068" t="str">
            <v>C.5.4.11</v>
          </cell>
          <cell r="K1068" t="str">
            <v>Farmacia</v>
          </cell>
          <cell r="L1068">
            <v>2</v>
          </cell>
          <cell r="M1068">
            <v>46039</v>
          </cell>
          <cell r="N1068">
            <v>46041</v>
          </cell>
          <cell r="O1068">
            <v>2</v>
          </cell>
          <cell r="P1068">
            <v>46043</v>
          </cell>
          <cell r="Q1068">
            <v>5</v>
          </cell>
          <cell r="R1068" t="str">
            <v>NA</v>
          </cell>
          <cell r="S1068">
            <v>5</v>
          </cell>
        </row>
        <row r="1069">
          <cell r="B1069" t="str">
            <v>MNC</v>
          </cell>
          <cell r="C1069" t="str">
            <v>HSLB14399</v>
          </cell>
          <cell r="D1069">
            <v>204006</v>
          </cell>
          <cell r="E1069" t="str">
            <v>Silla Ergonómica</v>
          </cell>
          <cell r="F1069" t="str">
            <v>NO</v>
          </cell>
          <cell r="G1069" t="str">
            <v>NO</v>
          </cell>
          <cell r="H1069" t="str">
            <v>SOLIDOS</v>
          </cell>
          <cell r="I1069">
            <v>1</v>
          </cell>
          <cell r="J1069" t="str">
            <v>C.5.4.12</v>
          </cell>
          <cell r="K1069" t="str">
            <v>Farmacia</v>
          </cell>
          <cell r="L1069">
            <v>2</v>
          </cell>
          <cell r="M1069">
            <v>46039</v>
          </cell>
          <cell r="N1069">
            <v>46041</v>
          </cell>
          <cell r="O1069">
            <v>2</v>
          </cell>
          <cell r="P1069">
            <v>46043</v>
          </cell>
          <cell r="Q1069">
            <v>5</v>
          </cell>
          <cell r="R1069" t="str">
            <v>NA</v>
          </cell>
          <cell r="S1069">
            <v>5</v>
          </cell>
        </row>
        <row r="1070">
          <cell r="B1070" t="str">
            <v>MNC</v>
          </cell>
          <cell r="C1070" t="str">
            <v>HSLB15174</v>
          </cell>
          <cell r="D1070">
            <v>201001</v>
          </cell>
          <cell r="E1070" t="str">
            <v>Estación de Trabajo</v>
          </cell>
          <cell r="F1070" t="str">
            <v>NO</v>
          </cell>
          <cell r="G1070" t="str">
            <v>NO</v>
          </cell>
          <cell r="H1070" t="str">
            <v>SOLIDOS</v>
          </cell>
          <cell r="I1070">
            <v>1</v>
          </cell>
          <cell r="J1070" t="str">
            <v>C.5.4.12</v>
          </cell>
          <cell r="K1070" t="str">
            <v>Farmacia</v>
          </cell>
          <cell r="L1070">
            <v>2</v>
          </cell>
          <cell r="M1070">
            <v>46039</v>
          </cell>
          <cell r="N1070">
            <v>46041</v>
          </cell>
          <cell r="O1070">
            <v>5</v>
          </cell>
          <cell r="P1070">
            <v>46048</v>
          </cell>
          <cell r="Q1070">
            <v>5</v>
          </cell>
          <cell r="R1070" t="str">
            <v>NA</v>
          </cell>
          <cell r="S1070">
            <v>5</v>
          </cell>
        </row>
        <row r="1071">
          <cell r="B1071" t="str">
            <v>MNC</v>
          </cell>
          <cell r="C1071" t="str">
            <v>HSLB15378</v>
          </cell>
          <cell r="D1071">
            <v>204012</v>
          </cell>
          <cell r="E1071" t="str">
            <v>Silla Visita</v>
          </cell>
          <cell r="F1071" t="str">
            <v>NO</v>
          </cell>
          <cell r="G1071" t="str">
            <v>NO</v>
          </cell>
          <cell r="H1071" t="str">
            <v>SOLIDOS</v>
          </cell>
          <cell r="I1071">
            <v>2</v>
          </cell>
          <cell r="J1071" t="str">
            <v>C.5.4.12</v>
          </cell>
          <cell r="K1071" t="str">
            <v>Farmacia</v>
          </cell>
          <cell r="L1071">
            <v>2</v>
          </cell>
          <cell r="M1071">
            <v>46039</v>
          </cell>
          <cell r="N1071">
            <v>46041</v>
          </cell>
          <cell r="O1071">
            <v>2</v>
          </cell>
          <cell r="P1071">
            <v>46043</v>
          </cell>
          <cell r="Q1071">
            <v>5</v>
          </cell>
          <cell r="R1071" t="str">
            <v>NA</v>
          </cell>
          <cell r="S1071">
            <v>5</v>
          </cell>
        </row>
        <row r="1072">
          <cell r="B1072" t="str">
            <v>MNC</v>
          </cell>
          <cell r="C1072" t="str">
            <v>HSLB14400</v>
          </cell>
          <cell r="D1072">
            <v>204006</v>
          </cell>
          <cell r="E1072" t="str">
            <v>Silla Ergonómica</v>
          </cell>
          <cell r="F1072" t="str">
            <v>NO</v>
          </cell>
          <cell r="G1072" t="str">
            <v>NO</v>
          </cell>
          <cell r="H1072" t="str">
            <v>LÍQUIDOS</v>
          </cell>
          <cell r="I1072">
            <v>1</v>
          </cell>
          <cell r="J1072" t="str">
            <v>C.5.4.13</v>
          </cell>
          <cell r="K1072" t="str">
            <v>Farmacia</v>
          </cell>
          <cell r="L1072">
            <v>2</v>
          </cell>
          <cell r="M1072">
            <v>46039</v>
          </cell>
          <cell r="N1072">
            <v>46041</v>
          </cell>
          <cell r="O1072">
            <v>2</v>
          </cell>
          <cell r="P1072">
            <v>46043</v>
          </cell>
          <cell r="Q1072">
            <v>5</v>
          </cell>
          <cell r="R1072" t="str">
            <v>NA</v>
          </cell>
          <cell r="S1072">
            <v>5</v>
          </cell>
        </row>
        <row r="1073">
          <cell r="B1073" t="str">
            <v>MNC</v>
          </cell>
          <cell r="C1073" t="str">
            <v>HSLB13177</v>
          </cell>
          <cell r="D1073">
            <v>201001</v>
          </cell>
          <cell r="E1073" t="str">
            <v>Estación de Trabajo</v>
          </cell>
          <cell r="F1073" t="str">
            <v>NO</v>
          </cell>
          <cell r="G1073" t="str">
            <v>NO</v>
          </cell>
          <cell r="H1073" t="str">
            <v>OFICINA JEFE (incl. bodega de estupefacientes)</v>
          </cell>
          <cell r="I1073">
            <v>1</v>
          </cell>
          <cell r="J1073" t="str">
            <v>C.5.4.16</v>
          </cell>
          <cell r="K1073" t="str">
            <v>Farmacia</v>
          </cell>
          <cell r="L1073">
            <v>2</v>
          </cell>
          <cell r="M1073">
            <v>46039</v>
          </cell>
          <cell r="N1073">
            <v>46041</v>
          </cell>
          <cell r="O1073">
            <v>5</v>
          </cell>
          <cell r="P1073">
            <v>46048</v>
          </cell>
          <cell r="Q1073">
            <v>5</v>
          </cell>
          <cell r="R1073" t="str">
            <v>NA</v>
          </cell>
          <cell r="S1073">
            <v>5</v>
          </cell>
        </row>
        <row r="1074">
          <cell r="B1074" t="str">
            <v>MNC</v>
          </cell>
          <cell r="C1074" t="str">
            <v>HSLB14401</v>
          </cell>
          <cell r="D1074">
            <v>204006</v>
          </cell>
          <cell r="E1074" t="str">
            <v>Silla Ergonómica</v>
          </cell>
          <cell r="F1074" t="str">
            <v>NO</v>
          </cell>
          <cell r="G1074" t="str">
            <v>NO</v>
          </cell>
          <cell r="H1074" t="str">
            <v>OFICINA JEFE (incl. bodega de estupefacientes)</v>
          </cell>
          <cell r="I1074">
            <v>1</v>
          </cell>
          <cell r="J1074" t="str">
            <v>C.5.4.16</v>
          </cell>
          <cell r="K1074" t="str">
            <v>Farmacia</v>
          </cell>
          <cell r="L1074">
            <v>2</v>
          </cell>
          <cell r="M1074">
            <v>46039</v>
          </cell>
          <cell r="N1074">
            <v>46041</v>
          </cell>
          <cell r="O1074">
            <v>2</v>
          </cell>
          <cell r="P1074">
            <v>46043</v>
          </cell>
          <cell r="Q1074">
            <v>5</v>
          </cell>
          <cell r="R1074" t="str">
            <v>NA</v>
          </cell>
          <cell r="S1074">
            <v>5</v>
          </cell>
        </row>
        <row r="1075">
          <cell r="B1075" t="str">
            <v>MNC</v>
          </cell>
          <cell r="C1075" t="str">
            <v>HSLB14828</v>
          </cell>
          <cell r="D1075">
            <v>204012</v>
          </cell>
          <cell r="E1075" t="str">
            <v>Silla Visita</v>
          </cell>
          <cell r="F1075" t="str">
            <v>NO</v>
          </cell>
          <cell r="G1075" t="str">
            <v>NO</v>
          </cell>
          <cell r="H1075" t="str">
            <v>OFICINA JEFE (incl. bodega de estupefacientes)</v>
          </cell>
          <cell r="I1075">
            <v>2</v>
          </cell>
          <cell r="J1075" t="str">
            <v>C.5.4.16</v>
          </cell>
          <cell r="K1075" t="str">
            <v>Farmacia</v>
          </cell>
          <cell r="L1075">
            <v>2</v>
          </cell>
          <cell r="M1075">
            <v>46039</v>
          </cell>
          <cell r="N1075">
            <v>46041</v>
          </cell>
          <cell r="O1075">
            <v>2</v>
          </cell>
          <cell r="P1075">
            <v>46043</v>
          </cell>
          <cell r="Q1075">
            <v>5</v>
          </cell>
          <cell r="R1075" t="str">
            <v>NA</v>
          </cell>
          <cell r="S1075">
            <v>5</v>
          </cell>
        </row>
        <row r="1076">
          <cell r="B1076" t="str">
            <v>MNC</v>
          </cell>
          <cell r="C1076" t="str">
            <v>HSLB13178</v>
          </cell>
          <cell r="D1076">
            <v>201001</v>
          </cell>
          <cell r="E1076" t="str">
            <v>Estación de Trabajo</v>
          </cell>
          <cell r="F1076" t="str">
            <v>NO</v>
          </cell>
          <cell r="G1076" t="str">
            <v>NO</v>
          </cell>
          <cell r="H1076" t="str">
            <v>SECRETARIA C/ARCHIVO, FOTOCOP.</v>
          </cell>
          <cell r="I1076">
            <v>1</v>
          </cell>
          <cell r="J1076" t="str">
            <v>C.5.4.18</v>
          </cell>
          <cell r="K1076" t="str">
            <v>Farmacia</v>
          </cell>
          <cell r="L1076">
            <v>2</v>
          </cell>
          <cell r="M1076">
            <v>46039</v>
          </cell>
          <cell r="N1076">
            <v>46041</v>
          </cell>
          <cell r="O1076">
            <v>5</v>
          </cell>
          <cell r="P1076">
            <v>46048</v>
          </cell>
          <cell r="Q1076">
            <v>5</v>
          </cell>
          <cell r="R1076" t="str">
            <v>NA</v>
          </cell>
          <cell r="S1076">
            <v>5</v>
          </cell>
        </row>
        <row r="1077">
          <cell r="B1077" t="str">
            <v>MNC</v>
          </cell>
          <cell r="C1077" t="str">
            <v>HSLB14402</v>
          </cell>
          <cell r="D1077">
            <v>204006</v>
          </cell>
          <cell r="E1077" t="str">
            <v>Silla Ergonómica</v>
          </cell>
          <cell r="F1077" t="str">
            <v>NO</v>
          </cell>
          <cell r="G1077" t="str">
            <v>NO</v>
          </cell>
          <cell r="H1077" t="str">
            <v>SECRETARIA C/ARCHIVO, FOTOCOP.</v>
          </cell>
          <cell r="I1077">
            <v>1</v>
          </cell>
          <cell r="J1077" t="str">
            <v>C.5.4.18</v>
          </cell>
          <cell r="K1077" t="str">
            <v>Farmacia</v>
          </cell>
          <cell r="L1077">
            <v>2</v>
          </cell>
          <cell r="M1077">
            <v>46039</v>
          </cell>
          <cell r="N1077">
            <v>46041</v>
          </cell>
          <cell r="O1077">
            <v>2</v>
          </cell>
          <cell r="P1077">
            <v>46043</v>
          </cell>
          <cell r="Q1077">
            <v>5</v>
          </cell>
          <cell r="R1077" t="str">
            <v>NA</v>
          </cell>
          <cell r="S1077">
            <v>5</v>
          </cell>
        </row>
        <row r="1078">
          <cell r="B1078" t="str">
            <v>MNC</v>
          </cell>
          <cell r="C1078" t="str">
            <v>HSLB14829</v>
          </cell>
          <cell r="D1078">
            <v>204012</v>
          </cell>
          <cell r="E1078" t="str">
            <v>Silla Visita</v>
          </cell>
          <cell r="F1078" t="str">
            <v>NO</v>
          </cell>
          <cell r="G1078" t="str">
            <v>NO</v>
          </cell>
          <cell r="H1078" t="str">
            <v>SECRETARIA C/ARCHIVO, FOTOCOP.</v>
          </cell>
          <cell r="I1078">
            <v>2</v>
          </cell>
          <cell r="J1078" t="str">
            <v>C.5.4.18</v>
          </cell>
          <cell r="K1078" t="str">
            <v>Farmacia</v>
          </cell>
          <cell r="L1078">
            <v>2</v>
          </cell>
          <cell r="M1078">
            <v>46039</v>
          </cell>
          <cell r="N1078">
            <v>46041</v>
          </cell>
          <cell r="O1078">
            <v>2</v>
          </cell>
          <cell r="P1078">
            <v>46043</v>
          </cell>
          <cell r="Q1078">
            <v>5</v>
          </cell>
          <cell r="R1078" t="str">
            <v>NA</v>
          </cell>
          <cell r="S1078">
            <v>5</v>
          </cell>
        </row>
        <row r="1079">
          <cell r="B1079" t="str">
            <v>MNC</v>
          </cell>
          <cell r="C1079" t="str">
            <v>HSLB13179</v>
          </cell>
          <cell r="D1079">
            <v>201001</v>
          </cell>
          <cell r="E1079" t="str">
            <v>Estación de Trabajo</v>
          </cell>
          <cell r="F1079" t="str">
            <v>NO</v>
          </cell>
          <cell r="G1079" t="str">
            <v>NO</v>
          </cell>
          <cell r="H1079" t="str">
            <v>MODULO DE TRABAJO QUIMICOS FARMACEUTICOS</v>
          </cell>
          <cell r="I1079">
            <v>4</v>
          </cell>
          <cell r="J1079" t="str">
            <v>C.5.4.19</v>
          </cell>
          <cell r="K1079" t="str">
            <v>Farmacia</v>
          </cell>
          <cell r="L1079">
            <v>2</v>
          </cell>
          <cell r="M1079">
            <v>46039</v>
          </cell>
          <cell r="N1079">
            <v>46041</v>
          </cell>
          <cell r="O1079">
            <v>5</v>
          </cell>
          <cell r="P1079">
            <v>46048</v>
          </cell>
          <cell r="Q1079">
            <v>5</v>
          </cell>
          <cell r="R1079" t="str">
            <v>NA</v>
          </cell>
          <cell r="S1079">
            <v>5</v>
          </cell>
        </row>
        <row r="1080">
          <cell r="B1080" t="str">
            <v>MNC</v>
          </cell>
          <cell r="C1080" t="str">
            <v>HSLB14403</v>
          </cell>
          <cell r="D1080">
            <v>204006</v>
          </cell>
          <cell r="E1080" t="str">
            <v>Silla Ergonómica</v>
          </cell>
          <cell r="F1080" t="str">
            <v>NO</v>
          </cell>
          <cell r="G1080" t="str">
            <v>NO</v>
          </cell>
          <cell r="H1080" t="str">
            <v>MODULO DE TRABAJO QUIMICOS FARMACEUTICOS</v>
          </cell>
          <cell r="I1080">
            <v>4</v>
          </cell>
          <cell r="J1080" t="str">
            <v>C.5.4.19</v>
          </cell>
          <cell r="K1080" t="str">
            <v>Farmacia</v>
          </cell>
          <cell r="L1080">
            <v>2</v>
          </cell>
          <cell r="M1080">
            <v>46039</v>
          </cell>
          <cell r="N1080">
            <v>46041</v>
          </cell>
          <cell r="O1080">
            <v>2</v>
          </cell>
          <cell r="P1080">
            <v>46043</v>
          </cell>
          <cell r="Q1080">
            <v>5</v>
          </cell>
          <cell r="R1080" t="str">
            <v>NA</v>
          </cell>
          <cell r="S1080">
            <v>5</v>
          </cell>
        </row>
        <row r="1081">
          <cell r="B1081" t="str">
            <v>MNC</v>
          </cell>
          <cell r="C1081" t="str">
            <v>HSLB13180</v>
          </cell>
          <cell r="D1081">
            <v>201001</v>
          </cell>
          <cell r="E1081" t="str">
            <v>Estación de Trabajo</v>
          </cell>
          <cell r="F1081" t="str">
            <v>NO</v>
          </cell>
          <cell r="G1081" t="str">
            <v>NO</v>
          </cell>
          <cell r="H1081" t="str">
            <v>MÓDULOS DE ENTREVISTA Y EDUCACIÓN</v>
          </cell>
          <cell r="I1081">
            <v>1</v>
          </cell>
          <cell r="J1081" t="str">
            <v>C.5.4.2</v>
          </cell>
          <cell r="K1081" t="str">
            <v>Farmacia</v>
          </cell>
          <cell r="L1081">
            <v>2</v>
          </cell>
          <cell r="M1081">
            <v>46039</v>
          </cell>
          <cell r="N1081">
            <v>46041</v>
          </cell>
          <cell r="O1081">
            <v>5</v>
          </cell>
          <cell r="P1081">
            <v>46048</v>
          </cell>
          <cell r="Q1081">
            <v>5</v>
          </cell>
          <cell r="R1081" t="str">
            <v>NA</v>
          </cell>
          <cell r="S1081">
            <v>5</v>
          </cell>
        </row>
        <row r="1082">
          <cell r="B1082" t="str">
            <v>MNC</v>
          </cell>
          <cell r="C1082" t="str">
            <v>HSLB14404</v>
          </cell>
          <cell r="D1082">
            <v>204006</v>
          </cell>
          <cell r="E1082" t="str">
            <v>Silla Ergonómica</v>
          </cell>
          <cell r="F1082" t="str">
            <v>NO</v>
          </cell>
          <cell r="G1082" t="str">
            <v>NO</v>
          </cell>
          <cell r="H1082" t="str">
            <v>MÓDULOS DE ENTREVISTA Y EDUCACIÓN</v>
          </cell>
          <cell r="I1082">
            <v>1</v>
          </cell>
          <cell r="J1082" t="str">
            <v>C.5.4.2</v>
          </cell>
          <cell r="K1082" t="str">
            <v>Farmacia</v>
          </cell>
          <cell r="L1082">
            <v>2</v>
          </cell>
          <cell r="M1082">
            <v>46039</v>
          </cell>
          <cell r="N1082">
            <v>46041</v>
          </cell>
          <cell r="O1082">
            <v>2</v>
          </cell>
          <cell r="P1082">
            <v>46043</v>
          </cell>
          <cell r="Q1082">
            <v>5</v>
          </cell>
          <cell r="R1082" t="str">
            <v>NA</v>
          </cell>
          <cell r="S1082">
            <v>5</v>
          </cell>
        </row>
        <row r="1083">
          <cell r="B1083" t="str">
            <v>MNC</v>
          </cell>
          <cell r="C1083" t="str">
            <v>HSLB14830</v>
          </cell>
          <cell r="D1083">
            <v>204012</v>
          </cell>
          <cell r="E1083" t="str">
            <v>Silla Visita</v>
          </cell>
          <cell r="F1083" t="str">
            <v>NO</v>
          </cell>
          <cell r="G1083" t="str">
            <v>NO</v>
          </cell>
          <cell r="H1083" t="str">
            <v>MÓDULOS DE ENTREVISTA Y EDUCACIÓN</v>
          </cell>
          <cell r="I1083">
            <v>2</v>
          </cell>
          <cell r="J1083" t="str">
            <v>C.5.4.2</v>
          </cell>
          <cell r="K1083" t="str">
            <v>Farmacia</v>
          </cell>
          <cell r="L1083">
            <v>2</v>
          </cell>
          <cell r="M1083">
            <v>46039</v>
          </cell>
          <cell r="N1083">
            <v>46041</v>
          </cell>
          <cell r="O1083">
            <v>2</v>
          </cell>
          <cell r="P1083">
            <v>46043</v>
          </cell>
          <cell r="Q1083">
            <v>5</v>
          </cell>
          <cell r="R1083" t="str">
            <v>NA</v>
          </cell>
          <cell r="S1083">
            <v>5</v>
          </cell>
        </row>
        <row r="1084">
          <cell r="B1084" t="str">
            <v>MNC</v>
          </cell>
          <cell r="C1084" t="str">
            <v>HSLB13422</v>
          </cell>
          <cell r="D1084">
            <v>201011</v>
          </cell>
          <cell r="E1084" t="str">
            <v>Mesa Tipo Casino</v>
          </cell>
          <cell r="F1084" t="str">
            <v>NO</v>
          </cell>
          <cell r="G1084" t="str">
            <v>NO</v>
          </cell>
          <cell r="H1084" t="str">
            <v>ESTAR PERSONAL C/ KITCHENETTE</v>
          </cell>
          <cell r="I1084">
            <v>1</v>
          </cell>
          <cell r="J1084" t="str">
            <v>C.5.4.20</v>
          </cell>
          <cell r="K1084" t="str">
            <v>Farmacia</v>
          </cell>
          <cell r="L1084">
            <v>2</v>
          </cell>
          <cell r="M1084">
            <v>46039</v>
          </cell>
          <cell r="N1084">
            <v>46041</v>
          </cell>
          <cell r="P1084">
            <v>46041</v>
          </cell>
          <cell r="Q1084">
            <v>5</v>
          </cell>
          <cell r="R1084" t="str">
            <v>NA</v>
          </cell>
          <cell r="S1084">
            <v>5</v>
          </cell>
        </row>
        <row r="1085">
          <cell r="B1085" t="str">
            <v>MNC</v>
          </cell>
          <cell r="C1085" t="str">
            <v>HSLB14607</v>
          </cell>
          <cell r="D1085">
            <v>204010</v>
          </cell>
          <cell r="E1085" t="str">
            <v>Silla tipo Casino</v>
          </cell>
          <cell r="F1085" t="str">
            <v>NO</v>
          </cell>
          <cell r="G1085" t="str">
            <v>NO</v>
          </cell>
          <cell r="H1085" t="str">
            <v>ESTAR PERSONAL C/ KITCHENETTE</v>
          </cell>
          <cell r="I1085">
            <v>4</v>
          </cell>
          <cell r="J1085" t="str">
            <v>C.5.4.20</v>
          </cell>
          <cell r="K1085" t="str">
            <v>Farmacia</v>
          </cell>
          <cell r="L1085">
            <v>2</v>
          </cell>
          <cell r="M1085">
            <v>46039</v>
          </cell>
          <cell r="N1085">
            <v>46041</v>
          </cell>
          <cell r="O1085">
            <v>2</v>
          </cell>
          <cell r="P1085">
            <v>46043</v>
          </cell>
          <cell r="Q1085">
            <v>5</v>
          </cell>
          <cell r="R1085" t="str">
            <v>NA</v>
          </cell>
          <cell r="S1085">
            <v>5</v>
          </cell>
        </row>
        <row r="1086">
          <cell r="B1086" t="str">
            <v>MNC</v>
          </cell>
          <cell r="C1086" t="str">
            <v>HSLB15023</v>
          </cell>
          <cell r="D1086">
            <v>204014</v>
          </cell>
          <cell r="E1086" t="str">
            <v>Sillón 2 Cuerpo</v>
          </cell>
          <cell r="F1086" t="str">
            <v>NO</v>
          </cell>
          <cell r="G1086" t="str">
            <v>NO</v>
          </cell>
          <cell r="H1086" t="str">
            <v>ESTAR PERSONAL C/ KITCHENETTE</v>
          </cell>
          <cell r="I1086">
            <v>1</v>
          </cell>
          <cell r="J1086" t="str">
            <v>C.5.4.20</v>
          </cell>
          <cell r="K1086" t="str">
            <v>Farmacia</v>
          </cell>
          <cell r="L1086">
            <v>2</v>
          </cell>
          <cell r="M1086">
            <v>46039</v>
          </cell>
          <cell r="N1086">
            <v>46041</v>
          </cell>
          <cell r="O1086">
            <v>2</v>
          </cell>
          <cell r="P1086">
            <v>46043</v>
          </cell>
          <cell r="Q1086">
            <v>5</v>
          </cell>
          <cell r="R1086" t="str">
            <v>NA</v>
          </cell>
          <cell r="S1086">
            <v>5</v>
          </cell>
        </row>
        <row r="1087">
          <cell r="B1087" t="str">
            <v>MNC</v>
          </cell>
          <cell r="C1087" t="str">
            <v>HSLB15379</v>
          </cell>
          <cell r="D1087">
            <v>204002</v>
          </cell>
          <cell r="E1087" t="str">
            <v>Banca Madera</v>
          </cell>
          <cell r="F1087" t="str">
            <v>NO</v>
          </cell>
          <cell r="G1087" t="str">
            <v>NO</v>
          </cell>
          <cell r="H1087" t="str">
            <v>VESTIDOR C/DUCHA Y LOCKERS (1)</v>
          </cell>
          <cell r="I1087">
            <v>1</v>
          </cell>
          <cell r="J1087" t="str">
            <v>C.5.4.21.1</v>
          </cell>
          <cell r="K1087" t="str">
            <v>Farmacia</v>
          </cell>
          <cell r="L1087">
            <v>2</v>
          </cell>
          <cell r="M1087">
            <v>46039</v>
          </cell>
          <cell r="N1087">
            <v>46041</v>
          </cell>
          <cell r="O1087">
            <v>2</v>
          </cell>
          <cell r="P1087">
            <v>46043</v>
          </cell>
          <cell r="Q1087">
            <v>5</v>
          </cell>
          <cell r="R1087" t="str">
            <v>NA</v>
          </cell>
          <cell r="S1087">
            <v>5</v>
          </cell>
        </row>
        <row r="1088">
          <cell r="B1088" t="str">
            <v>MNC</v>
          </cell>
          <cell r="C1088" t="str">
            <v>HSLB15380</v>
          </cell>
          <cell r="D1088">
            <v>204002</v>
          </cell>
          <cell r="E1088" t="str">
            <v>Banca Madera</v>
          </cell>
          <cell r="F1088" t="str">
            <v>NO</v>
          </cell>
          <cell r="G1088" t="str">
            <v>NO</v>
          </cell>
          <cell r="H1088" t="str">
            <v>VESTIDOR C/DUCHA Y LOCKERS (2)</v>
          </cell>
          <cell r="I1088">
            <v>1</v>
          </cell>
          <cell r="J1088" t="str">
            <v>C.5.4.21.2</v>
          </cell>
          <cell r="K1088" t="str">
            <v>Farmacia</v>
          </cell>
          <cell r="L1088">
            <v>2</v>
          </cell>
          <cell r="M1088">
            <v>46039</v>
          </cell>
          <cell r="N1088">
            <v>46041</v>
          </cell>
          <cell r="O1088">
            <v>2</v>
          </cell>
          <cell r="P1088">
            <v>46043</v>
          </cell>
          <cell r="Q1088">
            <v>5</v>
          </cell>
          <cell r="R1088" t="str">
            <v>NA</v>
          </cell>
          <cell r="S1088">
            <v>5</v>
          </cell>
        </row>
        <row r="1089">
          <cell r="B1089" t="str">
            <v>MNC</v>
          </cell>
          <cell r="C1089" t="str">
            <v>HSLB14405</v>
          </cell>
          <cell r="D1089">
            <v>204006</v>
          </cell>
          <cell r="E1089" t="str">
            <v>Silla Ergonómica</v>
          </cell>
          <cell r="F1089" t="str">
            <v>NO</v>
          </cell>
          <cell r="G1089" t="str">
            <v>NO</v>
          </cell>
          <cell r="H1089" t="str">
            <v>RECEPCIÓN REGISTRO DESPACHO</v>
          </cell>
          <cell r="I1089">
            <v>1</v>
          </cell>
          <cell r="J1089" t="str">
            <v>C.5.4.26</v>
          </cell>
          <cell r="K1089" t="str">
            <v>Farmacia</v>
          </cell>
          <cell r="L1089">
            <v>2</v>
          </cell>
          <cell r="M1089">
            <v>46039</v>
          </cell>
          <cell r="N1089">
            <v>46041</v>
          </cell>
          <cell r="O1089">
            <v>2</v>
          </cell>
          <cell r="P1089">
            <v>46043</v>
          </cell>
          <cell r="Q1089">
            <v>5</v>
          </cell>
          <cell r="R1089" t="str">
            <v>NA</v>
          </cell>
          <cell r="S1089">
            <v>5</v>
          </cell>
        </row>
        <row r="1090">
          <cell r="B1090" t="str">
            <v>MNC</v>
          </cell>
          <cell r="C1090" t="str">
            <v>HSLB15381</v>
          </cell>
          <cell r="D1090">
            <v>201001</v>
          </cell>
          <cell r="E1090" t="str">
            <v>Estación de Trabajo</v>
          </cell>
          <cell r="F1090" t="str">
            <v>NO</v>
          </cell>
          <cell r="G1090" t="str">
            <v>NO</v>
          </cell>
          <cell r="H1090" t="str">
            <v>BODEGA ACTIVA MEDICAMENTOS</v>
          </cell>
          <cell r="I1090">
            <v>1</v>
          </cell>
          <cell r="J1090" t="str">
            <v>C.5.4.28</v>
          </cell>
          <cell r="K1090" t="str">
            <v>Farmacia</v>
          </cell>
          <cell r="L1090">
            <v>2</v>
          </cell>
          <cell r="M1090">
            <v>46039</v>
          </cell>
          <cell r="N1090">
            <v>46041</v>
          </cell>
          <cell r="O1090">
            <v>5</v>
          </cell>
          <cell r="P1090">
            <v>46048</v>
          </cell>
          <cell r="Q1090">
            <v>5</v>
          </cell>
          <cell r="R1090" t="str">
            <v>NA</v>
          </cell>
          <cell r="S1090">
            <v>5</v>
          </cell>
        </row>
        <row r="1091">
          <cell r="B1091" t="str">
            <v>MNC</v>
          </cell>
          <cell r="C1091" t="str">
            <v>HSLB15382</v>
          </cell>
          <cell r="D1091">
            <v>201001</v>
          </cell>
          <cell r="E1091" t="str">
            <v>Estación de Trabajo</v>
          </cell>
          <cell r="F1091" t="str">
            <v>NO</v>
          </cell>
          <cell r="G1091" t="str">
            <v>SI</v>
          </cell>
          <cell r="H1091" t="str">
            <v>BODEGA ACTIVA DE INSUMOS Y SOLUCIONES ANTISÉPTICAS</v>
          </cell>
          <cell r="I1091">
            <v>1</v>
          </cell>
          <cell r="J1091" t="str">
            <v>C.5.4.29</v>
          </cell>
          <cell r="K1091" t="str">
            <v>Farmacia</v>
          </cell>
          <cell r="L1091">
            <v>2</v>
          </cell>
          <cell r="M1091">
            <v>46003</v>
          </cell>
          <cell r="N1091">
            <v>46006</v>
          </cell>
          <cell r="O1091">
            <v>1</v>
          </cell>
          <cell r="P1091">
            <v>46007</v>
          </cell>
          <cell r="Q1091">
            <v>5</v>
          </cell>
          <cell r="R1091" t="str">
            <v>NA</v>
          </cell>
          <cell r="S1091">
            <v>5</v>
          </cell>
        </row>
        <row r="1092">
          <cell r="B1092" t="str">
            <v>MNC</v>
          </cell>
          <cell r="C1092" t="str">
            <v>HSLB13352</v>
          </cell>
          <cell r="D1092">
            <v>201008</v>
          </cell>
          <cell r="E1092" t="str">
            <v>Mesa Reuniones Tipo I</v>
          </cell>
          <cell r="F1092" t="str">
            <v>NO</v>
          </cell>
          <cell r="G1092" t="str">
            <v>NO</v>
          </cell>
          <cell r="H1092" t="str">
            <v>SALA DE TRABAJO GRUPAL</v>
          </cell>
          <cell r="I1092">
            <v>1</v>
          </cell>
          <cell r="J1092" t="str">
            <v>C.5.4.3</v>
          </cell>
          <cell r="K1092" t="str">
            <v>Farmacia</v>
          </cell>
          <cell r="L1092">
            <v>2</v>
          </cell>
          <cell r="M1092">
            <v>46039</v>
          </cell>
          <cell r="N1092">
            <v>46041</v>
          </cell>
          <cell r="P1092">
            <v>46041</v>
          </cell>
          <cell r="Q1092">
            <v>5</v>
          </cell>
          <cell r="R1092" t="str">
            <v>NA</v>
          </cell>
          <cell r="S1092">
            <v>5</v>
          </cell>
        </row>
        <row r="1093">
          <cell r="B1093" t="str">
            <v>MNC</v>
          </cell>
          <cell r="C1093" t="str">
            <v>HSLB14831</v>
          </cell>
          <cell r="D1093">
            <v>204012</v>
          </cell>
          <cell r="E1093" t="str">
            <v>Silla Visita</v>
          </cell>
          <cell r="F1093" t="str">
            <v>NO</v>
          </cell>
          <cell r="G1093" t="str">
            <v>NO</v>
          </cell>
          <cell r="H1093" t="str">
            <v>SALA DE TRABAJO GRUPAL</v>
          </cell>
          <cell r="I1093">
            <v>6</v>
          </cell>
          <cell r="J1093" t="str">
            <v>C.5.4.3</v>
          </cell>
          <cell r="K1093" t="str">
            <v>Farmacia</v>
          </cell>
          <cell r="L1093">
            <v>2</v>
          </cell>
          <cell r="M1093">
            <v>46039</v>
          </cell>
          <cell r="N1093">
            <v>46041</v>
          </cell>
          <cell r="O1093">
            <v>2</v>
          </cell>
          <cell r="P1093">
            <v>46043</v>
          </cell>
          <cell r="Q1093">
            <v>5</v>
          </cell>
          <cell r="R1093" t="str">
            <v>NA</v>
          </cell>
          <cell r="S1093">
            <v>5</v>
          </cell>
        </row>
        <row r="1094">
          <cell r="B1094" t="str">
            <v>MNC</v>
          </cell>
          <cell r="C1094" t="str">
            <v>HSLB14406</v>
          </cell>
          <cell r="D1094">
            <v>204006</v>
          </cell>
          <cell r="E1094" t="str">
            <v>Silla Ergonómica</v>
          </cell>
          <cell r="F1094" t="str">
            <v>NO</v>
          </cell>
          <cell r="G1094" t="str">
            <v>NO</v>
          </cell>
          <cell r="H1094" t="str">
            <v>RECEPCIÓN DESPACHO DIGITACIÓN (VENTANILLAS)</v>
          </cell>
          <cell r="I1094">
            <v>4</v>
          </cell>
          <cell r="J1094" t="str">
            <v>C.5.4.5</v>
          </cell>
          <cell r="K1094" t="str">
            <v>Farmacia</v>
          </cell>
          <cell r="L1094">
            <v>2</v>
          </cell>
          <cell r="M1094">
            <v>46039</v>
          </cell>
          <cell r="N1094">
            <v>46041</v>
          </cell>
          <cell r="O1094">
            <v>2</v>
          </cell>
          <cell r="P1094">
            <v>46043</v>
          </cell>
          <cell r="Q1094">
            <v>5</v>
          </cell>
          <cell r="R1094" t="str">
            <v>NA</v>
          </cell>
          <cell r="S1094">
            <v>5</v>
          </cell>
        </row>
        <row r="1095">
          <cell r="B1095" t="str">
            <v>MNC</v>
          </cell>
          <cell r="C1095" t="str">
            <v>HSLB14407</v>
          </cell>
          <cell r="D1095">
            <v>204006</v>
          </cell>
          <cell r="E1095" t="str">
            <v>Silla Ergonómica</v>
          </cell>
          <cell r="F1095" t="str">
            <v>NO</v>
          </cell>
          <cell r="G1095" t="str">
            <v>NO</v>
          </cell>
          <cell r="H1095" t="str">
            <v>ÁREA PREPARACIÓN DE RECETAS</v>
          </cell>
          <cell r="I1095">
            <v>2</v>
          </cell>
          <cell r="J1095" t="str">
            <v>C.5.4.6</v>
          </cell>
          <cell r="K1095" t="str">
            <v>Farmacia</v>
          </cell>
          <cell r="L1095">
            <v>2</v>
          </cell>
          <cell r="M1095">
            <v>46039</v>
          </cell>
          <cell r="N1095">
            <v>46041</v>
          </cell>
          <cell r="O1095">
            <v>2</v>
          </cell>
          <cell r="P1095">
            <v>46043</v>
          </cell>
          <cell r="Q1095">
            <v>5</v>
          </cell>
          <cell r="R1095" t="str">
            <v>NA</v>
          </cell>
          <cell r="S1095">
            <v>5</v>
          </cell>
        </row>
        <row r="1096">
          <cell r="B1096" t="str">
            <v>MNC</v>
          </cell>
          <cell r="C1096" t="str">
            <v>HSLB15383</v>
          </cell>
          <cell r="D1096">
            <v>204006</v>
          </cell>
          <cell r="E1096" t="str">
            <v>Silla Ergonómica</v>
          </cell>
          <cell r="F1096" t="str">
            <v>NO</v>
          </cell>
          <cell r="G1096" t="str">
            <v>NO</v>
          </cell>
          <cell r="H1096" t="str">
            <v>BODEGA ACTIVA</v>
          </cell>
          <cell r="I1096">
            <v>2</v>
          </cell>
          <cell r="J1096" t="str">
            <v>C.5.4.7</v>
          </cell>
          <cell r="K1096" t="str">
            <v>Farmacia</v>
          </cell>
          <cell r="L1096">
            <v>2</v>
          </cell>
          <cell r="M1096">
            <v>46039</v>
          </cell>
          <cell r="N1096">
            <v>46041</v>
          </cell>
          <cell r="O1096">
            <v>2</v>
          </cell>
          <cell r="P1096">
            <v>46043</v>
          </cell>
          <cell r="Q1096">
            <v>5</v>
          </cell>
          <cell r="R1096" t="str">
            <v>NA</v>
          </cell>
          <cell r="S1096">
            <v>5</v>
          </cell>
        </row>
        <row r="1097">
          <cell r="B1097" t="str">
            <v>MNC</v>
          </cell>
          <cell r="C1097" t="str">
            <v>HSLB14408</v>
          </cell>
          <cell r="D1097">
            <v>204006</v>
          </cell>
          <cell r="E1097" t="str">
            <v>Silla Ergonómica</v>
          </cell>
          <cell r="F1097" t="str">
            <v>NO</v>
          </cell>
          <cell r="G1097" t="str">
            <v>NO</v>
          </cell>
          <cell r="H1097" t="str">
            <v>BODEGA ACTIVA</v>
          </cell>
          <cell r="I1097">
            <v>2</v>
          </cell>
          <cell r="J1097" t="str">
            <v>C.5.4.8</v>
          </cell>
          <cell r="K1097" t="str">
            <v>Farmacia</v>
          </cell>
          <cell r="L1097">
            <v>2</v>
          </cell>
          <cell r="M1097">
            <v>46039</v>
          </cell>
          <cell r="N1097">
            <v>46041</v>
          </cell>
          <cell r="O1097">
            <v>2</v>
          </cell>
          <cell r="P1097">
            <v>46043</v>
          </cell>
          <cell r="Q1097">
            <v>5</v>
          </cell>
          <cell r="R1097" t="str">
            <v>NA</v>
          </cell>
          <cell r="S1097">
            <v>5</v>
          </cell>
        </row>
        <row r="1098">
          <cell r="B1098" t="str">
            <v>MNC</v>
          </cell>
          <cell r="C1098" t="str">
            <v>HSLB15384</v>
          </cell>
          <cell r="D1098">
            <v>204002</v>
          </cell>
          <cell r="E1098" t="str">
            <v>Banca Madera</v>
          </cell>
          <cell r="F1098" t="str">
            <v>NO</v>
          </cell>
          <cell r="G1098" t="str">
            <v>NO</v>
          </cell>
          <cell r="H1098" t="str">
            <v>CAMBIO DE VESTUARIO CON LAVAMANOS</v>
          </cell>
          <cell r="I1098">
            <v>1</v>
          </cell>
          <cell r="J1098" t="str">
            <v>C.5.4_A</v>
          </cell>
          <cell r="K1098" t="str">
            <v>Farmacia</v>
          </cell>
          <cell r="L1098">
            <v>2</v>
          </cell>
          <cell r="M1098">
            <v>46039</v>
          </cell>
          <cell r="N1098">
            <v>46041</v>
          </cell>
          <cell r="O1098">
            <v>2</v>
          </cell>
          <cell r="P1098">
            <v>46043</v>
          </cell>
          <cell r="Q1098">
            <v>5</v>
          </cell>
          <cell r="R1098" t="str">
            <v>NA</v>
          </cell>
          <cell r="S1098">
            <v>5</v>
          </cell>
        </row>
        <row r="1099">
          <cell r="B1099" t="str">
            <v>MNC</v>
          </cell>
          <cell r="C1099" t="str">
            <v>HSLB15395</v>
          </cell>
          <cell r="D1099">
            <v>204002</v>
          </cell>
          <cell r="E1099" t="str">
            <v>Banca Madera</v>
          </cell>
          <cell r="F1099" t="str">
            <v>NO</v>
          </cell>
          <cell r="G1099" t="str">
            <v>NO</v>
          </cell>
          <cell r="H1099" t="str">
            <v>VESTIDOR PACIENTES</v>
          </cell>
          <cell r="I1099">
            <v>1</v>
          </cell>
          <cell r="J1099" t="str">
            <v>C.5.6.2.2_A</v>
          </cell>
          <cell r="K1099" t="str">
            <v>Cirugía menor</v>
          </cell>
          <cell r="L1099">
            <v>2</v>
          </cell>
          <cell r="M1099">
            <v>46041</v>
          </cell>
          <cell r="N1099">
            <v>46042</v>
          </cell>
          <cell r="O1099">
            <v>2</v>
          </cell>
          <cell r="P1099">
            <v>46044</v>
          </cell>
          <cell r="Q1099">
            <v>5</v>
          </cell>
          <cell r="R1099" t="str">
            <v>NA</v>
          </cell>
          <cell r="S1099">
            <v>5</v>
          </cell>
        </row>
        <row r="1100">
          <cell r="B1100" t="str">
            <v>MNC</v>
          </cell>
          <cell r="C1100" t="str">
            <v>HSLB15396</v>
          </cell>
          <cell r="D1100">
            <v>204002</v>
          </cell>
          <cell r="E1100" t="str">
            <v>Banca Madera</v>
          </cell>
          <cell r="F1100" t="str">
            <v>NO</v>
          </cell>
          <cell r="G1100" t="str">
            <v>NO</v>
          </cell>
          <cell r="H1100" t="str">
            <v>VESTIDOR PACIENTES</v>
          </cell>
          <cell r="I1100">
            <v>1</v>
          </cell>
          <cell r="J1100" t="str">
            <v>C.5.6.2.2_B</v>
          </cell>
          <cell r="K1100" t="str">
            <v>Cirugía menor</v>
          </cell>
          <cell r="L1100">
            <v>2</v>
          </cell>
          <cell r="M1100">
            <v>46041</v>
          </cell>
          <cell r="N1100">
            <v>46042</v>
          </cell>
          <cell r="O1100">
            <v>2</v>
          </cell>
          <cell r="P1100">
            <v>46044</v>
          </cell>
          <cell r="Q1100">
            <v>5</v>
          </cell>
          <cell r="R1100" t="str">
            <v>NA</v>
          </cell>
          <cell r="S1100">
            <v>5</v>
          </cell>
        </row>
        <row r="1101">
          <cell r="B1101" t="str">
            <v>MNC</v>
          </cell>
          <cell r="C1101" t="str">
            <v>HSLB13195</v>
          </cell>
          <cell r="D1101">
            <v>201001</v>
          </cell>
          <cell r="E1101" t="str">
            <v>Estación de Trabajo</v>
          </cell>
          <cell r="F1101" t="str">
            <v>NO</v>
          </cell>
          <cell r="G1101" t="str">
            <v>NO</v>
          </cell>
          <cell r="H1101" t="str">
            <v>OFICINA JEFE NUTRICIONISTA</v>
          </cell>
          <cell r="I1101">
            <v>1</v>
          </cell>
          <cell r="J1101" t="str">
            <v>C.5.8.1.1.1</v>
          </cell>
          <cell r="K1101" t="str">
            <v xml:space="preserve">Central de Alimentación </v>
          </cell>
          <cell r="L1101">
            <v>2</v>
          </cell>
          <cell r="M1101">
            <v>46003</v>
          </cell>
          <cell r="N1101">
            <v>46003</v>
          </cell>
          <cell r="P1101">
            <v>46003</v>
          </cell>
          <cell r="Q1101">
            <v>5</v>
          </cell>
          <cell r="R1101" t="str">
            <v>NA</v>
          </cell>
          <cell r="S1101">
            <v>5</v>
          </cell>
        </row>
        <row r="1102">
          <cell r="B1102" t="str">
            <v>MNC</v>
          </cell>
          <cell r="C1102" t="str">
            <v>HSLB14436</v>
          </cell>
          <cell r="D1102">
            <v>204006</v>
          </cell>
          <cell r="E1102" t="str">
            <v>Silla Ergonómica</v>
          </cell>
          <cell r="F1102" t="str">
            <v>NO</v>
          </cell>
          <cell r="G1102" t="str">
            <v>NO</v>
          </cell>
          <cell r="H1102" t="str">
            <v>OFICINA JEFE NUTRICIONISTA</v>
          </cell>
          <cell r="I1102">
            <v>1</v>
          </cell>
          <cell r="J1102" t="str">
            <v>C.5.8.1.1.1</v>
          </cell>
          <cell r="K1102" t="str">
            <v xml:space="preserve">Central de Alimentación </v>
          </cell>
          <cell r="L1102">
            <v>2</v>
          </cell>
          <cell r="M1102">
            <v>46003</v>
          </cell>
          <cell r="N1102">
            <v>46007</v>
          </cell>
          <cell r="O1102">
            <v>2</v>
          </cell>
          <cell r="P1102">
            <v>46010</v>
          </cell>
          <cell r="Q1102">
            <v>5</v>
          </cell>
          <cell r="R1102" t="str">
            <v>NA</v>
          </cell>
          <cell r="S1102">
            <v>5</v>
          </cell>
        </row>
        <row r="1103">
          <cell r="B1103" t="str">
            <v>MNC</v>
          </cell>
          <cell r="C1103" t="str">
            <v>HSLB14850</v>
          </cell>
          <cell r="D1103">
            <v>204012</v>
          </cell>
          <cell r="E1103" t="str">
            <v>Silla Visita</v>
          </cell>
          <cell r="F1103" t="str">
            <v>NO</v>
          </cell>
          <cell r="G1103" t="str">
            <v>NO</v>
          </cell>
          <cell r="H1103" t="str">
            <v>OFICINA JEFE NUTRICIONISTA</v>
          </cell>
          <cell r="I1103">
            <v>2</v>
          </cell>
          <cell r="J1103" t="str">
            <v>C.5.8.1.1.1</v>
          </cell>
          <cell r="K1103" t="str">
            <v xml:space="preserve">Central de Alimentación </v>
          </cell>
          <cell r="L1103">
            <v>2</v>
          </cell>
          <cell r="M1103">
            <v>46003</v>
          </cell>
          <cell r="N1103">
            <v>46007</v>
          </cell>
          <cell r="O1103">
            <v>2</v>
          </cell>
          <cell r="P1103">
            <v>46010</v>
          </cell>
          <cell r="Q1103">
            <v>5</v>
          </cell>
          <cell r="R1103" t="str">
            <v>NA</v>
          </cell>
          <cell r="S1103">
            <v>5</v>
          </cell>
        </row>
        <row r="1104">
          <cell r="B1104" t="str">
            <v>MNC</v>
          </cell>
          <cell r="C1104" t="str">
            <v>HSLB13196</v>
          </cell>
          <cell r="D1104">
            <v>201001</v>
          </cell>
          <cell r="E1104" t="str">
            <v>Estación de Trabajo</v>
          </cell>
          <cell r="F1104" t="str">
            <v>NO</v>
          </cell>
          <cell r="G1104" t="str">
            <v>NO</v>
          </cell>
          <cell r="H1104" t="str">
            <v>MÓDULO DE TRABAJO (INFORMES)</v>
          </cell>
          <cell r="I1104">
            <v>4</v>
          </cell>
          <cell r="J1104" t="str">
            <v>C.5.8.1.1.2</v>
          </cell>
          <cell r="K1104" t="str">
            <v xml:space="preserve">Central de Alimentación </v>
          </cell>
          <cell r="L1104">
            <v>2</v>
          </cell>
          <cell r="M1104">
            <v>46003</v>
          </cell>
          <cell r="N1104">
            <v>46014</v>
          </cell>
          <cell r="O1104">
            <v>5</v>
          </cell>
          <cell r="P1104">
            <v>46021</v>
          </cell>
          <cell r="Q1104">
            <v>5</v>
          </cell>
          <cell r="R1104" t="str">
            <v>NA</v>
          </cell>
          <cell r="S1104">
            <v>5</v>
          </cell>
        </row>
        <row r="1105">
          <cell r="B1105" t="str">
            <v>MNC</v>
          </cell>
          <cell r="C1105" t="str">
            <v>HSLB14437</v>
          </cell>
          <cell r="D1105">
            <v>204006</v>
          </cell>
          <cell r="E1105" t="str">
            <v>Silla Ergonómica</v>
          </cell>
          <cell r="F1105" t="str">
            <v>NO</v>
          </cell>
          <cell r="G1105" t="str">
            <v>NO</v>
          </cell>
          <cell r="H1105" t="str">
            <v>MÓDULO DE TRABAJO (INFORMES)</v>
          </cell>
          <cell r="I1105">
            <v>4</v>
          </cell>
          <cell r="J1105" t="str">
            <v>C.5.8.1.1.2</v>
          </cell>
          <cell r="K1105" t="str">
            <v xml:space="preserve">Central de Alimentación </v>
          </cell>
          <cell r="L1105">
            <v>2</v>
          </cell>
          <cell r="M1105">
            <v>46003</v>
          </cell>
          <cell r="N1105">
            <v>46007</v>
          </cell>
          <cell r="O1105">
            <v>2</v>
          </cell>
          <cell r="P1105">
            <v>46009</v>
          </cell>
          <cell r="Q1105">
            <v>5</v>
          </cell>
          <cell r="R1105" t="str">
            <v>NA</v>
          </cell>
          <cell r="S1105">
            <v>5</v>
          </cell>
        </row>
        <row r="1106">
          <cell r="B1106" t="str">
            <v>MNC</v>
          </cell>
          <cell r="C1106" t="str">
            <v>HSLB13197</v>
          </cell>
          <cell r="D1106">
            <v>201001</v>
          </cell>
          <cell r="E1106" t="str">
            <v>Estación de Trabajo</v>
          </cell>
          <cell r="F1106" t="str">
            <v>NO</v>
          </cell>
          <cell r="G1106" t="str">
            <v>NO</v>
          </cell>
          <cell r="H1106" t="str">
            <v>SECRETARIA C/ARCH. Y FOTO</v>
          </cell>
          <cell r="I1106">
            <v>1</v>
          </cell>
          <cell r="J1106" t="str">
            <v>C.5.8.1.1.5</v>
          </cell>
          <cell r="K1106" t="str">
            <v xml:space="preserve">Central de Alimentación </v>
          </cell>
          <cell r="L1106">
            <v>2</v>
          </cell>
          <cell r="M1106">
            <v>46003</v>
          </cell>
          <cell r="N1106">
            <v>46003</v>
          </cell>
          <cell r="P1106">
            <v>46003</v>
          </cell>
          <cell r="Q1106">
            <v>5</v>
          </cell>
          <cell r="R1106" t="str">
            <v>NA</v>
          </cell>
          <cell r="S1106">
            <v>5</v>
          </cell>
        </row>
        <row r="1107">
          <cell r="B1107" t="str">
            <v>MNC</v>
          </cell>
          <cell r="C1107" t="str">
            <v>HSLB14438</v>
          </cell>
          <cell r="D1107">
            <v>204006</v>
          </cell>
          <cell r="E1107" t="str">
            <v>Silla Ergonómica</v>
          </cell>
          <cell r="F1107" t="str">
            <v>NO</v>
          </cell>
          <cell r="G1107" t="str">
            <v>NO</v>
          </cell>
          <cell r="H1107" t="str">
            <v>SECRETARIA C/ARCH. Y FOTO</v>
          </cell>
          <cell r="I1107">
            <v>1</v>
          </cell>
          <cell r="J1107" t="str">
            <v>C.5.8.1.1.5</v>
          </cell>
          <cell r="K1107" t="str">
            <v xml:space="preserve">Central de Alimentación </v>
          </cell>
          <cell r="L1107">
            <v>2</v>
          </cell>
          <cell r="M1107">
            <v>46003</v>
          </cell>
          <cell r="N1107">
            <v>46007</v>
          </cell>
          <cell r="O1107">
            <v>2</v>
          </cell>
          <cell r="P1107">
            <v>46009</v>
          </cell>
          <cell r="Q1107">
            <v>5</v>
          </cell>
          <cell r="R1107" t="str">
            <v>NA</v>
          </cell>
          <cell r="S1107">
            <v>5</v>
          </cell>
        </row>
        <row r="1108">
          <cell r="B1108" t="str">
            <v>MNC</v>
          </cell>
          <cell r="C1108" t="str">
            <v>HSLB14851</v>
          </cell>
          <cell r="D1108">
            <v>204012</v>
          </cell>
          <cell r="E1108" t="str">
            <v>Silla Visita</v>
          </cell>
          <cell r="F1108" t="str">
            <v>NO</v>
          </cell>
          <cell r="G1108" t="str">
            <v>NO</v>
          </cell>
          <cell r="H1108" t="str">
            <v>SECRETARIA C/ARCH. Y FOTO</v>
          </cell>
          <cell r="I1108">
            <v>2</v>
          </cell>
          <cell r="J1108" t="str">
            <v>C.5.8.1.1.5</v>
          </cell>
          <cell r="K1108" t="str">
            <v xml:space="preserve">Central de Alimentación </v>
          </cell>
          <cell r="L1108">
            <v>2</v>
          </cell>
          <cell r="M1108">
            <v>46003</v>
          </cell>
          <cell r="N1108">
            <v>46007</v>
          </cell>
          <cell r="O1108">
            <v>2</v>
          </cell>
          <cell r="P1108">
            <v>46009</v>
          </cell>
          <cell r="Q1108">
            <v>5</v>
          </cell>
          <cell r="R1108" t="str">
            <v>NA</v>
          </cell>
          <cell r="S1108">
            <v>5</v>
          </cell>
        </row>
        <row r="1109">
          <cell r="B1109" t="str">
            <v>MNC</v>
          </cell>
          <cell r="C1109" t="str">
            <v>HSLB13199</v>
          </cell>
          <cell r="D1109">
            <v>201001</v>
          </cell>
          <cell r="E1109" t="str">
            <v>Estación de Trabajo</v>
          </cell>
          <cell r="F1109" t="str">
            <v>NO</v>
          </cell>
          <cell r="G1109" t="str">
            <v>NO</v>
          </cell>
          <cell r="H1109" t="str">
            <v>JEFE CENTRAL DE ALIMENTACIÓN</v>
          </cell>
          <cell r="I1109">
            <v>1</v>
          </cell>
          <cell r="J1109" t="str">
            <v>C.5.8.2.1</v>
          </cell>
          <cell r="K1109" t="str">
            <v xml:space="preserve">Central de Alimentación </v>
          </cell>
          <cell r="L1109">
            <v>2</v>
          </cell>
          <cell r="M1109">
            <v>46003</v>
          </cell>
          <cell r="N1109">
            <v>46003</v>
          </cell>
          <cell r="P1109">
            <v>46003</v>
          </cell>
          <cell r="Q1109">
            <v>5</v>
          </cell>
          <cell r="R1109" t="str">
            <v>NA</v>
          </cell>
          <cell r="S1109">
            <v>5</v>
          </cell>
        </row>
        <row r="1110">
          <cell r="B1110" t="str">
            <v>MNC</v>
          </cell>
          <cell r="C1110" t="str">
            <v>HSLB14440</v>
          </cell>
          <cell r="D1110">
            <v>204006</v>
          </cell>
          <cell r="E1110" t="str">
            <v>Silla Ergonómica</v>
          </cell>
          <cell r="F1110" t="str">
            <v>NO</v>
          </cell>
          <cell r="G1110" t="str">
            <v>NO</v>
          </cell>
          <cell r="H1110" t="str">
            <v>JEFE CENTRAL DE ALIMENTACIÓN</v>
          </cell>
          <cell r="I1110">
            <v>1</v>
          </cell>
          <cell r="J1110" t="str">
            <v>C.5.8.2.1</v>
          </cell>
          <cell r="K1110" t="str">
            <v xml:space="preserve">Central de Alimentación </v>
          </cell>
          <cell r="L1110">
            <v>2</v>
          </cell>
          <cell r="M1110">
            <v>46003</v>
          </cell>
          <cell r="N1110">
            <v>46007</v>
          </cell>
          <cell r="O1110">
            <v>2</v>
          </cell>
          <cell r="P1110">
            <v>46009</v>
          </cell>
          <cell r="Q1110">
            <v>5</v>
          </cell>
          <cell r="R1110" t="str">
            <v>NA</v>
          </cell>
          <cell r="S1110">
            <v>5</v>
          </cell>
        </row>
        <row r="1111">
          <cell r="B1111" t="str">
            <v>MNC</v>
          </cell>
          <cell r="C1111" t="str">
            <v>HSLB14853</v>
          </cell>
          <cell r="D1111">
            <v>204012</v>
          </cell>
          <cell r="E1111" t="str">
            <v>Silla Visita</v>
          </cell>
          <cell r="F1111" t="str">
            <v>NO</v>
          </cell>
          <cell r="G1111" t="str">
            <v>NO</v>
          </cell>
          <cell r="H1111" t="str">
            <v>JEFE CENTRAL DE ALIMENTACIÓN</v>
          </cell>
          <cell r="I1111">
            <v>2</v>
          </cell>
          <cell r="J1111" t="str">
            <v>C.5.8.2.1</v>
          </cell>
          <cell r="K1111" t="str">
            <v xml:space="preserve">Central de Alimentación </v>
          </cell>
          <cell r="L1111">
            <v>2</v>
          </cell>
          <cell r="M1111">
            <v>46003</v>
          </cell>
          <cell r="N1111">
            <v>46007</v>
          </cell>
          <cell r="O1111">
            <v>2</v>
          </cell>
          <cell r="P1111">
            <v>46009</v>
          </cell>
          <cell r="Q1111">
            <v>5</v>
          </cell>
          <cell r="R1111" t="str">
            <v>NA</v>
          </cell>
          <cell r="S1111">
            <v>5</v>
          </cell>
        </row>
        <row r="1112">
          <cell r="B1112" t="str">
            <v>MNC</v>
          </cell>
          <cell r="C1112" t="str">
            <v>HSLB14441</v>
          </cell>
          <cell r="D1112">
            <v>204006</v>
          </cell>
          <cell r="E1112" t="str">
            <v>Silla Ergonómica</v>
          </cell>
          <cell r="F1112" t="str">
            <v>NO</v>
          </cell>
          <cell r="G1112" t="str">
            <v>NO</v>
          </cell>
          <cell r="H1112" t="str">
            <v>PESAJE, REGISTRO E INSPECCIÓN</v>
          </cell>
          <cell r="I1112">
            <v>1</v>
          </cell>
          <cell r="J1112" t="str">
            <v>C.5.8.2.10</v>
          </cell>
          <cell r="K1112" t="str">
            <v xml:space="preserve">Central de Alimentación </v>
          </cell>
          <cell r="L1112">
            <v>2</v>
          </cell>
          <cell r="M1112">
            <v>46003</v>
          </cell>
          <cell r="N1112">
            <v>46007</v>
          </cell>
          <cell r="O1112">
            <v>2</v>
          </cell>
          <cell r="P1112">
            <v>46009</v>
          </cell>
          <cell r="Q1112">
            <v>5</v>
          </cell>
          <cell r="R1112" t="str">
            <v>NA</v>
          </cell>
          <cell r="S1112">
            <v>5</v>
          </cell>
        </row>
        <row r="1113">
          <cell r="B1113" t="str">
            <v>MNC</v>
          </cell>
          <cell r="C1113" t="str">
            <v>HSLB14442</v>
          </cell>
          <cell r="D1113">
            <v>204006</v>
          </cell>
          <cell r="E1113" t="str">
            <v>Silla Ergonómica</v>
          </cell>
          <cell r="F1113" t="str">
            <v>NO</v>
          </cell>
          <cell r="G1113" t="str">
            <v>SI</v>
          </cell>
          <cell r="H1113" t="str">
            <v>BODEGA DIARIA ALIMENTOS NO PERECIBLES (ABARROTES)</v>
          </cell>
          <cell r="I1113">
            <v>1</v>
          </cell>
          <cell r="J1113" t="str">
            <v>C.5.8.2.14</v>
          </cell>
          <cell r="K1113" t="str">
            <v xml:space="preserve">Central de Alimentación </v>
          </cell>
          <cell r="L1113">
            <v>2</v>
          </cell>
          <cell r="M1113">
            <v>46003</v>
          </cell>
          <cell r="N1113">
            <v>46006</v>
          </cell>
          <cell r="O1113">
            <v>1</v>
          </cell>
          <cell r="P1113">
            <v>46007</v>
          </cell>
          <cell r="Q1113">
            <v>5</v>
          </cell>
          <cell r="R1113" t="str">
            <v>NA</v>
          </cell>
          <cell r="S1113">
            <v>5</v>
          </cell>
        </row>
        <row r="1114">
          <cell r="B1114" t="str">
            <v>MNC</v>
          </cell>
          <cell r="C1114" t="str">
            <v>HSLB15416</v>
          </cell>
          <cell r="D1114">
            <v>201001</v>
          </cell>
          <cell r="E1114" t="str">
            <v>Estación de Trabajo</v>
          </cell>
          <cell r="F1114" t="str">
            <v>NO</v>
          </cell>
          <cell r="G1114" t="str">
            <v>SI</v>
          </cell>
          <cell r="H1114" t="str">
            <v>BODEGA DIARIA ALIMENTOS NO PERECIBLES (ABARROTES)</v>
          </cell>
          <cell r="I1114">
            <v>1</v>
          </cell>
          <cell r="J1114" t="str">
            <v>C.5.8.2.14</v>
          </cell>
          <cell r="K1114" t="str">
            <v xml:space="preserve">Central de Alimentación </v>
          </cell>
          <cell r="L1114">
            <v>2</v>
          </cell>
          <cell r="M1114">
            <v>46003</v>
          </cell>
          <cell r="N1114">
            <v>46006</v>
          </cell>
          <cell r="O1114">
            <v>1</v>
          </cell>
          <cell r="P1114">
            <v>46007</v>
          </cell>
          <cell r="Q1114">
            <v>5</v>
          </cell>
          <cell r="R1114" t="str">
            <v>NA</v>
          </cell>
          <cell r="S1114">
            <v>5</v>
          </cell>
        </row>
        <row r="1115">
          <cell r="B1115" t="str">
            <v>MNC</v>
          </cell>
          <cell r="C1115" t="str">
            <v>HSLB13200</v>
          </cell>
          <cell r="D1115">
            <v>201001</v>
          </cell>
          <cell r="E1115" t="str">
            <v>Estación de Trabajo</v>
          </cell>
          <cell r="F1115" t="str">
            <v>NO</v>
          </cell>
          <cell r="G1115" t="str">
            <v>NO</v>
          </cell>
          <cell r="H1115" t="str">
            <v>SECRETARIA C/ARCH. Y FOTO</v>
          </cell>
          <cell r="I1115">
            <v>1</v>
          </cell>
          <cell r="J1115" t="str">
            <v>C.5.8.2.2</v>
          </cell>
          <cell r="K1115" t="str">
            <v xml:space="preserve">Central de Alimentación </v>
          </cell>
          <cell r="L1115">
            <v>2</v>
          </cell>
          <cell r="M1115">
            <v>46003</v>
          </cell>
          <cell r="N1115">
            <v>46003</v>
          </cell>
          <cell r="P1115">
            <v>46003</v>
          </cell>
          <cell r="Q1115">
            <v>5</v>
          </cell>
          <cell r="R1115" t="str">
            <v>NA</v>
          </cell>
          <cell r="S1115">
            <v>5</v>
          </cell>
        </row>
        <row r="1116">
          <cell r="B1116" t="str">
            <v>MNC</v>
          </cell>
          <cell r="C1116" t="str">
            <v>HSLB14443</v>
          </cell>
          <cell r="D1116">
            <v>204006</v>
          </cell>
          <cell r="E1116" t="str">
            <v>Silla Ergonómica</v>
          </cell>
          <cell r="F1116" t="str">
            <v>NO</v>
          </cell>
          <cell r="G1116" t="str">
            <v>NO</v>
          </cell>
          <cell r="H1116" t="str">
            <v>SECRETARIA C/ARCH. Y FOTO</v>
          </cell>
          <cell r="I1116">
            <v>1</v>
          </cell>
          <cell r="J1116" t="str">
            <v>C.5.8.2.2</v>
          </cell>
          <cell r="K1116" t="str">
            <v xml:space="preserve">Central de Alimentación </v>
          </cell>
          <cell r="L1116">
            <v>2</v>
          </cell>
          <cell r="M1116">
            <v>46003</v>
          </cell>
          <cell r="N1116">
            <v>46007</v>
          </cell>
          <cell r="O1116">
            <v>2</v>
          </cell>
          <cell r="P1116">
            <v>46009</v>
          </cell>
          <cell r="Q1116">
            <v>5</v>
          </cell>
          <cell r="R1116" t="str">
            <v>NA</v>
          </cell>
          <cell r="S1116">
            <v>5</v>
          </cell>
        </row>
        <row r="1117">
          <cell r="B1117" t="str">
            <v>MNC</v>
          </cell>
          <cell r="C1117" t="str">
            <v>HSLB14854</v>
          </cell>
          <cell r="D1117">
            <v>204012</v>
          </cell>
          <cell r="E1117" t="str">
            <v>Silla Visita</v>
          </cell>
          <cell r="F1117" t="str">
            <v>NO</v>
          </cell>
          <cell r="G1117" t="str">
            <v>NO</v>
          </cell>
          <cell r="H1117" t="str">
            <v>SECRETARIA C/ARCH. Y FOTO</v>
          </cell>
          <cell r="I1117">
            <v>2</v>
          </cell>
          <cell r="J1117" t="str">
            <v>C.5.8.2.2</v>
          </cell>
          <cell r="K1117" t="str">
            <v xml:space="preserve">Central de Alimentación </v>
          </cell>
          <cell r="L1117">
            <v>2</v>
          </cell>
          <cell r="M1117">
            <v>46003</v>
          </cell>
          <cell r="N1117">
            <v>46007</v>
          </cell>
          <cell r="O1117">
            <v>2</v>
          </cell>
          <cell r="P1117">
            <v>46010</v>
          </cell>
          <cell r="Q1117">
            <v>5</v>
          </cell>
          <cell r="R1117" t="str">
            <v>NA</v>
          </cell>
          <cell r="S1117">
            <v>5</v>
          </cell>
        </row>
        <row r="1118">
          <cell r="B1118" t="str">
            <v>MNC</v>
          </cell>
          <cell r="C1118" t="str">
            <v>HSLB13201</v>
          </cell>
          <cell r="D1118">
            <v>201001</v>
          </cell>
          <cell r="E1118" t="str">
            <v>Estación de Trabajo</v>
          </cell>
          <cell r="F1118" t="str">
            <v>NO</v>
          </cell>
          <cell r="G1118" t="str">
            <v>NO</v>
          </cell>
          <cell r="H1118" t="str">
            <v>OFICINA SUPERVISORA</v>
          </cell>
          <cell r="I1118">
            <v>1</v>
          </cell>
          <cell r="J1118" t="str">
            <v>C.5.8.2.24</v>
          </cell>
          <cell r="K1118" t="str">
            <v xml:space="preserve">Central de Alimentación </v>
          </cell>
          <cell r="L1118">
            <v>2</v>
          </cell>
          <cell r="M1118">
            <v>46003</v>
          </cell>
          <cell r="N1118">
            <v>46003</v>
          </cell>
          <cell r="P1118">
            <v>46003</v>
          </cell>
          <cell r="Q1118">
            <v>5</v>
          </cell>
          <cell r="R1118" t="str">
            <v>NA</v>
          </cell>
          <cell r="S1118">
            <v>5</v>
          </cell>
        </row>
        <row r="1119">
          <cell r="B1119" t="str">
            <v>MNC</v>
          </cell>
          <cell r="C1119" t="str">
            <v>HSLB14444</v>
          </cell>
          <cell r="D1119">
            <v>204006</v>
          </cell>
          <cell r="E1119" t="str">
            <v>Silla Ergonómica</v>
          </cell>
          <cell r="F1119" t="str">
            <v>NO</v>
          </cell>
          <cell r="G1119" t="str">
            <v>NO</v>
          </cell>
          <cell r="H1119" t="str">
            <v>OFICINA SUPERVISORA</v>
          </cell>
          <cell r="I1119">
            <v>1</v>
          </cell>
          <cell r="J1119" t="str">
            <v>C.5.8.2.24</v>
          </cell>
          <cell r="K1119" t="str">
            <v xml:space="preserve">Central de Alimentación </v>
          </cell>
          <cell r="L1119">
            <v>2</v>
          </cell>
          <cell r="M1119">
            <v>46003</v>
          </cell>
          <cell r="N1119">
            <v>46007</v>
          </cell>
          <cell r="O1119">
            <v>2</v>
          </cell>
          <cell r="P1119">
            <v>46010</v>
          </cell>
          <cell r="Q1119">
            <v>5</v>
          </cell>
          <cell r="R1119" t="str">
            <v>NA</v>
          </cell>
          <cell r="S1119">
            <v>5</v>
          </cell>
        </row>
        <row r="1120">
          <cell r="B1120" t="str">
            <v>MNC</v>
          </cell>
          <cell r="C1120" t="str">
            <v>HSLB14855</v>
          </cell>
          <cell r="D1120">
            <v>204012</v>
          </cell>
          <cell r="E1120" t="str">
            <v>Silla Visita</v>
          </cell>
          <cell r="F1120" t="str">
            <v>NO</v>
          </cell>
          <cell r="G1120" t="str">
            <v>NO</v>
          </cell>
          <cell r="H1120" t="str">
            <v>OFICINA SUPERVISORA</v>
          </cell>
          <cell r="I1120">
            <v>2</v>
          </cell>
          <cell r="J1120" t="str">
            <v>C.5.8.2.24</v>
          </cell>
          <cell r="K1120" t="str">
            <v xml:space="preserve">Central de Alimentación </v>
          </cell>
          <cell r="L1120">
            <v>2</v>
          </cell>
          <cell r="M1120">
            <v>46003</v>
          </cell>
          <cell r="N1120">
            <v>46007</v>
          </cell>
          <cell r="O1120">
            <v>2</v>
          </cell>
          <cell r="P1120">
            <v>46010</v>
          </cell>
          <cell r="Q1120">
            <v>5</v>
          </cell>
          <cell r="R1120" t="str">
            <v>NA</v>
          </cell>
          <cell r="S1120">
            <v>5</v>
          </cell>
        </row>
        <row r="1121">
          <cell r="B1121" t="str">
            <v>MNC</v>
          </cell>
          <cell r="C1121" t="str">
            <v>HSLB15417</v>
          </cell>
          <cell r="D1121">
            <v>204006</v>
          </cell>
          <cell r="E1121" t="str">
            <v>Silla Ergonómica</v>
          </cell>
          <cell r="F1121" t="str">
            <v>NO</v>
          </cell>
          <cell r="G1121" t="str">
            <v>NO</v>
          </cell>
          <cell r="H1121" t="str">
            <v>PREP. DE BANDEJAS, MONTAJE DE CARROS Y DESP.</v>
          </cell>
          <cell r="I1121">
            <v>1</v>
          </cell>
          <cell r="J1121" t="str">
            <v>C.5.8.2.33</v>
          </cell>
          <cell r="K1121" t="str">
            <v xml:space="preserve">Central de Alimentación </v>
          </cell>
          <cell r="L1121">
            <v>2</v>
          </cell>
          <cell r="M1121">
            <v>46003</v>
          </cell>
          <cell r="N1121">
            <v>46007</v>
          </cell>
          <cell r="O1121">
            <v>2</v>
          </cell>
          <cell r="P1121">
            <v>46010</v>
          </cell>
          <cell r="Q1121">
            <v>5</v>
          </cell>
          <cell r="R1121" t="str">
            <v>NA</v>
          </cell>
          <cell r="S1121">
            <v>5</v>
          </cell>
        </row>
        <row r="1122">
          <cell r="B1122" t="str">
            <v>MNC</v>
          </cell>
          <cell r="C1122" t="str">
            <v>HSLB15418</v>
          </cell>
          <cell r="D1122">
            <v>201001</v>
          </cell>
          <cell r="E1122" t="str">
            <v>Estación de Trabajo</v>
          </cell>
          <cell r="F1122" t="str">
            <v>NO</v>
          </cell>
          <cell r="G1122" t="str">
            <v>NO</v>
          </cell>
          <cell r="H1122" t="str">
            <v>PREP. DE BANDEJAS, MONTAJE DE CARROS Y DESP.</v>
          </cell>
          <cell r="I1122">
            <v>1</v>
          </cell>
          <cell r="J1122" t="str">
            <v>C.5.8.2.33</v>
          </cell>
          <cell r="K1122" t="str">
            <v xml:space="preserve">Central de Alimentación </v>
          </cell>
          <cell r="L1122">
            <v>2</v>
          </cell>
          <cell r="M1122">
            <v>46003</v>
          </cell>
          <cell r="N1122">
            <v>46003</v>
          </cell>
          <cell r="P1122">
            <v>46003</v>
          </cell>
          <cell r="Q1122">
            <v>5</v>
          </cell>
          <cell r="R1122" t="str">
            <v>NA</v>
          </cell>
          <cell r="S1122">
            <v>5</v>
          </cell>
        </row>
        <row r="1123">
          <cell r="B1123" t="str">
            <v>MNC</v>
          </cell>
          <cell r="C1123" t="str">
            <v>HSLB15419</v>
          </cell>
          <cell r="D1123">
            <v>204002</v>
          </cell>
          <cell r="E1123" t="str">
            <v>Banca Madera</v>
          </cell>
          <cell r="F1123" t="str">
            <v>NO</v>
          </cell>
          <cell r="G1123" t="str">
            <v>NO</v>
          </cell>
          <cell r="H1123" t="str">
            <v>VESTIDOR C/DUCHA Y LOCKERS</v>
          </cell>
          <cell r="I1123">
            <v>1</v>
          </cell>
          <cell r="J1123" t="str">
            <v>C.5.8.2.6.1</v>
          </cell>
          <cell r="K1123" t="str">
            <v xml:space="preserve">Central de Alimentación </v>
          </cell>
          <cell r="L1123">
            <v>2</v>
          </cell>
          <cell r="M1123">
            <v>46003</v>
          </cell>
          <cell r="N1123">
            <v>46007</v>
          </cell>
          <cell r="O1123">
            <v>2</v>
          </cell>
          <cell r="P1123">
            <v>46010</v>
          </cell>
          <cell r="Q1123">
            <v>5</v>
          </cell>
          <cell r="R1123" t="str">
            <v>NA</v>
          </cell>
          <cell r="S1123">
            <v>5</v>
          </cell>
        </row>
        <row r="1124">
          <cell r="B1124" t="str">
            <v>MNC</v>
          </cell>
          <cell r="C1124" t="str">
            <v>HSLB15420</v>
          </cell>
          <cell r="D1124">
            <v>204002</v>
          </cell>
          <cell r="E1124" t="str">
            <v>Banca Madera</v>
          </cell>
          <cell r="F1124" t="str">
            <v>NO</v>
          </cell>
          <cell r="G1124" t="str">
            <v>NO</v>
          </cell>
          <cell r="H1124" t="str">
            <v>VESTIDOR C/DUCHA Y LOCKERS</v>
          </cell>
          <cell r="I1124">
            <v>1</v>
          </cell>
          <cell r="J1124" t="str">
            <v>C.5.8.2.6.2</v>
          </cell>
          <cell r="K1124" t="str">
            <v xml:space="preserve">Central de Alimentación </v>
          </cell>
          <cell r="L1124">
            <v>2</v>
          </cell>
          <cell r="M1124">
            <v>46003</v>
          </cell>
          <cell r="N1124">
            <v>46007</v>
          </cell>
          <cell r="O1124">
            <v>2</v>
          </cell>
          <cell r="P1124">
            <v>46010</v>
          </cell>
          <cell r="Q1124">
            <v>5</v>
          </cell>
          <cell r="R1124" t="str">
            <v>NA</v>
          </cell>
          <cell r="S1124">
            <v>5</v>
          </cell>
        </row>
        <row r="1125">
          <cell r="B1125" t="str">
            <v>MNC</v>
          </cell>
          <cell r="C1125" t="str">
            <v>HSLB13428</v>
          </cell>
          <cell r="D1125">
            <v>201011</v>
          </cell>
          <cell r="E1125" t="str">
            <v>Mesa Tipo Casino</v>
          </cell>
          <cell r="F1125" t="str">
            <v>NO</v>
          </cell>
          <cell r="G1125" t="str">
            <v>NO</v>
          </cell>
          <cell r="H1125" t="str">
            <v>ESTAR PERSONAL C/ KITCHENETTE</v>
          </cell>
          <cell r="I1125">
            <v>1</v>
          </cell>
          <cell r="J1125" t="str">
            <v>C.5.8.2.7</v>
          </cell>
          <cell r="K1125" t="str">
            <v xml:space="preserve">Central de Alimentación </v>
          </cell>
          <cell r="L1125">
            <v>2</v>
          </cell>
          <cell r="M1125">
            <v>46003</v>
          </cell>
          <cell r="N1125">
            <v>46003</v>
          </cell>
          <cell r="P1125">
            <v>46003</v>
          </cell>
          <cell r="Q1125">
            <v>5</v>
          </cell>
          <cell r="R1125" t="str">
            <v>NA</v>
          </cell>
          <cell r="S1125">
            <v>5</v>
          </cell>
        </row>
        <row r="1126">
          <cell r="B1126" t="str">
            <v>MNC</v>
          </cell>
          <cell r="C1126" t="str">
            <v>HSLB14613</v>
          </cell>
          <cell r="D1126">
            <v>204010</v>
          </cell>
          <cell r="E1126" t="str">
            <v>Silla tipo Casino</v>
          </cell>
          <cell r="F1126" t="str">
            <v>NO</v>
          </cell>
          <cell r="G1126" t="str">
            <v>NO</v>
          </cell>
          <cell r="H1126" t="str">
            <v>ESTAR PERSONAL C/ KITCHENETTE</v>
          </cell>
          <cell r="I1126">
            <v>4</v>
          </cell>
          <cell r="J1126" t="str">
            <v>C.5.8.2.7</v>
          </cell>
          <cell r="K1126" t="str">
            <v xml:space="preserve">Central de Alimentación </v>
          </cell>
          <cell r="L1126">
            <v>2</v>
          </cell>
          <cell r="M1126">
            <v>46003</v>
          </cell>
          <cell r="N1126">
            <v>46007</v>
          </cell>
          <cell r="O1126">
            <v>2</v>
          </cell>
          <cell r="P1126">
            <v>46009</v>
          </cell>
          <cell r="Q1126">
            <v>5</v>
          </cell>
          <cell r="R1126" t="str">
            <v>NA</v>
          </cell>
          <cell r="S1126">
            <v>5</v>
          </cell>
        </row>
        <row r="1127">
          <cell r="B1127" t="str">
            <v>MNC</v>
          </cell>
          <cell r="C1127" t="str">
            <v>HSLB15031</v>
          </cell>
          <cell r="D1127">
            <v>204014</v>
          </cell>
          <cell r="E1127" t="str">
            <v>Sillón 2 Cuerpo</v>
          </cell>
          <cell r="F1127" t="str">
            <v>NO</v>
          </cell>
          <cell r="G1127" t="str">
            <v>NO</v>
          </cell>
          <cell r="H1127" t="str">
            <v>ESTAR PERSONAL C/ KITCHENETTE</v>
          </cell>
          <cell r="I1127">
            <v>1</v>
          </cell>
          <cell r="J1127" t="str">
            <v>C.5.8.2.7</v>
          </cell>
          <cell r="K1127" t="str">
            <v xml:space="preserve">Central de Alimentación </v>
          </cell>
          <cell r="L1127">
            <v>2</v>
          </cell>
          <cell r="M1127">
            <v>46003</v>
          </cell>
          <cell r="N1127">
            <v>46007</v>
          </cell>
          <cell r="O1127">
            <v>2</v>
          </cell>
          <cell r="P1127">
            <v>46010</v>
          </cell>
          <cell r="Q1127">
            <v>5</v>
          </cell>
          <cell r="R1127" t="str">
            <v>NA</v>
          </cell>
          <cell r="S1127">
            <v>5</v>
          </cell>
        </row>
        <row r="1128">
          <cell r="B1128" t="str">
            <v>MNC</v>
          </cell>
          <cell r="C1128" t="str">
            <v>HSLB13209</v>
          </cell>
          <cell r="D1128">
            <v>201001</v>
          </cell>
          <cell r="E1128" t="str">
            <v>Estación de Trabajo</v>
          </cell>
          <cell r="F1128" t="str">
            <v>NO</v>
          </cell>
          <cell r="G1128" t="str">
            <v>NO</v>
          </cell>
          <cell r="H1128" t="str">
            <v>SECRETARIA C/ARCHIVO, FOTOCOP.</v>
          </cell>
          <cell r="I1128">
            <v>1</v>
          </cell>
          <cell r="J1128" t="str">
            <v>D.1.2.1</v>
          </cell>
          <cell r="K1128" t="str">
            <v>Consultas Ambulatorias</v>
          </cell>
          <cell r="L1128">
            <v>2</v>
          </cell>
          <cell r="M1128">
            <v>46003</v>
          </cell>
          <cell r="N1128">
            <v>46006</v>
          </cell>
          <cell r="O1128">
            <v>5</v>
          </cell>
          <cell r="P1128">
            <v>46014</v>
          </cell>
          <cell r="Q1128">
            <v>5</v>
          </cell>
          <cell r="R1128" t="str">
            <v>NA</v>
          </cell>
          <cell r="S1128">
            <v>5</v>
          </cell>
        </row>
        <row r="1129">
          <cell r="B1129" t="str">
            <v>MNC</v>
          </cell>
          <cell r="C1129" t="str">
            <v>HSLB14455</v>
          </cell>
          <cell r="D1129">
            <v>204006</v>
          </cell>
          <cell r="E1129" t="str">
            <v>Silla Ergonómica</v>
          </cell>
          <cell r="F1129" t="str">
            <v>NO</v>
          </cell>
          <cell r="G1129" t="str">
            <v>NO</v>
          </cell>
          <cell r="H1129" t="str">
            <v>SECRETARIA C/ARCHIVO, FOTOCOP.</v>
          </cell>
          <cell r="I1129">
            <v>1</v>
          </cell>
          <cell r="J1129" t="str">
            <v>D.1.2.1</v>
          </cell>
          <cell r="K1129" t="str">
            <v>Consultas Ambulatorias</v>
          </cell>
          <cell r="L1129">
            <v>2</v>
          </cell>
          <cell r="M1129">
            <v>46003</v>
          </cell>
          <cell r="N1129">
            <v>46006</v>
          </cell>
          <cell r="O1129">
            <v>2</v>
          </cell>
          <cell r="P1129">
            <v>46009</v>
          </cell>
          <cell r="Q1129">
            <v>5</v>
          </cell>
          <cell r="R1129" t="str">
            <v>NA</v>
          </cell>
          <cell r="S1129">
            <v>5</v>
          </cell>
        </row>
        <row r="1130">
          <cell r="B1130" t="str">
            <v>MNC</v>
          </cell>
          <cell r="C1130" t="str">
            <v>HSLB14860</v>
          </cell>
          <cell r="D1130">
            <v>204012</v>
          </cell>
          <cell r="E1130" t="str">
            <v>Silla Visita</v>
          </cell>
          <cell r="F1130" t="str">
            <v>NO</v>
          </cell>
          <cell r="G1130" t="str">
            <v>NO</v>
          </cell>
          <cell r="H1130" t="str">
            <v>SECRETARIA C/ARCHIVO, FOTOCOP.</v>
          </cell>
          <cell r="I1130">
            <v>2</v>
          </cell>
          <cell r="J1130" t="str">
            <v>D.1.2.1</v>
          </cell>
          <cell r="K1130" t="str">
            <v>Consultas Ambulatorias</v>
          </cell>
          <cell r="L1130">
            <v>2</v>
          </cell>
          <cell r="M1130">
            <v>46003</v>
          </cell>
          <cell r="N1130">
            <v>46006</v>
          </cell>
          <cell r="O1130">
            <v>2</v>
          </cell>
          <cell r="P1130">
            <v>46009</v>
          </cell>
          <cell r="Q1130">
            <v>5</v>
          </cell>
          <cell r="R1130" t="str">
            <v>NA</v>
          </cell>
          <cell r="S1130">
            <v>5</v>
          </cell>
        </row>
        <row r="1131">
          <cell r="B1131" t="str">
            <v>MNC</v>
          </cell>
          <cell r="C1131" t="str">
            <v>HSLB13210</v>
          </cell>
          <cell r="D1131">
            <v>201001</v>
          </cell>
          <cell r="E1131" t="str">
            <v>Estación de Trabajo</v>
          </cell>
          <cell r="F1131" t="str">
            <v>NO</v>
          </cell>
          <cell r="G1131" t="str">
            <v>NO</v>
          </cell>
          <cell r="H1131" t="str">
            <v>OFICINA JEFE TIC</v>
          </cell>
          <cell r="I1131">
            <v>1</v>
          </cell>
          <cell r="J1131" t="str">
            <v>D.1.2.2</v>
          </cell>
          <cell r="K1131" t="str">
            <v>Consultas Ambulatorias</v>
          </cell>
          <cell r="L1131">
            <v>2</v>
          </cell>
          <cell r="M1131">
            <v>46003</v>
          </cell>
          <cell r="N1131">
            <v>46006</v>
          </cell>
          <cell r="O1131">
            <v>5</v>
          </cell>
          <cell r="P1131">
            <v>46013</v>
          </cell>
          <cell r="Q1131">
            <v>5</v>
          </cell>
          <cell r="R1131" t="str">
            <v>NA</v>
          </cell>
          <cell r="S1131">
            <v>5</v>
          </cell>
        </row>
        <row r="1132">
          <cell r="B1132" t="str">
            <v>MNC</v>
          </cell>
          <cell r="C1132" t="str">
            <v>HSLB13358</v>
          </cell>
          <cell r="D1132">
            <v>201008</v>
          </cell>
          <cell r="E1132" t="str">
            <v>Mesa Reuniones Tipo I</v>
          </cell>
          <cell r="F1132" t="str">
            <v>NO</v>
          </cell>
          <cell r="G1132" t="str">
            <v>NO</v>
          </cell>
          <cell r="H1132" t="str">
            <v>OFICINA JEFE TIC</v>
          </cell>
          <cell r="I1132">
            <v>1</v>
          </cell>
          <cell r="J1132" t="str">
            <v>D.1.2.2</v>
          </cell>
          <cell r="K1132" t="str">
            <v>Consultas Ambulatorias</v>
          </cell>
          <cell r="L1132">
            <v>2</v>
          </cell>
          <cell r="M1132">
            <v>46003</v>
          </cell>
          <cell r="N1132">
            <v>46006</v>
          </cell>
          <cell r="P1132">
            <v>46006</v>
          </cell>
          <cell r="Q1132">
            <v>5</v>
          </cell>
          <cell r="R1132" t="str">
            <v>NA</v>
          </cell>
          <cell r="S1132">
            <v>5</v>
          </cell>
        </row>
        <row r="1133">
          <cell r="B1133" t="str">
            <v>MNC</v>
          </cell>
          <cell r="C1133" t="str">
            <v>HSLB14456</v>
          </cell>
          <cell r="D1133">
            <v>204006</v>
          </cell>
          <cell r="E1133" t="str">
            <v>Silla Ergonómica</v>
          </cell>
          <cell r="F1133" t="str">
            <v>NO</v>
          </cell>
          <cell r="G1133" t="str">
            <v>NO</v>
          </cell>
          <cell r="H1133" t="str">
            <v>OFICINA JEFE TIC</v>
          </cell>
          <cell r="I1133">
            <v>1</v>
          </cell>
          <cell r="J1133" t="str">
            <v>D.1.2.2</v>
          </cell>
          <cell r="K1133" t="str">
            <v>Consultas Ambulatorias</v>
          </cell>
          <cell r="L1133">
            <v>2</v>
          </cell>
          <cell r="M1133">
            <v>46003</v>
          </cell>
          <cell r="N1133">
            <v>46006</v>
          </cell>
          <cell r="O1133">
            <v>2</v>
          </cell>
          <cell r="P1133">
            <v>46008</v>
          </cell>
          <cell r="Q1133">
            <v>5</v>
          </cell>
          <cell r="R1133" t="str">
            <v>NA</v>
          </cell>
          <cell r="S1133">
            <v>5</v>
          </cell>
        </row>
        <row r="1134">
          <cell r="B1134" t="str">
            <v>MNC</v>
          </cell>
          <cell r="C1134" t="str">
            <v>HSLB14862</v>
          </cell>
          <cell r="D1134">
            <v>204012</v>
          </cell>
          <cell r="E1134" t="str">
            <v>Silla Visita</v>
          </cell>
          <cell r="F1134" t="str">
            <v>NO</v>
          </cell>
          <cell r="G1134" t="str">
            <v>NO</v>
          </cell>
          <cell r="H1134" t="str">
            <v>OFICINA JEFE TIC</v>
          </cell>
          <cell r="I1134">
            <v>4</v>
          </cell>
          <cell r="J1134" t="str">
            <v>D.1.2.2</v>
          </cell>
          <cell r="K1134" t="str">
            <v>Consultas Ambulatorias</v>
          </cell>
          <cell r="L1134">
            <v>2</v>
          </cell>
          <cell r="M1134">
            <v>46003</v>
          </cell>
          <cell r="N1134">
            <v>46006</v>
          </cell>
          <cell r="O1134">
            <v>2</v>
          </cell>
          <cell r="P1134">
            <v>46008</v>
          </cell>
          <cell r="Q1134">
            <v>5</v>
          </cell>
          <cell r="R1134" t="str">
            <v>NA</v>
          </cell>
          <cell r="S1134">
            <v>5</v>
          </cell>
        </row>
        <row r="1135">
          <cell r="B1135" t="str">
            <v>MNC</v>
          </cell>
          <cell r="C1135" t="str">
            <v>HSLB13211</v>
          </cell>
          <cell r="D1135">
            <v>201001</v>
          </cell>
          <cell r="E1135" t="str">
            <v>Estación de Trabajo</v>
          </cell>
          <cell r="F1135" t="str">
            <v>NO</v>
          </cell>
          <cell r="G1135" t="str">
            <v>NO</v>
          </cell>
          <cell r="H1135" t="str">
            <v>MÓDULOS DE TRABAJO DESARROLLO Y MANTENCIÓN</v>
          </cell>
          <cell r="I1135">
            <v>3</v>
          </cell>
          <cell r="J1135" t="str">
            <v>D.1.2.3</v>
          </cell>
          <cell r="K1135" t="str">
            <v>Consultas Ambulatorias</v>
          </cell>
          <cell r="L1135">
            <v>2</v>
          </cell>
          <cell r="M1135">
            <v>46003</v>
          </cell>
          <cell r="N1135">
            <v>46006</v>
          </cell>
          <cell r="O1135">
            <v>5</v>
          </cell>
          <cell r="P1135">
            <v>46013</v>
          </cell>
          <cell r="Q1135">
            <v>5</v>
          </cell>
          <cell r="R1135" t="str">
            <v>NA</v>
          </cell>
          <cell r="S1135">
            <v>5</v>
          </cell>
        </row>
        <row r="1136">
          <cell r="B1136" t="str">
            <v>MNC</v>
          </cell>
          <cell r="C1136" t="str">
            <v>HSLB14457</v>
          </cell>
          <cell r="D1136">
            <v>204006</v>
          </cell>
          <cell r="E1136" t="str">
            <v>Silla Ergonómica</v>
          </cell>
          <cell r="F1136" t="str">
            <v>NO</v>
          </cell>
          <cell r="G1136" t="str">
            <v>NO</v>
          </cell>
          <cell r="H1136" t="str">
            <v>MÓDULOS DE TRABAJO DESARROLLO Y MANTENCIÓN</v>
          </cell>
          <cell r="I1136">
            <v>3</v>
          </cell>
          <cell r="J1136" t="str">
            <v>D.1.2.3</v>
          </cell>
          <cell r="K1136" t="str">
            <v>Consultas Ambulatorias</v>
          </cell>
          <cell r="L1136">
            <v>2</v>
          </cell>
          <cell r="M1136">
            <v>46003</v>
          </cell>
          <cell r="N1136">
            <v>46006</v>
          </cell>
          <cell r="O1136">
            <v>2</v>
          </cell>
          <cell r="P1136">
            <v>46008</v>
          </cell>
          <cell r="Q1136">
            <v>5</v>
          </cell>
          <cell r="R1136" t="str">
            <v>NA</v>
          </cell>
          <cell r="S1136">
            <v>5</v>
          </cell>
        </row>
        <row r="1137">
          <cell r="B1137" t="str">
            <v>MNC</v>
          </cell>
          <cell r="C1137" t="str">
            <v>HSLB14863</v>
          </cell>
          <cell r="D1137">
            <v>204012</v>
          </cell>
          <cell r="E1137" t="str">
            <v>Silla Visita</v>
          </cell>
          <cell r="F1137" t="str">
            <v>NO</v>
          </cell>
          <cell r="G1137" t="str">
            <v>NO</v>
          </cell>
          <cell r="H1137" t="str">
            <v>MÓDULOS DE TRABAJO DESARROLLO Y MANTENCIÓN</v>
          </cell>
          <cell r="I1137">
            <v>6</v>
          </cell>
          <cell r="J1137" t="str">
            <v>D.1.2.3</v>
          </cell>
          <cell r="K1137" t="str">
            <v>Consultas Ambulatorias</v>
          </cell>
          <cell r="L1137">
            <v>2</v>
          </cell>
          <cell r="M1137">
            <v>46003</v>
          </cell>
          <cell r="N1137">
            <v>46006</v>
          </cell>
          <cell r="O1137">
            <v>2</v>
          </cell>
          <cell r="P1137">
            <v>46008</v>
          </cell>
          <cell r="Q1137">
            <v>5</v>
          </cell>
          <cell r="R1137" t="str">
            <v>NA</v>
          </cell>
          <cell r="S1137">
            <v>5</v>
          </cell>
        </row>
        <row r="1138">
          <cell r="B1138" t="str">
            <v>MNC</v>
          </cell>
          <cell r="C1138" t="str">
            <v>HSLB13229</v>
          </cell>
          <cell r="D1138">
            <v>201001</v>
          </cell>
          <cell r="E1138" t="str">
            <v>Estación de Trabajo</v>
          </cell>
          <cell r="F1138" t="str">
            <v>NO</v>
          </cell>
          <cell r="G1138" t="str">
            <v>NO</v>
          </cell>
          <cell r="H1138" t="str">
            <v>SECRETARÍA C/ARCHIVO Y FOTOCOPIADORA</v>
          </cell>
          <cell r="I1138">
            <v>1</v>
          </cell>
          <cell r="J1138" t="str">
            <v>D.3.1.1.2</v>
          </cell>
          <cell r="K1138" t="str">
            <v>Contabilidad</v>
          </cell>
          <cell r="L1138">
            <v>2</v>
          </cell>
          <cell r="M1138">
            <v>46039</v>
          </cell>
          <cell r="N1138">
            <v>46041</v>
          </cell>
          <cell r="O1138">
            <v>5</v>
          </cell>
          <cell r="P1138">
            <v>46048</v>
          </cell>
          <cell r="Q1138">
            <v>5</v>
          </cell>
          <cell r="R1138" t="str">
            <v>NA</v>
          </cell>
          <cell r="S1138">
            <v>5</v>
          </cell>
        </row>
        <row r="1139">
          <cell r="B1139" t="str">
            <v>MNC</v>
          </cell>
          <cell r="C1139" t="str">
            <v>HSLB14491</v>
          </cell>
          <cell r="D1139">
            <v>204006</v>
          </cell>
          <cell r="E1139" t="str">
            <v>Silla Ergonómica</v>
          </cell>
          <cell r="F1139" t="str">
            <v>NO</v>
          </cell>
          <cell r="G1139" t="str">
            <v>NO</v>
          </cell>
          <cell r="H1139" t="str">
            <v>SECRETARÍA C/ARCHIVO Y FOTOCOPIADORA</v>
          </cell>
          <cell r="I1139">
            <v>1</v>
          </cell>
          <cell r="J1139" t="str">
            <v>D.3.1.1.2</v>
          </cell>
          <cell r="K1139" t="str">
            <v>Contabilidad</v>
          </cell>
          <cell r="L1139">
            <v>2</v>
          </cell>
          <cell r="M1139">
            <v>46039</v>
          </cell>
          <cell r="N1139">
            <v>46041</v>
          </cell>
          <cell r="O1139">
            <v>2</v>
          </cell>
          <cell r="P1139">
            <v>46043</v>
          </cell>
          <cell r="Q1139">
            <v>5</v>
          </cell>
          <cell r="R1139" t="str">
            <v>NA</v>
          </cell>
          <cell r="S1139">
            <v>5</v>
          </cell>
        </row>
        <row r="1140">
          <cell r="B1140" t="str">
            <v>MNC</v>
          </cell>
          <cell r="C1140" t="str">
            <v>HSLB14881</v>
          </cell>
          <cell r="D1140">
            <v>204012</v>
          </cell>
          <cell r="E1140" t="str">
            <v>Silla Visita</v>
          </cell>
          <cell r="F1140" t="str">
            <v>NO</v>
          </cell>
          <cell r="G1140" t="str">
            <v>NO</v>
          </cell>
          <cell r="H1140" t="str">
            <v>SECRETARÍA C/ARCHIVO Y FOTOCOPIADORA</v>
          </cell>
          <cell r="I1140">
            <v>2</v>
          </cell>
          <cell r="J1140" t="str">
            <v>D.3.1.1.2</v>
          </cell>
          <cell r="K1140" t="str">
            <v>Contabilidad</v>
          </cell>
          <cell r="L1140">
            <v>2</v>
          </cell>
          <cell r="M1140">
            <v>46039</v>
          </cell>
          <cell r="N1140">
            <v>46041</v>
          </cell>
          <cell r="O1140">
            <v>2</v>
          </cell>
          <cell r="P1140">
            <v>46043</v>
          </cell>
          <cell r="Q1140">
            <v>5</v>
          </cell>
          <cell r="R1140" t="str">
            <v>NA</v>
          </cell>
          <cell r="S1140">
            <v>5</v>
          </cell>
        </row>
        <row r="1141">
          <cell r="B1141" t="str">
            <v>MNC</v>
          </cell>
          <cell r="C1141" t="str">
            <v>HSLB13231</v>
          </cell>
          <cell r="D1141">
            <v>201001</v>
          </cell>
          <cell r="E1141" t="str">
            <v>Estación de Trabajo</v>
          </cell>
          <cell r="F1141" t="str">
            <v>NO</v>
          </cell>
          <cell r="G1141" t="str">
            <v>NO</v>
          </cell>
          <cell r="H1141" t="str">
            <v>OF. JEFE ABASTECIMIENTO</v>
          </cell>
          <cell r="I1141">
            <v>1</v>
          </cell>
          <cell r="J1141" t="str">
            <v>D.3.1.3</v>
          </cell>
          <cell r="K1141" t="str">
            <v>Contabilidad</v>
          </cell>
          <cell r="L1141">
            <v>2</v>
          </cell>
          <cell r="M1141">
            <v>46039</v>
          </cell>
          <cell r="N1141">
            <v>46041</v>
          </cell>
          <cell r="O1141">
            <v>5</v>
          </cell>
          <cell r="P1141">
            <v>46048</v>
          </cell>
          <cell r="Q1141">
            <v>5</v>
          </cell>
          <cell r="R1141" t="str">
            <v>NA</v>
          </cell>
          <cell r="S1141">
            <v>5</v>
          </cell>
        </row>
        <row r="1142">
          <cell r="B1142" t="str">
            <v>MNC</v>
          </cell>
          <cell r="C1142" t="str">
            <v>HSLB13362</v>
          </cell>
          <cell r="D1142">
            <v>201008</v>
          </cell>
          <cell r="E1142" t="str">
            <v>Mesa Reuniones Tipo I</v>
          </cell>
          <cell r="F1142" t="str">
            <v>NO</v>
          </cell>
          <cell r="G1142" t="str">
            <v>NO</v>
          </cell>
          <cell r="H1142" t="str">
            <v>OF. JEFE ABASTECIMIENTO</v>
          </cell>
          <cell r="I1142">
            <v>1</v>
          </cell>
          <cell r="J1142" t="str">
            <v>D.3.1.3</v>
          </cell>
          <cell r="K1142" t="str">
            <v>Contabilidad</v>
          </cell>
          <cell r="L1142">
            <v>2</v>
          </cell>
          <cell r="M1142">
            <v>46039</v>
          </cell>
          <cell r="N1142">
            <v>46041</v>
          </cell>
          <cell r="P1142">
            <v>46041</v>
          </cell>
          <cell r="Q1142">
            <v>5</v>
          </cell>
          <cell r="R1142" t="str">
            <v>NA</v>
          </cell>
          <cell r="S1142">
            <v>5</v>
          </cell>
        </row>
        <row r="1143">
          <cell r="B1143" t="str">
            <v>MNC</v>
          </cell>
          <cell r="C1143" t="str">
            <v>HSLB14493</v>
          </cell>
          <cell r="D1143">
            <v>204006</v>
          </cell>
          <cell r="E1143" t="str">
            <v>Silla Ergonómica</v>
          </cell>
          <cell r="F1143" t="str">
            <v>NO</v>
          </cell>
          <cell r="G1143" t="str">
            <v>NO</v>
          </cell>
          <cell r="H1143" t="str">
            <v>OF. JEFE ABASTECIMIENTO</v>
          </cell>
          <cell r="I1143">
            <v>1</v>
          </cell>
          <cell r="J1143" t="str">
            <v>D.3.1.3</v>
          </cell>
          <cell r="K1143" t="str">
            <v>Contabilidad</v>
          </cell>
          <cell r="L1143">
            <v>2</v>
          </cell>
          <cell r="M1143">
            <v>46039</v>
          </cell>
          <cell r="N1143">
            <v>46041</v>
          </cell>
          <cell r="O1143">
            <v>2</v>
          </cell>
          <cell r="P1143">
            <v>46043</v>
          </cell>
          <cell r="Q1143">
            <v>5</v>
          </cell>
          <cell r="R1143" t="str">
            <v>NA</v>
          </cell>
          <cell r="S1143">
            <v>5</v>
          </cell>
        </row>
        <row r="1144">
          <cell r="B1144" t="str">
            <v>MNC</v>
          </cell>
          <cell r="C1144" t="str">
            <v>HSLB14883</v>
          </cell>
          <cell r="D1144">
            <v>204012</v>
          </cell>
          <cell r="E1144" t="str">
            <v>Silla Visita</v>
          </cell>
          <cell r="F1144" t="str">
            <v>NO</v>
          </cell>
          <cell r="G1144" t="str">
            <v>NO</v>
          </cell>
          <cell r="H1144" t="str">
            <v>OF. JEFE ABASTECIMIENTO</v>
          </cell>
          <cell r="I1144">
            <v>4</v>
          </cell>
          <cell r="J1144" t="str">
            <v>D.3.1.3</v>
          </cell>
          <cell r="K1144" t="str">
            <v>Contabilidad</v>
          </cell>
          <cell r="L1144">
            <v>2</v>
          </cell>
          <cell r="M1144">
            <v>46039</v>
          </cell>
          <cell r="N1144">
            <v>46041</v>
          </cell>
          <cell r="O1144">
            <v>2</v>
          </cell>
          <cell r="P1144">
            <v>46043</v>
          </cell>
          <cell r="Q1144">
            <v>5</v>
          </cell>
          <cell r="R1144" t="str">
            <v>NA</v>
          </cell>
          <cell r="S1144">
            <v>5</v>
          </cell>
        </row>
        <row r="1145">
          <cell r="B1145" t="str">
            <v>MNC</v>
          </cell>
          <cell r="C1145" t="str">
            <v>HSLB13240</v>
          </cell>
          <cell r="D1145">
            <v>201001</v>
          </cell>
          <cell r="E1145" t="str">
            <v>Estación de Trabajo</v>
          </cell>
          <cell r="F1145" t="str">
            <v>NO</v>
          </cell>
          <cell r="G1145" t="str">
            <v>NO</v>
          </cell>
          <cell r="H1145" t="str">
            <v>OFICINA COORDINADOR DQUISICIONES</v>
          </cell>
          <cell r="I1145">
            <v>1</v>
          </cell>
          <cell r="J1145" t="str">
            <v>D.3.3.1.1</v>
          </cell>
          <cell r="K1145" t="str">
            <v>Contabilidad</v>
          </cell>
          <cell r="L1145">
            <v>2</v>
          </cell>
          <cell r="M1145">
            <v>46039</v>
          </cell>
          <cell r="N1145">
            <v>46041</v>
          </cell>
          <cell r="O1145">
            <v>5</v>
          </cell>
          <cell r="P1145">
            <v>46048</v>
          </cell>
          <cell r="Q1145">
            <v>5</v>
          </cell>
          <cell r="R1145" t="str">
            <v>NA</v>
          </cell>
          <cell r="S1145">
            <v>5</v>
          </cell>
        </row>
        <row r="1146">
          <cell r="B1146" t="str">
            <v>MNC</v>
          </cell>
          <cell r="C1146" t="str">
            <v>HSLB14502</v>
          </cell>
          <cell r="D1146">
            <v>204006</v>
          </cell>
          <cell r="E1146" t="str">
            <v>Silla Ergonómica</v>
          </cell>
          <cell r="F1146" t="str">
            <v>NO</v>
          </cell>
          <cell r="G1146" t="str">
            <v>NO</v>
          </cell>
          <cell r="H1146" t="str">
            <v>OFICINA COORDINADOR DQUISICIONES</v>
          </cell>
          <cell r="I1146">
            <v>1</v>
          </cell>
          <cell r="J1146" t="str">
            <v>D.3.3.1.1</v>
          </cell>
          <cell r="K1146" t="str">
            <v>Contabilidad</v>
          </cell>
          <cell r="L1146">
            <v>2</v>
          </cell>
          <cell r="M1146">
            <v>46039</v>
          </cell>
          <cell r="N1146">
            <v>46041</v>
          </cell>
          <cell r="O1146">
            <v>2</v>
          </cell>
          <cell r="P1146">
            <v>46043</v>
          </cell>
          <cell r="Q1146">
            <v>5</v>
          </cell>
          <cell r="R1146" t="str">
            <v>NA</v>
          </cell>
          <cell r="S1146">
            <v>5</v>
          </cell>
        </row>
        <row r="1147">
          <cell r="B1147" t="str">
            <v>MNC</v>
          </cell>
          <cell r="C1147" t="str">
            <v>HSLB14891</v>
          </cell>
          <cell r="D1147">
            <v>204012</v>
          </cell>
          <cell r="E1147" t="str">
            <v>Silla Visita</v>
          </cell>
          <cell r="F1147" t="str">
            <v>NO</v>
          </cell>
          <cell r="G1147" t="str">
            <v>NO</v>
          </cell>
          <cell r="H1147" t="str">
            <v>OFICINA COORDINADOR DQUISICIONES</v>
          </cell>
          <cell r="I1147">
            <v>2</v>
          </cell>
          <cell r="J1147" t="str">
            <v>D.3.3.1.1</v>
          </cell>
          <cell r="K1147" t="str">
            <v>Contabilidad</v>
          </cell>
          <cell r="L1147">
            <v>2</v>
          </cell>
          <cell r="M1147">
            <v>46039</v>
          </cell>
          <cell r="N1147">
            <v>46041</v>
          </cell>
          <cell r="O1147">
            <v>2</v>
          </cell>
          <cell r="P1147">
            <v>46043</v>
          </cell>
          <cell r="Q1147">
            <v>5</v>
          </cell>
          <cell r="R1147" t="str">
            <v>NA</v>
          </cell>
          <cell r="S1147">
            <v>5</v>
          </cell>
        </row>
        <row r="1148">
          <cell r="B1148" t="str">
            <v>MNC</v>
          </cell>
          <cell r="C1148" t="str">
            <v>HSLB13241</v>
          </cell>
          <cell r="D1148">
            <v>201001</v>
          </cell>
          <cell r="E1148" t="str">
            <v>Estación de Trabajo</v>
          </cell>
          <cell r="F1148" t="str">
            <v>NO</v>
          </cell>
          <cell r="G1148" t="str">
            <v>NO</v>
          </cell>
          <cell r="H1148" t="str">
            <v>MÓDULO DE TRABAJO EJECUTIVO DE COMPRA</v>
          </cell>
          <cell r="I1148">
            <v>4</v>
          </cell>
          <cell r="J1148" t="str">
            <v>D.3.3.1.2</v>
          </cell>
          <cell r="K1148" t="str">
            <v>Contabilidad</v>
          </cell>
          <cell r="L1148">
            <v>2</v>
          </cell>
          <cell r="M1148">
            <v>46039</v>
          </cell>
          <cell r="N1148">
            <v>46041</v>
          </cell>
          <cell r="O1148">
            <v>5</v>
          </cell>
          <cell r="P1148">
            <v>46048</v>
          </cell>
          <cell r="Q1148">
            <v>5</v>
          </cell>
          <cell r="R1148" t="str">
            <v>NA</v>
          </cell>
          <cell r="S1148">
            <v>5</v>
          </cell>
        </row>
        <row r="1149">
          <cell r="B1149" t="str">
            <v>MNC</v>
          </cell>
          <cell r="C1149" t="str">
            <v>HSLB14503</v>
          </cell>
          <cell r="D1149">
            <v>204006</v>
          </cell>
          <cell r="E1149" t="str">
            <v>Silla Ergonómica</v>
          </cell>
          <cell r="F1149" t="str">
            <v>NO</v>
          </cell>
          <cell r="G1149" t="str">
            <v>NO</v>
          </cell>
          <cell r="H1149" t="str">
            <v>MÓDULO DE TRABAJO EJECUTIVO DE COMPRA</v>
          </cell>
          <cell r="I1149">
            <v>4</v>
          </cell>
          <cell r="J1149" t="str">
            <v>D.3.3.1.2</v>
          </cell>
          <cell r="K1149" t="str">
            <v>Contabilidad</v>
          </cell>
          <cell r="L1149">
            <v>2</v>
          </cell>
          <cell r="M1149">
            <v>46039</v>
          </cell>
          <cell r="N1149">
            <v>46041</v>
          </cell>
          <cell r="O1149">
            <v>2</v>
          </cell>
          <cell r="P1149">
            <v>46043</v>
          </cell>
          <cell r="Q1149">
            <v>5</v>
          </cell>
          <cell r="R1149" t="str">
            <v>NA</v>
          </cell>
          <cell r="S1149">
            <v>5</v>
          </cell>
        </row>
        <row r="1150">
          <cell r="B1150" t="str">
            <v>MNC</v>
          </cell>
          <cell r="C1150" t="str">
            <v>HSLB14892</v>
          </cell>
          <cell r="D1150">
            <v>204012</v>
          </cell>
          <cell r="E1150" t="str">
            <v>Silla Visita</v>
          </cell>
          <cell r="F1150" t="str">
            <v>NO</v>
          </cell>
          <cell r="G1150" t="str">
            <v>NO</v>
          </cell>
          <cell r="H1150" t="str">
            <v>MÓDULO DE TRABAJO EJECUTIVO DE COMPRA</v>
          </cell>
          <cell r="I1150">
            <v>4</v>
          </cell>
          <cell r="J1150" t="str">
            <v>D.3.3.1.2</v>
          </cell>
          <cell r="K1150" t="str">
            <v>Contabilidad</v>
          </cell>
          <cell r="L1150">
            <v>2</v>
          </cell>
          <cell r="M1150">
            <v>46039</v>
          </cell>
          <cell r="N1150">
            <v>46041</v>
          </cell>
          <cell r="O1150">
            <v>2</v>
          </cell>
          <cell r="P1150">
            <v>46043</v>
          </cell>
          <cell r="Q1150">
            <v>5</v>
          </cell>
          <cell r="R1150" t="str">
            <v>NA</v>
          </cell>
          <cell r="S1150">
            <v>5</v>
          </cell>
        </row>
        <row r="1151">
          <cell r="B1151" t="str">
            <v>MNC</v>
          </cell>
          <cell r="C1151" t="str">
            <v>HSLB13242</v>
          </cell>
          <cell r="D1151">
            <v>201001</v>
          </cell>
          <cell r="E1151" t="str">
            <v>Estación de Trabajo</v>
          </cell>
          <cell r="F1151" t="str">
            <v>NO</v>
          </cell>
          <cell r="G1151" t="str">
            <v>NO</v>
          </cell>
          <cell r="H1151" t="str">
            <v>MÓDULO DE TRABAJO QUÍMICO FARMACEUTICO</v>
          </cell>
          <cell r="I1151">
            <v>1</v>
          </cell>
          <cell r="J1151" t="str">
            <v>D.3.3.1.3</v>
          </cell>
          <cell r="K1151" t="str">
            <v>Contabilidad</v>
          </cell>
          <cell r="L1151">
            <v>2</v>
          </cell>
          <cell r="M1151">
            <v>46039</v>
          </cell>
          <cell r="N1151">
            <v>46041</v>
          </cell>
          <cell r="O1151">
            <v>5</v>
          </cell>
          <cell r="P1151">
            <v>46048</v>
          </cell>
          <cell r="Q1151">
            <v>5</v>
          </cell>
          <cell r="R1151" t="str">
            <v>NA</v>
          </cell>
          <cell r="S1151">
            <v>5</v>
          </cell>
        </row>
        <row r="1152">
          <cell r="B1152" t="str">
            <v>MNC</v>
          </cell>
          <cell r="C1152" t="str">
            <v>HSLB14504</v>
          </cell>
          <cell r="D1152">
            <v>204006</v>
          </cell>
          <cell r="E1152" t="str">
            <v>Silla Ergonómica</v>
          </cell>
          <cell r="F1152" t="str">
            <v>NO</v>
          </cell>
          <cell r="G1152" t="str">
            <v>NO</v>
          </cell>
          <cell r="H1152" t="str">
            <v>MÓDULO DE TRABAJO QUÍMICO FARMACEUTICO</v>
          </cell>
          <cell r="I1152">
            <v>1</v>
          </cell>
          <cell r="J1152" t="str">
            <v>D.3.3.1.3</v>
          </cell>
          <cell r="K1152" t="str">
            <v>Contabilidad</v>
          </cell>
          <cell r="L1152">
            <v>2</v>
          </cell>
          <cell r="M1152">
            <v>46039</v>
          </cell>
          <cell r="N1152">
            <v>46041</v>
          </cell>
          <cell r="O1152">
            <v>2</v>
          </cell>
          <cell r="P1152">
            <v>46043</v>
          </cell>
          <cell r="Q1152">
            <v>5</v>
          </cell>
          <cell r="R1152" t="str">
            <v>NA</v>
          </cell>
          <cell r="S1152">
            <v>5</v>
          </cell>
        </row>
        <row r="1153">
          <cell r="B1153" t="str">
            <v>MNC</v>
          </cell>
          <cell r="C1153" t="str">
            <v>HSLB14893</v>
          </cell>
          <cell r="D1153">
            <v>204012</v>
          </cell>
          <cell r="E1153" t="str">
            <v>Silla Visita</v>
          </cell>
          <cell r="F1153" t="str">
            <v>NO</v>
          </cell>
          <cell r="G1153" t="str">
            <v>NO</v>
          </cell>
          <cell r="H1153" t="str">
            <v>MÓDULO DE TRABAJO QUÍMICO FARMACEUTICO</v>
          </cell>
          <cell r="I1153">
            <v>2</v>
          </cell>
          <cell r="J1153" t="str">
            <v>D.3.3.1.3</v>
          </cell>
          <cell r="K1153" t="str">
            <v>Contabilidad</v>
          </cell>
          <cell r="L1153">
            <v>2</v>
          </cell>
          <cell r="M1153">
            <v>46039</v>
          </cell>
          <cell r="N1153">
            <v>46041</v>
          </cell>
          <cell r="O1153">
            <v>2</v>
          </cell>
          <cell r="P1153">
            <v>46043</v>
          </cell>
          <cell r="Q1153">
            <v>5</v>
          </cell>
          <cell r="R1153" t="str">
            <v>NA</v>
          </cell>
          <cell r="S1153">
            <v>5</v>
          </cell>
        </row>
        <row r="1154">
          <cell r="B1154" t="str">
            <v>MNC</v>
          </cell>
          <cell r="C1154" t="str">
            <v>HSLB13243</v>
          </cell>
          <cell r="D1154">
            <v>201001</v>
          </cell>
          <cell r="E1154" t="str">
            <v>Estación de Trabajo</v>
          </cell>
          <cell r="F1154" t="str">
            <v>NO</v>
          </cell>
          <cell r="G1154" t="str">
            <v>NO</v>
          </cell>
          <cell r="H1154" t="str">
            <v>SECRETARÍA C/ARCHIVO Y FOTOCOPIADORA</v>
          </cell>
          <cell r="I1154">
            <v>1</v>
          </cell>
          <cell r="J1154" t="str">
            <v>D.3.3.2.2</v>
          </cell>
          <cell r="K1154" t="str">
            <v>Contabilidad</v>
          </cell>
          <cell r="L1154">
            <v>2</v>
          </cell>
          <cell r="M1154">
            <v>46039</v>
          </cell>
          <cell r="N1154">
            <v>46041</v>
          </cell>
          <cell r="O1154">
            <v>5</v>
          </cell>
          <cell r="P1154">
            <v>46048</v>
          </cell>
          <cell r="Q1154">
            <v>5</v>
          </cell>
          <cell r="R1154" t="str">
            <v>NA</v>
          </cell>
          <cell r="S1154">
            <v>5</v>
          </cell>
        </row>
        <row r="1155">
          <cell r="B1155" t="str">
            <v>MNC</v>
          </cell>
          <cell r="C1155" t="str">
            <v>HSLB14505</v>
          </cell>
          <cell r="D1155">
            <v>204006</v>
          </cell>
          <cell r="E1155" t="str">
            <v>Silla Ergonómica</v>
          </cell>
          <cell r="F1155" t="str">
            <v>NO</v>
          </cell>
          <cell r="G1155" t="str">
            <v>NO</v>
          </cell>
          <cell r="H1155" t="str">
            <v>SECRETARÍA C/ARCHIVO Y FOTOCOPIADORA</v>
          </cell>
          <cell r="I1155">
            <v>1</v>
          </cell>
          <cell r="J1155" t="str">
            <v>D.3.3.2.2</v>
          </cell>
          <cell r="K1155" t="str">
            <v>Contabilidad</v>
          </cell>
          <cell r="L1155">
            <v>2</v>
          </cell>
          <cell r="M1155">
            <v>46039</v>
          </cell>
          <cell r="N1155">
            <v>46041</v>
          </cell>
          <cell r="O1155">
            <v>2</v>
          </cell>
          <cell r="P1155">
            <v>46043</v>
          </cell>
          <cell r="Q1155">
            <v>5</v>
          </cell>
          <cell r="R1155" t="str">
            <v>NA</v>
          </cell>
          <cell r="S1155">
            <v>5</v>
          </cell>
        </row>
        <row r="1156">
          <cell r="B1156" t="str">
            <v>MNC</v>
          </cell>
          <cell r="C1156" t="str">
            <v>HSLB14894</v>
          </cell>
          <cell r="D1156">
            <v>204012</v>
          </cell>
          <cell r="E1156" t="str">
            <v>Silla Visita</v>
          </cell>
          <cell r="F1156" t="str">
            <v>NO</v>
          </cell>
          <cell r="G1156" t="str">
            <v>NO</v>
          </cell>
          <cell r="H1156" t="str">
            <v>SECRETARÍA C/ARCHIVO Y FOTOCOPIADORA</v>
          </cell>
          <cell r="I1156">
            <v>2</v>
          </cell>
          <cell r="J1156" t="str">
            <v>D.3.3.2.2</v>
          </cell>
          <cell r="K1156" t="str">
            <v>Contabilidad</v>
          </cell>
          <cell r="L1156">
            <v>2</v>
          </cell>
          <cell r="M1156">
            <v>46039</v>
          </cell>
          <cell r="N1156">
            <v>46041</v>
          </cell>
          <cell r="O1156">
            <v>2</v>
          </cell>
          <cell r="P1156">
            <v>46043</v>
          </cell>
          <cell r="Q1156">
            <v>5</v>
          </cell>
          <cell r="R1156" t="str">
            <v>NA</v>
          </cell>
          <cell r="S1156">
            <v>5</v>
          </cell>
        </row>
        <row r="1157">
          <cell r="B1157" t="str">
            <v>MNC</v>
          </cell>
          <cell r="C1157" t="str">
            <v>HSLB13244</v>
          </cell>
          <cell r="D1157">
            <v>201001</v>
          </cell>
          <cell r="E1157" t="str">
            <v>Estación de Trabajo</v>
          </cell>
          <cell r="F1157" t="str">
            <v>NO</v>
          </cell>
          <cell r="G1157" t="str">
            <v>NO</v>
          </cell>
          <cell r="H1157" t="str">
            <v>MÓDULO DE TRABAJO EJECUTIVO LICITACIONES</v>
          </cell>
          <cell r="I1157">
            <v>1</v>
          </cell>
          <cell r="J1157" t="str">
            <v>D.3.3.2.3</v>
          </cell>
          <cell r="K1157" t="str">
            <v>Contabilidad</v>
          </cell>
          <cell r="L1157">
            <v>2</v>
          </cell>
          <cell r="M1157">
            <v>46039</v>
          </cell>
          <cell r="N1157">
            <v>46041</v>
          </cell>
          <cell r="O1157">
            <v>5</v>
          </cell>
          <cell r="P1157">
            <v>46048</v>
          </cell>
          <cell r="Q1157">
            <v>5</v>
          </cell>
          <cell r="R1157" t="str">
            <v>NA</v>
          </cell>
          <cell r="S1157">
            <v>5</v>
          </cell>
        </row>
        <row r="1158">
          <cell r="B1158" t="str">
            <v>MNC</v>
          </cell>
          <cell r="C1158" t="str">
            <v>HSLB14506</v>
          </cell>
          <cell r="D1158">
            <v>204006</v>
          </cell>
          <cell r="E1158" t="str">
            <v>Silla Ergonómica</v>
          </cell>
          <cell r="F1158" t="str">
            <v>NO</v>
          </cell>
          <cell r="G1158" t="str">
            <v>NO</v>
          </cell>
          <cell r="H1158" t="str">
            <v>MÓDULO DE TRABAJO EJECUTIVO LICITACIONES</v>
          </cell>
          <cell r="I1158">
            <v>1</v>
          </cell>
          <cell r="J1158" t="str">
            <v>D.3.3.2.3</v>
          </cell>
          <cell r="K1158" t="str">
            <v>Contabilidad</v>
          </cell>
          <cell r="L1158">
            <v>2</v>
          </cell>
          <cell r="M1158">
            <v>46039</v>
          </cell>
          <cell r="N1158">
            <v>46041</v>
          </cell>
          <cell r="O1158">
            <v>2</v>
          </cell>
          <cell r="P1158">
            <v>46043</v>
          </cell>
          <cell r="Q1158">
            <v>5</v>
          </cell>
          <cell r="R1158" t="str">
            <v>NA</v>
          </cell>
          <cell r="S1158">
            <v>5</v>
          </cell>
        </row>
        <row r="1159">
          <cell r="B1159" t="str">
            <v>MNC</v>
          </cell>
          <cell r="C1159" t="str">
            <v>HSLB14895</v>
          </cell>
          <cell r="D1159">
            <v>204012</v>
          </cell>
          <cell r="E1159" t="str">
            <v>Silla Visita</v>
          </cell>
          <cell r="F1159" t="str">
            <v>NO</v>
          </cell>
          <cell r="G1159" t="str">
            <v>NO</v>
          </cell>
          <cell r="H1159" t="str">
            <v>MÓDULO DE TRABAJO EJECUTIVO LICITACIONES</v>
          </cell>
          <cell r="I1159">
            <v>2</v>
          </cell>
          <cell r="J1159" t="str">
            <v>D.3.3.2.3</v>
          </cell>
          <cell r="K1159" t="str">
            <v>Contabilidad</v>
          </cell>
          <cell r="L1159">
            <v>2</v>
          </cell>
          <cell r="M1159">
            <v>46039</v>
          </cell>
          <cell r="N1159">
            <v>46041</v>
          </cell>
          <cell r="O1159">
            <v>2</v>
          </cell>
          <cell r="P1159">
            <v>46043</v>
          </cell>
          <cell r="Q1159">
            <v>5</v>
          </cell>
          <cell r="R1159" t="str">
            <v>NA</v>
          </cell>
          <cell r="S1159">
            <v>5</v>
          </cell>
        </row>
        <row r="1160">
          <cell r="B1160" t="str">
            <v>MNC</v>
          </cell>
          <cell r="C1160" t="str">
            <v>HSLB13245</v>
          </cell>
          <cell r="D1160">
            <v>201001</v>
          </cell>
          <cell r="E1160" t="str">
            <v>Estación de Trabajo</v>
          </cell>
          <cell r="F1160" t="str">
            <v>NO</v>
          </cell>
          <cell r="G1160" t="str">
            <v>NO</v>
          </cell>
          <cell r="H1160" t="str">
            <v>OFICINA ADMINISTRADOR DE CONTRATOS</v>
          </cell>
          <cell r="I1160">
            <v>1</v>
          </cell>
          <cell r="J1160" t="str">
            <v>D.3.3.2.5</v>
          </cell>
          <cell r="K1160" t="str">
            <v>Contabilidad</v>
          </cell>
          <cell r="L1160">
            <v>2</v>
          </cell>
          <cell r="M1160">
            <v>46039</v>
          </cell>
          <cell r="N1160">
            <v>46041</v>
          </cell>
          <cell r="O1160">
            <v>5</v>
          </cell>
          <cell r="P1160">
            <v>46048</v>
          </cell>
          <cell r="Q1160">
            <v>5</v>
          </cell>
          <cell r="R1160" t="str">
            <v>NA</v>
          </cell>
          <cell r="S1160">
            <v>5</v>
          </cell>
        </row>
        <row r="1161">
          <cell r="B1161" t="str">
            <v>MNC</v>
          </cell>
          <cell r="C1161" t="str">
            <v>HSLB14507</v>
          </cell>
          <cell r="D1161">
            <v>204006</v>
          </cell>
          <cell r="E1161" t="str">
            <v>Silla Ergonómica</v>
          </cell>
          <cell r="F1161" t="str">
            <v>NO</v>
          </cell>
          <cell r="G1161" t="str">
            <v>NO</v>
          </cell>
          <cell r="H1161" t="str">
            <v>OFICINA ADMINISTRADOR DE CONTRATOS</v>
          </cell>
          <cell r="I1161">
            <v>1</v>
          </cell>
          <cell r="J1161" t="str">
            <v>D.3.3.2.5</v>
          </cell>
          <cell r="K1161" t="str">
            <v>Contabilidad</v>
          </cell>
          <cell r="L1161">
            <v>2</v>
          </cell>
          <cell r="M1161">
            <v>46039</v>
          </cell>
          <cell r="N1161">
            <v>46041</v>
          </cell>
          <cell r="O1161">
            <v>2</v>
          </cell>
          <cell r="P1161">
            <v>46043</v>
          </cell>
          <cell r="Q1161">
            <v>5</v>
          </cell>
          <cell r="R1161" t="str">
            <v>NA</v>
          </cell>
          <cell r="S1161">
            <v>5</v>
          </cell>
        </row>
        <row r="1162">
          <cell r="B1162" t="str">
            <v>MNC</v>
          </cell>
          <cell r="C1162" t="str">
            <v>HSLB14896</v>
          </cell>
          <cell r="D1162">
            <v>204012</v>
          </cell>
          <cell r="E1162" t="str">
            <v>Silla Visita</v>
          </cell>
          <cell r="F1162" t="str">
            <v>NO</v>
          </cell>
          <cell r="G1162" t="str">
            <v>NO</v>
          </cell>
          <cell r="H1162" t="str">
            <v>OFICINA ADMINISTRADOR DE CONTRATOS</v>
          </cell>
          <cell r="I1162">
            <v>2</v>
          </cell>
          <cell r="J1162" t="str">
            <v>D.3.3.2.5</v>
          </cell>
          <cell r="K1162" t="str">
            <v>Contabilidad</v>
          </cell>
          <cell r="L1162">
            <v>2</v>
          </cell>
          <cell r="M1162">
            <v>46039</v>
          </cell>
          <cell r="N1162">
            <v>46041</v>
          </cell>
          <cell r="O1162">
            <v>2</v>
          </cell>
          <cell r="P1162">
            <v>46043</v>
          </cell>
          <cell r="Q1162">
            <v>5</v>
          </cell>
          <cell r="R1162" t="str">
            <v>NA</v>
          </cell>
          <cell r="S1162">
            <v>5</v>
          </cell>
        </row>
        <row r="1163">
          <cell r="B1163" t="str">
            <v>MNC</v>
          </cell>
          <cell r="C1163" t="str">
            <v>HSLB13249</v>
          </cell>
          <cell r="D1163">
            <v>201001</v>
          </cell>
          <cell r="E1163" t="str">
            <v>Estación de Trabajo</v>
          </cell>
          <cell r="F1163" t="str">
            <v>NO</v>
          </cell>
          <cell r="G1163" t="str">
            <v>NO</v>
          </cell>
          <cell r="H1163" t="str">
            <v>OFICINA COORDINADOR CENTRAL</v>
          </cell>
          <cell r="I1163">
            <v>1</v>
          </cell>
          <cell r="J1163" t="str">
            <v>D.3.3.3.30</v>
          </cell>
          <cell r="K1163" t="str">
            <v>Contabilidad</v>
          </cell>
          <cell r="L1163">
            <v>2</v>
          </cell>
          <cell r="M1163">
            <v>46039</v>
          </cell>
          <cell r="N1163">
            <v>46041</v>
          </cell>
          <cell r="O1163">
            <v>5</v>
          </cell>
          <cell r="P1163">
            <v>46048</v>
          </cell>
          <cell r="Q1163">
            <v>5</v>
          </cell>
          <cell r="R1163" t="str">
            <v>NA</v>
          </cell>
          <cell r="S1163">
            <v>5</v>
          </cell>
        </row>
        <row r="1164">
          <cell r="B1164" t="str">
            <v>MNC</v>
          </cell>
          <cell r="C1164" t="str">
            <v>HSLB14513</v>
          </cell>
          <cell r="D1164">
            <v>204006</v>
          </cell>
          <cell r="E1164" t="str">
            <v>Silla Ergonómica</v>
          </cell>
          <cell r="F1164" t="str">
            <v>NO</v>
          </cell>
          <cell r="G1164" t="str">
            <v>NO</v>
          </cell>
          <cell r="H1164" t="str">
            <v>OFICINA COORDINADOR CENTRAL</v>
          </cell>
          <cell r="I1164">
            <v>1</v>
          </cell>
          <cell r="J1164" t="str">
            <v>D.3.3.3.30</v>
          </cell>
          <cell r="K1164" t="str">
            <v>Contabilidad</v>
          </cell>
          <cell r="L1164">
            <v>2</v>
          </cell>
          <cell r="M1164">
            <v>46039</v>
          </cell>
          <cell r="N1164">
            <v>46041</v>
          </cell>
          <cell r="O1164">
            <v>2</v>
          </cell>
          <cell r="P1164">
            <v>46043</v>
          </cell>
          <cell r="Q1164">
            <v>5</v>
          </cell>
          <cell r="R1164" t="str">
            <v>NA</v>
          </cell>
          <cell r="S1164">
            <v>5</v>
          </cell>
        </row>
        <row r="1165">
          <cell r="B1165" t="str">
            <v>MNC</v>
          </cell>
          <cell r="C1165" t="str">
            <v>HSLB14901</v>
          </cell>
          <cell r="D1165">
            <v>204012</v>
          </cell>
          <cell r="E1165" t="str">
            <v>Silla Visita</v>
          </cell>
          <cell r="F1165" t="str">
            <v>NO</v>
          </cell>
          <cell r="G1165" t="str">
            <v>NO</v>
          </cell>
          <cell r="H1165" t="str">
            <v>OFICINA COORDINADOR CENTRAL</v>
          </cell>
          <cell r="I1165">
            <v>2</v>
          </cell>
          <cell r="J1165" t="str">
            <v>D.3.3.3.30</v>
          </cell>
          <cell r="K1165" t="str">
            <v>Contabilidad</v>
          </cell>
          <cell r="L1165">
            <v>2</v>
          </cell>
          <cell r="M1165">
            <v>46039</v>
          </cell>
          <cell r="N1165">
            <v>46041</v>
          </cell>
          <cell r="O1165">
            <v>2</v>
          </cell>
          <cell r="P1165">
            <v>46043</v>
          </cell>
          <cell r="Q1165">
            <v>5</v>
          </cell>
          <cell r="R1165" t="str">
            <v>NA</v>
          </cell>
          <cell r="S1165">
            <v>5</v>
          </cell>
        </row>
        <row r="1166">
          <cell r="B1166" t="str">
            <v>MNC</v>
          </cell>
          <cell r="C1166" t="str">
            <v>HSLB13250</v>
          </cell>
          <cell r="D1166">
            <v>201001</v>
          </cell>
          <cell r="E1166" t="str">
            <v>Estación de Trabajo</v>
          </cell>
          <cell r="F1166" t="str">
            <v>NO</v>
          </cell>
          <cell r="G1166" t="str">
            <v>NO</v>
          </cell>
          <cell r="H1166" t="str">
            <v>SECRETARÍA C/ARCHIVO Y FOTOCOPIADORA</v>
          </cell>
          <cell r="I1166">
            <v>1</v>
          </cell>
          <cell r="J1166" t="str">
            <v>D.3.3.3.31</v>
          </cell>
          <cell r="K1166" t="str">
            <v>Contabilidad</v>
          </cell>
          <cell r="L1166">
            <v>2</v>
          </cell>
          <cell r="M1166">
            <v>46039</v>
          </cell>
          <cell r="N1166">
            <v>46041</v>
          </cell>
          <cell r="O1166">
            <v>5</v>
          </cell>
          <cell r="P1166">
            <v>46048</v>
          </cell>
          <cell r="Q1166">
            <v>5</v>
          </cell>
          <cell r="R1166" t="str">
            <v>NA</v>
          </cell>
          <cell r="S1166">
            <v>5</v>
          </cell>
        </row>
        <row r="1167">
          <cell r="B1167" t="str">
            <v>MNC</v>
          </cell>
          <cell r="C1167" t="str">
            <v>HSLB14514</v>
          </cell>
          <cell r="D1167">
            <v>204006</v>
          </cell>
          <cell r="E1167" t="str">
            <v>Silla Ergonómica</v>
          </cell>
          <cell r="F1167" t="str">
            <v>NO</v>
          </cell>
          <cell r="G1167" t="str">
            <v>NO</v>
          </cell>
          <cell r="H1167" t="str">
            <v>SECRETARÍA C/ARCHIVO Y FOTOCOPIADORA</v>
          </cell>
          <cell r="I1167">
            <v>1</v>
          </cell>
          <cell r="J1167" t="str">
            <v>D.3.3.3.31</v>
          </cell>
          <cell r="K1167" t="str">
            <v>Contabilidad</v>
          </cell>
          <cell r="L1167">
            <v>2</v>
          </cell>
          <cell r="M1167">
            <v>46039</v>
          </cell>
          <cell r="N1167">
            <v>46041</v>
          </cell>
          <cell r="O1167">
            <v>2</v>
          </cell>
          <cell r="P1167">
            <v>46043</v>
          </cell>
          <cell r="Q1167">
            <v>5</v>
          </cell>
          <cell r="R1167" t="str">
            <v>NA</v>
          </cell>
          <cell r="S1167">
            <v>5</v>
          </cell>
        </row>
        <row r="1168">
          <cell r="B1168" t="str">
            <v>MNC</v>
          </cell>
          <cell r="C1168" t="str">
            <v>HSLB14902</v>
          </cell>
          <cell r="D1168">
            <v>204012</v>
          </cell>
          <cell r="E1168" t="str">
            <v>Silla Visita</v>
          </cell>
          <cell r="F1168" t="str">
            <v>NO</v>
          </cell>
          <cell r="G1168" t="str">
            <v>NO</v>
          </cell>
          <cell r="H1168" t="str">
            <v>SECRETARÍA C/ARCHIVO Y FOTOCOPIADORA</v>
          </cell>
          <cell r="I1168">
            <v>2</v>
          </cell>
          <cell r="J1168" t="str">
            <v>D.3.3.3.31</v>
          </cell>
          <cell r="K1168" t="str">
            <v>Contabilidad</v>
          </cell>
          <cell r="L1168">
            <v>2</v>
          </cell>
          <cell r="M1168">
            <v>46039</v>
          </cell>
          <cell r="N1168">
            <v>46041</v>
          </cell>
          <cell r="O1168">
            <v>2</v>
          </cell>
          <cell r="P1168">
            <v>46043</v>
          </cell>
          <cell r="Q1168">
            <v>5</v>
          </cell>
          <cell r="R1168" t="str">
            <v>NA</v>
          </cell>
          <cell r="S1168">
            <v>5</v>
          </cell>
        </row>
        <row r="1169">
          <cell r="B1169" t="str">
            <v>MNC</v>
          </cell>
          <cell r="C1169" t="str">
            <v>HSLB13391</v>
          </cell>
          <cell r="D1169">
            <v>201010</v>
          </cell>
          <cell r="E1169" t="str">
            <v>Mesa Reuniones Tipo III</v>
          </cell>
          <cell r="F1169" t="str">
            <v>NO</v>
          </cell>
          <cell r="G1169" t="str">
            <v>NO</v>
          </cell>
          <cell r="H1169" t="str">
            <v>SALA DE REUNIONES (15 ppm)</v>
          </cell>
          <cell r="I1169">
            <v>1</v>
          </cell>
          <cell r="J1169" t="str">
            <v>D.3.4.1</v>
          </cell>
          <cell r="K1169" t="str">
            <v>Contabilidad</v>
          </cell>
          <cell r="L1169">
            <v>2</v>
          </cell>
          <cell r="M1169">
            <v>46039</v>
          </cell>
          <cell r="N1169">
            <v>46041</v>
          </cell>
          <cell r="P1169">
            <v>46041</v>
          </cell>
          <cell r="Q1169">
            <v>5</v>
          </cell>
          <cell r="R1169" t="str">
            <v>NA</v>
          </cell>
          <cell r="S1169">
            <v>5</v>
          </cell>
        </row>
        <row r="1170">
          <cell r="B1170" t="str">
            <v>MNC</v>
          </cell>
          <cell r="C1170" t="str">
            <v>HSLB14903</v>
          </cell>
          <cell r="D1170">
            <v>204012</v>
          </cell>
          <cell r="E1170" t="str">
            <v>Silla Visita</v>
          </cell>
          <cell r="F1170" t="str">
            <v>NO</v>
          </cell>
          <cell r="G1170" t="str">
            <v>NO</v>
          </cell>
          <cell r="H1170" t="str">
            <v>SALA DE REUNIONES (15 ppm)</v>
          </cell>
          <cell r="I1170">
            <v>15</v>
          </cell>
          <cell r="J1170" t="str">
            <v>D.3.4.1</v>
          </cell>
          <cell r="K1170" t="str">
            <v>Contabilidad</v>
          </cell>
          <cell r="L1170">
            <v>2</v>
          </cell>
          <cell r="M1170">
            <v>46039</v>
          </cell>
          <cell r="N1170">
            <v>46041</v>
          </cell>
          <cell r="O1170">
            <v>2</v>
          </cell>
          <cell r="P1170">
            <v>46043</v>
          </cell>
          <cell r="Q1170">
            <v>5</v>
          </cell>
          <cell r="R1170" t="str">
            <v>NA</v>
          </cell>
          <cell r="S1170">
            <v>5</v>
          </cell>
        </row>
        <row r="1171">
          <cell r="B1171" t="str">
            <v>MNC</v>
          </cell>
          <cell r="C1171" t="str">
            <v>HSLB14521</v>
          </cell>
          <cell r="D1171">
            <v>204006</v>
          </cell>
          <cell r="E1171" t="str">
            <v>Silla Ergonómica</v>
          </cell>
          <cell r="F1171" t="str">
            <v>NO</v>
          </cell>
          <cell r="G1171" t="str">
            <v>NO</v>
          </cell>
          <cell r="H1171" t="str">
            <v>MESÓN DE RECEPCIÓN C/ARCHIVO Y FOTOCOPIADORA</v>
          </cell>
          <cell r="I1171">
            <v>1</v>
          </cell>
          <cell r="J1171" t="str">
            <v>D.4.4.1.1</v>
          </cell>
          <cell r="K1171" t="str">
            <v>Consultas Ambulatorias</v>
          </cell>
          <cell r="L1171">
            <v>2</v>
          </cell>
          <cell r="M1171">
            <v>46003</v>
          </cell>
          <cell r="N1171">
            <v>46006</v>
          </cell>
          <cell r="O1171">
            <v>2</v>
          </cell>
          <cell r="P1171">
            <v>46008</v>
          </cell>
          <cell r="Q1171">
            <v>5</v>
          </cell>
          <cell r="R1171" t="str">
            <v>NA</v>
          </cell>
          <cell r="S1171">
            <v>5</v>
          </cell>
        </row>
        <row r="1172">
          <cell r="B1172" t="str">
            <v>MNC</v>
          </cell>
          <cell r="C1172" t="str">
            <v>HSLB15445</v>
          </cell>
          <cell r="D1172">
            <v>204020</v>
          </cell>
          <cell r="E1172" t="str">
            <v>Silla Butaca Espera 3 Cuerpos</v>
          </cell>
          <cell r="F1172" t="str">
            <v>NO</v>
          </cell>
          <cell r="G1172" t="str">
            <v>NO</v>
          </cell>
          <cell r="H1172" t="str">
            <v>MESÓN DE RECEPCIÓN C/ARCHIVO Y FOTOCOPIADORA</v>
          </cell>
          <cell r="I1172">
            <v>3</v>
          </cell>
          <cell r="J1172" t="str">
            <v>D.4.4.1.1</v>
          </cell>
          <cell r="K1172" t="str">
            <v>Consultas Ambulatorias</v>
          </cell>
          <cell r="L1172">
            <v>2</v>
          </cell>
          <cell r="M1172">
            <v>46003</v>
          </cell>
          <cell r="N1172">
            <v>46006</v>
          </cell>
          <cell r="O1172">
            <v>2</v>
          </cell>
          <cell r="P1172">
            <v>46008</v>
          </cell>
          <cell r="Q1172">
            <v>5</v>
          </cell>
          <cell r="R1172" t="str">
            <v>NA</v>
          </cell>
          <cell r="S1172">
            <v>5</v>
          </cell>
        </row>
        <row r="1173">
          <cell r="B1173" t="str">
            <v>MNC</v>
          </cell>
          <cell r="C1173" t="str">
            <v>HSLB13257</v>
          </cell>
          <cell r="D1173">
            <v>201001</v>
          </cell>
          <cell r="E1173" t="str">
            <v>Estación de Trabajo</v>
          </cell>
          <cell r="F1173" t="str">
            <v>NO</v>
          </cell>
          <cell r="G1173" t="str">
            <v>NO</v>
          </cell>
          <cell r="H1173" t="str">
            <v>COORDINADOR SALUD DEL TRABAJADOR</v>
          </cell>
          <cell r="I1173">
            <v>1</v>
          </cell>
          <cell r="J1173" t="str">
            <v>D.4.4.1.2</v>
          </cell>
          <cell r="K1173" t="str">
            <v>Consultas Ambulatorias</v>
          </cell>
          <cell r="L1173">
            <v>2</v>
          </cell>
          <cell r="M1173">
            <v>46003</v>
          </cell>
          <cell r="N1173">
            <v>46006</v>
          </cell>
          <cell r="O1173">
            <v>5</v>
          </cell>
          <cell r="P1173">
            <v>46013</v>
          </cell>
          <cell r="Q1173">
            <v>5</v>
          </cell>
          <cell r="R1173" t="str">
            <v>NA</v>
          </cell>
          <cell r="S1173">
            <v>5</v>
          </cell>
        </row>
        <row r="1174">
          <cell r="B1174" t="str">
            <v>MNC</v>
          </cell>
          <cell r="C1174" t="str">
            <v>HSLB14522</v>
          </cell>
          <cell r="D1174">
            <v>204006</v>
          </cell>
          <cell r="E1174" t="str">
            <v>Silla Ergonómica</v>
          </cell>
          <cell r="F1174" t="str">
            <v>NO</v>
          </cell>
          <cell r="G1174" t="str">
            <v>NO</v>
          </cell>
          <cell r="H1174" t="str">
            <v>COORDINADOR SALUD DEL TRABAJADOR</v>
          </cell>
          <cell r="I1174">
            <v>1</v>
          </cell>
          <cell r="J1174" t="str">
            <v>D.4.4.1.2</v>
          </cell>
          <cell r="K1174" t="str">
            <v>Consultas Ambulatorias</v>
          </cell>
          <cell r="L1174">
            <v>2</v>
          </cell>
          <cell r="M1174">
            <v>46003</v>
          </cell>
          <cell r="N1174">
            <v>46006</v>
          </cell>
          <cell r="O1174">
            <v>2</v>
          </cell>
          <cell r="P1174">
            <v>46008</v>
          </cell>
          <cell r="Q1174">
            <v>5</v>
          </cell>
          <cell r="R1174" t="str">
            <v>NA</v>
          </cell>
          <cell r="S1174">
            <v>5</v>
          </cell>
        </row>
        <row r="1175">
          <cell r="B1175" t="str">
            <v>MNC</v>
          </cell>
          <cell r="C1175" t="str">
            <v>HSLB14910</v>
          </cell>
          <cell r="D1175">
            <v>204012</v>
          </cell>
          <cell r="E1175" t="str">
            <v>Silla Visita</v>
          </cell>
          <cell r="F1175" t="str">
            <v>NO</v>
          </cell>
          <cell r="G1175" t="str">
            <v>NO</v>
          </cell>
          <cell r="H1175" t="str">
            <v>COORDINADOR SALUD DEL TRABAJADOR</v>
          </cell>
          <cell r="I1175">
            <v>2</v>
          </cell>
          <cell r="J1175" t="str">
            <v>D.4.4.1.2</v>
          </cell>
          <cell r="K1175" t="str">
            <v>Consultas Ambulatorias</v>
          </cell>
          <cell r="L1175">
            <v>2</v>
          </cell>
          <cell r="M1175">
            <v>46003</v>
          </cell>
          <cell r="N1175">
            <v>46006</v>
          </cell>
          <cell r="O1175">
            <v>2</v>
          </cell>
          <cell r="P1175">
            <v>46008</v>
          </cell>
          <cell r="Q1175">
            <v>5</v>
          </cell>
          <cell r="R1175" t="str">
            <v>NA</v>
          </cell>
          <cell r="S1175">
            <v>5</v>
          </cell>
        </row>
        <row r="1176">
          <cell r="B1176" t="str">
            <v>MNC</v>
          </cell>
          <cell r="C1176" t="str">
            <v>HSLB13258</v>
          </cell>
          <cell r="D1176">
            <v>201001</v>
          </cell>
          <cell r="E1176" t="str">
            <v>Estación de Trabajo</v>
          </cell>
          <cell r="F1176" t="str">
            <v>NO</v>
          </cell>
          <cell r="G1176" t="str">
            <v>SI</v>
          </cell>
          <cell r="H1176" t="str">
            <v>BOX DE ATENCIÓN</v>
          </cell>
          <cell r="I1176">
            <v>1</v>
          </cell>
          <cell r="J1176" t="str">
            <v>D.4.4.1.3.1</v>
          </cell>
          <cell r="K1176" t="str">
            <v>Consultas Ambulatorias</v>
          </cell>
          <cell r="L1176">
            <v>2</v>
          </cell>
          <cell r="M1176">
            <v>46003</v>
          </cell>
          <cell r="N1176">
            <v>46006</v>
          </cell>
          <cell r="O1176">
            <v>1</v>
          </cell>
          <cell r="P1176">
            <v>46007</v>
          </cell>
          <cell r="Q1176">
            <v>5</v>
          </cell>
          <cell r="R1176" t="str">
            <v>NA</v>
          </cell>
          <cell r="S1176">
            <v>5</v>
          </cell>
        </row>
        <row r="1177">
          <cell r="B1177" t="str">
            <v>MNC</v>
          </cell>
          <cell r="C1177" t="str">
            <v>HSLB14523</v>
          </cell>
          <cell r="D1177">
            <v>204006</v>
          </cell>
          <cell r="E1177" t="str">
            <v>Silla Ergonómica</v>
          </cell>
          <cell r="F1177" t="str">
            <v>NO</v>
          </cell>
          <cell r="G1177" t="str">
            <v>SI</v>
          </cell>
          <cell r="H1177" t="str">
            <v>BOX DE ATENCIÓN</v>
          </cell>
          <cell r="I1177">
            <v>1</v>
          </cell>
          <cell r="J1177" t="str">
            <v>D.4.4.1.3.1</v>
          </cell>
          <cell r="K1177" t="str">
            <v>Consultas Ambulatorias</v>
          </cell>
          <cell r="L1177">
            <v>2</v>
          </cell>
          <cell r="M1177">
            <v>46003</v>
          </cell>
          <cell r="N1177">
            <v>46006</v>
          </cell>
          <cell r="O1177">
            <v>1</v>
          </cell>
          <cell r="P1177">
            <v>46007</v>
          </cell>
          <cell r="Q1177">
            <v>5</v>
          </cell>
          <cell r="R1177" t="str">
            <v>NA</v>
          </cell>
          <cell r="S1177">
            <v>5</v>
          </cell>
        </row>
        <row r="1178">
          <cell r="B1178" t="str">
            <v>MNC</v>
          </cell>
          <cell r="C1178" t="str">
            <v>HSLB14911</v>
          </cell>
          <cell r="D1178">
            <v>204012</v>
          </cell>
          <cell r="E1178" t="str">
            <v>Silla Visita</v>
          </cell>
          <cell r="F1178" t="str">
            <v>NO</v>
          </cell>
          <cell r="G1178" t="str">
            <v>SI</v>
          </cell>
          <cell r="H1178" t="str">
            <v>BOX DE ATENCIÓN</v>
          </cell>
          <cell r="I1178">
            <v>2</v>
          </cell>
          <cell r="J1178" t="str">
            <v>D.4.4.1.3.1</v>
          </cell>
          <cell r="K1178" t="str">
            <v>Consultas Ambulatorias</v>
          </cell>
          <cell r="L1178">
            <v>2</v>
          </cell>
          <cell r="M1178">
            <v>46003</v>
          </cell>
          <cell r="N1178">
            <v>46006</v>
          </cell>
          <cell r="O1178">
            <v>1</v>
          </cell>
          <cell r="P1178">
            <v>46007</v>
          </cell>
          <cell r="Q1178">
            <v>5</v>
          </cell>
          <cell r="R1178" t="str">
            <v>NA</v>
          </cell>
          <cell r="S1178">
            <v>5</v>
          </cell>
        </row>
        <row r="1179">
          <cell r="B1179" t="str">
            <v>MNC</v>
          </cell>
          <cell r="C1179" t="str">
            <v>HSLB13259</v>
          </cell>
          <cell r="D1179">
            <v>201001</v>
          </cell>
          <cell r="E1179" t="str">
            <v>Estación de Trabajo</v>
          </cell>
          <cell r="F1179" t="str">
            <v>NO</v>
          </cell>
          <cell r="G1179" t="str">
            <v>NO</v>
          </cell>
          <cell r="H1179" t="str">
            <v>BOX DE ATENCIÓN</v>
          </cell>
          <cell r="I1179">
            <v>1</v>
          </cell>
          <cell r="J1179" t="str">
            <v>D.4.4.1.3.2</v>
          </cell>
          <cell r="K1179" t="str">
            <v>Consultas Ambulatorias</v>
          </cell>
          <cell r="L1179">
            <v>2</v>
          </cell>
          <cell r="M1179">
            <v>46003</v>
          </cell>
          <cell r="N1179">
            <v>46006</v>
          </cell>
          <cell r="O1179">
            <v>5</v>
          </cell>
          <cell r="P1179">
            <v>46013</v>
          </cell>
          <cell r="Q1179">
            <v>5</v>
          </cell>
          <cell r="R1179" t="str">
            <v>NA</v>
          </cell>
          <cell r="S1179">
            <v>5</v>
          </cell>
        </row>
        <row r="1180">
          <cell r="B1180" t="str">
            <v>MNC</v>
          </cell>
          <cell r="C1180" t="str">
            <v>HSLB14524</v>
          </cell>
          <cell r="D1180">
            <v>204006</v>
          </cell>
          <cell r="E1180" t="str">
            <v>Silla Ergonómica</v>
          </cell>
          <cell r="F1180" t="str">
            <v>NO</v>
          </cell>
          <cell r="G1180" t="str">
            <v>NO</v>
          </cell>
          <cell r="H1180" t="str">
            <v>BOX DE ATENCIÓN</v>
          </cell>
          <cell r="I1180">
            <v>1</v>
          </cell>
          <cell r="J1180" t="str">
            <v>D.4.4.1.3.2</v>
          </cell>
          <cell r="K1180" t="str">
            <v>Consultas Ambulatorias</v>
          </cell>
          <cell r="L1180">
            <v>2</v>
          </cell>
          <cell r="M1180">
            <v>46003</v>
          </cell>
          <cell r="N1180">
            <v>46006</v>
          </cell>
          <cell r="O1180">
            <v>2</v>
          </cell>
          <cell r="P1180">
            <v>46008</v>
          </cell>
          <cell r="Q1180">
            <v>5</v>
          </cell>
          <cell r="R1180" t="str">
            <v>NA</v>
          </cell>
          <cell r="S1180">
            <v>5</v>
          </cell>
        </row>
        <row r="1181">
          <cell r="B1181" t="str">
            <v>MNC</v>
          </cell>
          <cell r="C1181" t="str">
            <v>HSLB14912</v>
          </cell>
          <cell r="D1181">
            <v>204012</v>
          </cell>
          <cell r="E1181" t="str">
            <v>Silla Visita</v>
          </cell>
          <cell r="F1181" t="str">
            <v>NO</v>
          </cell>
          <cell r="G1181" t="str">
            <v>NO</v>
          </cell>
          <cell r="H1181" t="str">
            <v>BOX DE ATENCIÓN</v>
          </cell>
          <cell r="I1181">
            <v>2</v>
          </cell>
          <cell r="J1181" t="str">
            <v>D.4.4.1.3.2</v>
          </cell>
          <cell r="K1181" t="str">
            <v>Consultas Ambulatorias</v>
          </cell>
          <cell r="L1181">
            <v>2</v>
          </cell>
          <cell r="M1181">
            <v>46003</v>
          </cell>
          <cell r="N1181">
            <v>46006</v>
          </cell>
          <cell r="O1181">
            <v>2</v>
          </cell>
          <cell r="P1181">
            <v>46008</v>
          </cell>
          <cell r="Q1181">
            <v>5</v>
          </cell>
          <cell r="R1181" t="str">
            <v>NA</v>
          </cell>
          <cell r="S1181">
            <v>5</v>
          </cell>
        </row>
        <row r="1182">
          <cell r="B1182" t="str">
            <v>MNC</v>
          </cell>
          <cell r="C1182" t="str">
            <v>HSLB13260</v>
          </cell>
          <cell r="D1182">
            <v>201001</v>
          </cell>
          <cell r="E1182" t="str">
            <v>Estación de Trabajo</v>
          </cell>
          <cell r="F1182" t="str">
            <v>NO</v>
          </cell>
          <cell r="G1182" t="str">
            <v>NO</v>
          </cell>
          <cell r="H1182" t="str">
            <v>BOX DE ATENCIÓN</v>
          </cell>
          <cell r="I1182">
            <v>1</v>
          </cell>
          <cell r="J1182" t="str">
            <v>D.4.4.1.3.3</v>
          </cell>
          <cell r="K1182" t="str">
            <v>Consultas Ambulatorias</v>
          </cell>
          <cell r="L1182">
            <v>2</v>
          </cell>
          <cell r="M1182">
            <v>46003</v>
          </cell>
          <cell r="N1182">
            <v>46006</v>
          </cell>
          <cell r="O1182">
            <v>5</v>
          </cell>
          <cell r="P1182">
            <v>46013</v>
          </cell>
          <cell r="Q1182">
            <v>5</v>
          </cell>
          <cell r="R1182" t="str">
            <v>NA</v>
          </cell>
          <cell r="S1182">
            <v>5</v>
          </cell>
        </row>
        <row r="1183">
          <cell r="B1183" t="str">
            <v>MNC</v>
          </cell>
          <cell r="C1183" t="str">
            <v>HSLB14525</v>
          </cell>
          <cell r="D1183">
            <v>204006</v>
          </cell>
          <cell r="E1183" t="str">
            <v>Silla Ergonómica</v>
          </cell>
          <cell r="F1183" t="str">
            <v>NO</v>
          </cell>
          <cell r="G1183" t="str">
            <v>NO</v>
          </cell>
          <cell r="H1183" t="str">
            <v>BOX DE ATENCIÓN</v>
          </cell>
          <cell r="I1183">
            <v>1</v>
          </cell>
          <cell r="J1183" t="str">
            <v>D.4.4.1.3.3</v>
          </cell>
          <cell r="K1183" t="str">
            <v>Consultas Ambulatorias</v>
          </cell>
          <cell r="L1183">
            <v>2</v>
          </cell>
          <cell r="M1183">
            <v>46003</v>
          </cell>
          <cell r="N1183">
            <v>46006</v>
          </cell>
          <cell r="O1183">
            <v>2</v>
          </cell>
          <cell r="P1183">
            <v>46008</v>
          </cell>
          <cell r="Q1183">
            <v>5</v>
          </cell>
          <cell r="R1183" t="str">
            <v>NA</v>
          </cell>
          <cell r="S1183">
            <v>5</v>
          </cell>
        </row>
        <row r="1184">
          <cell r="B1184" t="str">
            <v>MNC</v>
          </cell>
          <cell r="C1184" t="str">
            <v>HSLB14913</v>
          </cell>
          <cell r="D1184">
            <v>204012</v>
          </cell>
          <cell r="E1184" t="str">
            <v>Silla Visita</v>
          </cell>
          <cell r="F1184" t="str">
            <v>NO</v>
          </cell>
          <cell r="G1184" t="str">
            <v>NO</v>
          </cell>
          <cell r="H1184" t="str">
            <v>BOX DE ATENCIÓN</v>
          </cell>
          <cell r="I1184">
            <v>2</v>
          </cell>
          <cell r="J1184" t="str">
            <v>D.4.4.1.3.3</v>
          </cell>
          <cell r="K1184" t="str">
            <v>Consultas Ambulatorias</v>
          </cell>
          <cell r="L1184">
            <v>2</v>
          </cell>
          <cell r="M1184">
            <v>46003</v>
          </cell>
          <cell r="N1184">
            <v>46006</v>
          </cell>
          <cell r="O1184">
            <v>2</v>
          </cell>
          <cell r="P1184">
            <v>46008</v>
          </cell>
          <cell r="Q1184">
            <v>5</v>
          </cell>
          <cell r="R1184" t="str">
            <v>NA</v>
          </cell>
          <cell r="S1184">
            <v>5</v>
          </cell>
        </row>
        <row r="1185">
          <cell r="B1185" t="str">
            <v>MNC</v>
          </cell>
          <cell r="C1185" t="str">
            <v>HSLB13261</v>
          </cell>
          <cell r="D1185">
            <v>201001</v>
          </cell>
          <cell r="E1185" t="str">
            <v>Estación de Trabajo</v>
          </cell>
          <cell r="F1185" t="str">
            <v>NO</v>
          </cell>
          <cell r="G1185" t="str">
            <v>NO</v>
          </cell>
          <cell r="H1185" t="str">
            <v>COORD. SALUD OCUP. Y PREVEN. DE RIESGOS</v>
          </cell>
          <cell r="I1185">
            <v>1</v>
          </cell>
          <cell r="J1185" t="str">
            <v>D.4.4.2.1</v>
          </cell>
          <cell r="K1185" t="str">
            <v>Consultas Ambulatorias</v>
          </cell>
          <cell r="L1185">
            <v>2</v>
          </cell>
          <cell r="M1185">
            <v>46003</v>
          </cell>
          <cell r="N1185">
            <v>46006</v>
          </cell>
          <cell r="O1185">
            <v>5</v>
          </cell>
          <cell r="P1185">
            <v>46013</v>
          </cell>
          <cell r="Q1185">
            <v>5</v>
          </cell>
          <cell r="R1185" t="str">
            <v>NA</v>
          </cell>
          <cell r="S1185">
            <v>5</v>
          </cell>
        </row>
        <row r="1186">
          <cell r="B1186" t="str">
            <v>MNC</v>
          </cell>
          <cell r="C1186" t="str">
            <v>HSLB14526</v>
          </cell>
          <cell r="D1186">
            <v>204006</v>
          </cell>
          <cell r="E1186" t="str">
            <v>Silla Ergonómica</v>
          </cell>
          <cell r="F1186" t="str">
            <v>NO</v>
          </cell>
          <cell r="G1186" t="str">
            <v>NO</v>
          </cell>
          <cell r="H1186" t="str">
            <v>COORD. SALUD OCUP. Y PREVEN. DE RIESGOS</v>
          </cell>
          <cell r="I1186">
            <v>1</v>
          </cell>
          <cell r="J1186" t="str">
            <v>D.4.4.2.1</v>
          </cell>
          <cell r="K1186" t="str">
            <v>Consultas Ambulatorias</v>
          </cell>
          <cell r="L1186">
            <v>2</v>
          </cell>
          <cell r="M1186">
            <v>46003</v>
          </cell>
          <cell r="N1186">
            <v>46006</v>
          </cell>
          <cell r="O1186">
            <v>2</v>
          </cell>
          <cell r="P1186">
            <v>46008</v>
          </cell>
          <cell r="Q1186">
            <v>5</v>
          </cell>
          <cell r="R1186" t="str">
            <v>NA</v>
          </cell>
          <cell r="S1186">
            <v>5</v>
          </cell>
        </row>
        <row r="1187">
          <cell r="B1187" t="str">
            <v>MNC</v>
          </cell>
          <cell r="C1187" t="str">
            <v>HSLB14914</v>
          </cell>
          <cell r="D1187">
            <v>204012</v>
          </cell>
          <cell r="E1187" t="str">
            <v>Silla Visita</v>
          </cell>
          <cell r="F1187" t="str">
            <v>NO</v>
          </cell>
          <cell r="G1187" t="str">
            <v>NO</v>
          </cell>
          <cell r="H1187" t="str">
            <v>COORD. SALUD OCUP. Y PREVEN. DE RIESGOS</v>
          </cell>
          <cell r="I1187">
            <v>2</v>
          </cell>
          <cell r="J1187" t="str">
            <v>D.4.4.2.1</v>
          </cell>
          <cell r="K1187" t="str">
            <v>Consultas Ambulatorias</v>
          </cell>
          <cell r="L1187">
            <v>2</v>
          </cell>
          <cell r="M1187">
            <v>46003</v>
          </cell>
          <cell r="N1187">
            <v>46006</v>
          </cell>
          <cell r="O1187">
            <v>2</v>
          </cell>
          <cell r="P1187">
            <v>46008</v>
          </cell>
          <cell r="Q1187">
            <v>5</v>
          </cell>
          <cell r="R1187" t="str">
            <v>NA</v>
          </cell>
          <cell r="S1187">
            <v>5</v>
          </cell>
        </row>
        <row r="1188">
          <cell r="B1188" t="str">
            <v>MNC</v>
          </cell>
          <cell r="C1188" t="str">
            <v>HSLB13262</v>
          </cell>
          <cell r="D1188">
            <v>201001</v>
          </cell>
          <cell r="E1188" t="str">
            <v>Estación de Trabajo</v>
          </cell>
          <cell r="F1188" t="str">
            <v>NO</v>
          </cell>
          <cell r="G1188" t="str">
            <v>NO</v>
          </cell>
          <cell r="H1188" t="str">
            <v>MÓDULO DE TRABAJO</v>
          </cell>
          <cell r="I1188">
            <v>1</v>
          </cell>
          <cell r="J1188" t="str">
            <v>D.4.4.2.2</v>
          </cell>
          <cell r="K1188" t="str">
            <v>Consultas Ambulatorias</v>
          </cell>
          <cell r="L1188">
            <v>2</v>
          </cell>
          <cell r="M1188">
            <v>46003</v>
          </cell>
          <cell r="N1188">
            <v>46006</v>
          </cell>
          <cell r="O1188">
            <v>5</v>
          </cell>
          <cell r="P1188">
            <v>46013</v>
          </cell>
          <cell r="Q1188">
            <v>5</v>
          </cell>
          <cell r="R1188" t="str">
            <v>NA</v>
          </cell>
          <cell r="S1188">
            <v>5</v>
          </cell>
        </row>
        <row r="1189">
          <cell r="B1189" t="str">
            <v>MNC</v>
          </cell>
          <cell r="C1189" t="str">
            <v>HSLB14527</v>
          </cell>
          <cell r="D1189">
            <v>204006</v>
          </cell>
          <cell r="E1189" t="str">
            <v>Silla Ergonómica</v>
          </cell>
          <cell r="F1189" t="str">
            <v>NO</v>
          </cell>
          <cell r="G1189" t="str">
            <v>NO</v>
          </cell>
          <cell r="H1189" t="str">
            <v>MÓDULO DE TRABAJO</v>
          </cell>
          <cell r="I1189">
            <v>1</v>
          </cell>
          <cell r="J1189" t="str">
            <v>D.4.4.2.2</v>
          </cell>
          <cell r="K1189" t="str">
            <v>Consultas Ambulatorias</v>
          </cell>
          <cell r="L1189">
            <v>2</v>
          </cell>
          <cell r="M1189">
            <v>46003</v>
          </cell>
          <cell r="N1189">
            <v>46006</v>
          </cell>
          <cell r="O1189">
            <v>2</v>
          </cell>
          <cell r="P1189">
            <v>46008</v>
          </cell>
          <cell r="Q1189">
            <v>5</v>
          </cell>
          <cell r="R1189" t="str">
            <v>NA</v>
          </cell>
          <cell r="S1189">
            <v>5</v>
          </cell>
        </row>
        <row r="1190">
          <cell r="B1190" t="str">
            <v>MNC</v>
          </cell>
          <cell r="C1190" t="str">
            <v>HSLB14915</v>
          </cell>
          <cell r="D1190">
            <v>204012</v>
          </cell>
          <cell r="E1190" t="str">
            <v>Silla Visita</v>
          </cell>
          <cell r="F1190" t="str">
            <v>NO</v>
          </cell>
          <cell r="G1190" t="str">
            <v>NO</v>
          </cell>
          <cell r="H1190" t="str">
            <v>MÓDULO DE TRABAJO</v>
          </cell>
          <cell r="I1190">
            <v>2</v>
          </cell>
          <cell r="J1190" t="str">
            <v>D.4.4.2.2</v>
          </cell>
          <cell r="K1190" t="str">
            <v>Consultas Ambulatorias</v>
          </cell>
          <cell r="L1190">
            <v>2</v>
          </cell>
          <cell r="M1190">
            <v>46003</v>
          </cell>
          <cell r="N1190">
            <v>46006</v>
          </cell>
          <cell r="O1190">
            <v>2</v>
          </cell>
          <cell r="P1190">
            <v>46008</v>
          </cell>
          <cell r="Q1190">
            <v>5</v>
          </cell>
          <cell r="R1190" t="str">
            <v>NA</v>
          </cell>
          <cell r="S1190">
            <v>5</v>
          </cell>
        </row>
        <row r="1191">
          <cell r="B1191" t="str">
            <v>MNC</v>
          </cell>
          <cell r="C1191" t="str">
            <v>HSLB14534</v>
          </cell>
          <cell r="D1191">
            <v>204006</v>
          </cell>
          <cell r="E1191" t="str">
            <v>Silla Ergonómica</v>
          </cell>
          <cell r="F1191" t="str">
            <v>NO</v>
          </cell>
          <cell r="G1191" t="str">
            <v>NO</v>
          </cell>
          <cell r="H1191" t="str">
            <v>MESÓN DE RECEPCIÓN</v>
          </cell>
          <cell r="I1191">
            <v>1</v>
          </cell>
          <cell r="J1191" t="str">
            <v>E.2.1</v>
          </cell>
          <cell r="K1191" t="str">
            <v>Biblioteca</v>
          </cell>
          <cell r="L1191">
            <v>2</v>
          </cell>
          <cell r="M1191">
            <v>46038</v>
          </cell>
          <cell r="N1191">
            <v>46041</v>
          </cell>
          <cell r="O1191">
            <v>2</v>
          </cell>
          <cell r="P1191">
            <v>46043</v>
          </cell>
          <cell r="Q1191">
            <v>5</v>
          </cell>
          <cell r="R1191" t="str">
            <v>NA</v>
          </cell>
          <cell r="S1191">
            <v>5</v>
          </cell>
        </row>
        <row r="1192">
          <cell r="B1192" t="str">
            <v>MNC</v>
          </cell>
          <cell r="C1192" t="str">
            <v>HSLB13378</v>
          </cell>
          <cell r="D1192">
            <v>201009</v>
          </cell>
          <cell r="E1192" t="str">
            <v>Mesa Reuniones Tipo II</v>
          </cell>
          <cell r="F1192" t="str">
            <v>NO</v>
          </cell>
          <cell r="G1192" t="str">
            <v>NO</v>
          </cell>
          <cell r="H1192" t="str">
            <v>SALA TRABAJO GRUPAL</v>
          </cell>
          <cell r="I1192">
            <v>1</v>
          </cell>
          <cell r="J1192" t="str">
            <v>E.2.3.1</v>
          </cell>
          <cell r="K1192" t="str">
            <v>Biblioteca</v>
          </cell>
          <cell r="L1192">
            <v>2</v>
          </cell>
          <cell r="M1192">
            <v>46038</v>
          </cell>
          <cell r="N1192">
            <v>46041</v>
          </cell>
          <cell r="O1192">
            <v>1</v>
          </cell>
          <cell r="P1192">
            <v>46042</v>
          </cell>
          <cell r="Q1192">
            <v>5</v>
          </cell>
          <cell r="R1192" t="str">
            <v>NA</v>
          </cell>
          <cell r="S1192">
            <v>5</v>
          </cell>
        </row>
        <row r="1193">
          <cell r="B1193" t="str">
            <v>MNC</v>
          </cell>
          <cell r="C1193" t="str">
            <v>HSLB14925</v>
          </cell>
          <cell r="D1193">
            <v>204012</v>
          </cell>
          <cell r="E1193" t="str">
            <v>Silla Visita</v>
          </cell>
          <cell r="F1193" t="str">
            <v>NO</v>
          </cell>
          <cell r="G1193" t="str">
            <v>NO</v>
          </cell>
          <cell r="H1193" t="str">
            <v>SALA TRABAJO GRUPAL</v>
          </cell>
          <cell r="I1193">
            <v>8</v>
          </cell>
          <cell r="J1193" t="str">
            <v>E.2.3.1</v>
          </cell>
          <cell r="K1193" t="str">
            <v>Biblioteca</v>
          </cell>
          <cell r="L1193">
            <v>2</v>
          </cell>
          <cell r="M1193">
            <v>46038</v>
          </cell>
          <cell r="N1193">
            <v>46041</v>
          </cell>
          <cell r="O1193">
            <v>2</v>
          </cell>
          <cell r="P1193">
            <v>46043</v>
          </cell>
          <cell r="Q1193">
            <v>5</v>
          </cell>
          <cell r="R1193" t="str">
            <v>NA</v>
          </cell>
          <cell r="S1193">
            <v>5</v>
          </cell>
        </row>
        <row r="1194">
          <cell r="B1194" t="str">
            <v>MNC</v>
          </cell>
          <cell r="C1194" t="str">
            <v>HSLB13379</v>
          </cell>
          <cell r="D1194">
            <v>201009</v>
          </cell>
          <cell r="E1194" t="str">
            <v>Mesa Reuniones Tipo II</v>
          </cell>
          <cell r="F1194" t="str">
            <v>NO</v>
          </cell>
          <cell r="G1194" t="str">
            <v>NO</v>
          </cell>
          <cell r="H1194" t="str">
            <v>SALA TRABAJO GRUPAL</v>
          </cell>
          <cell r="I1194">
            <v>1</v>
          </cell>
          <cell r="J1194" t="str">
            <v>E.2.3.2</v>
          </cell>
          <cell r="K1194" t="str">
            <v>Biblioteca</v>
          </cell>
          <cell r="L1194">
            <v>2</v>
          </cell>
          <cell r="M1194">
            <v>46038</v>
          </cell>
          <cell r="N1194">
            <v>46041</v>
          </cell>
          <cell r="O1194">
            <v>1</v>
          </cell>
          <cell r="P1194">
            <v>46042</v>
          </cell>
          <cell r="Q1194">
            <v>5</v>
          </cell>
          <cell r="R1194" t="str">
            <v>NA</v>
          </cell>
          <cell r="S1194">
            <v>5</v>
          </cell>
        </row>
        <row r="1195">
          <cell r="B1195" t="str">
            <v>MNC</v>
          </cell>
          <cell r="C1195" t="str">
            <v>HSLB14926</v>
          </cell>
          <cell r="D1195">
            <v>204012</v>
          </cell>
          <cell r="E1195" t="str">
            <v>Silla Visita</v>
          </cell>
          <cell r="F1195" t="str">
            <v>NO</v>
          </cell>
          <cell r="G1195" t="str">
            <v>NO</v>
          </cell>
          <cell r="H1195" t="str">
            <v>SALA TRABAJO GRUPAL</v>
          </cell>
          <cell r="I1195">
            <v>8</v>
          </cell>
          <cell r="J1195" t="str">
            <v>E.2.3.2</v>
          </cell>
          <cell r="K1195" t="str">
            <v>Biblioteca</v>
          </cell>
          <cell r="L1195">
            <v>2</v>
          </cell>
          <cell r="M1195">
            <v>46038</v>
          </cell>
          <cell r="N1195">
            <v>46041</v>
          </cell>
          <cell r="O1195">
            <v>2</v>
          </cell>
          <cell r="P1195">
            <v>46043</v>
          </cell>
          <cell r="Q1195">
            <v>5</v>
          </cell>
          <cell r="R1195" t="str">
            <v>NA</v>
          </cell>
          <cell r="S1195">
            <v>5</v>
          </cell>
        </row>
        <row r="1196">
          <cell r="B1196" t="str">
            <v>MNC</v>
          </cell>
          <cell r="C1196" t="str">
            <v>HSLB13364</v>
          </cell>
          <cell r="D1196">
            <v>201008</v>
          </cell>
          <cell r="E1196" t="str">
            <v>Mesa Reuniones Tipo I</v>
          </cell>
          <cell r="F1196" t="str">
            <v>NO</v>
          </cell>
          <cell r="G1196" t="str">
            <v>NO</v>
          </cell>
          <cell r="H1196" t="str">
            <v>SALA DE LECTURA</v>
          </cell>
          <cell r="I1196">
            <v>3</v>
          </cell>
          <cell r="J1196" t="str">
            <v>E.2.4</v>
          </cell>
          <cell r="K1196" t="str">
            <v>Biblioteca</v>
          </cell>
          <cell r="L1196">
            <v>2</v>
          </cell>
          <cell r="M1196">
            <v>46038</v>
          </cell>
          <cell r="N1196">
            <v>46041</v>
          </cell>
          <cell r="O1196">
            <v>1</v>
          </cell>
          <cell r="P1196">
            <v>46042</v>
          </cell>
          <cell r="Q1196">
            <v>5</v>
          </cell>
          <cell r="R1196" t="str">
            <v>NA</v>
          </cell>
          <cell r="S1196">
            <v>5</v>
          </cell>
        </row>
        <row r="1197">
          <cell r="B1197" t="str">
            <v>MNC</v>
          </cell>
          <cell r="C1197" t="str">
            <v>HSLB14927</v>
          </cell>
          <cell r="D1197">
            <v>204012</v>
          </cell>
          <cell r="E1197" t="str">
            <v>Silla Visita</v>
          </cell>
          <cell r="F1197" t="str">
            <v>NO</v>
          </cell>
          <cell r="G1197" t="str">
            <v>NO</v>
          </cell>
          <cell r="H1197" t="str">
            <v>SALA DE LECTURA</v>
          </cell>
          <cell r="I1197">
            <v>12</v>
          </cell>
          <cell r="J1197" t="str">
            <v>E.2.4</v>
          </cell>
          <cell r="K1197" t="str">
            <v>Biblioteca</v>
          </cell>
          <cell r="L1197">
            <v>2</v>
          </cell>
          <cell r="M1197">
            <v>46038</v>
          </cell>
          <cell r="N1197">
            <v>46041</v>
          </cell>
          <cell r="O1197">
            <v>2</v>
          </cell>
          <cell r="P1197">
            <v>46043</v>
          </cell>
          <cell r="Q1197">
            <v>5</v>
          </cell>
          <cell r="R1197" t="str">
            <v>NA</v>
          </cell>
          <cell r="S1197">
            <v>5</v>
          </cell>
        </row>
        <row r="1198">
          <cell r="B1198" t="str">
            <v>MNC</v>
          </cell>
          <cell r="C1198" t="str">
            <v>HSLB14976</v>
          </cell>
          <cell r="D1198">
            <v>204013</v>
          </cell>
          <cell r="E1198" t="str">
            <v>Sillón 1 Cuerpo</v>
          </cell>
          <cell r="F1198" t="str">
            <v>NO</v>
          </cell>
          <cell r="G1198" t="str">
            <v>NO</v>
          </cell>
          <cell r="H1198" t="str">
            <v>SALA DE LECTURA</v>
          </cell>
          <cell r="I1198">
            <v>3</v>
          </cell>
          <cell r="J1198" t="str">
            <v>E.2.4</v>
          </cell>
          <cell r="K1198" t="str">
            <v>Biblioteca</v>
          </cell>
          <cell r="L1198">
            <v>2</v>
          </cell>
          <cell r="M1198">
            <v>46038</v>
          </cell>
          <cell r="N1198">
            <v>46041</v>
          </cell>
          <cell r="O1198">
            <v>2</v>
          </cell>
          <cell r="P1198">
            <v>46043</v>
          </cell>
          <cell r="Q1198">
            <v>5</v>
          </cell>
          <cell r="R1198" t="str">
            <v>NA</v>
          </cell>
          <cell r="S1198">
            <v>5</v>
          </cell>
        </row>
        <row r="1199">
          <cell r="B1199" t="str">
            <v>MNC</v>
          </cell>
          <cell r="C1199" t="str">
            <v>HSLB14535</v>
          </cell>
          <cell r="D1199">
            <v>204006</v>
          </cell>
          <cell r="E1199" t="str">
            <v>Silla Ergonómica</v>
          </cell>
          <cell r="F1199" t="str">
            <v>NO</v>
          </cell>
          <cell r="G1199" t="str">
            <v>NO</v>
          </cell>
          <cell r="H1199" t="str">
            <v>SALA BIBLIOTECA DIGITAL</v>
          </cell>
          <cell r="I1199">
            <v>6</v>
          </cell>
          <cell r="J1199" t="str">
            <v>E.2.5</v>
          </cell>
          <cell r="K1199" t="str">
            <v>Biblioteca</v>
          </cell>
          <cell r="L1199">
            <v>2</v>
          </cell>
          <cell r="M1199">
            <v>46038</v>
          </cell>
          <cell r="N1199">
            <v>46041</v>
          </cell>
          <cell r="O1199">
            <v>2</v>
          </cell>
          <cell r="P1199">
            <v>46043</v>
          </cell>
          <cell r="Q1199">
            <v>5</v>
          </cell>
          <cell r="R1199" t="str">
            <v>NA</v>
          </cell>
          <cell r="S1199">
            <v>5</v>
          </cell>
        </row>
        <row r="1200">
          <cell r="B1200" t="str">
            <v>MNC</v>
          </cell>
          <cell r="C1200" t="str">
            <v>HSLB15448</v>
          </cell>
          <cell r="D1200">
            <v>204002</v>
          </cell>
          <cell r="E1200" t="str">
            <v>Banca Madera</v>
          </cell>
          <cell r="F1200" t="str">
            <v>NO</v>
          </cell>
          <cell r="G1200" t="str">
            <v>NO</v>
          </cell>
          <cell r="H1200" t="str">
            <v>VESTIDOR C/DUCHA Y LOCKERS</v>
          </cell>
          <cell r="I1200">
            <v>1</v>
          </cell>
          <cell r="J1200" t="str">
            <v>E.3.14.1</v>
          </cell>
          <cell r="K1200" t="str">
            <v>Comedor para funcionarios y público</v>
          </cell>
          <cell r="L1200">
            <v>2</v>
          </cell>
          <cell r="M1200">
            <v>46003</v>
          </cell>
          <cell r="N1200">
            <v>46006</v>
          </cell>
          <cell r="O1200">
            <v>2</v>
          </cell>
          <cell r="P1200">
            <v>46009</v>
          </cell>
          <cell r="Q1200">
            <v>5</v>
          </cell>
          <cell r="R1200" t="str">
            <v>NA</v>
          </cell>
          <cell r="S1200">
            <v>5</v>
          </cell>
        </row>
        <row r="1201">
          <cell r="B1201" t="str">
            <v>MNC</v>
          </cell>
          <cell r="C1201" t="str">
            <v>HSLB15449</v>
          </cell>
          <cell r="D1201">
            <v>204002</v>
          </cell>
          <cell r="E1201" t="str">
            <v>Banca Madera</v>
          </cell>
          <cell r="F1201" t="str">
            <v>NO</v>
          </cell>
          <cell r="G1201" t="str">
            <v>NO</v>
          </cell>
          <cell r="H1201" t="str">
            <v>VESTIDORES FUNCIONARIOS (MUJERES)</v>
          </cell>
          <cell r="I1201">
            <v>1</v>
          </cell>
          <cell r="J1201" t="str">
            <v>E.3.14.2</v>
          </cell>
          <cell r="K1201" t="str">
            <v>Comedor para funcionarios y público</v>
          </cell>
          <cell r="L1201">
            <v>2</v>
          </cell>
          <cell r="M1201">
            <v>46003</v>
          </cell>
          <cell r="N1201">
            <v>46006</v>
          </cell>
          <cell r="O1201">
            <v>2</v>
          </cell>
          <cell r="P1201">
            <v>46009</v>
          </cell>
          <cell r="Q1201">
            <v>5</v>
          </cell>
          <cell r="R1201" t="str">
            <v>NA</v>
          </cell>
          <cell r="S1201">
            <v>5</v>
          </cell>
        </row>
        <row r="1202">
          <cell r="B1202" t="str">
            <v>MNC</v>
          </cell>
          <cell r="C1202" t="str">
            <v>HSLB14536</v>
          </cell>
          <cell r="D1202">
            <v>204006</v>
          </cell>
          <cell r="E1202" t="str">
            <v>Silla Ergonómica</v>
          </cell>
          <cell r="F1202" t="str">
            <v>NO</v>
          </cell>
          <cell r="G1202" t="str">
            <v>NO</v>
          </cell>
          <cell r="H1202" t="str">
            <v>CAJA Y VENTAS DE PRODUCTOS</v>
          </cell>
          <cell r="I1202">
            <v>1</v>
          </cell>
          <cell r="J1202" t="str">
            <v>E.3.3</v>
          </cell>
          <cell r="K1202" t="str">
            <v>Comedor para funcionarios y público</v>
          </cell>
          <cell r="L1202">
            <v>2</v>
          </cell>
          <cell r="M1202">
            <v>46003</v>
          </cell>
          <cell r="N1202">
            <v>46006</v>
          </cell>
          <cell r="O1202">
            <v>2</v>
          </cell>
          <cell r="P1202">
            <v>46009</v>
          </cell>
          <cell r="Q1202">
            <v>5</v>
          </cell>
          <cell r="R1202" t="str">
            <v>NA</v>
          </cell>
          <cell r="S1202">
            <v>5</v>
          </cell>
        </row>
        <row r="1203">
          <cell r="B1203" t="str">
            <v>MNC</v>
          </cell>
          <cell r="C1203" t="str">
            <v>HSLB13435</v>
          </cell>
          <cell r="D1203">
            <v>201011</v>
          </cell>
          <cell r="E1203" t="str">
            <v>Mesa Tipo Casino</v>
          </cell>
          <cell r="F1203" t="str">
            <v>NO</v>
          </cell>
          <cell r="G1203" t="str">
            <v>NO</v>
          </cell>
          <cell r="H1203" t="str">
            <v>COMEDORES PARA FUNCIONARIOS</v>
          </cell>
          <cell r="I1203">
            <v>56</v>
          </cell>
          <cell r="J1203" t="str">
            <v>E.3.5</v>
          </cell>
          <cell r="K1203" t="str">
            <v>Comedor para funcionarios y público</v>
          </cell>
          <cell r="L1203">
            <v>2</v>
          </cell>
          <cell r="M1203">
            <v>46003</v>
          </cell>
          <cell r="N1203">
            <v>46006</v>
          </cell>
          <cell r="O1203">
            <v>1</v>
          </cell>
          <cell r="P1203">
            <v>46007</v>
          </cell>
          <cell r="Q1203">
            <v>5</v>
          </cell>
          <cell r="R1203" t="str">
            <v>NA</v>
          </cell>
          <cell r="S1203">
            <v>5</v>
          </cell>
        </row>
        <row r="1204">
          <cell r="B1204" t="str">
            <v>MNC</v>
          </cell>
          <cell r="C1204" t="str">
            <v>HSLB14618</v>
          </cell>
          <cell r="D1204">
            <v>204010</v>
          </cell>
          <cell r="E1204" t="str">
            <v>Silla tipo Casino</v>
          </cell>
          <cell r="F1204" t="str">
            <v>NO</v>
          </cell>
          <cell r="G1204" t="str">
            <v>NO</v>
          </cell>
          <cell r="H1204" t="str">
            <v>COMEDORES PARA FUNCIONARIOS</v>
          </cell>
          <cell r="I1204">
            <v>240</v>
          </cell>
          <cell r="J1204" t="str">
            <v>E.3.5</v>
          </cell>
          <cell r="K1204" t="str">
            <v>Comedor para funcionarios y público</v>
          </cell>
          <cell r="L1204">
            <v>2</v>
          </cell>
          <cell r="M1204">
            <v>46003</v>
          </cell>
          <cell r="N1204">
            <v>46006</v>
          </cell>
          <cell r="O1204">
            <v>2</v>
          </cell>
          <cell r="P1204">
            <v>46008</v>
          </cell>
          <cell r="Q1204">
            <v>5</v>
          </cell>
          <cell r="R1204" t="str">
            <v>NA</v>
          </cell>
          <cell r="S1204">
            <v>5</v>
          </cell>
        </row>
        <row r="1205">
          <cell r="B1205" t="str">
            <v>MNC</v>
          </cell>
          <cell r="C1205" t="str">
            <v>HSLB13268</v>
          </cell>
          <cell r="D1205">
            <v>201001</v>
          </cell>
          <cell r="E1205" t="str">
            <v>Estación de Trabajo</v>
          </cell>
          <cell r="F1205" t="str">
            <v>NO</v>
          </cell>
          <cell r="G1205" t="str">
            <v>NO</v>
          </cell>
          <cell r="H1205" t="str">
            <v>OFICINA ADMINISTRADOR</v>
          </cell>
          <cell r="I1205">
            <v>1</v>
          </cell>
          <cell r="J1205" t="str">
            <v>E.3.8</v>
          </cell>
          <cell r="K1205" t="str">
            <v>Comedor para funcionarios y público</v>
          </cell>
          <cell r="L1205">
            <v>2</v>
          </cell>
          <cell r="M1205">
            <v>46003</v>
          </cell>
          <cell r="N1205">
            <v>46006</v>
          </cell>
          <cell r="O1205">
            <v>1</v>
          </cell>
          <cell r="P1205">
            <v>46007</v>
          </cell>
          <cell r="Q1205">
            <v>5</v>
          </cell>
          <cell r="R1205" t="str">
            <v>NA</v>
          </cell>
          <cell r="S1205">
            <v>5</v>
          </cell>
        </row>
        <row r="1206">
          <cell r="B1206" t="str">
            <v>MNC</v>
          </cell>
          <cell r="C1206" t="str">
            <v>HSLB14537</v>
          </cell>
          <cell r="D1206">
            <v>204006</v>
          </cell>
          <cell r="E1206" t="str">
            <v>Silla Ergonómica</v>
          </cell>
          <cell r="F1206" t="str">
            <v>NO</v>
          </cell>
          <cell r="G1206" t="str">
            <v>NO</v>
          </cell>
          <cell r="H1206" t="str">
            <v>OFICINA ADMINISTRADOR</v>
          </cell>
          <cell r="I1206">
            <v>1</v>
          </cell>
          <cell r="J1206" t="str">
            <v>E.3.8</v>
          </cell>
          <cell r="K1206" t="str">
            <v>Comedor para funcionarios y público</v>
          </cell>
          <cell r="L1206">
            <v>2</v>
          </cell>
          <cell r="M1206">
            <v>46003</v>
          </cell>
          <cell r="N1206">
            <v>46006</v>
          </cell>
          <cell r="O1206">
            <v>2</v>
          </cell>
          <cell r="P1206">
            <v>46008</v>
          </cell>
          <cell r="Q1206">
            <v>5</v>
          </cell>
          <cell r="R1206" t="str">
            <v>NA</v>
          </cell>
          <cell r="S1206">
            <v>5</v>
          </cell>
        </row>
        <row r="1207">
          <cell r="B1207" t="str">
            <v>MNC</v>
          </cell>
          <cell r="C1207" t="str">
            <v>HSLB14928</v>
          </cell>
          <cell r="D1207">
            <v>204012</v>
          </cell>
          <cell r="E1207" t="str">
            <v>Silla Visita</v>
          </cell>
          <cell r="F1207" t="str">
            <v>NO</v>
          </cell>
          <cell r="G1207" t="str">
            <v>NO</v>
          </cell>
          <cell r="H1207" t="str">
            <v>OFICINA ADMINISTRADOR</v>
          </cell>
          <cell r="I1207">
            <v>2</v>
          </cell>
          <cell r="J1207" t="str">
            <v>E.3.8</v>
          </cell>
          <cell r="K1207" t="str">
            <v>Comedor para funcionarios y público</v>
          </cell>
          <cell r="L1207">
            <v>2</v>
          </cell>
          <cell r="M1207">
            <v>46003</v>
          </cell>
          <cell r="N1207">
            <v>46006</v>
          </cell>
          <cell r="O1207">
            <v>2</v>
          </cell>
          <cell r="P1207">
            <v>46008</v>
          </cell>
          <cell r="Q1207">
            <v>5</v>
          </cell>
          <cell r="R1207" t="str">
            <v>NA</v>
          </cell>
          <cell r="S1207">
            <v>5</v>
          </cell>
        </row>
        <row r="1208">
          <cell r="B1208" t="str">
            <v>MNC</v>
          </cell>
          <cell r="C1208" t="str">
            <v>HSLB13269</v>
          </cell>
          <cell r="D1208">
            <v>201001</v>
          </cell>
          <cell r="E1208" t="str">
            <v>Estación de Trabajo</v>
          </cell>
          <cell r="F1208" t="str">
            <v>NO</v>
          </cell>
          <cell r="G1208" t="str">
            <v>NO</v>
          </cell>
          <cell r="H1208" t="str">
            <v>SALA MULTIUSO (labores administrativas)</v>
          </cell>
          <cell r="I1208">
            <v>1</v>
          </cell>
          <cell r="J1208" t="str">
            <v>E.5.1.1</v>
          </cell>
          <cell r="K1208" t="str">
            <v xml:space="preserve">Central de Alimentación </v>
          </cell>
          <cell r="L1208">
            <v>2</v>
          </cell>
          <cell r="M1208">
            <v>46003</v>
          </cell>
          <cell r="N1208">
            <v>46003</v>
          </cell>
          <cell r="P1208">
            <v>46003</v>
          </cell>
          <cell r="Q1208">
            <v>5</v>
          </cell>
          <cell r="R1208" t="str">
            <v>NA</v>
          </cell>
          <cell r="S1208">
            <v>5</v>
          </cell>
        </row>
        <row r="1209">
          <cell r="B1209" t="str">
            <v>MNC</v>
          </cell>
          <cell r="C1209" t="str">
            <v>HSLB13365</v>
          </cell>
          <cell r="D1209">
            <v>201008</v>
          </cell>
          <cell r="E1209" t="str">
            <v>Mesa Reuniones Tipo I</v>
          </cell>
          <cell r="F1209" t="str">
            <v>NO</v>
          </cell>
          <cell r="G1209" t="str">
            <v>NO</v>
          </cell>
          <cell r="H1209" t="str">
            <v>SALA MULTIUSO (labores administrativas)</v>
          </cell>
          <cell r="I1209">
            <v>1</v>
          </cell>
          <cell r="J1209" t="str">
            <v>E.5.1.1</v>
          </cell>
          <cell r="K1209" t="str">
            <v xml:space="preserve">Central de Alimentación </v>
          </cell>
          <cell r="L1209">
            <v>2</v>
          </cell>
          <cell r="M1209">
            <v>46003</v>
          </cell>
          <cell r="N1209">
            <v>46003</v>
          </cell>
          <cell r="P1209">
            <v>46003</v>
          </cell>
          <cell r="Q1209">
            <v>5</v>
          </cell>
          <cell r="R1209" t="str">
            <v>NA</v>
          </cell>
          <cell r="S1209">
            <v>5</v>
          </cell>
        </row>
        <row r="1210">
          <cell r="B1210" t="str">
            <v>MNC</v>
          </cell>
          <cell r="C1210" t="str">
            <v>HSLB14538</v>
          </cell>
          <cell r="D1210">
            <v>204006</v>
          </cell>
          <cell r="E1210" t="str">
            <v>Silla Ergonómica</v>
          </cell>
          <cell r="F1210" t="str">
            <v>NO</v>
          </cell>
          <cell r="G1210" t="str">
            <v>NO</v>
          </cell>
          <cell r="H1210" t="str">
            <v>SALA MULTIUSO (labores administrativas)</v>
          </cell>
          <cell r="I1210">
            <v>1</v>
          </cell>
          <cell r="J1210" t="str">
            <v>E.5.1.1</v>
          </cell>
          <cell r="K1210" t="str">
            <v xml:space="preserve">Central de Alimentación </v>
          </cell>
          <cell r="L1210">
            <v>2</v>
          </cell>
          <cell r="M1210">
            <v>46003</v>
          </cell>
          <cell r="N1210">
            <v>46008</v>
          </cell>
          <cell r="O1210">
            <v>2</v>
          </cell>
          <cell r="P1210">
            <v>46010</v>
          </cell>
          <cell r="Q1210">
            <v>5</v>
          </cell>
          <cell r="R1210" t="str">
            <v>NA</v>
          </cell>
          <cell r="S1210">
            <v>5</v>
          </cell>
        </row>
        <row r="1211">
          <cell r="B1211" t="str">
            <v>MNC</v>
          </cell>
          <cell r="C1211" t="str">
            <v>HSLB14929</v>
          </cell>
          <cell r="D1211">
            <v>204012</v>
          </cell>
          <cell r="E1211" t="str">
            <v>Silla Visita</v>
          </cell>
          <cell r="F1211" t="str">
            <v>NO</v>
          </cell>
          <cell r="G1211" t="str">
            <v>NO</v>
          </cell>
          <cell r="H1211" t="str">
            <v>SALA MULTIUSO (labores administrativas)</v>
          </cell>
          <cell r="I1211">
            <v>4</v>
          </cell>
          <cell r="J1211" t="str">
            <v>E.5.1.1</v>
          </cell>
          <cell r="K1211" t="str">
            <v xml:space="preserve">Central de Alimentación </v>
          </cell>
          <cell r="L1211">
            <v>2</v>
          </cell>
          <cell r="M1211">
            <v>46003</v>
          </cell>
          <cell r="N1211">
            <v>46008</v>
          </cell>
          <cell r="O1211">
            <v>2</v>
          </cell>
          <cell r="P1211">
            <v>46010</v>
          </cell>
          <cell r="Q1211">
            <v>5</v>
          </cell>
          <cell r="R1211" t="str">
            <v>NA</v>
          </cell>
          <cell r="S1211">
            <v>5</v>
          </cell>
        </row>
        <row r="1212">
          <cell r="B1212" t="str">
            <v>MNC</v>
          </cell>
          <cell r="C1212" t="str">
            <v>HSLB13270</v>
          </cell>
          <cell r="D1212">
            <v>201001</v>
          </cell>
          <cell r="E1212" t="str">
            <v>Estación de Trabajo</v>
          </cell>
          <cell r="F1212" t="str">
            <v>NO</v>
          </cell>
          <cell r="G1212" t="str">
            <v>NO</v>
          </cell>
          <cell r="H1212" t="str">
            <v>SALA MULTIUSO (labores administrativas)</v>
          </cell>
          <cell r="I1212">
            <v>1</v>
          </cell>
          <cell r="J1212" t="str">
            <v>E.5.1.2</v>
          </cell>
          <cell r="K1212" t="str">
            <v>Hospital de día</v>
          </cell>
          <cell r="L1212">
            <v>2</v>
          </cell>
          <cell r="M1212">
            <v>46003</v>
          </cell>
          <cell r="N1212">
            <v>46006</v>
          </cell>
          <cell r="O1212">
            <v>5</v>
          </cell>
          <cell r="P1212">
            <v>46013</v>
          </cell>
          <cell r="Q1212">
            <v>5</v>
          </cell>
          <cell r="R1212" t="str">
            <v>NA</v>
          </cell>
          <cell r="S1212">
            <v>5</v>
          </cell>
        </row>
        <row r="1213">
          <cell r="B1213" t="str">
            <v>MNC</v>
          </cell>
          <cell r="C1213" t="str">
            <v>HSLB13366</v>
          </cell>
          <cell r="D1213">
            <v>201008</v>
          </cell>
          <cell r="E1213" t="str">
            <v>Mesa Reuniones Tipo I</v>
          </cell>
          <cell r="F1213" t="str">
            <v>NO</v>
          </cell>
          <cell r="G1213" t="str">
            <v>NO</v>
          </cell>
          <cell r="H1213" t="str">
            <v>SALA MULTIUSO (labores administrativas)</v>
          </cell>
          <cell r="I1213">
            <v>1</v>
          </cell>
          <cell r="J1213" t="str">
            <v>E.5.1.2</v>
          </cell>
          <cell r="K1213" t="str">
            <v>Hospital de día</v>
          </cell>
          <cell r="L1213">
            <v>2</v>
          </cell>
          <cell r="M1213">
            <v>46003</v>
          </cell>
          <cell r="N1213">
            <v>46006</v>
          </cell>
          <cell r="P1213">
            <v>46006</v>
          </cell>
          <cell r="Q1213">
            <v>5</v>
          </cell>
          <cell r="R1213" t="str">
            <v>NA</v>
          </cell>
          <cell r="S1213">
            <v>5</v>
          </cell>
        </row>
        <row r="1214">
          <cell r="B1214" t="str">
            <v>MNC</v>
          </cell>
          <cell r="C1214" t="str">
            <v>HSLB14539</v>
          </cell>
          <cell r="D1214">
            <v>204006</v>
          </cell>
          <cell r="E1214" t="str">
            <v>Silla Ergonómica</v>
          </cell>
          <cell r="F1214" t="str">
            <v>NO</v>
          </cell>
          <cell r="G1214" t="str">
            <v>NO</v>
          </cell>
          <cell r="H1214" t="str">
            <v>SALA MULTIUSO (labores administrativas)</v>
          </cell>
          <cell r="I1214">
            <v>1</v>
          </cell>
          <cell r="J1214" t="str">
            <v>E.5.1.2</v>
          </cell>
          <cell r="K1214" t="str">
            <v>Hospital de día</v>
          </cell>
          <cell r="L1214">
            <v>2</v>
          </cell>
          <cell r="M1214">
            <v>46003</v>
          </cell>
          <cell r="N1214">
            <v>46006</v>
          </cell>
          <cell r="O1214">
            <v>2</v>
          </cell>
          <cell r="P1214">
            <v>46008</v>
          </cell>
          <cell r="Q1214">
            <v>5</v>
          </cell>
          <cell r="R1214" t="str">
            <v>NA</v>
          </cell>
          <cell r="S1214">
            <v>5</v>
          </cell>
        </row>
        <row r="1215">
          <cell r="B1215" t="str">
            <v>MNC</v>
          </cell>
          <cell r="C1215" t="str">
            <v>HSLB14930</v>
          </cell>
          <cell r="D1215">
            <v>204012</v>
          </cell>
          <cell r="E1215" t="str">
            <v>Silla Visita</v>
          </cell>
          <cell r="F1215" t="str">
            <v>NO</v>
          </cell>
          <cell r="G1215" t="str">
            <v>NO</v>
          </cell>
          <cell r="H1215" t="str">
            <v>SALA MULTIUSO (labores administrativas)</v>
          </cell>
          <cell r="I1215">
            <v>4</v>
          </cell>
          <cell r="J1215" t="str">
            <v>E.5.1.2</v>
          </cell>
          <cell r="K1215" t="str">
            <v>Hospital de día</v>
          </cell>
          <cell r="L1215">
            <v>2</v>
          </cell>
          <cell r="M1215">
            <v>46003</v>
          </cell>
          <cell r="N1215">
            <v>46006</v>
          </cell>
          <cell r="O1215">
            <v>2</v>
          </cell>
          <cell r="P1215">
            <v>46008</v>
          </cell>
          <cell r="Q1215">
            <v>5</v>
          </cell>
          <cell r="R1215" t="str">
            <v>NA</v>
          </cell>
          <cell r="S1215">
            <v>5</v>
          </cell>
        </row>
        <row r="1216">
          <cell r="B1216" t="str">
            <v>MNC</v>
          </cell>
          <cell r="C1216" t="str">
            <v>HSLB13271</v>
          </cell>
          <cell r="D1216">
            <v>201001</v>
          </cell>
          <cell r="E1216" t="str">
            <v>Estación de Trabajo</v>
          </cell>
          <cell r="F1216" t="str">
            <v>NO</v>
          </cell>
          <cell r="G1216" t="str">
            <v>NO</v>
          </cell>
          <cell r="H1216" t="str">
            <v>SALA MULTIUSO (labores administrativas)</v>
          </cell>
          <cell r="I1216">
            <v>1</v>
          </cell>
          <cell r="J1216" t="str">
            <v>E.5.1.3</v>
          </cell>
          <cell r="K1216" t="str">
            <v>Hospital de día</v>
          </cell>
          <cell r="L1216">
            <v>2</v>
          </cell>
          <cell r="M1216">
            <v>46003</v>
          </cell>
          <cell r="N1216">
            <v>46006</v>
          </cell>
          <cell r="O1216">
            <v>5</v>
          </cell>
          <cell r="P1216">
            <v>46013</v>
          </cell>
          <cell r="Q1216">
            <v>5</v>
          </cell>
          <cell r="R1216" t="str">
            <v>NA</v>
          </cell>
          <cell r="S1216">
            <v>5</v>
          </cell>
        </row>
        <row r="1217">
          <cell r="B1217" t="str">
            <v>MNC</v>
          </cell>
          <cell r="C1217" t="str">
            <v>HSLB13367</v>
          </cell>
          <cell r="D1217">
            <v>201008</v>
          </cell>
          <cell r="E1217" t="str">
            <v>Mesa Reuniones Tipo I</v>
          </cell>
          <cell r="F1217" t="str">
            <v>NO</v>
          </cell>
          <cell r="G1217" t="str">
            <v>NO</v>
          </cell>
          <cell r="H1217" t="str">
            <v>SALA MULTIUSO (labores administrativas)</v>
          </cell>
          <cell r="I1217">
            <v>1</v>
          </cell>
          <cell r="J1217" t="str">
            <v>E.5.1.3</v>
          </cell>
          <cell r="K1217" t="str">
            <v>Hospital de día</v>
          </cell>
          <cell r="L1217">
            <v>2</v>
          </cell>
          <cell r="M1217">
            <v>46003</v>
          </cell>
          <cell r="N1217">
            <v>46006</v>
          </cell>
          <cell r="P1217">
            <v>46006</v>
          </cell>
          <cell r="Q1217">
            <v>5</v>
          </cell>
          <cell r="R1217" t="str">
            <v>NA</v>
          </cell>
          <cell r="S1217">
            <v>5</v>
          </cell>
        </row>
        <row r="1218">
          <cell r="B1218" t="str">
            <v>MNC</v>
          </cell>
          <cell r="C1218" t="str">
            <v>HSLB14540</v>
          </cell>
          <cell r="D1218">
            <v>204006</v>
          </cell>
          <cell r="E1218" t="str">
            <v>Silla Ergonómica</v>
          </cell>
          <cell r="F1218" t="str">
            <v>NO</v>
          </cell>
          <cell r="G1218" t="str">
            <v>NO</v>
          </cell>
          <cell r="H1218" t="str">
            <v>SALA MULTIUSO (labores administrativas)</v>
          </cell>
          <cell r="I1218">
            <v>1</v>
          </cell>
          <cell r="J1218" t="str">
            <v>E.5.1.3</v>
          </cell>
          <cell r="K1218" t="str">
            <v>Hospital de día</v>
          </cell>
          <cell r="L1218">
            <v>2</v>
          </cell>
          <cell r="M1218">
            <v>46003</v>
          </cell>
          <cell r="N1218">
            <v>46006</v>
          </cell>
          <cell r="O1218">
            <v>2</v>
          </cell>
          <cell r="P1218">
            <v>46008</v>
          </cell>
          <cell r="Q1218">
            <v>5</v>
          </cell>
          <cell r="R1218" t="str">
            <v>NA</v>
          </cell>
          <cell r="S1218">
            <v>5</v>
          </cell>
        </row>
        <row r="1219">
          <cell r="B1219" t="str">
            <v>MNC</v>
          </cell>
          <cell r="C1219" t="str">
            <v>HSLB14931</v>
          </cell>
          <cell r="D1219">
            <v>204012</v>
          </cell>
          <cell r="E1219" t="str">
            <v>Silla Visita</v>
          </cell>
          <cell r="F1219" t="str">
            <v>NO</v>
          </cell>
          <cell r="G1219" t="str">
            <v>NO</v>
          </cell>
          <cell r="H1219" t="str">
            <v>SALA MULTIUSO (labores administrativas)</v>
          </cell>
          <cell r="I1219">
            <v>4</v>
          </cell>
          <cell r="J1219" t="str">
            <v>E.5.1.3</v>
          </cell>
          <cell r="K1219" t="str">
            <v>Hospital de día</v>
          </cell>
          <cell r="L1219">
            <v>2</v>
          </cell>
          <cell r="M1219">
            <v>46003</v>
          </cell>
          <cell r="N1219">
            <v>46006</v>
          </cell>
          <cell r="O1219">
            <v>2</v>
          </cell>
          <cell r="P1219">
            <v>46008</v>
          </cell>
          <cell r="Q1219">
            <v>5</v>
          </cell>
          <cell r="R1219" t="str">
            <v>NA</v>
          </cell>
          <cell r="S1219">
            <v>5</v>
          </cell>
        </row>
        <row r="1220">
          <cell r="B1220" t="str">
            <v>MNC</v>
          </cell>
          <cell r="C1220" t="str">
            <v>HSLB13272</v>
          </cell>
          <cell r="D1220">
            <v>201001</v>
          </cell>
          <cell r="E1220" t="str">
            <v>Estación de Trabajo</v>
          </cell>
          <cell r="F1220" t="str">
            <v>NO</v>
          </cell>
          <cell r="G1220" t="str">
            <v>NO</v>
          </cell>
          <cell r="H1220" t="str">
            <v>SALA MULTIUSO (labores administrativas)</v>
          </cell>
          <cell r="I1220">
            <v>1</v>
          </cell>
          <cell r="J1220" t="str">
            <v>E.5.1.4</v>
          </cell>
          <cell r="K1220" t="str">
            <v>Laboratorio</v>
          </cell>
          <cell r="L1220">
            <v>2</v>
          </cell>
          <cell r="M1220">
            <v>46024</v>
          </cell>
          <cell r="N1220">
            <v>46027</v>
          </cell>
          <cell r="O1220">
            <v>2</v>
          </cell>
          <cell r="P1220">
            <v>46030</v>
          </cell>
          <cell r="Q1220">
            <v>5</v>
          </cell>
          <cell r="R1220" t="str">
            <v>NA</v>
          </cell>
          <cell r="S1220">
            <v>5</v>
          </cell>
        </row>
        <row r="1221">
          <cell r="B1221" t="str">
            <v>MNC</v>
          </cell>
          <cell r="C1221" t="str">
            <v>HSLB13368</v>
          </cell>
          <cell r="D1221">
            <v>201008</v>
          </cell>
          <cell r="E1221" t="str">
            <v>Mesa Reuniones Tipo I</v>
          </cell>
          <cell r="F1221" t="str">
            <v>NO</v>
          </cell>
          <cell r="G1221" t="str">
            <v>NO</v>
          </cell>
          <cell r="H1221" t="str">
            <v>SALA MULTIUSO (labores administrativas)</v>
          </cell>
          <cell r="I1221">
            <v>1</v>
          </cell>
          <cell r="J1221" t="str">
            <v>E.5.1.4</v>
          </cell>
          <cell r="K1221" t="str">
            <v>Laboratorio</v>
          </cell>
          <cell r="L1221">
            <v>2</v>
          </cell>
          <cell r="M1221">
            <v>46024</v>
          </cell>
          <cell r="N1221">
            <v>46027</v>
          </cell>
          <cell r="O1221">
            <v>2</v>
          </cell>
          <cell r="P1221">
            <v>46030</v>
          </cell>
          <cell r="Q1221">
            <v>5</v>
          </cell>
          <cell r="R1221" t="str">
            <v>NA</v>
          </cell>
          <cell r="S1221">
            <v>5</v>
          </cell>
        </row>
        <row r="1222">
          <cell r="B1222" t="str">
            <v>MNC</v>
          </cell>
          <cell r="C1222" t="str">
            <v>HSLB14541</v>
          </cell>
          <cell r="D1222">
            <v>204006</v>
          </cell>
          <cell r="E1222" t="str">
            <v>Silla Ergonómica</v>
          </cell>
          <cell r="F1222" t="str">
            <v>NO</v>
          </cell>
          <cell r="G1222" t="str">
            <v>NO</v>
          </cell>
          <cell r="H1222" t="str">
            <v>SALA MULTIUSO (labores administrativas)</v>
          </cell>
          <cell r="I1222">
            <v>1</v>
          </cell>
          <cell r="J1222" t="str">
            <v>E.5.1.4</v>
          </cell>
          <cell r="K1222" t="str">
            <v>Laboratorio</v>
          </cell>
          <cell r="L1222">
            <v>2</v>
          </cell>
          <cell r="M1222">
            <v>46024</v>
          </cell>
          <cell r="N1222">
            <v>46027</v>
          </cell>
          <cell r="O1222">
            <v>2</v>
          </cell>
          <cell r="P1222">
            <v>46030</v>
          </cell>
          <cell r="Q1222">
            <v>5</v>
          </cell>
          <cell r="R1222" t="str">
            <v>NA</v>
          </cell>
          <cell r="S1222">
            <v>5</v>
          </cell>
        </row>
        <row r="1223">
          <cell r="B1223" t="str">
            <v>MNC</v>
          </cell>
          <cell r="C1223" t="str">
            <v>HSLB14932</v>
          </cell>
          <cell r="D1223">
            <v>204012</v>
          </cell>
          <cell r="E1223" t="str">
            <v>Silla Visita</v>
          </cell>
          <cell r="F1223" t="str">
            <v>NO</v>
          </cell>
          <cell r="G1223" t="str">
            <v>NO</v>
          </cell>
          <cell r="H1223" t="str">
            <v>SALA MULTIUSO (labores administrativas)</v>
          </cell>
          <cell r="I1223">
            <v>4</v>
          </cell>
          <cell r="J1223" t="str">
            <v>E.5.1.4</v>
          </cell>
          <cell r="K1223" t="str">
            <v>Laboratorio</v>
          </cell>
          <cell r="L1223">
            <v>2</v>
          </cell>
          <cell r="M1223">
            <v>46024</v>
          </cell>
          <cell r="N1223">
            <v>46027</v>
          </cell>
          <cell r="O1223">
            <v>2</v>
          </cell>
          <cell r="P1223">
            <v>46030</v>
          </cell>
          <cell r="Q1223">
            <v>5</v>
          </cell>
          <cell r="R1223" t="str">
            <v>NA</v>
          </cell>
          <cell r="S1223">
            <v>5</v>
          </cell>
        </row>
        <row r="1224">
          <cell r="B1224" t="str">
            <v>MNC</v>
          </cell>
          <cell r="C1224" t="str">
            <v>HSLB13380</v>
          </cell>
          <cell r="D1224">
            <v>201009</v>
          </cell>
          <cell r="E1224" t="str">
            <v>Mesa Reuniones Tipo II</v>
          </cell>
          <cell r="F1224" t="str">
            <v>NO</v>
          </cell>
          <cell r="G1224" t="str">
            <v>NO</v>
          </cell>
          <cell r="H1224" t="str">
            <v>SALA DE REUNIONES C/KITCHENETTE</v>
          </cell>
          <cell r="I1224">
            <v>1</v>
          </cell>
          <cell r="J1224" t="str">
            <v>E.5.2.1</v>
          </cell>
          <cell r="K1224" t="str">
            <v>Laboratorio</v>
          </cell>
          <cell r="L1224">
            <v>2</v>
          </cell>
          <cell r="M1224">
            <v>46024</v>
          </cell>
          <cell r="N1224">
            <v>46027</v>
          </cell>
          <cell r="O1224">
            <v>2</v>
          </cell>
          <cell r="P1224">
            <v>46030</v>
          </cell>
          <cell r="Q1224">
            <v>5</v>
          </cell>
          <cell r="R1224" t="str">
            <v>NA</v>
          </cell>
          <cell r="S1224">
            <v>5</v>
          </cell>
        </row>
        <row r="1225">
          <cell r="B1225" t="str">
            <v>MNC</v>
          </cell>
          <cell r="C1225" t="str">
            <v>HSLB14933</v>
          </cell>
          <cell r="D1225">
            <v>204012</v>
          </cell>
          <cell r="E1225" t="str">
            <v>Silla Visita</v>
          </cell>
          <cell r="F1225" t="str">
            <v>NO</v>
          </cell>
          <cell r="G1225" t="str">
            <v>NO</v>
          </cell>
          <cell r="H1225" t="str">
            <v>SALA DE REUNIONES C/KITCHENETTE</v>
          </cell>
          <cell r="I1225">
            <v>20</v>
          </cell>
          <cell r="J1225" t="str">
            <v>E.5.2.1</v>
          </cell>
          <cell r="K1225" t="str">
            <v>Laboratorio</v>
          </cell>
          <cell r="L1225">
            <v>2</v>
          </cell>
          <cell r="M1225">
            <v>46024</v>
          </cell>
          <cell r="N1225">
            <v>46027</v>
          </cell>
          <cell r="O1225">
            <v>2</v>
          </cell>
          <cell r="P1225">
            <v>46030</v>
          </cell>
          <cell r="Q1225">
            <v>5</v>
          </cell>
          <cell r="R1225" t="str">
            <v>NA</v>
          </cell>
          <cell r="S1225">
            <v>5</v>
          </cell>
        </row>
        <row r="1226">
          <cell r="B1226" t="str">
            <v>MNC</v>
          </cell>
          <cell r="C1226" t="str">
            <v>HSLB13381</v>
          </cell>
          <cell r="D1226">
            <v>201009</v>
          </cell>
          <cell r="E1226" t="str">
            <v>Mesa Reuniones Tipo II</v>
          </cell>
          <cell r="F1226" t="str">
            <v>NO</v>
          </cell>
          <cell r="G1226" t="str">
            <v>NO</v>
          </cell>
          <cell r="H1226" t="str">
            <v>SALA DE REUNIONES C/KITCHENETTE</v>
          </cell>
          <cell r="I1226">
            <v>1</v>
          </cell>
          <cell r="J1226" t="str">
            <v>E.5.2.2</v>
          </cell>
          <cell r="K1226" t="str">
            <v>Hospital de día</v>
          </cell>
          <cell r="L1226">
            <v>2</v>
          </cell>
          <cell r="M1226">
            <v>46003</v>
          </cell>
          <cell r="N1226">
            <v>46006</v>
          </cell>
          <cell r="P1226">
            <v>46006</v>
          </cell>
          <cell r="Q1226">
            <v>5</v>
          </cell>
          <cell r="R1226" t="str">
            <v>NA</v>
          </cell>
          <cell r="S1226">
            <v>5</v>
          </cell>
        </row>
        <row r="1227">
          <cell r="B1227" t="str">
            <v>MNC</v>
          </cell>
          <cell r="C1227" t="str">
            <v>HSLB14934</v>
          </cell>
          <cell r="D1227">
            <v>204012</v>
          </cell>
          <cell r="E1227" t="str">
            <v>Silla Visita</v>
          </cell>
          <cell r="F1227" t="str">
            <v>NO</v>
          </cell>
          <cell r="G1227" t="str">
            <v>NO</v>
          </cell>
          <cell r="H1227" t="str">
            <v>SALA DE REUNIONES C/KITCHENETTE</v>
          </cell>
          <cell r="I1227">
            <v>20</v>
          </cell>
          <cell r="J1227" t="str">
            <v>E.5.2.2</v>
          </cell>
          <cell r="K1227" t="str">
            <v>Hospital de día</v>
          </cell>
          <cell r="L1227">
            <v>2</v>
          </cell>
          <cell r="M1227">
            <v>46003</v>
          </cell>
          <cell r="N1227">
            <v>46006</v>
          </cell>
          <cell r="O1227">
            <v>2</v>
          </cell>
          <cell r="P1227">
            <v>46008</v>
          </cell>
          <cell r="Q1227">
            <v>5</v>
          </cell>
          <cell r="R1227" t="str">
            <v>NA</v>
          </cell>
          <cell r="S1227">
            <v>5</v>
          </cell>
        </row>
        <row r="1228">
          <cell r="B1228" t="str">
            <v>MNC</v>
          </cell>
          <cell r="C1228" t="str">
            <v>HSLB13382</v>
          </cell>
          <cell r="D1228">
            <v>201009</v>
          </cell>
          <cell r="E1228" t="str">
            <v>Mesa Reuniones Tipo II</v>
          </cell>
          <cell r="F1228" t="str">
            <v>NO</v>
          </cell>
          <cell r="G1228" t="str">
            <v>NO</v>
          </cell>
          <cell r="H1228" t="str">
            <v>SALA DE REUNIONES C/KITCHENETTE</v>
          </cell>
          <cell r="I1228">
            <v>1</v>
          </cell>
          <cell r="J1228" t="str">
            <v>E.5.2.3</v>
          </cell>
          <cell r="K1228" t="str">
            <v>Hospital de día</v>
          </cell>
          <cell r="L1228">
            <v>2</v>
          </cell>
          <cell r="M1228">
            <v>46003</v>
          </cell>
          <cell r="N1228">
            <v>46006</v>
          </cell>
          <cell r="P1228">
            <v>46006</v>
          </cell>
          <cell r="Q1228">
            <v>5</v>
          </cell>
          <cell r="R1228" t="str">
            <v>NA</v>
          </cell>
          <cell r="S1228">
            <v>5</v>
          </cell>
        </row>
        <row r="1229">
          <cell r="B1229" t="str">
            <v>MNC</v>
          </cell>
          <cell r="C1229" t="str">
            <v>HSLB14935</v>
          </cell>
          <cell r="D1229">
            <v>204012</v>
          </cell>
          <cell r="E1229" t="str">
            <v>Silla Visita</v>
          </cell>
          <cell r="F1229" t="str">
            <v>NO</v>
          </cell>
          <cell r="G1229" t="str">
            <v>NO</v>
          </cell>
          <cell r="H1229" t="str">
            <v>SALA DE REUNIONES C/KITCHENETTE</v>
          </cell>
          <cell r="I1229">
            <v>20</v>
          </cell>
          <cell r="J1229" t="str">
            <v>E.5.2.3</v>
          </cell>
          <cell r="K1229" t="str">
            <v>Hospital de día</v>
          </cell>
          <cell r="L1229">
            <v>2</v>
          </cell>
          <cell r="M1229">
            <v>46003</v>
          </cell>
          <cell r="N1229">
            <v>46006</v>
          </cell>
          <cell r="O1229">
            <v>2</v>
          </cell>
          <cell r="P1229">
            <v>46008</v>
          </cell>
          <cell r="Q1229">
            <v>5</v>
          </cell>
          <cell r="R1229" t="str">
            <v>NA</v>
          </cell>
          <cell r="S1229">
            <v>5</v>
          </cell>
        </row>
        <row r="1230">
          <cell r="B1230" t="str">
            <v>MNC</v>
          </cell>
          <cell r="C1230" t="str">
            <v>HSLB13383</v>
          </cell>
          <cell r="D1230">
            <v>201009</v>
          </cell>
          <cell r="E1230" t="str">
            <v>Mesa Reuniones Tipo II</v>
          </cell>
          <cell r="F1230" t="str">
            <v>NO</v>
          </cell>
          <cell r="G1230" t="str">
            <v>NO</v>
          </cell>
          <cell r="H1230" t="str">
            <v>SALA DE REUNIONES C/KITCHENETTE</v>
          </cell>
          <cell r="I1230">
            <v>1</v>
          </cell>
          <cell r="J1230" t="str">
            <v>E.5.2.4</v>
          </cell>
          <cell r="K1230" t="str">
            <v>Laboratorio</v>
          </cell>
          <cell r="L1230">
            <v>2</v>
          </cell>
          <cell r="M1230">
            <v>46024</v>
          </cell>
          <cell r="N1230">
            <v>46027</v>
          </cell>
          <cell r="O1230">
            <v>2</v>
          </cell>
          <cell r="P1230">
            <v>46030</v>
          </cell>
          <cell r="Q1230">
            <v>5</v>
          </cell>
          <cell r="R1230" t="str">
            <v>NA</v>
          </cell>
          <cell r="S1230">
            <v>5</v>
          </cell>
        </row>
        <row r="1231">
          <cell r="B1231" t="str">
            <v>MNC</v>
          </cell>
          <cell r="C1231" t="str">
            <v>HSLB14936</v>
          </cell>
          <cell r="D1231">
            <v>204012</v>
          </cell>
          <cell r="E1231" t="str">
            <v>Silla Visita</v>
          </cell>
          <cell r="F1231" t="str">
            <v>NO</v>
          </cell>
          <cell r="G1231" t="str">
            <v>NO</v>
          </cell>
          <cell r="H1231" t="str">
            <v>SALA DE REUNIONES C/KITCHENETTE</v>
          </cell>
          <cell r="I1231">
            <v>20</v>
          </cell>
          <cell r="J1231" t="str">
            <v>E.5.2.4</v>
          </cell>
          <cell r="K1231" t="str">
            <v>Laboratorio</v>
          </cell>
          <cell r="L1231">
            <v>2</v>
          </cell>
          <cell r="M1231">
            <v>46024</v>
          </cell>
          <cell r="N1231">
            <v>46027</v>
          </cell>
          <cell r="O1231">
            <v>2</v>
          </cell>
          <cell r="P1231">
            <v>46030</v>
          </cell>
          <cell r="Q1231">
            <v>5</v>
          </cell>
          <cell r="R1231" t="str">
            <v>NA</v>
          </cell>
          <cell r="S1231">
            <v>5</v>
          </cell>
        </row>
        <row r="1232">
          <cell r="B1232" t="str">
            <v>MNC</v>
          </cell>
          <cell r="C1232" t="str">
            <v>HSLB15475</v>
          </cell>
          <cell r="D1232">
            <v>204020</v>
          </cell>
          <cell r="E1232" t="str">
            <v>Silla Butaca Espera 3 Cuerpos</v>
          </cell>
          <cell r="F1232" t="str">
            <v>NO</v>
          </cell>
          <cell r="G1232" t="str">
            <v>NO</v>
          </cell>
          <cell r="H1232" t="str">
            <v>CIRCULACIONES NIVEL 2</v>
          </cell>
          <cell r="I1232">
            <v>4</v>
          </cell>
          <cell r="J1232" t="str">
            <v>K.1.2_U</v>
          </cell>
          <cell r="K1232" t="str">
            <v>Cafetería</v>
          </cell>
          <cell r="L1232">
            <v>2</v>
          </cell>
          <cell r="M1232">
            <v>46041</v>
          </cell>
          <cell r="N1232">
            <v>46042</v>
          </cell>
          <cell r="O1232">
            <v>2</v>
          </cell>
          <cell r="P1232">
            <v>46044</v>
          </cell>
          <cell r="Q1232">
            <v>5</v>
          </cell>
          <cell r="R1232" t="str">
            <v>NA</v>
          </cell>
          <cell r="S1232">
            <v>5</v>
          </cell>
        </row>
        <row r="1233">
          <cell r="B1233" t="str">
            <v>MNC</v>
          </cell>
          <cell r="C1233" t="str">
            <v>HSLB15478</v>
          </cell>
          <cell r="D1233">
            <v>204021</v>
          </cell>
          <cell r="E1233" t="str">
            <v>Podio Ecuménico 120x55x96cm</v>
          </cell>
          <cell r="F1233" t="str">
            <v>NO</v>
          </cell>
          <cell r="G1233" t="str">
            <v>NO</v>
          </cell>
          <cell r="H1233" t="str">
            <v>ORATORIO ECUMENICO</v>
          </cell>
          <cell r="I1233">
            <v>1</v>
          </cell>
          <cell r="J1233" t="str">
            <v>E.4.1</v>
          </cell>
          <cell r="K1233" t="str">
            <v>Administración y apoyo general</v>
          </cell>
          <cell r="L1233">
            <v>2</v>
          </cell>
          <cell r="M1233">
            <v>46036</v>
          </cell>
          <cell r="N1233">
            <v>46037</v>
          </cell>
          <cell r="O1233">
            <v>1</v>
          </cell>
          <cell r="P1233">
            <v>46038</v>
          </cell>
          <cell r="Q1233">
            <v>5</v>
          </cell>
          <cell r="R1233" t="str">
            <v>NA</v>
          </cell>
          <cell r="S1233">
            <v>5</v>
          </cell>
        </row>
        <row r="1234">
          <cell r="B1234" t="str">
            <v>MNC</v>
          </cell>
          <cell r="C1234" t="str">
            <v>HSLB15479</v>
          </cell>
          <cell r="D1234">
            <v>204022</v>
          </cell>
          <cell r="E1234" t="str">
            <v>Banca Ecuménica 220x40x47cm</v>
          </cell>
          <cell r="F1234" t="str">
            <v>NO</v>
          </cell>
          <cell r="G1234" t="str">
            <v>NO</v>
          </cell>
          <cell r="H1234" t="str">
            <v>ORATORIO ECUMENICO</v>
          </cell>
          <cell r="I1234">
            <v>4</v>
          </cell>
          <cell r="J1234" t="str">
            <v>E.4.1</v>
          </cell>
          <cell r="K1234" t="str">
            <v>Administración y apoyo general</v>
          </cell>
          <cell r="L1234">
            <v>2</v>
          </cell>
          <cell r="M1234">
            <v>46036</v>
          </cell>
          <cell r="N1234">
            <v>46038</v>
          </cell>
          <cell r="O1234">
            <v>2</v>
          </cell>
          <cell r="P1234">
            <v>46042</v>
          </cell>
          <cell r="Q1234">
            <v>5</v>
          </cell>
          <cell r="R1234" t="str">
            <v>NA</v>
          </cell>
          <cell r="S1234">
            <v>5</v>
          </cell>
        </row>
        <row r="1235">
          <cell r="B1235" t="str">
            <v>MNC</v>
          </cell>
          <cell r="C1235" t="str">
            <v>HSLB13716</v>
          </cell>
          <cell r="D1235">
            <v>203016</v>
          </cell>
          <cell r="E1235" t="str">
            <v>Mueble Tipo Biblioteca</v>
          </cell>
          <cell r="F1235" t="str">
            <v>NO</v>
          </cell>
          <cell r="G1235" t="str">
            <v>NO</v>
          </cell>
          <cell r="H1235" t="str">
            <v>OFICINA ENFERMERA COORDINADORA</v>
          </cell>
          <cell r="I1235">
            <v>1</v>
          </cell>
          <cell r="J1235" t="str">
            <v>C.2.2.3.2.2</v>
          </cell>
          <cell r="K1235" t="str">
            <v>Consultas medicas generales</v>
          </cell>
          <cell r="L1235">
            <v>2</v>
          </cell>
          <cell r="M1235">
            <v>46036</v>
          </cell>
          <cell r="N1235">
            <v>46037</v>
          </cell>
          <cell r="P1235">
            <v>46037</v>
          </cell>
          <cell r="Q1235">
            <v>5</v>
          </cell>
          <cell r="R1235" t="str">
            <v>NA</v>
          </cell>
          <cell r="S1235">
            <v>5</v>
          </cell>
        </row>
        <row r="1236">
          <cell r="B1236" t="str">
            <v>MNC</v>
          </cell>
          <cell r="C1236" t="str">
            <v>HSLB13541</v>
          </cell>
          <cell r="D1236">
            <v>203016</v>
          </cell>
          <cell r="E1236" t="str">
            <v>Mueble Tipo Biblioteca</v>
          </cell>
          <cell r="F1236" t="str">
            <v>NO</v>
          </cell>
          <cell r="G1236" t="str">
            <v>NO</v>
          </cell>
          <cell r="H1236" t="str">
            <v>MESÓN RECEPCIÓN</v>
          </cell>
          <cell r="I1236">
            <v>1</v>
          </cell>
          <cell r="J1236" t="str">
            <v>C.2.2.4.1</v>
          </cell>
          <cell r="K1236" t="str">
            <v>Odontología</v>
          </cell>
          <cell r="L1236">
            <v>2</v>
          </cell>
          <cell r="M1236">
            <v>46010</v>
          </cell>
          <cell r="N1236">
            <v>46013</v>
          </cell>
          <cell r="O1236">
            <v>2</v>
          </cell>
          <cell r="P1236">
            <v>46015</v>
          </cell>
          <cell r="Q1236">
            <v>5</v>
          </cell>
          <cell r="R1236" t="str">
            <v>NA</v>
          </cell>
          <cell r="S1236">
            <v>5</v>
          </cell>
        </row>
        <row r="1237">
          <cell r="B1237" t="str">
            <v>MNC</v>
          </cell>
          <cell r="C1237" t="str">
            <v>HSLB13542</v>
          </cell>
          <cell r="D1237">
            <v>203016</v>
          </cell>
          <cell r="E1237" t="str">
            <v>Mueble Tipo Biblioteca</v>
          </cell>
          <cell r="F1237" t="str">
            <v>NO</v>
          </cell>
          <cell r="G1237" t="str">
            <v>NO</v>
          </cell>
          <cell r="H1237" t="str">
            <v>SALA MULTIUSO (TRABAJO GRUPAL, EDUCACION DE PACIENTES)</v>
          </cell>
          <cell r="I1237">
            <v>1</v>
          </cell>
          <cell r="J1237" t="str">
            <v>C.2.2.4.16</v>
          </cell>
          <cell r="K1237" t="str">
            <v>Odontología</v>
          </cell>
          <cell r="L1237">
            <v>2</v>
          </cell>
          <cell r="M1237">
            <v>46010</v>
          </cell>
          <cell r="N1237">
            <v>46013</v>
          </cell>
          <cell r="O1237">
            <v>2</v>
          </cell>
          <cell r="P1237">
            <v>46015</v>
          </cell>
          <cell r="Q1237">
            <v>5</v>
          </cell>
          <cell r="R1237" t="str">
            <v>NA</v>
          </cell>
          <cell r="S1237">
            <v>5</v>
          </cell>
        </row>
        <row r="1238">
          <cell r="B1238" t="str">
            <v>MNC</v>
          </cell>
          <cell r="C1238" t="str">
            <v>HSLB13543</v>
          </cell>
          <cell r="D1238">
            <v>203016</v>
          </cell>
          <cell r="E1238" t="str">
            <v>Mueble Tipo Biblioteca</v>
          </cell>
          <cell r="F1238" t="str">
            <v>NO</v>
          </cell>
          <cell r="G1238" t="str">
            <v>NO</v>
          </cell>
          <cell r="H1238" t="str">
            <v>OF. JEFE ODONTOLOGÍA</v>
          </cell>
          <cell r="I1238">
            <v>1</v>
          </cell>
          <cell r="J1238" t="str">
            <v>C.2.2.4.6</v>
          </cell>
          <cell r="K1238" t="str">
            <v>Odontología</v>
          </cell>
          <cell r="L1238">
            <v>2</v>
          </cell>
          <cell r="M1238">
            <v>46010</v>
          </cell>
          <cell r="N1238">
            <v>46013</v>
          </cell>
          <cell r="O1238">
            <v>2</v>
          </cell>
          <cell r="P1238">
            <v>46015</v>
          </cell>
          <cell r="Q1238">
            <v>5</v>
          </cell>
          <cell r="R1238" t="str">
            <v>NA</v>
          </cell>
          <cell r="S1238">
            <v>5</v>
          </cell>
        </row>
        <row r="1239">
          <cell r="B1239" t="str">
            <v>MNC</v>
          </cell>
          <cell r="C1239" t="str">
            <v>HSLB13550</v>
          </cell>
          <cell r="D1239">
            <v>203016</v>
          </cell>
          <cell r="E1239" t="str">
            <v>Mueble Tipo Biblioteca</v>
          </cell>
          <cell r="F1239" t="str">
            <v>NO</v>
          </cell>
          <cell r="G1239" t="str">
            <v>NO</v>
          </cell>
          <cell r="H1239" t="str">
            <v>SECRETARIA C/ARCHIVO, FOTOCOP.</v>
          </cell>
          <cell r="I1239">
            <v>1</v>
          </cell>
          <cell r="J1239" t="str">
            <v>C.2.5.1.1</v>
          </cell>
          <cell r="K1239" t="str">
            <v>Hospital de día</v>
          </cell>
          <cell r="L1239">
            <v>2</v>
          </cell>
          <cell r="M1239">
            <v>46003</v>
          </cell>
          <cell r="N1239">
            <v>46006</v>
          </cell>
          <cell r="P1239">
            <v>46006</v>
          </cell>
          <cell r="Q1239">
            <v>5</v>
          </cell>
          <cell r="R1239" t="str">
            <v>NA</v>
          </cell>
          <cell r="S1239">
            <v>5</v>
          </cell>
        </row>
        <row r="1240">
          <cell r="B1240" t="str">
            <v>MNC</v>
          </cell>
          <cell r="C1240" t="str">
            <v>HSLB13551</v>
          </cell>
          <cell r="D1240">
            <v>203016</v>
          </cell>
          <cell r="E1240" t="str">
            <v>Mueble Tipo Biblioteca</v>
          </cell>
          <cell r="F1240" t="str">
            <v>NO</v>
          </cell>
          <cell r="G1240" t="str">
            <v>NO</v>
          </cell>
          <cell r="H1240" t="str">
            <v>OFICINA JEFE SALUD MENTAL</v>
          </cell>
          <cell r="I1240">
            <v>1</v>
          </cell>
          <cell r="J1240" t="str">
            <v>C.2.5.1.2</v>
          </cell>
          <cell r="K1240" t="str">
            <v>Hospital de día</v>
          </cell>
          <cell r="L1240">
            <v>2</v>
          </cell>
          <cell r="M1240">
            <v>46003</v>
          </cell>
          <cell r="N1240">
            <v>46006</v>
          </cell>
          <cell r="P1240">
            <v>46006</v>
          </cell>
          <cell r="Q1240">
            <v>5</v>
          </cell>
          <cell r="R1240" t="str">
            <v>NA</v>
          </cell>
          <cell r="S1240">
            <v>5</v>
          </cell>
        </row>
        <row r="1241">
          <cell r="B1241" t="str">
            <v>MNC</v>
          </cell>
          <cell r="C1241" t="str">
            <v>HSLB13552</v>
          </cell>
          <cell r="D1241">
            <v>203016</v>
          </cell>
          <cell r="E1241" t="str">
            <v>Mueble Tipo Biblioteca</v>
          </cell>
          <cell r="F1241" t="str">
            <v>NO</v>
          </cell>
          <cell r="G1241" t="str">
            <v>NO</v>
          </cell>
          <cell r="H1241" t="str">
            <v>OF.COORDINADOR SALUD MENTAL</v>
          </cell>
          <cell r="I1241">
            <v>1</v>
          </cell>
          <cell r="J1241" t="str">
            <v>C.2.5.1.3</v>
          </cell>
          <cell r="K1241" t="str">
            <v>Hospital de día</v>
          </cell>
          <cell r="L1241">
            <v>2</v>
          </cell>
          <cell r="M1241">
            <v>46003</v>
          </cell>
          <cell r="N1241">
            <v>46006</v>
          </cell>
          <cell r="P1241">
            <v>46006</v>
          </cell>
          <cell r="Q1241">
            <v>5</v>
          </cell>
          <cell r="R1241" t="str">
            <v>NA</v>
          </cell>
          <cell r="S1241">
            <v>5</v>
          </cell>
        </row>
        <row r="1242">
          <cell r="B1242" t="str">
            <v>MNC</v>
          </cell>
          <cell r="C1242" t="str">
            <v>HSLB13553</v>
          </cell>
          <cell r="D1242">
            <v>203016</v>
          </cell>
          <cell r="E1242" t="str">
            <v>Mueble Tipo Biblioteca</v>
          </cell>
          <cell r="F1242" t="str">
            <v>NO</v>
          </cell>
          <cell r="G1242" t="str">
            <v>NO</v>
          </cell>
          <cell r="H1242" t="str">
            <v>OFICINA JEFE SALUD MENTAL AMBULATORIO</v>
          </cell>
          <cell r="I1242">
            <v>1</v>
          </cell>
          <cell r="J1242" t="str">
            <v>C.2.5.2.1</v>
          </cell>
          <cell r="K1242" t="str">
            <v>Psiquiatría</v>
          </cell>
          <cell r="L1242">
            <v>2</v>
          </cell>
          <cell r="M1242">
            <v>46015</v>
          </cell>
          <cell r="N1242">
            <v>46017</v>
          </cell>
          <cell r="O1242">
            <v>2</v>
          </cell>
          <cell r="P1242">
            <v>46021</v>
          </cell>
          <cell r="Q1242">
            <v>5</v>
          </cell>
          <cell r="R1242" t="str">
            <v>NA</v>
          </cell>
          <cell r="S1242">
            <v>5</v>
          </cell>
        </row>
        <row r="1243">
          <cell r="B1243" t="str">
            <v>MNC</v>
          </cell>
          <cell r="C1243" t="str">
            <v>HSLB13554</v>
          </cell>
          <cell r="D1243">
            <v>203016</v>
          </cell>
          <cell r="E1243" t="str">
            <v>Mueble Tipo Biblioteca</v>
          </cell>
          <cell r="F1243" t="str">
            <v>NO</v>
          </cell>
          <cell r="G1243" t="str">
            <v>NO</v>
          </cell>
          <cell r="H1243" t="str">
            <v>BOX ENFERMERA SALUD MENTAL</v>
          </cell>
          <cell r="I1243">
            <v>1</v>
          </cell>
          <cell r="J1243" t="str">
            <v>C.2.5.2.10</v>
          </cell>
          <cell r="K1243" t="str">
            <v>Psiquiatría</v>
          </cell>
          <cell r="L1243">
            <v>2</v>
          </cell>
          <cell r="M1243">
            <v>46015</v>
          </cell>
          <cell r="N1243">
            <v>46017</v>
          </cell>
          <cell r="O1243">
            <v>2</v>
          </cell>
          <cell r="P1243">
            <v>46021</v>
          </cell>
          <cell r="Q1243">
            <v>5</v>
          </cell>
          <cell r="R1243" t="str">
            <v>NA</v>
          </cell>
          <cell r="S1243">
            <v>5</v>
          </cell>
        </row>
        <row r="1244">
          <cell r="B1244" t="str">
            <v>MNC</v>
          </cell>
          <cell r="C1244" t="str">
            <v>HSLB13555</v>
          </cell>
          <cell r="D1244">
            <v>203016</v>
          </cell>
          <cell r="E1244" t="str">
            <v>Mueble Tipo Biblioteca</v>
          </cell>
          <cell r="F1244" t="str">
            <v>NO</v>
          </cell>
          <cell r="G1244" t="str">
            <v>NO</v>
          </cell>
          <cell r="H1244" t="str">
            <v>BOX PSICÓLOGO ADULTO</v>
          </cell>
          <cell r="I1244">
            <v>1</v>
          </cell>
          <cell r="J1244" t="str">
            <v>C.2.5.2.11.1</v>
          </cell>
          <cell r="K1244" t="str">
            <v>Psiquiatría</v>
          </cell>
          <cell r="L1244">
            <v>2</v>
          </cell>
          <cell r="M1244">
            <v>46015</v>
          </cell>
          <cell r="N1244">
            <v>46017</v>
          </cell>
          <cell r="O1244">
            <v>2</v>
          </cell>
          <cell r="P1244">
            <v>46021</v>
          </cell>
          <cell r="Q1244">
            <v>5</v>
          </cell>
          <cell r="R1244" t="str">
            <v>NA</v>
          </cell>
          <cell r="S1244">
            <v>5</v>
          </cell>
        </row>
        <row r="1245">
          <cell r="B1245" t="str">
            <v>MNC</v>
          </cell>
          <cell r="C1245" t="str">
            <v>HSLB13556</v>
          </cell>
          <cell r="D1245">
            <v>203016</v>
          </cell>
          <cell r="E1245" t="str">
            <v>Mueble Tipo Biblioteca</v>
          </cell>
          <cell r="F1245" t="str">
            <v>NO</v>
          </cell>
          <cell r="G1245" t="str">
            <v>NO</v>
          </cell>
          <cell r="H1245" t="str">
            <v>BOX PSICÓLOGO ADULTO</v>
          </cell>
          <cell r="I1245">
            <v>1</v>
          </cell>
          <cell r="J1245" t="str">
            <v>C.2.5.2.11.2</v>
          </cell>
          <cell r="K1245" t="str">
            <v>Psiquiatría</v>
          </cell>
          <cell r="L1245">
            <v>2</v>
          </cell>
          <cell r="M1245">
            <v>46015</v>
          </cell>
          <cell r="N1245">
            <v>46017</v>
          </cell>
          <cell r="O1245">
            <v>2</v>
          </cell>
          <cell r="P1245">
            <v>46021</v>
          </cell>
          <cell r="Q1245">
            <v>5</v>
          </cell>
          <cell r="R1245" t="str">
            <v>NA</v>
          </cell>
          <cell r="S1245">
            <v>5</v>
          </cell>
        </row>
        <row r="1246">
          <cell r="B1246" t="str">
            <v>MNC</v>
          </cell>
          <cell r="C1246" t="str">
            <v>HSLB13557</v>
          </cell>
          <cell r="D1246">
            <v>203016</v>
          </cell>
          <cell r="E1246" t="str">
            <v>Mueble Tipo Biblioteca</v>
          </cell>
          <cell r="F1246" t="str">
            <v>NO</v>
          </cell>
          <cell r="G1246" t="str">
            <v>NO</v>
          </cell>
          <cell r="H1246" t="str">
            <v>BOX PSICÓLOGO ADULTO</v>
          </cell>
          <cell r="I1246">
            <v>1</v>
          </cell>
          <cell r="J1246" t="str">
            <v>C.2.5.2.11.3</v>
          </cell>
          <cell r="K1246" t="str">
            <v>Psiquiatría</v>
          </cell>
          <cell r="L1246">
            <v>2</v>
          </cell>
          <cell r="M1246">
            <v>46015</v>
          </cell>
          <cell r="N1246">
            <v>46017</v>
          </cell>
          <cell r="O1246">
            <v>2</v>
          </cell>
          <cell r="P1246">
            <v>46021</v>
          </cell>
          <cell r="Q1246">
            <v>5</v>
          </cell>
          <cell r="R1246" t="str">
            <v>NA</v>
          </cell>
          <cell r="S1246">
            <v>5</v>
          </cell>
        </row>
        <row r="1247">
          <cell r="B1247" t="str">
            <v>MNC</v>
          </cell>
          <cell r="C1247" t="str">
            <v>HSLB13558</v>
          </cell>
          <cell r="D1247">
            <v>203016</v>
          </cell>
          <cell r="E1247" t="str">
            <v>Mueble Tipo Biblioteca</v>
          </cell>
          <cell r="F1247" t="str">
            <v>NO</v>
          </cell>
          <cell r="G1247" t="str">
            <v>NO</v>
          </cell>
          <cell r="H1247" t="str">
            <v>BOX PSIQUIATRÍA INFANTO JUVENIL</v>
          </cell>
          <cell r="I1247">
            <v>1</v>
          </cell>
          <cell r="J1247" t="str">
            <v>C.2.5.2.18</v>
          </cell>
          <cell r="K1247" t="str">
            <v>Psiquiatría</v>
          </cell>
          <cell r="L1247">
            <v>2</v>
          </cell>
          <cell r="M1247">
            <v>46015</v>
          </cell>
          <cell r="N1247">
            <v>46017</v>
          </cell>
          <cell r="O1247">
            <v>2</v>
          </cell>
          <cell r="P1247">
            <v>46021</v>
          </cell>
          <cell r="Q1247">
            <v>5</v>
          </cell>
          <cell r="R1247" t="str">
            <v>NA</v>
          </cell>
          <cell r="S1247">
            <v>5</v>
          </cell>
        </row>
        <row r="1248">
          <cell r="B1248" t="str">
            <v>MNC</v>
          </cell>
          <cell r="C1248" t="str">
            <v>HSLB15259</v>
          </cell>
          <cell r="D1248">
            <v>203016</v>
          </cell>
          <cell r="E1248" t="str">
            <v>Mueble Tipo Biblioteca</v>
          </cell>
          <cell r="F1248" t="str">
            <v>NO</v>
          </cell>
          <cell r="G1248" t="str">
            <v>NO</v>
          </cell>
          <cell r="H1248" t="str">
            <v>BOX PSICÓLOGO INFANTO JUVENIL</v>
          </cell>
          <cell r="I1248">
            <v>1</v>
          </cell>
          <cell r="J1248" t="str">
            <v>C.2.5.2.19.1</v>
          </cell>
          <cell r="K1248" t="str">
            <v>Psiquiatría</v>
          </cell>
          <cell r="L1248">
            <v>2</v>
          </cell>
          <cell r="M1248">
            <v>46015</v>
          </cell>
          <cell r="N1248">
            <v>46017</v>
          </cell>
          <cell r="O1248">
            <v>2</v>
          </cell>
          <cell r="P1248">
            <v>46021</v>
          </cell>
          <cell r="Q1248">
            <v>5</v>
          </cell>
          <cell r="R1248" t="str">
            <v>NA</v>
          </cell>
          <cell r="S1248">
            <v>5</v>
          </cell>
        </row>
        <row r="1249">
          <cell r="B1249" t="str">
            <v>MNC</v>
          </cell>
          <cell r="C1249" t="str">
            <v>HSLB15260</v>
          </cell>
          <cell r="D1249">
            <v>203016</v>
          </cell>
          <cell r="E1249" t="str">
            <v>Mueble Tipo Biblioteca</v>
          </cell>
          <cell r="F1249" t="str">
            <v>NO</v>
          </cell>
          <cell r="G1249" t="str">
            <v>NO</v>
          </cell>
          <cell r="H1249" t="str">
            <v>BOX PSICÓLOGO INFANTO JUVENIL</v>
          </cell>
          <cell r="I1249">
            <v>1</v>
          </cell>
          <cell r="J1249" t="str">
            <v>C.2.5.2.19.2</v>
          </cell>
          <cell r="K1249" t="str">
            <v>Psiquiatría</v>
          </cell>
          <cell r="L1249">
            <v>2</v>
          </cell>
          <cell r="M1249">
            <v>46015</v>
          </cell>
          <cell r="N1249">
            <v>46017</v>
          </cell>
          <cell r="O1249">
            <v>2</v>
          </cell>
          <cell r="P1249">
            <v>46021</v>
          </cell>
          <cell r="Q1249">
            <v>5</v>
          </cell>
          <cell r="R1249" t="str">
            <v>NA</v>
          </cell>
          <cell r="S1249">
            <v>5</v>
          </cell>
        </row>
        <row r="1250">
          <cell r="B1250" t="str">
            <v>MNC</v>
          </cell>
          <cell r="C1250" t="str">
            <v>HSLB13559</v>
          </cell>
          <cell r="D1250">
            <v>203016</v>
          </cell>
          <cell r="E1250" t="str">
            <v>Mueble Tipo Biblioteca</v>
          </cell>
          <cell r="F1250" t="str">
            <v>NO</v>
          </cell>
          <cell r="G1250" t="str">
            <v>NO</v>
          </cell>
          <cell r="H1250" t="str">
            <v>OFICINA COORDINADOR SALUD MENTAL AMBULATORIO</v>
          </cell>
          <cell r="I1250">
            <v>1</v>
          </cell>
          <cell r="J1250" t="str">
            <v>C.2.5.2.2</v>
          </cell>
          <cell r="K1250" t="str">
            <v>Psiquiatría</v>
          </cell>
          <cell r="L1250">
            <v>2</v>
          </cell>
          <cell r="M1250">
            <v>46015</v>
          </cell>
          <cell r="N1250">
            <v>46017</v>
          </cell>
          <cell r="O1250">
            <v>2</v>
          </cell>
          <cell r="P1250">
            <v>46021</v>
          </cell>
          <cell r="Q1250">
            <v>5</v>
          </cell>
          <cell r="R1250" t="str">
            <v>NA</v>
          </cell>
          <cell r="S1250">
            <v>5</v>
          </cell>
        </row>
        <row r="1251">
          <cell r="B1251" t="str">
            <v>MNC</v>
          </cell>
          <cell r="C1251" t="str">
            <v>HSLB13560</v>
          </cell>
          <cell r="D1251">
            <v>203016</v>
          </cell>
          <cell r="E1251" t="str">
            <v>Mueble Tipo Biblioteca</v>
          </cell>
          <cell r="F1251" t="str">
            <v>NO</v>
          </cell>
          <cell r="G1251" t="str">
            <v>NO</v>
          </cell>
          <cell r="H1251" t="str">
            <v>BOX ENFERMERA INFANTO JUVENIL</v>
          </cell>
          <cell r="I1251">
            <v>1</v>
          </cell>
          <cell r="J1251" t="str">
            <v>C.2.5.2.20</v>
          </cell>
          <cell r="K1251" t="str">
            <v>Psiquiatría</v>
          </cell>
          <cell r="L1251">
            <v>2</v>
          </cell>
          <cell r="M1251">
            <v>46015</v>
          </cell>
          <cell r="N1251">
            <v>46017</v>
          </cell>
          <cell r="O1251">
            <v>2</v>
          </cell>
          <cell r="P1251">
            <v>46021</v>
          </cell>
          <cell r="Q1251">
            <v>5</v>
          </cell>
          <cell r="R1251" t="str">
            <v>NA</v>
          </cell>
          <cell r="S1251">
            <v>5</v>
          </cell>
        </row>
        <row r="1252">
          <cell r="B1252" t="str">
            <v>MNC</v>
          </cell>
          <cell r="C1252" t="str">
            <v>HSLB13561</v>
          </cell>
          <cell r="D1252">
            <v>203016</v>
          </cell>
          <cell r="E1252" t="str">
            <v>Mueble Tipo Biblioteca</v>
          </cell>
          <cell r="F1252" t="str">
            <v>NO</v>
          </cell>
          <cell r="G1252" t="str">
            <v>NO</v>
          </cell>
          <cell r="H1252" t="str">
            <v>MÓDULO DE TRABAJO PROFESIONALES</v>
          </cell>
          <cell r="I1252">
            <v>5</v>
          </cell>
          <cell r="J1252" t="str">
            <v>C.2.5.2.24</v>
          </cell>
          <cell r="K1252" t="str">
            <v>Psiquiatría</v>
          </cell>
          <cell r="L1252">
            <v>2</v>
          </cell>
          <cell r="M1252">
            <v>46015</v>
          </cell>
          <cell r="N1252">
            <v>46017</v>
          </cell>
          <cell r="O1252">
            <v>2</v>
          </cell>
          <cell r="P1252">
            <v>46021</v>
          </cell>
          <cell r="Q1252">
            <v>5</v>
          </cell>
          <cell r="R1252" t="str">
            <v>NA</v>
          </cell>
          <cell r="S1252">
            <v>5</v>
          </cell>
        </row>
        <row r="1253">
          <cell r="B1253" t="str">
            <v>MNC</v>
          </cell>
          <cell r="C1253" t="str">
            <v>HSLB13449</v>
          </cell>
          <cell r="D1253">
            <v>202002</v>
          </cell>
          <cell r="E1253" t="str">
            <v>Caja Fuerte Tipo I</v>
          </cell>
          <cell r="F1253" t="str">
            <v>NO</v>
          </cell>
          <cell r="G1253" t="str">
            <v>NO</v>
          </cell>
          <cell r="H1253" t="str">
            <v>MÓDULO SOME RECAUDACIÓN</v>
          </cell>
          <cell r="I1253">
            <v>1</v>
          </cell>
          <cell r="J1253" t="str">
            <v>C.2.5.2.4</v>
          </cell>
          <cell r="K1253" t="str">
            <v>Psiquiatría</v>
          </cell>
          <cell r="L1253">
            <v>2</v>
          </cell>
          <cell r="M1253">
            <v>46015</v>
          </cell>
          <cell r="N1253">
            <v>46017</v>
          </cell>
          <cell r="O1253">
            <v>2</v>
          </cell>
          <cell r="P1253">
            <v>46021</v>
          </cell>
          <cell r="Q1253">
            <v>5</v>
          </cell>
          <cell r="R1253" t="str">
            <v>NA</v>
          </cell>
          <cell r="S1253">
            <v>5</v>
          </cell>
        </row>
        <row r="1254">
          <cell r="B1254" t="str">
            <v>MNC</v>
          </cell>
          <cell r="C1254" t="str">
            <v>HSLB13562</v>
          </cell>
          <cell r="D1254">
            <v>203016</v>
          </cell>
          <cell r="E1254" t="str">
            <v>Mueble Tipo Biblioteca</v>
          </cell>
          <cell r="F1254" t="str">
            <v>NO</v>
          </cell>
          <cell r="G1254" t="str">
            <v>NO</v>
          </cell>
          <cell r="H1254" t="str">
            <v>OFICINA ASISTENTE SOCIAL PSICOPEDAGOGÍA</v>
          </cell>
          <cell r="I1254">
            <v>1</v>
          </cell>
          <cell r="J1254" t="str">
            <v>C.2.5.2.7</v>
          </cell>
          <cell r="K1254" t="str">
            <v>Psiquiatría</v>
          </cell>
          <cell r="L1254">
            <v>2</v>
          </cell>
          <cell r="M1254">
            <v>46015</v>
          </cell>
          <cell r="N1254">
            <v>46017</v>
          </cell>
          <cell r="O1254">
            <v>2</v>
          </cell>
          <cell r="P1254">
            <v>46021</v>
          </cell>
          <cell r="Q1254">
            <v>5</v>
          </cell>
          <cell r="R1254" t="str">
            <v>NA</v>
          </cell>
          <cell r="S1254">
            <v>5</v>
          </cell>
        </row>
        <row r="1255">
          <cell r="B1255" t="str">
            <v>MNC</v>
          </cell>
          <cell r="C1255" t="str">
            <v>HSLB13563</v>
          </cell>
          <cell r="D1255">
            <v>203016</v>
          </cell>
          <cell r="E1255" t="str">
            <v>Mueble Tipo Biblioteca</v>
          </cell>
          <cell r="F1255" t="str">
            <v>NO</v>
          </cell>
          <cell r="G1255" t="str">
            <v>NO</v>
          </cell>
          <cell r="H1255" t="str">
            <v>BOX TERAPEUTA OCUPACIONAL</v>
          </cell>
          <cell r="I1255">
            <v>1</v>
          </cell>
          <cell r="J1255" t="str">
            <v>C.2.5.2.8</v>
          </cell>
          <cell r="K1255" t="str">
            <v>Psiquiatría</v>
          </cell>
          <cell r="L1255">
            <v>2</v>
          </cell>
          <cell r="M1255">
            <v>46015</v>
          </cell>
          <cell r="N1255">
            <v>46017</v>
          </cell>
          <cell r="O1255">
            <v>2</v>
          </cell>
          <cell r="P1255">
            <v>46021</v>
          </cell>
          <cell r="Q1255">
            <v>5</v>
          </cell>
          <cell r="R1255" t="str">
            <v>NA</v>
          </cell>
          <cell r="S1255">
            <v>5</v>
          </cell>
        </row>
        <row r="1256">
          <cell r="B1256" t="str">
            <v>MNC</v>
          </cell>
          <cell r="C1256" t="str">
            <v>HSLB13564</v>
          </cell>
          <cell r="D1256">
            <v>203016</v>
          </cell>
          <cell r="E1256" t="str">
            <v>Mueble Tipo Biblioteca</v>
          </cell>
          <cell r="F1256" t="str">
            <v>NO</v>
          </cell>
          <cell r="G1256" t="str">
            <v>NO</v>
          </cell>
          <cell r="H1256" t="str">
            <v>BOX PSIQUIATRÍA ADULTO</v>
          </cell>
          <cell r="I1256">
            <v>1</v>
          </cell>
          <cell r="J1256" t="str">
            <v>C.2.5.2.9.1</v>
          </cell>
          <cell r="K1256" t="str">
            <v>Psiquiatría</v>
          </cell>
          <cell r="L1256">
            <v>2</v>
          </cell>
          <cell r="M1256">
            <v>46015</v>
          </cell>
          <cell r="N1256">
            <v>46017</v>
          </cell>
          <cell r="O1256">
            <v>2</v>
          </cell>
          <cell r="P1256">
            <v>46021</v>
          </cell>
          <cell r="Q1256">
            <v>5</v>
          </cell>
          <cell r="R1256" t="str">
            <v>NA</v>
          </cell>
          <cell r="S1256">
            <v>5</v>
          </cell>
        </row>
        <row r="1257">
          <cell r="B1257" t="str">
            <v>MNC</v>
          </cell>
          <cell r="C1257" t="str">
            <v>HSLB13565</v>
          </cell>
          <cell r="D1257">
            <v>203016</v>
          </cell>
          <cell r="E1257" t="str">
            <v>Mueble Tipo Biblioteca</v>
          </cell>
          <cell r="F1257" t="str">
            <v>NO</v>
          </cell>
          <cell r="G1257" t="str">
            <v>NO</v>
          </cell>
          <cell r="H1257" t="str">
            <v>BOX PSIQUIATRÍA ADULTO</v>
          </cell>
          <cell r="I1257">
            <v>1</v>
          </cell>
          <cell r="J1257" t="str">
            <v>C.2.5.2.9.2</v>
          </cell>
          <cell r="K1257" t="str">
            <v>Psiquiatría</v>
          </cell>
          <cell r="L1257">
            <v>2</v>
          </cell>
          <cell r="M1257">
            <v>46015</v>
          </cell>
          <cell r="N1257">
            <v>46017</v>
          </cell>
          <cell r="O1257">
            <v>2</v>
          </cell>
          <cell r="P1257">
            <v>46021</v>
          </cell>
          <cell r="Q1257">
            <v>5</v>
          </cell>
          <cell r="R1257" t="str">
            <v>NA</v>
          </cell>
          <cell r="S1257">
            <v>5</v>
          </cell>
        </row>
        <row r="1258">
          <cell r="B1258" t="str">
            <v>MNC</v>
          </cell>
          <cell r="C1258" t="str">
            <v>HSLB13575</v>
          </cell>
          <cell r="D1258">
            <v>203016</v>
          </cell>
          <cell r="E1258" t="str">
            <v>Mueble Tipo Biblioteca</v>
          </cell>
          <cell r="F1258" t="str">
            <v>NO</v>
          </cell>
          <cell r="G1258" t="str">
            <v>NO</v>
          </cell>
          <cell r="H1258" t="str">
            <v>SECRETARIA C/ARCHIVO, FOTOCOP.</v>
          </cell>
          <cell r="I1258">
            <v>1</v>
          </cell>
          <cell r="J1258" t="str">
            <v>C.2.5.4.1</v>
          </cell>
          <cell r="K1258" t="str">
            <v>Hospital de día</v>
          </cell>
          <cell r="L1258">
            <v>2</v>
          </cell>
          <cell r="M1258">
            <v>46003</v>
          </cell>
          <cell r="N1258">
            <v>46006</v>
          </cell>
          <cell r="P1258">
            <v>46006</v>
          </cell>
          <cell r="Q1258">
            <v>5</v>
          </cell>
          <cell r="R1258" t="str">
            <v>NA</v>
          </cell>
          <cell r="S1258">
            <v>5</v>
          </cell>
        </row>
        <row r="1259">
          <cell r="B1259" t="str">
            <v>MNC</v>
          </cell>
          <cell r="C1259" t="str">
            <v>HSLB13576</v>
          </cell>
          <cell r="D1259">
            <v>203016</v>
          </cell>
          <cell r="E1259" t="str">
            <v>Mueble Tipo Biblioteca</v>
          </cell>
          <cell r="F1259" t="str">
            <v>NO</v>
          </cell>
          <cell r="G1259" t="str">
            <v>NO</v>
          </cell>
          <cell r="H1259" t="str">
            <v xml:space="preserve">BOX ATENCIÓN </v>
          </cell>
          <cell r="I1259">
            <v>1</v>
          </cell>
          <cell r="J1259" t="str">
            <v>C.2.5.4.10</v>
          </cell>
          <cell r="K1259" t="str">
            <v>Hospital de día</v>
          </cell>
          <cell r="L1259">
            <v>2</v>
          </cell>
          <cell r="M1259">
            <v>46003</v>
          </cell>
          <cell r="N1259">
            <v>46006</v>
          </cell>
          <cell r="P1259">
            <v>46006</v>
          </cell>
          <cell r="Q1259">
            <v>5</v>
          </cell>
          <cell r="R1259" t="str">
            <v>NA</v>
          </cell>
          <cell r="S1259">
            <v>5</v>
          </cell>
        </row>
        <row r="1260">
          <cell r="B1260" t="str">
            <v>MNC</v>
          </cell>
          <cell r="C1260" t="str">
            <v>HSLB13577</v>
          </cell>
          <cell r="D1260">
            <v>203016</v>
          </cell>
          <cell r="E1260" t="str">
            <v>Mueble Tipo Biblioteca</v>
          </cell>
          <cell r="F1260" t="str">
            <v>NO</v>
          </cell>
          <cell r="G1260" t="str">
            <v>NO</v>
          </cell>
          <cell r="H1260" t="str">
            <v xml:space="preserve">BOX 2 MULTIPROPOSITO </v>
          </cell>
          <cell r="I1260">
            <v>1</v>
          </cell>
          <cell r="J1260" t="str">
            <v>C.2.5.4.11.1</v>
          </cell>
          <cell r="K1260" t="str">
            <v>Hospital de día</v>
          </cell>
          <cell r="L1260">
            <v>2</v>
          </cell>
          <cell r="M1260">
            <v>46003</v>
          </cell>
          <cell r="N1260">
            <v>46006</v>
          </cell>
          <cell r="P1260">
            <v>46006</v>
          </cell>
          <cell r="Q1260">
            <v>5</v>
          </cell>
          <cell r="R1260" t="str">
            <v>NA</v>
          </cell>
          <cell r="S1260">
            <v>5</v>
          </cell>
        </row>
        <row r="1261">
          <cell r="B1261" t="str">
            <v>MNC</v>
          </cell>
          <cell r="C1261" t="str">
            <v>HSLB13578</v>
          </cell>
          <cell r="D1261">
            <v>203016</v>
          </cell>
          <cell r="E1261" t="str">
            <v>Mueble Tipo Biblioteca</v>
          </cell>
          <cell r="F1261" t="str">
            <v>NO</v>
          </cell>
          <cell r="G1261" t="str">
            <v>NO</v>
          </cell>
          <cell r="H1261" t="str">
            <v xml:space="preserve">BOX 2 MULTIPROPOSITO </v>
          </cell>
          <cell r="I1261">
            <v>1</v>
          </cell>
          <cell r="J1261" t="str">
            <v>C.2.5.4.11.2</v>
          </cell>
          <cell r="K1261" t="str">
            <v>Hospital de día</v>
          </cell>
          <cell r="L1261">
            <v>2</v>
          </cell>
          <cell r="M1261">
            <v>46003</v>
          </cell>
          <cell r="N1261">
            <v>46006</v>
          </cell>
          <cell r="P1261">
            <v>46006</v>
          </cell>
          <cell r="Q1261">
            <v>5</v>
          </cell>
          <cell r="R1261" t="str">
            <v>NA</v>
          </cell>
          <cell r="S1261">
            <v>5</v>
          </cell>
        </row>
        <row r="1262">
          <cell r="B1262" t="str">
            <v>MNC</v>
          </cell>
          <cell r="C1262" t="str">
            <v>HSLB13579</v>
          </cell>
          <cell r="D1262">
            <v>203016</v>
          </cell>
          <cell r="E1262" t="str">
            <v>Mueble Tipo Biblioteca</v>
          </cell>
          <cell r="F1262" t="str">
            <v>NO</v>
          </cell>
          <cell r="G1262" t="str">
            <v>NO</v>
          </cell>
          <cell r="H1262" t="str">
            <v>SALA ESTIMULACIÓN COGNITIVA</v>
          </cell>
          <cell r="I1262">
            <v>1</v>
          </cell>
          <cell r="J1262" t="str">
            <v>C.2.5.4.14</v>
          </cell>
          <cell r="K1262" t="str">
            <v>Hospital de día</v>
          </cell>
          <cell r="L1262">
            <v>2</v>
          </cell>
          <cell r="M1262">
            <v>46003</v>
          </cell>
          <cell r="N1262">
            <v>46006</v>
          </cell>
          <cell r="P1262">
            <v>46006</v>
          </cell>
          <cell r="Q1262">
            <v>5</v>
          </cell>
          <cell r="R1262" t="str">
            <v>NA</v>
          </cell>
          <cell r="S1262">
            <v>5</v>
          </cell>
        </row>
        <row r="1263">
          <cell r="B1263" t="str">
            <v>MNC</v>
          </cell>
          <cell r="C1263" t="str">
            <v>HSLB13504</v>
          </cell>
          <cell r="D1263">
            <v>203012</v>
          </cell>
          <cell r="E1263" t="str">
            <v>Juego Taca - Taca</v>
          </cell>
          <cell r="F1263" t="str">
            <v>NO</v>
          </cell>
          <cell r="G1263" t="str">
            <v>NO</v>
          </cell>
          <cell r="H1263" t="str">
            <v>PATIO CUBIERTO</v>
          </cell>
          <cell r="I1263">
            <v>1</v>
          </cell>
          <cell r="J1263" t="str">
            <v>C.2.5.4.20</v>
          </cell>
          <cell r="K1263" t="str">
            <v>Hospital de día</v>
          </cell>
          <cell r="L1263">
            <v>2</v>
          </cell>
          <cell r="M1263">
            <v>46003</v>
          </cell>
          <cell r="N1263">
            <v>46006</v>
          </cell>
          <cell r="O1263">
            <v>2</v>
          </cell>
          <cell r="P1263">
            <v>46010</v>
          </cell>
          <cell r="Q1263">
            <v>5</v>
          </cell>
          <cell r="R1263" t="str">
            <v>NA</v>
          </cell>
          <cell r="S1263">
            <v>5</v>
          </cell>
        </row>
        <row r="1264">
          <cell r="B1264" t="str">
            <v>MNC</v>
          </cell>
          <cell r="C1264" t="str">
            <v>HSLB13506</v>
          </cell>
          <cell r="D1264">
            <v>203013</v>
          </cell>
          <cell r="E1264" t="str">
            <v>Juego Tenis de Mesa</v>
          </cell>
          <cell r="F1264" t="str">
            <v>NO</v>
          </cell>
          <cell r="G1264" t="str">
            <v>NO</v>
          </cell>
          <cell r="H1264" t="str">
            <v>PATIO CUBIERTO</v>
          </cell>
          <cell r="I1264">
            <v>1</v>
          </cell>
          <cell r="J1264" t="str">
            <v>C.2.5.4.20</v>
          </cell>
          <cell r="K1264" t="str">
            <v>Hospital de día</v>
          </cell>
          <cell r="L1264">
            <v>2</v>
          </cell>
          <cell r="M1264">
            <v>46003</v>
          </cell>
          <cell r="N1264">
            <v>46006</v>
          </cell>
          <cell r="O1264">
            <v>2</v>
          </cell>
          <cell r="P1264">
            <v>46010</v>
          </cell>
          <cell r="Q1264">
            <v>5</v>
          </cell>
          <cell r="R1264" t="str">
            <v>NA</v>
          </cell>
          <cell r="S1264">
            <v>5</v>
          </cell>
        </row>
        <row r="1265">
          <cell r="B1265" t="str">
            <v>MNC</v>
          </cell>
          <cell r="C1265" t="str">
            <v>HSLB13580</v>
          </cell>
          <cell r="D1265">
            <v>203016</v>
          </cell>
          <cell r="E1265" t="str">
            <v>Mueble Tipo Biblioteca</v>
          </cell>
          <cell r="F1265" t="str">
            <v>NO</v>
          </cell>
          <cell r="G1265" t="str">
            <v>NO</v>
          </cell>
          <cell r="H1265" t="str">
            <v>OF. JEFE HOSP.DIA</v>
          </cell>
          <cell r="I1265">
            <v>1</v>
          </cell>
          <cell r="J1265" t="str">
            <v>C.2.5.4.3</v>
          </cell>
          <cell r="K1265" t="str">
            <v>Hospital de día</v>
          </cell>
          <cell r="L1265">
            <v>2</v>
          </cell>
          <cell r="M1265">
            <v>46003</v>
          </cell>
          <cell r="N1265">
            <v>46006</v>
          </cell>
          <cell r="P1265">
            <v>46006</v>
          </cell>
          <cell r="Q1265">
            <v>5</v>
          </cell>
          <cell r="R1265" t="str">
            <v>NA</v>
          </cell>
          <cell r="S1265">
            <v>5</v>
          </cell>
        </row>
        <row r="1266">
          <cell r="B1266" t="str">
            <v>MNC</v>
          </cell>
          <cell r="C1266" t="str">
            <v>HSLB13581</v>
          </cell>
          <cell r="D1266">
            <v>203016</v>
          </cell>
          <cell r="E1266" t="str">
            <v>Mueble Tipo Biblioteca</v>
          </cell>
          <cell r="F1266" t="str">
            <v>NO</v>
          </cell>
          <cell r="G1266" t="str">
            <v>NO</v>
          </cell>
          <cell r="H1266" t="str">
            <v>OF. COORDINADOR HOSP. DÍA</v>
          </cell>
          <cell r="I1266">
            <v>1</v>
          </cell>
          <cell r="J1266" t="str">
            <v>C.2.5.4.4</v>
          </cell>
          <cell r="K1266" t="str">
            <v>Hospital de día</v>
          </cell>
          <cell r="L1266">
            <v>2</v>
          </cell>
          <cell r="M1266">
            <v>46003</v>
          </cell>
          <cell r="N1266">
            <v>46006</v>
          </cell>
          <cell r="P1266">
            <v>46006</v>
          </cell>
          <cell r="Q1266">
            <v>5</v>
          </cell>
          <cell r="R1266" t="str">
            <v>NA</v>
          </cell>
          <cell r="S1266">
            <v>5</v>
          </cell>
        </row>
        <row r="1267">
          <cell r="B1267" t="str">
            <v>MNC</v>
          </cell>
          <cell r="C1267" t="str">
            <v>HSLB13582</v>
          </cell>
          <cell r="D1267">
            <v>203016</v>
          </cell>
          <cell r="E1267" t="str">
            <v>Mueble Tipo Biblioteca</v>
          </cell>
          <cell r="F1267" t="str">
            <v>NO</v>
          </cell>
          <cell r="G1267" t="str">
            <v>NO</v>
          </cell>
          <cell r="H1267" t="str">
            <v>MOD. DE TRABAJO (MONITORES)</v>
          </cell>
          <cell r="I1267">
            <v>4</v>
          </cell>
          <cell r="J1267" t="str">
            <v>C.2.5.4.5</v>
          </cell>
          <cell r="K1267" t="str">
            <v>Hospital de día</v>
          </cell>
          <cell r="L1267">
            <v>2</v>
          </cell>
          <cell r="M1267">
            <v>46003</v>
          </cell>
          <cell r="N1267">
            <v>46006</v>
          </cell>
          <cell r="P1267">
            <v>46006</v>
          </cell>
          <cell r="Q1267">
            <v>5</v>
          </cell>
          <cell r="R1267" t="str">
            <v>NA</v>
          </cell>
          <cell r="S1267">
            <v>5</v>
          </cell>
        </row>
        <row r="1268">
          <cell r="B1268" t="str">
            <v>MNC</v>
          </cell>
          <cell r="C1268" t="str">
            <v>HSLB13585</v>
          </cell>
          <cell r="D1268">
            <v>203016</v>
          </cell>
          <cell r="E1268" t="str">
            <v>Mueble Tipo Biblioteca</v>
          </cell>
          <cell r="F1268" t="str">
            <v>NO</v>
          </cell>
          <cell r="G1268" t="str">
            <v>NO</v>
          </cell>
          <cell r="H1268" t="str">
            <v>OF. JEFE H. DOMICILIARIA</v>
          </cell>
          <cell r="I1268">
            <v>1</v>
          </cell>
          <cell r="J1268" t="str">
            <v>C.3.3.4</v>
          </cell>
          <cell r="K1268" t="str">
            <v>Laboratorio UMT</v>
          </cell>
          <cell r="L1268">
            <v>2</v>
          </cell>
          <cell r="M1268">
            <v>46024</v>
          </cell>
          <cell r="N1268">
            <v>46027</v>
          </cell>
          <cell r="O1268">
            <v>2</v>
          </cell>
          <cell r="P1268">
            <v>46029</v>
          </cell>
          <cell r="Q1268">
            <v>5</v>
          </cell>
          <cell r="R1268" t="str">
            <v>NA</v>
          </cell>
          <cell r="S1268">
            <v>5</v>
          </cell>
        </row>
        <row r="1269">
          <cell r="B1269" t="str">
            <v>MNC</v>
          </cell>
          <cell r="C1269" t="str">
            <v>HSLB13586</v>
          </cell>
          <cell r="D1269">
            <v>203016</v>
          </cell>
          <cell r="E1269" t="str">
            <v>Mueble Tipo Biblioteca</v>
          </cell>
          <cell r="F1269" t="str">
            <v>NO</v>
          </cell>
          <cell r="G1269" t="str">
            <v>NO</v>
          </cell>
          <cell r="H1269" t="str">
            <v>MÓDULO DE TRABAJO</v>
          </cell>
          <cell r="I1269">
            <v>6</v>
          </cell>
          <cell r="J1269" t="str">
            <v>C.3.3.5</v>
          </cell>
          <cell r="K1269" t="str">
            <v>Laboratorio UMT</v>
          </cell>
          <cell r="L1269">
            <v>2</v>
          </cell>
          <cell r="M1269">
            <v>46024</v>
          </cell>
          <cell r="N1269">
            <v>46027</v>
          </cell>
          <cell r="O1269">
            <v>2</v>
          </cell>
          <cell r="P1269">
            <v>46029</v>
          </cell>
          <cell r="Q1269">
            <v>5</v>
          </cell>
          <cell r="R1269" t="str">
            <v>NA</v>
          </cell>
          <cell r="S1269">
            <v>5</v>
          </cell>
        </row>
        <row r="1270">
          <cell r="B1270" t="str">
            <v>MNC</v>
          </cell>
          <cell r="C1270" t="str">
            <v>HSLB13587</v>
          </cell>
          <cell r="D1270">
            <v>203016</v>
          </cell>
          <cell r="E1270" t="str">
            <v>Mueble Tipo Biblioteca</v>
          </cell>
          <cell r="F1270" t="str">
            <v>NO</v>
          </cell>
          <cell r="G1270" t="str">
            <v>NO</v>
          </cell>
          <cell r="H1270" t="str">
            <v>OFICINA ASISTENTE SOCIAL</v>
          </cell>
          <cell r="I1270">
            <v>1</v>
          </cell>
          <cell r="J1270" t="str">
            <v>C.3.3.6</v>
          </cell>
          <cell r="K1270" t="str">
            <v>Laboratorio UMT</v>
          </cell>
          <cell r="L1270">
            <v>2</v>
          </cell>
          <cell r="M1270">
            <v>46024</v>
          </cell>
          <cell r="N1270">
            <v>46027</v>
          </cell>
          <cell r="O1270">
            <v>2</v>
          </cell>
          <cell r="P1270">
            <v>46029</v>
          </cell>
          <cell r="Q1270">
            <v>5</v>
          </cell>
          <cell r="R1270" t="str">
            <v>NA</v>
          </cell>
          <cell r="S1270">
            <v>5</v>
          </cell>
        </row>
        <row r="1271">
          <cell r="B1271" t="str">
            <v>MNC</v>
          </cell>
          <cell r="C1271" t="str">
            <v>HSLB14144</v>
          </cell>
          <cell r="D1271">
            <v>203021</v>
          </cell>
          <cell r="E1271" t="str">
            <v>Velador</v>
          </cell>
          <cell r="F1271" t="str">
            <v>NO</v>
          </cell>
          <cell r="G1271" t="str">
            <v>NO</v>
          </cell>
          <cell r="H1271" t="str">
            <v>RESIDENCIA MÉDICA C/BAÑO</v>
          </cell>
          <cell r="I1271">
            <v>1</v>
          </cell>
          <cell r="J1271" t="str">
            <v>C.3.8.3.1</v>
          </cell>
          <cell r="K1271" t="str">
            <v>Laboratorio</v>
          </cell>
          <cell r="L1271">
            <v>2</v>
          </cell>
          <cell r="M1271">
            <v>46024</v>
          </cell>
          <cell r="N1271">
            <v>46027</v>
          </cell>
          <cell r="O1271">
            <v>1</v>
          </cell>
          <cell r="P1271">
            <v>46028</v>
          </cell>
          <cell r="Q1271">
            <v>5</v>
          </cell>
          <cell r="R1271" t="str">
            <v>NA</v>
          </cell>
          <cell r="S1271">
            <v>5</v>
          </cell>
        </row>
        <row r="1272">
          <cell r="B1272" t="str">
            <v>MNC</v>
          </cell>
          <cell r="C1272" t="str">
            <v>HSLB14125</v>
          </cell>
          <cell r="D1272">
            <v>203019</v>
          </cell>
          <cell r="E1272" t="str">
            <v>Pizarra Acrílica</v>
          </cell>
          <cell r="F1272" t="str">
            <v>NO</v>
          </cell>
          <cell r="G1272" t="str">
            <v>NO</v>
          </cell>
          <cell r="H1272" t="str">
            <v>SALA DE ESPERA SECUNDARIA Y REUNIONES</v>
          </cell>
          <cell r="I1272">
            <v>1</v>
          </cell>
          <cell r="J1272" t="str">
            <v>C.5.2.10</v>
          </cell>
          <cell r="K1272" t="str">
            <v>Laboratorio</v>
          </cell>
          <cell r="L1272">
            <v>2</v>
          </cell>
          <cell r="M1272">
            <v>46024</v>
          </cell>
          <cell r="N1272">
            <v>46027</v>
          </cell>
          <cell r="O1272">
            <v>2</v>
          </cell>
          <cell r="P1272">
            <v>46029</v>
          </cell>
          <cell r="Q1272">
            <v>5</v>
          </cell>
          <cell r="R1272" t="str">
            <v>NA</v>
          </cell>
          <cell r="S1272">
            <v>5</v>
          </cell>
        </row>
        <row r="1273">
          <cell r="B1273" t="str">
            <v>MNC</v>
          </cell>
          <cell r="C1273" t="str">
            <v>HSLB13610</v>
          </cell>
          <cell r="D1273">
            <v>203016</v>
          </cell>
          <cell r="E1273" t="str">
            <v>Mueble Tipo Biblioteca</v>
          </cell>
          <cell r="F1273" t="str">
            <v>NO</v>
          </cell>
          <cell r="G1273" t="str">
            <v>NO</v>
          </cell>
          <cell r="H1273" t="str">
            <v>OFICINA SECRETARÍA</v>
          </cell>
          <cell r="I1273">
            <v>1</v>
          </cell>
          <cell r="J1273" t="str">
            <v>C.5.2.11</v>
          </cell>
          <cell r="K1273" t="str">
            <v>Laboratorio</v>
          </cell>
          <cell r="L1273">
            <v>2</v>
          </cell>
          <cell r="M1273">
            <v>46024</v>
          </cell>
          <cell r="N1273">
            <v>46027</v>
          </cell>
          <cell r="O1273">
            <v>2</v>
          </cell>
          <cell r="P1273">
            <v>46029</v>
          </cell>
          <cell r="Q1273">
            <v>5</v>
          </cell>
          <cell r="R1273" t="str">
            <v>NA</v>
          </cell>
          <cell r="S1273">
            <v>5</v>
          </cell>
        </row>
        <row r="1274">
          <cell r="B1274" t="str">
            <v>MNC</v>
          </cell>
          <cell r="C1274" t="str">
            <v>HSLB13611</v>
          </cell>
          <cell r="D1274">
            <v>203016</v>
          </cell>
          <cell r="E1274" t="str">
            <v>Mueble Tipo Biblioteca</v>
          </cell>
          <cell r="F1274" t="str">
            <v>NO</v>
          </cell>
          <cell r="G1274" t="str">
            <v>NO</v>
          </cell>
          <cell r="H1274" t="str">
            <v>OFICINA JEFE LABORATORIO</v>
          </cell>
          <cell r="I1274">
            <v>1</v>
          </cell>
          <cell r="J1274" t="str">
            <v>C.5.2.12</v>
          </cell>
          <cell r="K1274" t="str">
            <v>Laboratorio</v>
          </cell>
          <cell r="L1274">
            <v>2</v>
          </cell>
          <cell r="M1274">
            <v>46024</v>
          </cell>
          <cell r="N1274">
            <v>46027</v>
          </cell>
          <cell r="O1274">
            <v>2</v>
          </cell>
          <cell r="P1274">
            <v>46029</v>
          </cell>
          <cell r="Q1274">
            <v>5</v>
          </cell>
          <cell r="R1274" t="str">
            <v>NA</v>
          </cell>
          <cell r="S1274">
            <v>5</v>
          </cell>
        </row>
        <row r="1275">
          <cell r="B1275" t="str">
            <v>MNC</v>
          </cell>
          <cell r="C1275" t="str">
            <v>HSLB13612</v>
          </cell>
          <cell r="D1275">
            <v>203016</v>
          </cell>
          <cell r="E1275" t="str">
            <v>Mueble Tipo Biblioteca</v>
          </cell>
          <cell r="F1275" t="str">
            <v>NO</v>
          </cell>
          <cell r="G1275" t="str">
            <v>NO</v>
          </cell>
          <cell r="H1275" t="str">
            <v>MÓDULO DE TRABAJO TECNÓLOGO MÉDICO</v>
          </cell>
          <cell r="I1275">
            <v>2</v>
          </cell>
          <cell r="J1275" t="str">
            <v>C.5.2.13</v>
          </cell>
          <cell r="K1275" t="str">
            <v>Laboratorio</v>
          </cell>
          <cell r="L1275">
            <v>2</v>
          </cell>
          <cell r="M1275">
            <v>46024</v>
          </cell>
          <cell r="N1275">
            <v>46027</v>
          </cell>
          <cell r="O1275">
            <v>2</v>
          </cell>
          <cell r="P1275">
            <v>46029</v>
          </cell>
          <cell r="Q1275">
            <v>5</v>
          </cell>
          <cell r="R1275" t="str">
            <v>NA</v>
          </cell>
          <cell r="S1275">
            <v>5</v>
          </cell>
        </row>
        <row r="1276">
          <cell r="B1276" t="str">
            <v>MNC</v>
          </cell>
          <cell r="C1276" t="str">
            <v>HSLB13613</v>
          </cell>
          <cell r="D1276">
            <v>203016</v>
          </cell>
          <cell r="E1276" t="str">
            <v>Mueble Tipo Biblioteca</v>
          </cell>
          <cell r="F1276" t="str">
            <v>NO</v>
          </cell>
          <cell r="G1276" t="str">
            <v>NO</v>
          </cell>
          <cell r="H1276" t="str">
            <v>SALA DE ENTREVISTAS</v>
          </cell>
          <cell r="I1276">
            <v>1</v>
          </cell>
          <cell r="J1276" t="str">
            <v>C.5.2.2</v>
          </cell>
          <cell r="K1276" t="str">
            <v>Laboratorio</v>
          </cell>
          <cell r="L1276">
            <v>2</v>
          </cell>
          <cell r="M1276">
            <v>46024</v>
          </cell>
          <cell r="N1276">
            <v>46027</v>
          </cell>
          <cell r="O1276">
            <v>2</v>
          </cell>
          <cell r="P1276">
            <v>46029</v>
          </cell>
          <cell r="Q1276">
            <v>5</v>
          </cell>
          <cell r="R1276" t="str">
            <v>NA</v>
          </cell>
          <cell r="S1276">
            <v>5</v>
          </cell>
        </row>
        <row r="1277">
          <cell r="B1277" t="str">
            <v>MNC</v>
          </cell>
          <cell r="C1277" t="str">
            <v>HSLB13614</v>
          </cell>
          <cell r="D1277">
            <v>203016</v>
          </cell>
          <cell r="E1277" t="str">
            <v>Mueble Tipo Biblioteca</v>
          </cell>
          <cell r="F1277" t="str">
            <v>NO</v>
          </cell>
          <cell r="G1277" t="str">
            <v>NO</v>
          </cell>
          <cell r="H1277" t="str">
            <v>SECRETARÍA C/ARCHIVO Y FOTOCOPIADORA</v>
          </cell>
          <cell r="I1277">
            <v>1</v>
          </cell>
          <cell r="J1277" t="str">
            <v>C.5.2.29</v>
          </cell>
          <cell r="K1277" t="str">
            <v>Laboratorio</v>
          </cell>
          <cell r="L1277">
            <v>2</v>
          </cell>
          <cell r="M1277">
            <v>46024</v>
          </cell>
          <cell r="N1277">
            <v>46027</v>
          </cell>
          <cell r="O1277">
            <v>2</v>
          </cell>
          <cell r="P1277">
            <v>46029</v>
          </cell>
          <cell r="Q1277">
            <v>5</v>
          </cell>
          <cell r="R1277" t="str">
            <v>NA</v>
          </cell>
          <cell r="S1277">
            <v>5</v>
          </cell>
        </row>
        <row r="1278">
          <cell r="B1278" t="str">
            <v>MNC</v>
          </cell>
          <cell r="C1278" t="str">
            <v>HSLB13615</v>
          </cell>
          <cell r="D1278">
            <v>203016</v>
          </cell>
          <cell r="E1278" t="str">
            <v>Mueble Tipo Biblioteca</v>
          </cell>
          <cell r="F1278" t="str">
            <v>NO</v>
          </cell>
          <cell r="G1278" t="str">
            <v>NO</v>
          </cell>
          <cell r="H1278" t="str">
            <v>OFICINA TECNÓLOGO</v>
          </cell>
          <cell r="I1278">
            <v>1</v>
          </cell>
          <cell r="J1278" t="str">
            <v>C.5.2.33.1</v>
          </cell>
          <cell r="K1278" t="str">
            <v>Laboratorio</v>
          </cell>
          <cell r="L1278">
            <v>2</v>
          </cell>
          <cell r="M1278">
            <v>46024</v>
          </cell>
          <cell r="N1278">
            <v>46027</v>
          </cell>
          <cell r="O1278">
            <v>2</v>
          </cell>
          <cell r="P1278">
            <v>46029</v>
          </cell>
          <cell r="Q1278">
            <v>5</v>
          </cell>
          <cell r="R1278" t="str">
            <v>NA</v>
          </cell>
          <cell r="S1278">
            <v>5</v>
          </cell>
        </row>
        <row r="1279">
          <cell r="B1279" t="str">
            <v>MNC</v>
          </cell>
          <cell r="C1279" t="str">
            <v>HSLB13621</v>
          </cell>
          <cell r="D1279">
            <v>203016</v>
          </cell>
          <cell r="E1279" t="str">
            <v>Mueble Tipo Biblioteca</v>
          </cell>
          <cell r="F1279" t="str">
            <v>NO</v>
          </cell>
          <cell r="G1279" t="str">
            <v>NO</v>
          </cell>
          <cell r="H1279" t="str">
            <v>OFICINA JEFE (incl. bodega de estupefacientes)</v>
          </cell>
          <cell r="I1279">
            <v>1</v>
          </cell>
          <cell r="J1279" t="str">
            <v>C.5.4.16</v>
          </cell>
          <cell r="K1279" t="str">
            <v>Farmacia</v>
          </cell>
          <cell r="L1279">
            <v>2</v>
          </cell>
          <cell r="M1279">
            <v>46039</v>
          </cell>
          <cell r="N1279">
            <v>46041</v>
          </cell>
          <cell r="P1279">
            <v>46041</v>
          </cell>
          <cell r="Q1279">
            <v>5</v>
          </cell>
          <cell r="R1279" t="str">
            <v>NA</v>
          </cell>
          <cell r="S1279">
            <v>5</v>
          </cell>
        </row>
        <row r="1280">
          <cell r="B1280" t="str">
            <v>MNC</v>
          </cell>
          <cell r="C1280" t="str">
            <v>HSLB13637</v>
          </cell>
          <cell r="D1280">
            <v>203016</v>
          </cell>
          <cell r="E1280" t="str">
            <v>Mueble Tipo Biblioteca</v>
          </cell>
          <cell r="F1280" t="str">
            <v>NO</v>
          </cell>
          <cell r="G1280" t="str">
            <v>NO</v>
          </cell>
          <cell r="H1280" t="str">
            <v>OFICINA JEFE NUTRICIONISTA</v>
          </cell>
          <cell r="I1280">
            <v>1</v>
          </cell>
          <cell r="J1280" t="str">
            <v>C.5.8.1.1.1</v>
          </cell>
          <cell r="K1280" t="str">
            <v xml:space="preserve">Central de Alimentación </v>
          </cell>
          <cell r="L1280">
            <v>2</v>
          </cell>
          <cell r="M1280">
            <v>46003</v>
          </cell>
          <cell r="N1280">
            <v>46003</v>
          </cell>
          <cell r="P1280">
            <v>46003</v>
          </cell>
          <cell r="Q1280">
            <v>5</v>
          </cell>
          <cell r="R1280" t="str">
            <v>NA</v>
          </cell>
          <cell r="S1280">
            <v>5</v>
          </cell>
        </row>
        <row r="1281">
          <cell r="B1281" t="str">
            <v>MNC</v>
          </cell>
          <cell r="C1281" t="str">
            <v>HSLB13638</v>
          </cell>
          <cell r="D1281">
            <v>203016</v>
          </cell>
          <cell r="E1281" t="str">
            <v>Mueble Tipo Biblioteca</v>
          </cell>
          <cell r="F1281" t="str">
            <v>NO</v>
          </cell>
          <cell r="G1281" t="str">
            <v>NO</v>
          </cell>
          <cell r="H1281" t="str">
            <v>MÓDULO DE TRABAJO (INFORMES)</v>
          </cell>
          <cell r="I1281">
            <v>4</v>
          </cell>
          <cell r="J1281" t="str">
            <v>C.5.8.1.1.2</v>
          </cell>
          <cell r="K1281" t="str">
            <v xml:space="preserve">Central de Alimentación </v>
          </cell>
          <cell r="L1281">
            <v>2</v>
          </cell>
          <cell r="M1281">
            <v>46003</v>
          </cell>
          <cell r="N1281">
            <v>46003</v>
          </cell>
          <cell r="P1281">
            <v>46003</v>
          </cell>
          <cell r="Q1281">
            <v>5</v>
          </cell>
          <cell r="R1281" t="str">
            <v>NA</v>
          </cell>
          <cell r="S1281">
            <v>5</v>
          </cell>
        </row>
        <row r="1282">
          <cell r="B1282" t="str">
            <v>MNC</v>
          </cell>
          <cell r="C1282" t="str">
            <v>HSLB13639</v>
          </cell>
          <cell r="D1282">
            <v>203016</v>
          </cell>
          <cell r="E1282" t="str">
            <v>Mueble Tipo Biblioteca</v>
          </cell>
          <cell r="F1282" t="str">
            <v>NO</v>
          </cell>
          <cell r="G1282" t="str">
            <v>NO</v>
          </cell>
          <cell r="H1282" t="str">
            <v>SECRETARIA C/ARCH. Y FOTO</v>
          </cell>
          <cell r="I1282">
            <v>1</v>
          </cell>
          <cell r="J1282" t="str">
            <v>C.5.8.1.1.5</v>
          </cell>
          <cell r="K1282" t="str">
            <v xml:space="preserve">Central de Alimentación </v>
          </cell>
          <cell r="L1282">
            <v>2</v>
          </cell>
          <cell r="M1282">
            <v>46003</v>
          </cell>
          <cell r="N1282">
            <v>46003</v>
          </cell>
          <cell r="P1282">
            <v>46003</v>
          </cell>
          <cell r="Q1282">
            <v>5</v>
          </cell>
          <cell r="R1282" t="str">
            <v>NA</v>
          </cell>
          <cell r="S1282">
            <v>5</v>
          </cell>
        </row>
        <row r="1283">
          <cell r="B1283" t="str">
            <v>MNC</v>
          </cell>
          <cell r="C1283" t="str">
            <v>HSLB13641</v>
          </cell>
          <cell r="D1283">
            <v>203016</v>
          </cell>
          <cell r="E1283" t="str">
            <v>Mueble Tipo Biblioteca</v>
          </cell>
          <cell r="F1283" t="str">
            <v>NO</v>
          </cell>
          <cell r="G1283" t="str">
            <v>NO</v>
          </cell>
          <cell r="H1283" t="str">
            <v>JEFE CENTRAL DE ALIMENTACIÓN</v>
          </cell>
          <cell r="I1283">
            <v>1</v>
          </cell>
          <cell r="J1283" t="str">
            <v>C.5.8.2.1</v>
          </cell>
          <cell r="K1283" t="str">
            <v xml:space="preserve">Central de Alimentación </v>
          </cell>
          <cell r="L1283">
            <v>2</v>
          </cell>
          <cell r="M1283">
            <v>46003</v>
          </cell>
          <cell r="N1283">
            <v>46003</v>
          </cell>
          <cell r="P1283">
            <v>46003</v>
          </cell>
          <cell r="Q1283">
            <v>5</v>
          </cell>
          <cell r="R1283" t="str">
            <v>NA</v>
          </cell>
          <cell r="S1283">
            <v>5</v>
          </cell>
        </row>
        <row r="1284">
          <cell r="B1284" t="str">
            <v>MNC</v>
          </cell>
          <cell r="C1284" t="str">
            <v>HSLB13460</v>
          </cell>
          <cell r="D1284">
            <v>202007</v>
          </cell>
          <cell r="E1284" t="str">
            <v>Carro de Carga</v>
          </cell>
          <cell r="F1284" t="str">
            <v>NO</v>
          </cell>
          <cell r="G1284" t="str">
            <v>NO</v>
          </cell>
          <cell r="H1284" t="str">
            <v>PESAJE, REGISTRO E INSPECCIÓN</v>
          </cell>
          <cell r="I1284">
            <v>1</v>
          </cell>
          <cell r="J1284" t="str">
            <v>C.5.8.2.10</v>
          </cell>
          <cell r="K1284" t="str">
            <v xml:space="preserve">Central de Alimentación </v>
          </cell>
          <cell r="L1284">
            <v>2</v>
          </cell>
          <cell r="M1284">
            <v>46003</v>
          </cell>
          <cell r="N1284">
            <v>46006</v>
          </cell>
          <cell r="O1284">
            <v>1</v>
          </cell>
          <cell r="P1284">
            <v>46007</v>
          </cell>
          <cell r="Q1284">
            <v>5</v>
          </cell>
          <cell r="R1284" t="str">
            <v>NA</v>
          </cell>
          <cell r="S1284">
            <v>5</v>
          </cell>
        </row>
        <row r="1285">
          <cell r="B1285" t="str">
            <v>MNC</v>
          </cell>
          <cell r="C1285" t="str">
            <v>HSLB13484</v>
          </cell>
          <cell r="D1285">
            <v>203003</v>
          </cell>
          <cell r="E1285" t="str">
            <v>Carro de Transporte</v>
          </cell>
          <cell r="F1285" t="str">
            <v>NO</v>
          </cell>
          <cell r="G1285" t="str">
            <v>NO</v>
          </cell>
          <cell r="H1285" t="str">
            <v>PESAJE, REGISTRO E INSPECCIÓN</v>
          </cell>
          <cell r="I1285">
            <v>2</v>
          </cell>
          <cell r="J1285" t="str">
            <v>C.5.8.2.10</v>
          </cell>
          <cell r="K1285" t="str">
            <v xml:space="preserve">Central de Alimentación </v>
          </cell>
          <cell r="L1285">
            <v>2</v>
          </cell>
          <cell r="M1285">
            <v>46003</v>
          </cell>
          <cell r="N1285">
            <v>46006</v>
          </cell>
          <cell r="O1285">
            <v>1</v>
          </cell>
          <cell r="P1285">
            <v>46007</v>
          </cell>
          <cell r="Q1285">
            <v>5</v>
          </cell>
          <cell r="R1285" t="str">
            <v>NA</v>
          </cell>
          <cell r="S1285">
            <v>5</v>
          </cell>
        </row>
        <row r="1286">
          <cell r="B1286" t="str">
            <v>MNC</v>
          </cell>
          <cell r="C1286" t="str">
            <v>HSLB13469</v>
          </cell>
          <cell r="D1286">
            <v>202010</v>
          </cell>
          <cell r="E1286" t="str">
            <v>Escalera Tijera</v>
          </cell>
          <cell r="F1286" t="str">
            <v>NO</v>
          </cell>
          <cell r="G1286" t="str">
            <v>SI</v>
          </cell>
          <cell r="H1286" t="str">
            <v>BODEGA DIARIA ALIMENTOS NO PERECIBLES (ABARROTES)</v>
          </cell>
          <cell r="I1286">
            <v>1</v>
          </cell>
          <cell r="J1286" t="str">
            <v>C.5.8.2.14</v>
          </cell>
          <cell r="K1286" t="str">
            <v xml:space="preserve">Central de Alimentación </v>
          </cell>
          <cell r="L1286">
            <v>2</v>
          </cell>
          <cell r="M1286">
            <v>46003</v>
          </cell>
          <cell r="N1286">
            <v>46006</v>
          </cell>
          <cell r="O1286">
            <v>1</v>
          </cell>
          <cell r="P1286">
            <v>46007</v>
          </cell>
          <cell r="Q1286">
            <v>5</v>
          </cell>
          <cell r="R1286" t="str">
            <v>NA</v>
          </cell>
          <cell r="S1286">
            <v>5</v>
          </cell>
        </row>
        <row r="1287">
          <cell r="B1287" t="str">
            <v>MNC</v>
          </cell>
          <cell r="C1287" t="str">
            <v>HSLB13485</v>
          </cell>
          <cell r="D1287">
            <v>203003</v>
          </cell>
          <cell r="E1287" t="str">
            <v>Carro de Transporte</v>
          </cell>
          <cell r="F1287" t="str">
            <v>NO</v>
          </cell>
          <cell r="G1287" t="str">
            <v>SI</v>
          </cell>
          <cell r="H1287" t="str">
            <v>BODEGA DIARIA ALIMENTOS NO PERECIBLES (ABARROTES)</v>
          </cell>
          <cell r="I1287">
            <v>1</v>
          </cell>
          <cell r="J1287" t="str">
            <v>C.5.8.2.14</v>
          </cell>
          <cell r="K1287" t="str">
            <v xml:space="preserve">Central de Alimentación </v>
          </cell>
          <cell r="L1287">
            <v>2</v>
          </cell>
          <cell r="M1287">
            <v>46003</v>
          </cell>
          <cell r="N1287">
            <v>46006</v>
          </cell>
          <cell r="O1287">
            <v>1</v>
          </cell>
          <cell r="P1287">
            <v>46007</v>
          </cell>
          <cell r="Q1287">
            <v>5</v>
          </cell>
          <cell r="R1287" t="str">
            <v>NA</v>
          </cell>
          <cell r="S1287">
            <v>5</v>
          </cell>
        </row>
        <row r="1288">
          <cell r="B1288" t="str">
            <v>MNC</v>
          </cell>
          <cell r="C1288" t="str">
            <v>HSLB13486</v>
          </cell>
          <cell r="D1288">
            <v>203003</v>
          </cell>
          <cell r="E1288" t="str">
            <v>Carro de Transporte</v>
          </cell>
          <cell r="F1288" t="str">
            <v>NO</v>
          </cell>
          <cell r="G1288" t="str">
            <v>NO</v>
          </cell>
          <cell r="H1288" t="str">
            <v>ÁREA DE LAVADO</v>
          </cell>
          <cell r="I1288">
            <v>1</v>
          </cell>
          <cell r="J1288" t="str">
            <v>C.5.8.2.19</v>
          </cell>
          <cell r="K1288" t="str">
            <v xml:space="preserve">Central de Alimentación </v>
          </cell>
          <cell r="L1288">
            <v>2</v>
          </cell>
          <cell r="M1288">
            <v>46003</v>
          </cell>
          <cell r="N1288">
            <v>46006</v>
          </cell>
          <cell r="O1288">
            <v>1</v>
          </cell>
          <cell r="P1288">
            <v>46007</v>
          </cell>
          <cell r="Q1288">
            <v>5</v>
          </cell>
          <cell r="R1288" t="str">
            <v>NA</v>
          </cell>
          <cell r="S1288">
            <v>5</v>
          </cell>
        </row>
        <row r="1289">
          <cell r="B1289" t="str">
            <v>MNC</v>
          </cell>
          <cell r="C1289" t="str">
            <v>HSLB13642</v>
          </cell>
          <cell r="D1289">
            <v>203016</v>
          </cell>
          <cell r="E1289" t="str">
            <v>Mueble Tipo Biblioteca</v>
          </cell>
          <cell r="F1289" t="str">
            <v>NO</v>
          </cell>
          <cell r="G1289" t="str">
            <v>NO</v>
          </cell>
          <cell r="H1289" t="str">
            <v>SECRETARIA C/ARCH. Y FOTO</v>
          </cell>
          <cell r="I1289">
            <v>1</v>
          </cell>
          <cell r="J1289" t="str">
            <v>C.5.8.2.2</v>
          </cell>
          <cell r="K1289" t="str">
            <v xml:space="preserve">Central de Alimentación </v>
          </cell>
          <cell r="L1289">
            <v>2</v>
          </cell>
          <cell r="M1289">
            <v>46003</v>
          </cell>
          <cell r="N1289">
            <v>46003</v>
          </cell>
          <cell r="P1289">
            <v>46003</v>
          </cell>
          <cell r="Q1289">
            <v>5</v>
          </cell>
          <cell r="R1289" t="str">
            <v>NA</v>
          </cell>
          <cell r="S1289">
            <v>5</v>
          </cell>
        </row>
        <row r="1290">
          <cell r="B1290" t="str">
            <v>MNC</v>
          </cell>
          <cell r="C1290" t="str">
            <v>HSLB13487</v>
          </cell>
          <cell r="D1290">
            <v>203003</v>
          </cell>
          <cell r="E1290" t="str">
            <v>Carro de Transporte</v>
          </cell>
          <cell r="F1290" t="str">
            <v>NO</v>
          </cell>
          <cell r="G1290" t="str">
            <v>NO</v>
          </cell>
          <cell r="H1290" t="str">
            <v>PREPARACIÓN FRUTAS Y VERDURAS</v>
          </cell>
          <cell r="I1290">
            <v>1</v>
          </cell>
          <cell r="J1290" t="str">
            <v>C.5.8.2.20</v>
          </cell>
          <cell r="K1290" t="str">
            <v xml:space="preserve">Central de Alimentación </v>
          </cell>
          <cell r="L1290">
            <v>2</v>
          </cell>
          <cell r="M1290">
            <v>46003</v>
          </cell>
          <cell r="N1290">
            <v>46003</v>
          </cell>
          <cell r="P1290">
            <v>46003</v>
          </cell>
          <cell r="Q1290">
            <v>5</v>
          </cell>
          <cell r="R1290" t="str">
            <v>NA</v>
          </cell>
          <cell r="S1290">
            <v>5</v>
          </cell>
        </row>
        <row r="1291">
          <cell r="B1291" t="str">
            <v>MNC</v>
          </cell>
          <cell r="C1291" t="str">
            <v>HSLB13488</v>
          </cell>
          <cell r="D1291">
            <v>203003</v>
          </cell>
          <cell r="E1291" t="str">
            <v>Carro de Transporte</v>
          </cell>
          <cell r="F1291" t="str">
            <v>NO</v>
          </cell>
          <cell r="G1291" t="str">
            <v>NO</v>
          </cell>
          <cell r="H1291" t="str">
            <v>PREPARACIÓN TUBÉRCULOS Y PAPAS</v>
          </cell>
          <cell r="I1291">
            <v>1</v>
          </cell>
          <cell r="J1291" t="str">
            <v>C.5.8.2.21</v>
          </cell>
          <cell r="K1291" t="str">
            <v xml:space="preserve">Central de Alimentación </v>
          </cell>
          <cell r="L1291">
            <v>2</v>
          </cell>
          <cell r="M1291">
            <v>46003</v>
          </cell>
          <cell r="N1291">
            <v>46003</v>
          </cell>
          <cell r="P1291">
            <v>46003</v>
          </cell>
          <cell r="Q1291">
            <v>5</v>
          </cell>
          <cell r="R1291" t="str">
            <v>NA</v>
          </cell>
          <cell r="S1291">
            <v>5</v>
          </cell>
        </row>
        <row r="1292">
          <cell r="B1292" t="str">
            <v>MNC</v>
          </cell>
          <cell r="C1292" t="str">
            <v>HSLB13489</v>
          </cell>
          <cell r="D1292">
            <v>203003</v>
          </cell>
          <cell r="E1292" t="str">
            <v>Carro de Transporte</v>
          </cell>
          <cell r="F1292" t="str">
            <v>NO</v>
          </cell>
          <cell r="G1292" t="str">
            <v>NO</v>
          </cell>
          <cell r="H1292" t="str">
            <v>PREPARACIÓN DE CARNES Y PESCADOS</v>
          </cell>
          <cell r="I1292">
            <v>1</v>
          </cell>
          <cell r="J1292" t="str">
            <v>C.5.8.2.22</v>
          </cell>
          <cell r="K1292" t="str">
            <v xml:space="preserve">Central de Alimentación </v>
          </cell>
          <cell r="L1292">
            <v>2</v>
          </cell>
          <cell r="M1292">
            <v>46003</v>
          </cell>
          <cell r="N1292">
            <v>46003</v>
          </cell>
          <cell r="P1292">
            <v>46003</v>
          </cell>
          <cell r="Q1292">
            <v>5</v>
          </cell>
          <cell r="R1292" t="str">
            <v>NA</v>
          </cell>
          <cell r="S1292">
            <v>5</v>
          </cell>
        </row>
        <row r="1293">
          <cell r="B1293" t="str">
            <v>MNC</v>
          </cell>
          <cell r="C1293" t="str">
            <v>HSLB13643</v>
          </cell>
          <cell r="D1293">
            <v>203016</v>
          </cell>
          <cell r="E1293" t="str">
            <v>Mueble Tipo Biblioteca</v>
          </cell>
          <cell r="F1293" t="str">
            <v>NO</v>
          </cell>
          <cell r="G1293" t="str">
            <v>NO</v>
          </cell>
          <cell r="H1293" t="str">
            <v>OFICINA SUPERVISORA</v>
          </cell>
          <cell r="I1293">
            <v>1</v>
          </cell>
          <cell r="J1293" t="str">
            <v>C.5.8.2.24</v>
          </cell>
          <cell r="K1293" t="str">
            <v xml:space="preserve">Central de Alimentación </v>
          </cell>
          <cell r="L1293">
            <v>2</v>
          </cell>
          <cell r="M1293">
            <v>46003</v>
          </cell>
          <cell r="N1293">
            <v>46003</v>
          </cell>
          <cell r="P1293">
            <v>46003</v>
          </cell>
          <cell r="Q1293">
            <v>5</v>
          </cell>
          <cell r="R1293" t="str">
            <v>NA</v>
          </cell>
          <cell r="S1293">
            <v>5</v>
          </cell>
        </row>
        <row r="1294">
          <cell r="B1294" t="str">
            <v>MNC</v>
          </cell>
          <cell r="C1294" t="str">
            <v>HSLB13490</v>
          </cell>
          <cell r="D1294">
            <v>203003</v>
          </cell>
          <cell r="E1294" t="str">
            <v>Carro de Transporte</v>
          </cell>
          <cell r="F1294" t="str">
            <v>NO</v>
          </cell>
          <cell r="G1294" t="str">
            <v>NO</v>
          </cell>
          <cell r="H1294" t="str">
            <v>ÁREA ARMADO DESAYUNOS, POSTRES Y COLACIONES</v>
          </cell>
          <cell r="I1294">
            <v>1</v>
          </cell>
          <cell r="J1294" t="str">
            <v>C.5.8.2.31</v>
          </cell>
          <cell r="K1294" t="str">
            <v xml:space="preserve">Central de Alimentación </v>
          </cell>
          <cell r="L1294">
            <v>2</v>
          </cell>
          <cell r="M1294">
            <v>46003</v>
          </cell>
          <cell r="N1294">
            <v>46006</v>
          </cell>
          <cell r="O1294">
            <v>1</v>
          </cell>
          <cell r="P1294">
            <v>46007</v>
          </cell>
          <cell r="Q1294">
            <v>5</v>
          </cell>
          <cell r="R1294" t="str">
            <v>NA</v>
          </cell>
          <cell r="S1294">
            <v>5</v>
          </cell>
        </row>
        <row r="1295">
          <cell r="B1295" t="str">
            <v>MNC</v>
          </cell>
          <cell r="C1295" t="str">
            <v>HSLB13491</v>
          </cell>
          <cell r="D1295">
            <v>203003</v>
          </cell>
          <cell r="E1295" t="str">
            <v>Carro de Transporte</v>
          </cell>
          <cell r="F1295" t="str">
            <v>NO</v>
          </cell>
          <cell r="G1295" t="str">
            <v>NO</v>
          </cell>
          <cell r="H1295" t="str">
            <v>ESPACIO 1 CARRO TRANSPORTE INSUMOS</v>
          </cell>
          <cell r="I1295">
            <v>1</v>
          </cell>
          <cell r="J1295" t="str">
            <v>C.5.8.2.53</v>
          </cell>
          <cell r="K1295" t="str">
            <v xml:space="preserve">Central de Alimentación </v>
          </cell>
          <cell r="L1295">
            <v>2</v>
          </cell>
          <cell r="M1295">
            <v>46003</v>
          </cell>
          <cell r="N1295">
            <v>46006</v>
          </cell>
          <cell r="O1295">
            <v>1</v>
          </cell>
          <cell r="P1295">
            <v>46007</v>
          </cell>
          <cell r="Q1295">
            <v>5</v>
          </cell>
          <cell r="R1295" t="str">
            <v>NA</v>
          </cell>
          <cell r="S1295">
            <v>5</v>
          </cell>
        </row>
        <row r="1296">
          <cell r="B1296" t="str">
            <v>MNC</v>
          </cell>
          <cell r="C1296" t="str">
            <v>HSLB13652</v>
          </cell>
          <cell r="D1296">
            <v>203016</v>
          </cell>
          <cell r="E1296" t="str">
            <v>Mueble Tipo Biblioteca</v>
          </cell>
          <cell r="F1296" t="str">
            <v>NO</v>
          </cell>
          <cell r="G1296" t="str">
            <v>NO</v>
          </cell>
          <cell r="H1296" t="str">
            <v>SECRETARIA C/ARCHIVO, FOTOCOP.</v>
          </cell>
          <cell r="I1296">
            <v>1</v>
          </cell>
          <cell r="J1296" t="str">
            <v>D.1.2.1</v>
          </cell>
          <cell r="K1296" t="str">
            <v>Consultas Ambulatorias</v>
          </cell>
          <cell r="L1296">
            <v>2</v>
          </cell>
          <cell r="M1296">
            <v>46003</v>
          </cell>
          <cell r="N1296">
            <v>46006</v>
          </cell>
          <cell r="P1296">
            <v>46006</v>
          </cell>
          <cell r="Q1296">
            <v>5</v>
          </cell>
          <cell r="R1296" t="str">
            <v>NA</v>
          </cell>
          <cell r="S1296">
            <v>5</v>
          </cell>
        </row>
        <row r="1297">
          <cell r="B1297" t="str">
            <v>MNC</v>
          </cell>
          <cell r="C1297" t="str">
            <v>HSLB13653</v>
          </cell>
          <cell r="D1297">
            <v>203016</v>
          </cell>
          <cell r="E1297" t="str">
            <v>Mueble Tipo Biblioteca</v>
          </cell>
          <cell r="F1297" t="str">
            <v>NO</v>
          </cell>
          <cell r="G1297" t="str">
            <v>NO</v>
          </cell>
          <cell r="H1297" t="str">
            <v>OFICINA JEFE TIC</v>
          </cell>
          <cell r="I1297">
            <v>1</v>
          </cell>
          <cell r="J1297" t="str">
            <v>D.1.2.2</v>
          </cell>
          <cell r="K1297" t="str">
            <v>Consultas Ambulatorias</v>
          </cell>
          <cell r="L1297">
            <v>2</v>
          </cell>
          <cell r="M1297">
            <v>46003</v>
          </cell>
          <cell r="N1297">
            <v>46006</v>
          </cell>
          <cell r="P1297">
            <v>46006</v>
          </cell>
          <cell r="Q1297">
            <v>5</v>
          </cell>
          <cell r="R1297" t="str">
            <v>NA</v>
          </cell>
          <cell r="S1297">
            <v>5</v>
          </cell>
        </row>
        <row r="1298">
          <cell r="B1298" t="str">
            <v>MNC</v>
          </cell>
          <cell r="C1298" t="str">
            <v>HSLB13654</v>
          </cell>
          <cell r="D1298">
            <v>203016</v>
          </cell>
          <cell r="E1298" t="str">
            <v>Mueble Tipo Biblioteca</v>
          </cell>
          <cell r="F1298" t="str">
            <v>NO</v>
          </cell>
          <cell r="G1298" t="str">
            <v>NO</v>
          </cell>
          <cell r="H1298" t="str">
            <v>MÓDULOS DE TRABAJO DESARROLLO Y MANTENCIÓN</v>
          </cell>
          <cell r="I1298">
            <v>3</v>
          </cell>
          <cell r="J1298" t="str">
            <v>D.1.2.3</v>
          </cell>
          <cell r="K1298" t="str">
            <v>Consultas Ambulatorias</v>
          </cell>
          <cell r="L1298">
            <v>2</v>
          </cell>
          <cell r="M1298">
            <v>46003</v>
          </cell>
          <cell r="N1298">
            <v>46006</v>
          </cell>
          <cell r="P1298">
            <v>46006</v>
          </cell>
          <cell r="Q1298">
            <v>5</v>
          </cell>
          <cell r="R1298" t="str">
            <v>NA</v>
          </cell>
          <cell r="S1298">
            <v>5</v>
          </cell>
        </row>
        <row r="1299">
          <cell r="B1299" t="str">
            <v>MNC</v>
          </cell>
          <cell r="C1299" t="str">
            <v>HSLB13672</v>
          </cell>
          <cell r="D1299">
            <v>203016</v>
          </cell>
          <cell r="E1299" t="str">
            <v>Mueble Tipo Biblioteca</v>
          </cell>
          <cell r="F1299" t="str">
            <v>NO</v>
          </cell>
          <cell r="G1299" t="str">
            <v>NO</v>
          </cell>
          <cell r="H1299" t="str">
            <v>SECRETARÍA C/ARCHIVO Y FOTOCOPIADORA</v>
          </cell>
          <cell r="I1299">
            <v>1</v>
          </cell>
          <cell r="J1299" t="str">
            <v>D.3.1.1.2</v>
          </cell>
          <cell r="K1299" t="str">
            <v>Contabilidad</v>
          </cell>
          <cell r="L1299">
            <v>2</v>
          </cell>
          <cell r="M1299">
            <v>46039</v>
          </cell>
          <cell r="N1299">
            <v>46041</v>
          </cell>
          <cell r="P1299">
            <v>46041</v>
          </cell>
          <cell r="Q1299">
            <v>5</v>
          </cell>
          <cell r="R1299" t="str">
            <v>NA</v>
          </cell>
          <cell r="S1299">
            <v>5</v>
          </cell>
        </row>
        <row r="1300">
          <cell r="B1300" t="str">
            <v>MNC</v>
          </cell>
          <cell r="C1300" t="str">
            <v>HSLB13674</v>
          </cell>
          <cell r="D1300">
            <v>203016</v>
          </cell>
          <cell r="E1300" t="str">
            <v>Mueble Tipo Biblioteca</v>
          </cell>
          <cell r="F1300" t="str">
            <v>NO</v>
          </cell>
          <cell r="G1300" t="str">
            <v>NO</v>
          </cell>
          <cell r="H1300" t="str">
            <v>OF. JEFE ABASTECIMIENTO</v>
          </cell>
          <cell r="I1300">
            <v>1</v>
          </cell>
          <cell r="J1300" t="str">
            <v>D.3.1.3</v>
          </cell>
          <cell r="K1300" t="str">
            <v>Contabilidad</v>
          </cell>
          <cell r="L1300">
            <v>2</v>
          </cell>
          <cell r="M1300">
            <v>46039</v>
          </cell>
          <cell r="N1300">
            <v>46041</v>
          </cell>
          <cell r="P1300">
            <v>46041</v>
          </cell>
          <cell r="Q1300">
            <v>5</v>
          </cell>
          <cell r="R1300" t="str">
            <v>NA</v>
          </cell>
          <cell r="S1300">
            <v>5</v>
          </cell>
        </row>
        <row r="1301">
          <cell r="B1301" t="str">
            <v>MNC</v>
          </cell>
          <cell r="C1301" t="str">
            <v>HSLB13683</v>
          </cell>
          <cell r="D1301">
            <v>203016</v>
          </cell>
          <cell r="E1301" t="str">
            <v>Mueble Tipo Biblioteca</v>
          </cell>
          <cell r="F1301" t="str">
            <v>NO</v>
          </cell>
          <cell r="G1301" t="str">
            <v>NO</v>
          </cell>
          <cell r="H1301" t="str">
            <v>OFICINA COORDINADOR DQUISICIONES</v>
          </cell>
          <cell r="I1301">
            <v>1</v>
          </cell>
          <cell r="J1301" t="str">
            <v>D.3.3.1.1</v>
          </cell>
          <cell r="K1301" t="str">
            <v>Contabilidad</v>
          </cell>
          <cell r="L1301">
            <v>2</v>
          </cell>
          <cell r="M1301">
            <v>46039</v>
          </cell>
          <cell r="N1301">
            <v>46041</v>
          </cell>
          <cell r="P1301">
            <v>46041</v>
          </cell>
          <cell r="Q1301">
            <v>5</v>
          </cell>
          <cell r="R1301" t="str">
            <v>NA</v>
          </cell>
          <cell r="S1301">
            <v>5</v>
          </cell>
        </row>
        <row r="1302">
          <cell r="B1302" t="str">
            <v>MNC</v>
          </cell>
          <cell r="C1302" t="str">
            <v>HSLB15436</v>
          </cell>
          <cell r="D1302">
            <v>203016</v>
          </cell>
          <cell r="E1302" t="str">
            <v>Mueble Tipo Biblioteca</v>
          </cell>
          <cell r="F1302" t="str">
            <v>NO</v>
          </cell>
          <cell r="G1302" t="str">
            <v>NO</v>
          </cell>
          <cell r="H1302" t="str">
            <v>SECRETARÍA C/ARCHIVO Y FOTOCOPIADORA</v>
          </cell>
          <cell r="I1302">
            <v>4</v>
          </cell>
          <cell r="J1302" t="str">
            <v>D.3.3.1.2</v>
          </cell>
          <cell r="K1302" t="str">
            <v>Contabilidad</v>
          </cell>
          <cell r="L1302">
            <v>2</v>
          </cell>
          <cell r="M1302">
            <v>46039</v>
          </cell>
          <cell r="N1302">
            <v>46041</v>
          </cell>
          <cell r="P1302">
            <v>46041</v>
          </cell>
          <cell r="Q1302">
            <v>5</v>
          </cell>
          <cell r="R1302" t="str">
            <v>NA</v>
          </cell>
          <cell r="S1302">
            <v>5</v>
          </cell>
        </row>
        <row r="1303">
          <cell r="B1303" t="str">
            <v>MNC</v>
          </cell>
          <cell r="C1303" t="str">
            <v>HSLB13684</v>
          </cell>
          <cell r="D1303">
            <v>203016</v>
          </cell>
          <cell r="E1303" t="str">
            <v>Mueble Tipo Biblioteca</v>
          </cell>
          <cell r="F1303" t="str">
            <v>NO</v>
          </cell>
          <cell r="G1303" t="str">
            <v>NO</v>
          </cell>
          <cell r="H1303" t="str">
            <v>MÓDULO DE TRABAJO QUÍMICO FARMACEUTICO</v>
          </cell>
          <cell r="I1303">
            <v>1</v>
          </cell>
          <cell r="J1303" t="str">
            <v>D.3.3.1.3</v>
          </cell>
          <cell r="K1303" t="str">
            <v>Contabilidad</v>
          </cell>
          <cell r="L1303">
            <v>2</v>
          </cell>
          <cell r="M1303">
            <v>46039</v>
          </cell>
          <cell r="N1303">
            <v>46041</v>
          </cell>
          <cell r="P1303">
            <v>46041</v>
          </cell>
          <cell r="Q1303">
            <v>5</v>
          </cell>
          <cell r="R1303" t="str">
            <v>NA</v>
          </cell>
          <cell r="S1303">
            <v>5</v>
          </cell>
        </row>
        <row r="1304">
          <cell r="B1304" t="str">
            <v>MNC</v>
          </cell>
          <cell r="C1304" t="str">
            <v>HSLB13685</v>
          </cell>
          <cell r="D1304">
            <v>203016</v>
          </cell>
          <cell r="E1304" t="str">
            <v>Mueble Tipo Biblioteca</v>
          </cell>
          <cell r="F1304" t="str">
            <v>NO</v>
          </cell>
          <cell r="G1304" t="str">
            <v>NO</v>
          </cell>
          <cell r="H1304" t="str">
            <v>SECRETARÍA C/ARCHIVO Y FOTOCOPIADORA</v>
          </cell>
          <cell r="I1304">
            <v>1</v>
          </cell>
          <cell r="J1304" t="str">
            <v>D.3.3.2.2</v>
          </cell>
          <cell r="K1304" t="str">
            <v>Contabilidad</v>
          </cell>
          <cell r="L1304">
            <v>2</v>
          </cell>
          <cell r="M1304">
            <v>46039</v>
          </cell>
          <cell r="N1304">
            <v>46041</v>
          </cell>
          <cell r="P1304">
            <v>46041</v>
          </cell>
          <cell r="Q1304">
            <v>5</v>
          </cell>
          <cell r="R1304" t="str">
            <v>NA</v>
          </cell>
          <cell r="S1304">
            <v>5</v>
          </cell>
        </row>
        <row r="1305">
          <cell r="B1305" t="str">
            <v>MNC</v>
          </cell>
          <cell r="C1305" t="str">
            <v>HSLB13686</v>
          </cell>
          <cell r="D1305">
            <v>203016</v>
          </cell>
          <cell r="E1305" t="str">
            <v>Mueble Tipo Biblioteca</v>
          </cell>
          <cell r="F1305" t="str">
            <v>NO</v>
          </cell>
          <cell r="G1305" t="str">
            <v>NO</v>
          </cell>
          <cell r="H1305" t="str">
            <v>MÓDULO DE TRABAJO EJECUTIVO LICITACIONES</v>
          </cell>
          <cell r="I1305">
            <v>1</v>
          </cell>
          <cell r="J1305" t="str">
            <v>D.3.3.2.3</v>
          </cell>
          <cell r="K1305" t="str">
            <v>Contabilidad</v>
          </cell>
          <cell r="L1305">
            <v>2</v>
          </cell>
          <cell r="M1305">
            <v>46039</v>
          </cell>
          <cell r="N1305">
            <v>46041</v>
          </cell>
          <cell r="P1305">
            <v>46041</v>
          </cell>
          <cell r="Q1305">
            <v>5</v>
          </cell>
          <cell r="R1305" t="str">
            <v>NA</v>
          </cell>
          <cell r="S1305">
            <v>5</v>
          </cell>
        </row>
        <row r="1306">
          <cell r="B1306" t="str">
            <v>MNC</v>
          </cell>
          <cell r="C1306" t="str">
            <v>HSLB13687</v>
          </cell>
          <cell r="D1306">
            <v>203016</v>
          </cell>
          <cell r="E1306" t="str">
            <v>Mueble Tipo Biblioteca</v>
          </cell>
          <cell r="F1306" t="str">
            <v>NO</v>
          </cell>
          <cell r="G1306" t="str">
            <v>NO</v>
          </cell>
          <cell r="H1306" t="str">
            <v>OFICINA ADMINISTRADOR DE CONTRATOS</v>
          </cell>
          <cell r="I1306">
            <v>1</v>
          </cell>
          <cell r="J1306" t="str">
            <v>D.3.3.2.5</v>
          </cell>
          <cell r="K1306" t="str">
            <v>Contabilidad</v>
          </cell>
          <cell r="L1306">
            <v>2</v>
          </cell>
          <cell r="M1306">
            <v>46039</v>
          </cell>
          <cell r="N1306">
            <v>46041</v>
          </cell>
          <cell r="P1306">
            <v>46041</v>
          </cell>
          <cell r="Q1306">
            <v>5</v>
          </cell>
          <cell r="R1306" t="str">
            <v>NA</v>
          </cell>
          <cell r="S1306">
            <v>5</v>
          </cell>
        </row>
        <row r="1307">
          <cell r="B1307" t="str">
            <v>MNC</v>
          </cell>
          <cell r="C1307" t="str">
            <v>HSLB13691</v>
          </cell>
          <cell r="D1307">
            <v>203016</v>
          </cell>
          <cell r="E1307" t="str">
            <v>Mueble Tipo Biblioteca</v>
          </cell>
          <cell r="F1307" t="str">
            <v>NO</v>
          </cell>
          <cell r="G1307" t="str">
            <v>NO</v>
          </cell>
          <cell r="H1307" t="str">
            <v>OFICINA COORDINADOR CENTRAL</v>
          </cell>
          <cell r="I1307">
            <v>1</v>
          </cell>
          <cell r="J1307" t="str">
            <v>D.3.3.3.30</v>
          </cell>
          <cell r="K1307" t="str">
            <v>Contabilidad</v>
          </cell>
          <cell r="L1307">
            <v>2</v>
          </cell>
          <cell r="M1307">
            <v>46039</v>
          </cell>
          <cell r="N1307">
            <v>46041</v>
          </cell>
          <cell r="P1307">
            <v>46041</v>
          </cell>
          <cell r="Q1307">
            <v>5</v>
          </cell>
          <cell r="R1307" t="str">
            <v>NA</v>
          </cell>
          <cell r="S1307">
            <v>5</v>
          </cell>
        </row>
        <row r="1308">
          <cell r="B1308" t="str">
            <v>MNC</v>
          </cell>
          <cell r="C1308" t="str">
            <v>HSLB15450</v>
          </cell>
          <cell r="D1308">
            <v>203016</v>
          </cell>
          <cell r="E1308" t="str">
            <v>Mueble Tipo Biblioteca</v>
          </cell>
          <cell r="F1308" t="str">
            <v>NO</v>
          </cell>
          <cell r="G1308" t="str">
            <v>NO</v>
          </cell>
          <cell r="H1308" t="str">
            <v>SECRETARÍA C/ARCHIVO Y FOTOCOPIADORA</v>
          </cell>
          <cell r="I1308">
            <v>1</v>
          </cell>
          <cell r="J1308" t="str">
            <v>D.3.3.3.31</v>
          </cell>
          <cell r="K1308" t="str">
            <v>Contabilidad</v>
          </cell>
          <cell r="L1308">
            <v>2</v>
          </cell>
          <cell r="M1308">
            <v>46039</v>
          </cell>
          <cell r="N1308">
            <v>46041</v>
          </cell>
          <cell r="P1308">
            <v>46041</v>
          </cell>
          <cell r="Q1308">
            <v>5</v>
          </cell>
          <cell r="R1308" t="str">
            <v>NA</v>
          </cell>
          <cell r="S1308">
            <v>5</v>
          </cell>
        </row>
        <row r="1309">
          <cell r="B1309" t="str">
            <v>MNC</v>
          </cell>
          <cell r="C1309" t="str">
            <v>HSLB13698</v>
          </cell>
          <cell r="D1309">
            <v>203016</v>
          </cell>
          <cell r="E1309" t="str">
            <v>Mueble Tipo Biblioteca</v>
          </cell>
          <cell r="F1309" t="str">
            <v>NO</v>
          </cell>
          <cell r="G1309" t="str">
            <v>NO</v>
          </cell>
          <cell r="H1309" t="str">
            <v>COORDINADOR SALUD DEL TRABAJADOR</v>
          </cell>
          <cell r="I1309">
            <v>1</v>
          </cell>
          <cell r="J1309" t="str">
            <v>D.4.4.1.2</v>
          </cell>
          <cell r="K1309" t="str">
            <v>Consultas Ambulatorias</v>
          </cell>
          <cell r="L1309">
            <v>2</v>
          </cell>
          <cell r="M1309">
            <v>46003</v>
          </cell>
          <cell r="N1309">
            <v>46006</v>
          </cell>
          <cell r="P1309">
            <v>46006</v>
          </cell>
          <cell r="Q1309">
            <v>5</v>
          </cell>
          <cell r="R1309" t="str">
            <v>NA</v>
          </cell>
          <cell r="S1309">
            <v>5</v>
          </cell>
        </row>
        <row r="1310">
          <cell r="B1310" t="str">
            <v>MNC</v>
          </cell>
          <cell r="C1310" t="str">
            <v>HSLB13702</v>
          </cell>
          <cell r="D1310">
            <v>203016</v>
          </cell>
          <cell r="E1310" t="str">
            <v>Mueble Tipo Biblioteca</v>
          </cell>
          <cell r="F1310" t="str">
            <v>NO</v>
          </cell>
          <cell r="G1310" t="str">
            <v>NO</v>
          </cell>
          <cell r="H1310" t="str">
            <v>COORD. SALUD OCUP. Y PREVEN. DE RIESGOS</v>
          </cell>
          <cell r="I1310">
            <v>1</v>
          </cell>
          <cell r="J1310" t="str">
            <v>D.4.4.2.1</v>
          </cell>
          <cell r="K1310" t="str">
            <v>Consultas Ambulatorias</v>
          </cell>
          <cell r="L1310">
            <v>2</v>
          </cell>
          <cell r="M1310">
            <v>46003</v>
          </cell>
          <cell r="N1310">
            <v>46006</v>
          </cell>
          <cell r="P1310">
            <v>46006</v>
          </cell>
          <cell r="Q1310">
            <v>5</v>
          </cell>
          <cell r="R1310" t="str">
            <v>NA</v>
          </cell>
          <cell r="S1310">
            <v>5</v>
          </cell>
        </row>
        <row r="1311">
          <cell r="B1311" t="str">
            <v>MNC</v>
          </cell>
          <cell r="C1311" t="str">
            <v>HSLB13703</v>
          </cell>
          <cell r="D1311">
            <v>203016</v>
          </cell>
          <cell r="E1311" t="str">
            <v>Mueble Tipo Biblioteca</v>
          </cell>
          <cell r="F1311" t="str">
            <v>NO</v>
          </cell>
          <cell r="G1311" t="str">
            <v>NO</v>
          </cell>
          <cell r="H1311" t="str">
            <v>MÓDULO DE TRABAJO</v>
          </cell>
          <cell r="I1311">
            <v>1</v>
          </cell>
          <cell r="J1311" t="str">
            <v>D.4.4.2.2</v>
          </cell>
          <cell r="K1311" t="str">
            <v>Consultas Ambulatorias</v>
          </cell>
          <cell r="L1311">
            <v>2</v>
          </cell>
          <cell r="M1311">
            <v>46003</v>
          </cell>
          <cell r="N1311">
            <v>46006</v>
          </cell>
          <cell r="P1311">
            <v>46006</v>
          </cell>
          <cell r="Q1311">
            <v>5</v>
          </cell>
          <cell r="R1311" t="str">
            <v>NA</v>
          </cell>
          <cell r="S1311">
            <v>5</v>
          </cell>
        </row>
        <row r="1312">
          <cell r="B1312" t="str">
            <v>MNC</v>
          </cell>
          <cell r="C1312" t="str">
            <v>HSLB13481</v>
          </cell>
          <cell r="D1312">
            <v>203002</v>
          </cell>
          <cell r="E1312" t="str">
            <v>Carro Bandejero</v>
          </cell>
          <cell r="F1312" t="str">
            <v>NO</v>
          </cell>
          <cell r="G1312" t="str">
            <v>NO</v>
          </cell>
          <cell r="H1312" t="str">
            <v>E. CARROS SUCIOS</v>
          </cell>
          <cell r="I1312">
            <v>1</v>
          </cell>
          <cell r="J1312" t="str">
            <v>E.3.7.1</v>
          </cell>
          <cell r="K1312" t="str">
            <v>Comedor para funcionarios y público</v>
          </cell>
          <cell r="L1312">
            <v>2</v>
          </cell>
          <cell r="M1312">
            <v>46003</v>
          </cell>
          <cell r="N1312">
            <v>46006</v>
          </cell>
          <cell r="O1312">
            <v>1</v>
          </cell>
          <cell r="P1312">
            <v>46007</v>
          </cell>
          <cell r="Q1312">
            <v>5</v>
          </cell>
          <cell r="R1312" t="str">
            <v>NA</v>
          </cell>
          <cell r="S1312">
            <v>5</v>
          </cell>
        </row>
        <row r="1313">
          <cell r="B1313" t="str">
            <v>MNC</v>
          </cell>
          <cell r="C1313" t="str">
            <v>HSLB13482</v>
          </cell>
          <cell r="D1313">
            <v>203002</v>
          </cell>
          <cell r="E1313" t="str">
            <v>Carro Bandejero</v>
          </cell>
          <cell r="F1313" t="str">
            <v>NO</v>
          </cell>
          <cell r="G1313" t="str">
            <v>NO</v>
          </cell>
          <cell r="H1313" t="str">
            <v>E. CARROS SUCIOS</v>
          </cell>
          <cell r="I1313">
            <v>1</v>
          </cell>
          <cell r="J1313" t="str">
            <v>E.3.7.2</v>
          </cell>
          <cell r="K1313" t="str">
            <v>Comedor para funcionarios y público</v>
          </cell>
          <cell r="L1313">
            <v>2</v>
          </cell>
          <cell r="M1313">
            <v>46003</v>
          </cell>
          <cell r="N1313">
            <v>46006</v>
          </cell>
          <cell r="O1313">
            <v>1</v>
          </cell>
          <cell r="P1313">
            <v>46007</v>
          </cell>
          <cell r="Q1313">
            <v>5</v>
          </cell>
          <cell r="R1313" t="str">
            <v>NA</v>
          </cell>
          <cell r="S1313">
            <v>5</v>
          </cell>
        </row>
        <row r="1314">
          <cell r="B1314" t="str">
            <v>MNC</v>
          </cell>
          <cell r="C1314" t="str">
            <v>HSLB13483</v>
          </cell>
          <cell r="D1314">
            <v>203002</v>
          </cell>
          <cell r="E1314" t="str">
            <v>Carro Bandejero</v>
          </cell>
          <cell r="F1314" t="str">
            <v>NO</v>
          </cell>
          <cell r="G1314" t="str">
            <v>NO</v>
          </cell>
          <cell r="H1314" t="str">
            <v>E. CARROS SUCIOS</v>
          </cell>
          <cell r="I1314">
            <v>1</v>
          </cell>
          <cell r="J1314" t="str">
            <v>E.3.7.3</v>
          </cell>
          <cell r="K1314" t="str">
            <v>Comedor para funcionarios y público</v>
          </cell>
          <cell r="L1314">
            <v>2</v>
          </cell>
          <cell r="M1314">
            <v>46003</v>
          </cell>
          <cell r="N1314">
            <v>46006</v>
          </cell>
          <cell r="O1314">
            <v>1</v>
          </cell>
          <cell r="P1314">
            <v>46007</v>
          </cell>
          <cell r="Q1314">
            <v>5</v>
          </cell>
          <cell r="R1314" t="str">
            <v>NA</v>
          </cell>
          <cell r="S1314">
            <v>5</v>
          </cell>
        </row>
        <row r="1315">
          <cell r="B1315" t="str">
            <v>MNC</v>
          </cell>
          <cell r="C1315" t="str">
            <v>HSLB13708</v>
          </cell>
          <cell r="D1315">
            <v>203016</v>
          </cell>
          <cell r="E1315" t="str">
            <v>Mueble Tipo Biblioteca</v>
          </cell>
          <cell r="F1315" t="str">
            <v>NO</v>
          </cell>
          <cell r="G1315" t="str">
            <v>NO</v>
          </cell>
          <cell r="H1315" t="str">
            <v>OFICINA ADMINISTRADOR</v>
          </cell>
          <cell r="I1315">
            <v>1</v>
          </cell>
          <cell r="J1315" t="str">
            <v>E.3.8</v>
          </cell>
          <cell r="K1315" t="str">
            <v>Comedor para funcionarios y público</v>
          </cell>
          <cell r="L1315">
            <v>2</v>
          </cell>
          <cell r="M1315">
            <v>46003</v>
          </cell>
          <cell r="N1315">
            <v>46006</v>
          </cell>
          <cell r="O1315">
            <v>1</v>
          </cell>
          <cell r="P1315">
            <v>46007</v>
          </cell>
          <cell r="Q1315">
            <v>5</v>
          </cell>
          <cell r="R1315" t="str">
            <v>NA</v>
          </cell>
          <cell r="S1315">
            <v>5</v>
          </cell>
        </row>
        <row r="1316">
          <cell r="B1316" t="str">
            <v>MNC</v>
          </cell>
          <cell r="C1316" t="str">
            <v>HSLB15451</v>
          </cell>
          <cell r="D1316">
            <v>203016</v>
          </cell>
          <cell r="E1316" t="str">
            <v>Mueble Tipo Biblioteca</v>
          </cell>
          <cell r="F1316" t="str">
            <v>NO</v>
          </cell>
          <cell r="G1316" t="str">
            <v>NO</v>
          </cell>
          <cell r="H1316" t="str">
            <v>BOX MULTIPROPÓSITO</v>
          </cell>
          <cell r="I1316">
            <v>1</v>
          </cell>
          <cell r="J1316" t="str">
            <v>E.5.1.1</v>
          </cell>
          <cell r="K1316" t="str">
            <v xml:space="preserve">Central de Alimentación </v>
          </cell>
          <cell r="L1316">
            <v>2</v>
          </cell>
          <cell r="M1316">
            <v>46003</v>
          </cell>
          <cell r="N1316">
            <v>46003</v>
          </cell>
          <cell r="P1316">
            <v>46003</v>
          </cell>
          <cell r="Q1316">
            <v>5</v>
          </cell>
          <cell r="R1316" t="str">
            <v>NA</v>
          </cell>
          <cell r="S1316">
            <v>5</v>
          </cell>
        </row>
        <row r="1317">
          <cell r="B1317" t="str">
            <v>MNC</v>
          </cell>
          <cell r="C1317" t="str">
            <v>HSLB15452</v>
          </cell>
          <cell r="D1317">
            <v>203016</v>
          </cell>
          <cell r="E1317" t="str">
            <v>Mueble Tipo Biblioteca</v>
          </cell>
          <cell r="F1317" t="str">
            <v>NO</v>
          </cell>
          <cell r="G1317" t="str">
            <v>NO</v>
          </cell>
          <cell r="H1317" t="str">
            <v>SALA MULTIUSO (labores administrativas)</v>
          </cell>
          <cell r="I1317">
            <v>1</v>
          </cell>
          <cell r="J1317" t="str">
            <v>E.5.1.2</v>
          </cell>
          <cell r="K1317" t="str">
            <v>Hospital de día</v>
          </cell>
          <cell r="L1317">
            <v>2</v>
          </cell>
          <cell r="M1317">
            <v>46003</v>
          </cell>
          <cell r="N1317">
            <v>46006</v>
          </cell>
          <cell r="P1317">
            <v>46006</v>
          </cell>
          <cell r="Q1317">
            <v>5</v>
          </cell>
          <cell r="R1317" t="str">
            <v>NA</v>
          </cell>
          <cell r="S1317">
            <v>5</v>
          </cell>
        </row>
        <row r="1318">
          <cell r="B1318" t="str">
            <v>MNC</v>
          </cell>
          <cell r="C1318" t="str">
            <v>HSLB15453</v>
          </cell>
          <cell r="D1318">
            <v>203016</v>
          </cell>
          <cell r="E1318" t="str">
            <v>Mueble Tipo Biblioteca</v>
          </cell>
          <cell r="F1318" t="str">
            <v>NO</v>
          </cell>
          <cell r="G1318" t="str">
            <v>NO</v>
          </cell>
          <cell r="H1318" t="str">
            <v>SALA MULTIUSO (labores administrativas)</v>
          </cell>
          <cell r="I1318">
            <v>1</v>
          </cell>
          <cell r="J1318" t="str">
            <v>E.5.1.3</v>
          </cell>
          <cell r="K1318" t="str">
            <v>Hospital de día</v>
          </cell>
          <cell r="L1318">
            <v>2</v>
          </cell>
          <cell r="M1318">
            <v>46003</v>
          </cell>
          <cell r="N1318">
            <v>46006</v>
          </cell>
          <cell r="P1318">
            <v>46006</v>
          </cell>
          <cell r="Q1318">
            <v>5</v>
          </cell>
          <cell r="R1318" t="str">
            <v>NA</v>
          </cell>
          <cell r="S1318">
            <v>5</v>
          </cell>
        </row>
        <row r="1319">
          <cell r="B1319" t="str">
            <v>MNC</v>
          </cell>
          <cell r="C1319" t="str">
            <v>HSLB15456</v>
          </cell>
          <cell r="D1319">
            <v>203016</v>
          </cell>
          <cell r="E1319" t="str">
            <v>Mueble Tipo Biblioteca</v>
          </cell>
          <cell r="F1319" t="str">
            <v>NO</v>
          </cell>
          <cell r="G1319" t="str">
            <v>NO</v>
          </cell>
          <cell r="H1319" t="str">
            <v>SALA MULTIUSO (labores administrativas)</v>
          </cell>
          <cell r="I1319">
            <v>1</v>
          </cell>
          <cell r="J1319" t="str">
            <v>E.5.1.4</v>
          </cell>
          <cell r="K1319" t="str">
            <v>Laboratorio</v>
          </cell>
          <cell r="L1319">
            <v>2</v>
          </cell>
          <cell r="M1319">
            <v>46024</v>
          </cell>
          <cell r="N1319">
            <v>46027</v>
          </cell>
          <cell r="O1319">
            <v>2</v>
          </cell>
          <cell r="P1319">
            <v>46029</v>
          </cell>
          <cell r="Q1319">
            <v>5</v>
          </cell>
          <cell r="R1319" t="str">
            <v>NA</v>
          </cell>
          <cell r="S1319">
            <v>5</v>
          </cell>
        </row>
        <row r="1320">
          <cell r="B1320" t="str">
            <v>MNC</v>
          </cell>
          <cell r="C1320" t="str">
            <v>HSLB15457</v>
          </cell>
          <cell r="D1320">
            <v>203017</v>
          </cell>
          <cell r="E1320" t="str">
            <v>Mueble Tipo Biblioteca</v>
          </cell>
          <cell r="F1320" t="str">
            <v>NO</v>
          </cell>
          <cell r="G1320" t="str">
            <v>SI</v>
          </cell>
          <cell r="H1320" t="str">
            <v xml:space="preserve">INSUMOS CLÍNICOS </v>
          </cell>
          <cell r="I1320">
            <v>0</v>
          </cell>
          <cell r="J1320" t="str">
            <v>C.2.2.2.21</v>
          </cell>
          <cell r="K1320" t="str">
            <v>Consultas medicas generales</v>
          </cell>
          <cell r="L1320">
            <v>2</v>
          </cell>
          <cell r="M1320">
            <v>46003</v>
          </cell>
          <cell r="N1320">
            <v>46006</v>
          </cell>
          <cell r="O1320">
            <v>1</v>
          </cell>
          <cell r="P1320">
            <v>46007</v>
          </cell>
          <cell r="Q1320">
            <v>5</v>
          </cell>
          <cell r="R1320" t="str">
            <v>NA</v>
          </cell>
          <cell r="S1320">
            <v>5</v>
          </cell>
        </row>
        <row r="1321">
          <cell r="B1321" t="str">
            <v>MNC</v>
          </cell>
          <cell r="C1321" t="str">
            <v>HSLB15458</v>
          </cell>
          <cell r="D1321">
            <v>203018</v>
          </cell>
          <cell r="E1321" t="str">
            <v>Mueble Tipo Biblioteca</v>
          </cell>
          <cell r="F1321" t="str">
            <v>NO</v>
          </cell>
          <cell r="G1321" t="str">
            <v>SI</v>
          </cell>
          <cell r="H1321" t="str">
            <v>BODEGA MATERIAL ESTÉRIL</v>
          </cell>
          <cell r="I1321">
            <v>0</v>
          </cell>
          <cell r="J1321" t="str">
            <v>C.2.2.2.22</v>
          </cell>
          <cell r="K1321" t="str">
            <v>Consultas medicas generales</v>
          </cell>
          <cell r="L1321">
            <v>2</v>
          </cell>
          <cell r="M1321">
            <v>46003</v>
          </cell>
          <cell r="N1321">
            <v>46006</v>
          </cell>
          <cell r="O1321">
            <v>1</v>
          </cell>
          <cell r="P1321">
            <v>46007</v>
          </cell>
          <cell r="Q1321">
            <v>5</v>
          </cell>
          <cell r="R1321" t="str">
            <v>NA</v>
          </cell>
          <cell r="S1321">
            <v>5</v>
          </cell>
        </row>
        <row r="1322">
          <cell r="B1322" t="str">
            <v>MNC</v>
          </cell>
          <cell r="C1322" t="str">
            <v>HSLB15459</v>
          </cell>
          <cell r="D1322">
            <v>203019</v>
          </cell>
          <cell r="E1322" t="str">
            <v>Mueble Tipo Biblioteca</v>
          </cell>
          <cell r="F1322" t="str">
            <v>NO</v>
          </cell>
          <cell r="G1322" t="str">
            <v>SI</v>
          </cell>
          <cell r="H1322" t="str">
            <v>BODEGA MATERIAL ESTÉRIL</v>
          </cell>
          <cell r="I1322">
            <v>0</v>
          </cell>
          <cell r="J1322" t="str">
            <v>C.2.2.4.13</v>
          </cell>
          <cell r="K1322" t="str">
            <v>Odontología</v>
          </cell>
          <cell r="L1322">
            <v>2</v>
          </cell>
          <cell r="M1322">
            <v>46003</v>
          </cell>
          <cell r="N1322">
            <v>46006</v>
          </cell>
          <cell r="O1322">
            <v>1</v>
          </cell>
          <cell r="P1322">
            <v>46009</v>
          </cell>
          <cell r="Q1322">
            <v>5</v>
          </cell>
          <cell r="R1322" t="str">
            <v>NA</v>
          </cell>
          <cell r="S1322">
            <v>5</v>
          </cell>
        </row>
        <row r="1323">
          <cell r="B1323" t="str">
            <v>MNC</v>
          </cell>
          <cell r="C1323" t="str">
            <v>HSLB15460</v>
          </cell>
          <cell r="D1323">
            <v>203020</v>
          </cell>
          <cell r="E1323" t="str">
            <v>Mueble Tipo Biblioteca</v>
          </cell>
          <cell r="F1323" t="str">
            <v>NO</v>
          </cell>
          <cell r="G1323" t="str">
            <v>SI</v>
          </cell>
          <cell r="H1323" t="str">
            <v>SALA COMANDO DE IMÁGENES DENTAL</v>
          </cell>
          <cell r="I1323">
            <v>0</v>
          </cell>
          <cell r="J1323" t="str">
            <v>C.2.2.4_A</v>
          </cell>
          <cell r="K1323" t="str">
            <v>Odontología</v>
          </cell>
          <cell r="L1323">
            <v>2</v>
          </cell>
          <cell r="M1323">
            <v>46003</v>
          </cell>
          <cell r="N1323">
            <v>46006</v>
          </cell>
          <cell r="O1323">
            <v>1</v>
          </cell>
          <cell r="P1323">
            <v>46009</v>
          </cell>
          <cell r="Q1323">
            <v>5</v>
          </cell>
          <cell r="R1323" t="str">
            <v>NA</v>
          </cell>
          <cell r="S1323">
            <v>5</v>
          </cell>
        </row>
        <row r="1324">
          <cell r="B1324" t="str">
            <v>MNC</v>
          </cell>
          <cell r="C1324" t="str">
            <v>HSLB15463</v>
          </cell>
          <cell r="D1324">
            <v>203023</v>
          </cell>
          <cell r="E1324" t="str">
            <v>Mueble Tipo Biblioteca</v>
          </cell>
          <cell r="F1324" t="str">
            <v>NO</v>
          </cell>
          <cell r="G1324" t="str">
            <v>SI</v>
          </cell>
          <cell r="H1324" t="str">
            <v>BODEGA MATERIALES E IMPLEMENTOS</v>
          </cell>
          <cell r="I1324">
            <v>0</v>
          </cell>
          <cell r="J1324" t="str">
            <v>C.2.5.2.26</v>
          </cell>
          <cell r="K1324" t="str">
            <v>Psiquiatría</v>
          </cell>
          <cell r="L1324">
            <v>2</v>
          </cell>
          <cell r="M1324">
            <v>46003</v>
          </cell>
          <cell r="N1324">
            <v>46006</v>
          </cell>
          <cell r="O1324">
            <v>1</v>
          </cell>
          <cell r="P1324">
            <v>46009</v>
          </cell>
          <cell r="Q1324">
            <v>5</v>
          </cell>
          <cell r="R1324" t="str">
            <v>NA</v>
          </cell>
          <cell r="S1324">
            <v>5</v>
          </cell>
        </row>
        <row r="1325">
          <cell r="B1325" t="str">
            <v>MNC</v>
          </cell>
          <cell r="C1325" t="str">
            <v>HSLB15466</v>
          </cell>
          <cell r="D1325">
            <v>203026</v>
          </cell>
          <cell r="E1325" t="str">
            <v>Mueble Tipo Biblioteca</v>
          </cell>
          <cell r="F1325" t="str">
            <v>NO</v>
          </cell>
          <cell r="G1325" t="str">
            <v>SI</v>
          </cell>
          <cell r="H1325" t="str">
            <v>BODEGA DE MATERIALES MULTIUSO</v>
          </cell>
          <cell r="I1325">
            <v>0</v>
          </cell>
          <cell r="J1325" t="str">
            <v>C.2.5.4.24</v>
          </cell>
          <cell r="K1325" t="str">
            <v>Hospital De Día</v>
          </cell>
          <cell r="L1325">
            <v>2</v>
          </cell>
          <cell r="M1325">
            <v>46003</v>
          </cell>
          <cell r="N1325">
            <v>46006</v>
          </cell>
          <cell r="O1325">
            <v>1</v>
          </cell>
          <cell r="P1325">
            <v>46007</v>
          </cell>
          <cell r="Q1325">
            <v>5</v>
          </cell>
          <cell r="R1325" t="str">
            <v>NA</v>
          </cell>
          <cell r="S1325">
            <v>5</v>
          </cell>
        </row>
        <row r="1326">
          <cell r="B1326" t="str">
            <v>MNC</v>
          </cell>
          <cell r="C1326" t="str">
            <v>HSLB15467</v>
          </cell>
          <cell r="D1326">
            <v>203027</v>
          </cell>
          <cell r="E1326" t="str">
            <v>Mueble Tipo Biblioteca</v>
          </cell>
          <cell r="F1326" t="str">
            <v>NO</v>
          </cell>
          <cell r="G1326" t="str">
            <v>SI</v>
          </cell>
          <cell r="H1326" t="str">
            <v>BODEGA EQUIPOS GENERALES Y AUDIOVISUALES</v>
          </cell>
          <cell r="I1326">
            <v>0</v>
          </cell>
          <cell r="J1326" t="str">
            <v>C.2.5.4.25</v>
          </cell>
          <cell r="K1326" t="str">
            <v>Hospital De Día</v>
          </cell>
          <cell r="L1326">
            <v>2</v>
          </cell>
          <cell r="M1326">
            <v>46003</v>
          </cell>
          <cell r="N1326">
            <v>46006</v>
          </cell>
          <cell r="O1326">
            <v>1</v>
          </cell>
          <cell r="P1326">
            <v>46007</v>
          </cell>
          <cell r="Q1326">
            <v>5</v>
          </cell>
          <cell r="R1326" t="str">
            <v>NA</v>
          </cell>
          <cell r="S1326">
            <v>5</v>
          </cell>
        </row>
        <row r="1327">
          <cell r="B1327" t="str">
            <v>MNC</v>
          </cell>
          <cell r="C1327" t="str">
            <v>HSLB15468</v>
          </cell>
          <cell r="D1327">
            <v>203028</v>
          </cell>
          <cell r="E1327" t="str">
            <v>Mueble Tipo Biblioteca</v>
          </cell>
          <cell r="F1327" t="str">
            <v>NO</v>
          </cell>
          <cell r="G1327" t="str">
            <v>SI</v>
          </cell>
          <cell r="H1327" t="str">
            <v>BODEGA DE INSUMOS</v>
          </cell>
          <cell r="I1327">
            <v>0</v>
          </cell>
          <cell r="J1327" t="str">
            <v>C.3.3.10</v>
          </cell>
          <cell r="K1327" t="str">
            <v>Laboratorio UMT</v>
          </cell>
          <cell r="L1327">
            <v>2</v>
          </cell>
          <cell r="M1327">
            <v>46003</v>
          </cell>
          <cell r="N1327">
            <v>46006</v>
          </cell>
          <cell r="O1327">
            <v>1</v>
          </cell>
          <cell r="P1327">
            <v>46007</v>
          </cell>
          <cell r="Q1327">
            <v>5</v>
          </cell>
          <cell r="R1327" t="str">
            <v>NA</v>
          </cell>
          <cell r="S1327">
            <v>5</v>
          </cell>
        </row>
        <row r="1328">
          <cell r="B1328" t="str">
            <v>MNC</v>
          </cell>
          <cell r="C1328" t="str">
            <v>HSLB15469</v>
          </cell>
          <cell r="D1328">
            <v>203029</v>
          </cell>
          <cell r="E1328" t="str">
            <v>Mueble Tipo Biblioteca</v>
          </cell>
          <cell r="F1328" t="str">
            <v>NO</v>
          </cell>
          <cell r="G1328" t="str">
            <v>SI</v>
          </cell>
          <cell r="H1328" t="str">
            <v>BODEGA DE EQUIPOS MEDICOS</v>
          </cell>
          <cell r="I1328">
            <v>0</v>
          </cell>
          <cell r="J1328" t="str">
            <v>C.3.3.9</v>
          </cell>
          <cell r="K1328" t="str">
            <v>Laboratorio UMT</v>
          </cell>
          <cell r="L1328">
            <v>2</v>
          </cell>
          <cell r="M1328">
            <v>46003</v>
          </cell>
          <cell r="N1328">
            <v>46006</v>
          </cell>
          <cell r="O1328">
            <v>1</v>
          </cell>
          <cell r="P1328">
            <v>46007</v>
          </cell>
          <cell r="Q1328">
            <v>5</v>
          </cell>
          <cell r="R1328" t="str">
            <v>NA</v>
          </cell>
          <cell r="S1328">
            <v>5</v>
          </cell>
        </row>
        <row r="1329">
          <cell r="B1329" t="str">
            <v>MNC</v>
          </cell>
          <cell r="C1329" t="str">
            <v>HSLB15488</v>
          </cell>
          <cell r="D1329">
            <v>203048</v>
          </cell>
          <cell r="E1329" t="str">
            <v>Mueble Tipo Biblioteca</v>
          </cell>
          <cell r="F1329" t="str">
            <v>NO</v>
          </cell>
          <cell r="G1329" t="str">
            <v>SI</v>
          </cell>
          <cell r="H1329" t="str">
            <v>BODEGA GENERAL</v>
          </cell>
          <cell r="I1329">
            <v>0</v>
          </cell>
          <cell r="J1329" t="str">
            <v>C.5.2.6.1</v>
          </cell>
          <cell r="K1329" t="str">
            <v>Laboratorio</v>
          </cell>
          <cell r="L1329">
            <v>2</v>
          </cell>
          <cell r="M1329">
            <v>46003</v>
          </cell>
          <cell r="N1329">
            <v>46006</v>
          </cell>
          <cell r="O1329">
            <v>1</v>
          </cell>
          <cell r="P1329">
            <v>46009</v>
          </cell>
          <cell r="Q1329">
            <v>5</v>
          </cell>
          <cell r="R1329" t="str">
            <v>NA</v>
          </cell>
          <cell r="S1329">
            <v>5</v>
          </cell>
        </row>
        <row r="1330">
          <cell r="B1330" t="str">
            <v>MNC</v>
          </cell>
          <cell r="C1330" t="str">
            <v>HSLB15489</v>
          </cell>
          <cell r="D1330">
            <v>203049</v>
          </cell>
          <cell r="E1330" t="str">
            <v>Mueble Tipo Biblioteca</v>
          </cell>
          <cell r="F1330" t="str">
            <v>NO</v>
          </cell>
          <cell r="G1330" t="str">
            <v>SI</v>
          </cell>
          <cell r="H1330" t="str">
            <v>SALA CENTRÍFUGA/RECEPCIÓN DE MUESTRAS</v>
          </cell>
          <cell r="I1330">
            <v>0</v>
          </cell>
          <cell r="J1330" t="str">
            <v>C.5.2.9 / C.5.2.8</v>
          </cell>
          <cell r="K1330" t="str">
            <v>Laboratorio</v>
          </cell>
          <cell r="L1330">
            <v>2</v>
          </cell>
          <cell r="M1330">
            <v>46003</v>
          </cell>
          <cell r="N1330">
            <v>46006</v>
          </cell>
          <cell r="O1330">
            <v>1</v>
          </cell>
          <cell r="P1330">
            <v>46009</v>
          </cell>
          <cell r="Q1330">
            <v>5</v>
          </cell>
          <cell r="R1330" t="str">
            <v>NA</v>
          </cell>
          <cell r="S1330">
            <v>5</v>
          </cell>
        </row>
        <row r="1331">
          <cell r="B1331" t="str">
            <v>MNC</v>
          </cell>
          <cell r="C1331" t="str">
            <v>HSLB15492</v>
          </cell>
          <cell r="D1331">
            <v>203052</v>
          </cell>
          <cell r="E1331" t="str">
            <v>Mueble Tipo Biblioteca</v>
          </cell>
          <cell r="F1331" t="str">
            <v>NO</v>
          </cell>
          <cell r="G1331" t="str">
            <v>SI</v>
          </cell>
          <cell r="H1331" t="str">
            <v>BODEGA ACTIVA DE SUEROS</v>
          </cell>
          <cell r="I1331">
            <v>0</v>
          </cell>
          <cell r="J1331" t="str">
            <v>C.5.4.30</v>
          </cell>
          <cell r="K1331" t="str">
            <v>Farmacia</v>
          </cell>
          <cell r="L1331">
            <v>2</v>
          </cell>
          <cell r="M1331">
            <v>46003</v>
          </cell>
          <cell r="N1331">
            <v>46006</v>
          </cell>
          <cell r="O1331">
            <v>1</v>
          </cell>
          <cell r="P1331">
            <v>46008</v>
          </cell>
          <cell r="Q1331">
            <v>5</v>
          </cell>
          <cell r="R1331" t="str">
            <v>NA</v>
          </cell>
          <cell r="S1331">
            <v>5</v>
          </cell>
        </row>
        <row r="1332">
          <cell r="B1332" t="str">
            <v>MNC</v>
          </cell>
          <cell r="C1332" t="str">
            <v>HSLB15500</v>
          </cell>
          <cell r="D1332">
            <v>203060</v>
          </cell>
          <cell r="E1332" t="str">
            <v>Mueble Tipo Biblioteca</v>
          </cell>
          <cell r="F1332" t="str">
            <v>NO</v>
          </cell>
          <cell r="G1332" t="str">
            <v>SI</v>
          </cell>
          <cell r="H1332" t="str">
            <v>BODEGA DE EQUIPOS</v>
          </cell>
          <cell r="I1332">
            <v>0</v>
          </cell>
          <cell r="J1332" t="str">
            <v>D.1.2.5</v>
          </cell>
          <cell r="K1332" t="str">
            <v>Consultas Ambulatorias</v>
          </cell>
          <cell r="L1332">
            <v>2</v>
          </cell>
          <cell r="M1332">
            <v>46003</v>
          </cell>
          <cell r="N1332">
            <v>46006</v>
          </cell>
          <cell r="O1332">
            <v>1</v>
          </cell>
          <cell r="P1332">
            <v>46008</v>
          </cell>
          <cell r="Q1332">
            <v>5</v>
          </cell>
          <cell r="R1332" t="str">
            <v>NA</v>
          </cell>
          <cell r="S1332">
            <v>5</v>
          </cell>
        </row>
        <row r="1333">
          <cell r="B1333" t="str">
            <v>MNC</v>
          </cell>
          <cell r="C1333" t="str">
            <v>HSLB15505</v>
          </cell>
          <cell r="D1333">
            <v>203065</v>
          </cell>
          <cell r="E1333" t="str">
            <v>Mueble Tipo Biblioteca</v>
          </cell>
          <cell r="F1333" t="str">
            <v>NO</v>
          </cell>
          <cell r="G1333" t="str">
            <v>SI</v>
          </cell>
          <cell r="H1333" t="str">
            <v>BODEGA DE ABARROTES NO PERECIBLE</v>
          </cell>
          <cell r="I1333">
            <v>0</v>
          </cell>
          <cell r="J1333" t="str">
            <v>D.3.3.3.12</v>
          </cell>
          <cell r="K1333" t="str">
            <v xml:space="preserve">Central de Alimentación </v>
          </cell>
          <cell r="L1333">
            <v>2</v>
          </cell>
          <cell r="M1333">
            <v>46003</v>
          </cell>
          <cell r="N1333">
            <v>46006</v>
          </cell>
          <cell r="O1333">
            <v>1</v>
          </cell>
          <cell r="P1333">
            <v>46008</v>
          </cell>
          <cell r="Q1333">
            <v>5</v>
          </cell>
          <cell r="R1333" t="str">
            <v>NA</v>
          </cell>
          <cell r="S1333">
            <v>5</v>
          </cell>
        </row>
        <row r="1334">
          <cell r="B1334" t="str">
            <v>MNC</v>
          </cell>
          <cell r="C1334" t="str">
            <v>HSLB15507</v>
          </cell>
          <cell r="D1334">
            <v>203067</v>
          </cell>
          <cell r="E1334" t="str">
            <v>Mueble Tipo Biblioteca</v>
          </cell>
          <cell r="F1334" t="str">
            <v>NO</v>
          </cell>
          <cell r="G1334" t="str">
            <v>SI</v>
          </cell>
          <cell r="H1334" t="str">
            <v>ÁREA AUTOSERVICIO</v>
          </cell>
          <cell r="I1334">
            <v>0</v>
          </cell>
          <cell r="J1334" t="str">
            <v>E.3.4</v>
          </cell>
          <cell r="K1334" t="str">
            <v>Comedor para funcionarios y público</v>
          </cell>
          <cell r="L1334">
            <v>2</v>
          </cell>
          <cell r="M1334">
            <v>46003</v>
          </cell>
          <cell r="N1334">
            <v>46006</v>
          </cell>
          <cell r="O1334">
            <v>1</v>
          </cell>
          <cell r="P1334">
            <v>46008</v>
          </cell>
          <cell r="Q1334">
            <v>5</v>
          </cell>
          <cell r="R1334" t="str">
            <v>NA</v>
          </cell>
          <cell r="S1334">
            <v>5</v>
          </cell>
        </row>
        <row r="1335">
          <cell r="B1335" t="str">
            <v>MNC</v>
          </cell>
          <cell r="C1335" t="str">
            <v>HSLB15508</v>
          </cell>
          <cell r="D1335">
            <v>203068</v>
          </cell>
          <cell r="E1335" t="str">
            <v>Mueble Tipo Biblioteca</v>
          </cell>
          <cell r="F1335" t="str">
            <v>NO</v>
          </cell>
          <cell r="G1335" t="str">
            <v>SI</v>
          </cell>
          <cell r="H1335" t="str">
            <v>BODEGA DE INSUMOS GENERALES</v>
          </cell>
          <cell r="I1335">
            <v>0</v>
          </cell>
          <cell r="J1335" t="str">
            <v>E.3.9</v>
          </cell>
          <cell r="K1335" t="str">
            <v>Comedor para funcionarios y público</v>
          </cell>
          <cell r="L1335">
            <v>2</v>
          </cell>
          <cell r="M1335">
            <v>46003</v>
          </cell>
          <cell r="N1335">
            <v>46006</v>
          </cell>
          <cell r="O1335">
            <v>1</v>
          </cell>
          <cell r="P1335">
            <v>46008</v>
          </cell>
          <cell r="Q1335">
            <v>5</v>
          </cell>
          <cell r="R1335" t="str">
            <v>NA</v>
          </cell>
          <cell r="S1335">
            <v>5</v>
          </cell>
        </row>
      </sheetData>
      <sheetData sheetId="10">
        <row r="29">
          <cell r="B29" t="str">
            <v>EMMC</v>
          </cell>
          <cell r="C29" t="str">
            <v>HSLB11148</v>
          </cell>
          <cell r="D29">
            <v>108001</v>
          </cell>
          <cell r="E29" t="str">
            <v>Arco C</v>
          </cell>
          <cell r="F29" t="str">
            <v>SI</v>
          </cell>
          <cell r="G29" t="str">
            <v>SI</v>
          </cell>
          <cell r="H29" t="str">
            <v>BODEGA DE EQUIPOS</v>
          </cell>
          <cell r="I29">
            <v>2</v>
          </cell>
          <cell r="J29" t="str">
            <v>C.5.6.4.17</v>
          </cell>
          <cell r="K29" t="str">
            <v>Pabellones</v>
          </cell>
          <cell r="L29">
            <v>3</v>
          </cell>
          <cell r="M29">
            <v>46013</v>
          </cell>
          <cell r="N29">
            <v>46014</v>
          </cell>
          <cell r="O29">
            <v>10</v>
          </cell>
          <cell r="P29">
            <v>46030</v>
          </cell>
          <cell r="Q29">
            <v>5</v>
          </cell>
          <cell r="R29" t="str">
            <v>NA</v>
          </cell>
          <cell r="S29">
            <v>5</v>
          </cell>
        </row>
        <row r="30">
          <cell r="B30" t="str">
            <v>EMMC</v>
          </cell>
          <cell r="C30" t="str">
            <v>HSLB11131</v>
          </cell>
          <cell r="D30">
            <v>107001</v>
          </cell>
          <cell r="E30" t="str">
            <v>Autoclave a Vapor 10 STU</v>
          </cell>
          <cell r="F30" t="str">
            <v>SI</v>
          </cell>
          <cell r="G30" t="str">
            <v>NO</v>
          </cell>
          <cell r="H30" t="str">
            <v>AUTOCLAVES 3 EQUIPOS</v>
          </cell>
          <cell r="I30">
            <v>2</v>
          </cell>
          <cell r="J30" t="str">
            <v>C.5.5.25</v>
          </cell>
          <cell r="K30" t="str">
            <v>Esterilización</v>
          </cell>
          <cell r="L30">
            <v>3</v>
          </cell>
          <cell r="M30">
            <v>46013</v>
          </cell>
          <cell r="N30">
            <v>46014</v>
          </cell>
          <cell r="O30">
            <v>7</v>
          </cell>
          <cell r="P30">
            <v>46027</v>
          </cell>
          <cell r="Q30">
            <v>5</v>
          </cell>
          <cell r="R30">
            <v>14</v>
          </cell>
          <cell r="S30">
            <v>5</v>
          </cell>
        </row>
        <row r="31">
          <cell r="B31" t="str">
            <v>EMMC</v>
          </cell>
          <cell r="C31" t="str">
            <v>HSLB11132</v>
          </cell>
          <cell r="D31">
            <v>107002</v>
          </cell>
          <cell r="E31" t="str">
            <v>Autoclave a Vapor 6 STU</v>
          </cell>
          <cell r="F31" t="str">
            <v>SI</v>
          </cell>
          <cell r="G31" t="str">
            <v>NO</v>
          </cell>
          <cell r="H31" t="str">
            <v>AUTOCLAVES 3 EQUIPOS</v>
          </cell>
          <cell r="I31">
            <v>1</v>
          </cell>
          <cell r="J31" t="str">
            <v>C.5.5.25</v>
          </cell>
          <cell r="K31" t="str">
            <v>Esterilización</v>
          </cell>
          <cell r="L31">
            <v>3</v>
          </cell>
          <cell r="M31">
            <v>46013</v>
          </cell>
          <cell r="N31">
            <v>46014</v>
          </cell>
          <cell r="O31">
            <v>10</v>
          </cell>
          <cell r="P31">
            <v>46030</v>
          </cell>
          <cell r="Q31">
            <v>5</v>
          </cell>
          <cell r="R31">
            <v>14</v>
          </cell>
          <cell r="S31">
            <v>5</v>
          </cell>
        </row>
        <row r="32">
          <cell r="B32" t="str">
            <v>EMMC</v>
          </cell>
          <cell r="C32" t="str">
            <v>HSLB12706</v>
          </cell>
          <cell r="D32">
            <v>113002</v>
          </cell>
          <cell r="E32" t="str">
            <v>Central de Monitoreo UTI</v>
          </cell>
          <cell r="F32" t="str">
            <v>SI</v>
          </cell>
          <cell r="G32" t="str">
            <v>NO</v>
          </cell>
          <cell r="H32" t="str">
            <v>CENTRAL DE MONITOREO</v>
          </cell>
          <cell r="I32">
            <v>1</v>
          </cell>
          <cell r="J32" t="str">
            <v>C.3.7.10.1</v>
          </cell>
          <cell r="K32" t="str">
            <v>UTI</v>
          </cell>
          <cell r="L32">
            <v>3</v>
          </cell>
          <cell r="M32">
            <v>46043</v>
          </cell>
          <cell r="N32">
            <v>46044</v>
          </cell>
          <cell r="O32">
            <v>5</v>
          </cell>
          <cell r="P32">
            <v>46051</v>
          </cell>
          <cell r="Q32">
            <v>5</v>
          </cell>
          <cell r="R32" t="str">
            <v>NA</v>
          </cell>
          <cell r="S32">
            <v>5</v>
          </cell>
        </row>
        <row r="33">
          <cell r="B33" t="str">
            <v>EMMC</v>
          </cell>
          <cell r="C33" t="str">
            <v>HSLB11352</v>
          </cell>
          <cell r="D33">
            <v>110020</v>
          </cell>
          <cell r="E33" t="str">
            <v>Dispensador Automático de insumos 1 Columna</v>
          </cell>
          <cell r="F33" t="str">
            <v>SI</v>
          </cell>
          <cell r="G33" t="str">
            <v>NO</v>
          </cell>
          <cell r="H33" t="str">
            <v>DISP. MEDICAMENTO</v>
          </cell>
          <cell r="I33">
            <v>1</v>
          </cell>
          <cell r="J33" t="str">
            <v>C.3.6.3.9</v>
          </cell>
          <cell r="K33" t="str">
            <v>Parto integral</v>
          </cell>
          <cell r="L33">
            <v>3</v>
          </cell>
          <cell r="M33">
            <v>46045</v>
          </cell>
          <cell r="N33">
            <v>46048</v>
          </cell>
          <cell r="O33">
            <v>4</v>
          </cell>
          <cell r="P33">
            <v>46052</v>
          </cell>
          <cell r="Q33">
            <v>5</v>
          </cell>
          <cell r="R33" t="str">
            <v>NA</v>
          </cell>
          <cell r="S33">
            <v>5</v>
          </cell>
        </row>
        <row r="34">
          <cell r="B34" t="str">
            <v>EMMC</v>
          </cell>
          <cell r="C34" t="str">
            <v>HSLB11362</v>
          </cell>
          <cell r="D34">
            <v>110022</v>
          </cell>
          <cell r="E34" t="str">
            <v>Dispensador Automático de insumos y Medicamentos 2 Columnas</v>
          </cell>
          <cell r="F34" t="str">
            <v>SI</v>
          </cell>
          <cell r="G34" t="str">
            <v>NO</v>
          </cell>
          <cell r="H34" t="str">
            <v>DISPENSADOR DE MEDICAMENTOS</v>
          </cell>
          <cell r="I34">
            <v>2</v>
          </cell>
          <cell r="J34" t="str">
            <v>C.3.7.14</v>
          </cell>
          <cell r="K34" t="str">
            <v>UTI</v>
          </cell>
          <cell r="L34">
            <v>3</v>
          </cell>
          <cell r="M34">
            <v>46043</v>
          </cell>
          <cell r="N34">
            <v>46044</v>
          </cell>
          <cell r="O34">
            <v>7</v>
          </cell>
          <cell r="P34">
            <v>46055</v>
          </cell>
          <cell r="Q34">
            <v>5</v>
          </cell>
          <cell r="R34" t="str">
            <v>NA</v>
          </cell>
          <cell r="S34">
            <v>5</v>
          </cell>
        </row>
        <row r="35">
          <cell r="B35" t="str">
            <v>EMMC</v>
          </cell>
          <cell r="C35" t="str">
            <v>HSLB11365</v>
          </cell>
          <cell r="D35">
            <v>110022</v>
          </cell>
          <cell r="E35" t="str">
            <v>Dispensador Automático de insumos y Medicamentos 2 Columnas</v>
          </cell>
          <cell r="F35" t="str">
            <v>SI</v>
          </cell>
          <cell r="G35" t="str">
            <v>NO</v>
          </cell>
          <cell r="H35" t="str">
            <v>DISP. MEDICAMENTO</v>
          </cell>
          <cell r="I35">
            <v>1</v>
          </cell>
          <cell r="J35" t="str">
            <v>C.5.6.3.20</v>
          </cell>
          <cell r="K35" t="str">
            <v>Pabellones</v>
          </cell>
          <cell r="L35">
            <v>3</v>
          </cell>
          <cell r="M35">
            <v>46037</v>
          </cell>
          <cell r="N35">
            <v>46038</v>
          </cell>
          <cell r="O35">
            <v>7</v>
          </cell>
          <cell r="P35">
            <v>46049</v>
          </cell>
          <cell r="Q35">
            <v>5</v>
          </cell>
          <cell r="R35" t="str">
            <v>NA</v>
          </cell>
          <cell r="S35">
            <v>5</v>
          </cell>
        </row>
        <row r="36">
          <cell r="B36" t="str">
            <v>EMMC</v>
          </cell>
          <cell r="C36" t="str">
            <v>HSLB11367</v>
          </cell>
          <cell r="D36">
            <v>110023</v>
          </cell>
          <cell r="E36" t="str">
            <v>Dispensador Automático de insumos y Medicamentos 3 Columnas</v>
          </cell>
          <cell r="F36" t="str">
            <v>SI</v>
          </cell>
          <cell r="G36" t="str">
            <v>NO</v>
          </cell>
          <cell r="H36" t="str">
            <v>DISPENSADOR DE MEDICAMENTOS</v>
          </cell>
          <cell r="I36">
            <v>2</v>
          </cell>
          <cell r="J36" t="str">
            <v>C.5.6.4.13</v>
          </cell>
          <cell r="K36" t="str">
            <v>Pabellones</v>
          </cell>
          <cell r="L36">
            <v>3</v>
          </cell>
          <cell r="M36">
            <v>46037</v>
          </cell>
          <cell r="N36">
            <v>46038</v>
          </cell>
          <cell r="O36">
            <v>4</v>
          </cell>
          <cell r="P36">
            <v>46044</v>
          </cell>
          <cell r="Q36">
            <v>5</v>
          </cell>
          <cell r="R36" t="str">
            <v>NA</v>
          </cell>
          <cell r="S36">
            <v>5</v>
          </cell>
        </row>
        <row r="37">
          <cell r="B37" t="str">
            <v>EMMC</v>
          </cell>
          <cell r="C37" t="str">
            <v>HSLB10345</v>
          </cell>
          <cell r="D37">
            <v>103024</v>
          </cell>
          <cell r="E37" t="str">
            <v>Encimera Eléctrica</v>
          </cell>
          <cell r="F37" t="str">
            <v>SI</v>
          </cell>
          <cell r="G37" t="str">
            <v>NO</v>
          </cell>
          <cell r="H37" t="str">
            <v>COCINA CON REPOSTERO</v>
          </cell>
          <cell r="I37">
            <v>1</v>
          </cell>
          <cell r="J37" t="str">
            <v>E.1.6</v>
          </cell>
          <cell r="K37" t="str">
            <v>Auditorio</v>
          </cell>
          <cell r="L37">
            <v>3</v>
          </cell>
          <cell r="M37">
            <v>46049</v>
          </cell>
          <cell r="N37">
            <v>46050</v>
          </cell>
          <cell r="O37">
            <v>4</v>
          </cell>
          <cell r="P37">
            <v>46056</v>
          </cell>
          <cell r="Q37">
            <v>5</v>
          </cell>
          <cell r="R37" t="str">
            <v>NA</v>
          </cell>
          <cell r="S37">
            <v>5</v>
          </cell>
        </row>
        <row r="38">
          <cell r="B38" t="str">
            <v>EMMC</v>
          </cell>
          <cell r="C38" t="str">
            <v>HSLB11135</v>
          </cell>
          <cell r="D38">
            <v>107005</v>
          </cell>
          <cell r="E38" t="str">
            <v>Esterilizador por Peróxido de Hidrógeno</v>
          </cell>
          <cell r="F38" t="str">
            <v>SI</v>
          </cell>
          <cell r="G38" t="str">
            <v>NO</v>
          </cell>
          <cell r="H38" t="str">
            <v>ESTERILIZACION PEROXIDO H</v>
          </cell>
          <cell r="I38">
            <v>1</v>
          </cell>
          <cell r="J38" t="str">
            <v>C.5.5.27</v>
          </cell>
          <cell r="K38" t="str">
            <v>Esterilización</v>
          </cell>
          <cell r="L38">
            <v>3</v>
          </cell>
          <cell r="M38">
            <v>46013</v>
          </cell>
          <cell r="N38">
            <v>46014</v>
          </cell>
          <cell r="O38">
            <v>10</v>
          </cell>
          <cell r="P38">
            <v>46030</v>
          </cell>
          <cell r="Q38">
            <v>5</v>
          </cell>
          <cell r="R38">
            <v>14</v>
          </cell>
          <cell r="S38">
            <v>5</v>
          </cell>
        </row>
        <row r="39">
          <cell r="B39" t="str">
            <v>EMMC</v>
          </cell>
          <cell r="C39" t="str">
            <v>HSLB10360</v>
          </cell>
          <cell r="D39">
            <v>103031</v>
          </cell>
          <cell r="E39" t="str">
            <v>Horno Eléctrico Empotrado</v>
          </cell>
          <cell r="F39" t="str">
            <v>SI</v>
          </cell>
          <cell r="G39" t="str">
            <v>NO</v>
          </cell>
          <cell r="H39" t="str">
            <v>COCINA CON REPOSTERO</v>
          </cell>
          <cell r="I39">
            <v>1</v>
          </cell>
          <cell r="J39" t="str">
            <v>E.1.6</v>
          </cell>
          <cell r="K39" t="str">
            <v>Auditorio</v>
          </cell>
          <cell r="L39">
            <v>3</v>
          </cell>
          <cell r="M39">
            <v>46049</v>
          </cell>
          <cell r="N39">
            <v>46050</v>
          </cell>
          <cell r="O39">
            <v>2</v>
          </cell>
          <cell r="P39">
            <v>46052</v>
          </cell>
          <cell r="Q39">
            <v>5</v>
          </cell>
          <cell r="R39" t="str">
            <v>NA</v>
          </cell>
          <cell r="S39">
            <v>5</v>
          </cell>
        </row>
        <row r="40">
          <cell r="B40" t="str">
            <v>EMMC</v>
          </cell>
          <cell r="C40" t="str">
            <v>HSLB10675</v>
          </cell>
          <cell r="D40">
            <v>104033</v>
          </cell>
          <cell r="E40" t="str">
            <v>Integrador Quirófano Especialidad</v>
          </cell>
          <cell r="F40" t="str">
            <v>SI</v>
          </cell>
          <cell r="G40" t="str">
            <v>NO</v>
          </cell>
          <cell r="H40" t="str">
            <v>PABELLON CIRUGIA MAYOR ELECTIVA</v>
          </cell>
          <cell r="I40">
            <v>1</v>
          </cell>
          <cell r="J40" t="str">
            <v>C.5.6.4.5.1</v>
          </cell>
          <cell r="K40" t="str">
            <v>Pabellones</v>
          </cell>
          <cell r="L40">
            <v>3</v>
          </cell>
          <cell r="M40">
            <v>46030</v>
          </cell>
          <cell r="N40">
            <v>46031</v>
          </cell>
          <cell r="O40">
            <v>15</v>
          </cell>
          <cell r="P40">
            <v>46052</v>
          </cell>
          <cell r="Q40">
            <v>5</v>
          </cell>
          <cell r="R40" t="str">
            <v>NA</v>
          </cell>
          <cell r="S40">
            <v>5</v>
          </cell>
        </row>
        <row r="41">
          <cell r="B41" t="str">
            <v>EMMC</v>
          </cell>
          <cell r="C41" t="str">
            <v>HSLB10508</v>
          </cell>
          <cell r="D41">
            <v>104009</v>
          </cell>
          <cell r="E41" t="str">
            <v>Lámpara de Procedimientos a techo</v>
          </cell>
          <cell r="F41" t="str">
            <v>SI</v>
          </cell>
          <cell r="G41" t="str">
            <v>NO</v>
          </cell>
          <cell r="H41" t="str">
            <v>SALA PARTO INTEGRAL</v>
          </cell>
          <cell r="I41">
            <v>1</v>
          </cell>
          <cell r="J41" t="str">
            <v>C.3.6.3.6.1</v>
          </cell>
          <cell r="K41" t="str">
            <v>Parto integral</v>
          </cell>
          <cell r="L41">
            <v>3</v>
          </cell>
          <cell r="M41">
            <v>46041</v>
          </cell>
          <cell r="N41">
            <v>46042</v>
          </cell>
          <cell r="O41">
            <v>15</v>
          </cell>
          <cell r="P41">
            <v>46063</v>
          </cell>
          <cell r="Q41">
            <v>5</v>
          </cell>
          <cell r="R41" t="str">
            <v>NA</v>
          </cell>
          <cell r="S41">
            <v>5</v>
          </cell>
        </row>
        <row r="42">
          <cell r="B42" t="str">
            <v>EMMC</v>
          </cell>
          <cell r="C42" t="str">
            <v>HSLB10509</v>
          </cell>
          <cell r="D42">
            <v>104009</v>
          </cell>
          <cell r="E42" t="str">
            <v>Lámpara de Procedimientos a techo</v>
          </cell>
          <cell r="F42" t="str">
            <v>SI</v>
          </cell>
          <cell r="G42" t="str">
            <v>NO</v>
          </cell>
          <cell r="H42" t="str">
            <v>SALA PARTO INTEGRAL</v>
          </cell>
          <cell r="I42">
            <v>1</v>
          </cell>
          <cell r="J42" t="str">
            <v>C.3.6.3.6.2</v>
          </cell>
          <cell r="K42" t="str">
            <v>Parto integral</v>
          </cell>
          <cell r="L42">
            <v>3</v>
          </cell>
          <cell r="M42">
            <v>46041</v>
          </cell>
          <cell r="N42">
            <v>46042</v>
          </cell>
          <cell r="O42">
            <v>15</v>
          </cell>
          <cell r="P42">
            <v>46063</v>
          </cell>
          <cell r="Q42">
            <v>5</v>
          </cell>
          <cell r="R42" t="str">
            <v>NA</v>
          </cell>
          <cell r="S42">
            <v>5</v>
          </cell>
        </row>
        <row r="43">
          <cell r="B43" t="str">
            <v>EMMC</v>
          </cell>
          <cell r="C43" t="str">
            <v>HSLB10510</v>
          </cell>
          <cell r="D43">
            <v>104009</v>
          </cell>
          <cell r="E43" t="str">
            <v>Lámpara de Procedimientos a techo</v>
          </cell>
          <cell r="F43" t="str">
            <v>SI</v>
          </cell>
          <cell r="G43" t="str">
            <v>NO</v>
          </cell>
          <cell r="H43" t="str">
            <v>SALA PARTO INTEGRAL</v>
          </cell>
          <cell r="I43">
            <v>1</v>
          </cell>
          <cell r="J43" t="str">
            <v>C.3.6.3.6.3</v>
          </cell>
          <cell r="K43" t="str">
            <v>Parto integral</v>
          </cell>
          <cell r="L43">
            <v>3</v>
          </cell>
          <cell r="M43">
            <v>46045</v>
          </cell>
          <cell r="N43">
            <v>46048</v>
          </cell>
          <cell r="O43">
            <v>5</v>
          </cell>
          <cell r="P43">
            <v>46055</v>
          </cell>
          <cell r="Q43">
            <v>5</v>
          </cell>
          <cell r="R43" t="str">
            <v>NA</v>
          </cell>
          <cell r="S43">
            <v>5</v>
          </cell>
        </row>
        <row r="44">
          <cell r="B44" t="str">
            <v>EMMC</v>
          </cell>
          <cell r="C44" t="str">
            <v>HSLB10533</v>
          </cell>
          <cell r="D44">
            <v>104011</v>
          </cell>
          <cell r="E44" t="str">
            <v>Lámpara Quirúrgica</v>
          </cell>
          <cell r="F44" t="str">
            <v>SI</v>
          </cell>
          <cell r="G44" t="str">
            <v>NO</v>
          </cell>
          <cell r="H44" t="str">
            <v>PABELLON CIRUGIA MAYOR ELECTIVA</v>
          </cell>
          <cell r="I44">
            <v>1</v>
          </cell>
          <cell r="J44" t="str">
            <v>C.5.6.4.5.2</v>
          </cell>
          <cell r="K44" t="str">
            <v>Pabellones</v>
          </cell>
          <cell r="L44">
            <v>3</v>
          </cell>
          <cell r="M44">
            <v>46030</v>
          </cell>
          <cell r="N44">
            <v>46031</v>
          </cell>
          <cell r="O44">
            <v>10</v>
          </cell>
          <cell r="P44">
            <v>46045</v>
          </cell>
          <cell r="Q44">
            <v>5</v>
          </cell>
          <cell r="R44" t="str">
            <v>NA</v>
          </cell>
          <cell r="S44">
            <v>5</v>
          </cell>
        </row>
        <row r="45">
          <cell r="B45" t="str">
            <v>EMMC</v>
          </cell>
          <cell r="C45" t="str">
            <v>HSLB10534</v>
          </cell>
          <cell r="D45">
            <v>104011</v>
          </cell>
          <cell r="E45" t="str">
            <v>Lámpara Quirúrgica</v>
          </cell>
          <cell r="F45" t="str">
            <v>SI</v>
          </cell>
          <cell r="G45" t="str">
            <v>NO</v>
          </cell>
          <cell r="H45" t="str">
            <v>PABELLON CIRUGIA MAYOR ELECTIVA</v>
          </cell>
          <cell r="I45">
            <v>1</v>
          </cell>
          <cell r="J45" t="str">
            <v>C.5.6.4.5.3</v>
          </cell>
          <cell r="K45" t="str">
            <v>Pabellones</v>
          </cell>
          <cell r="L45">
            <v>3</v>
          </cell>
          <cell r="M45">
            <v>46030</v>
          </cell>
          <cell r="N45">
            <v>46031</v>
          </cell>
          <cell r="O45">
            <v>10</v>
          </cell>
          <cell r="P45">
            <v>46045</v>
          </cell>
          <cell r="Q45">
            <v>5</v>
          </cell>
          <cell r="R45" t="str">
            <v>NA</v>
          </cell>
          <cell r="S45">
            <v>5</v>
          </cell>
        </row>
        <row r="46">
          <cell r="B46" t="str">
            <v>EMMC</v>
          </cell>
          <cell r="C46" t="str">
            <v>HSLB10535</v>
          </cell>
          <cell r="D46">
            <v>104011</v>
          </cell>
          <cell r="E46" t="str">
            <v>Lámpara Quirúrgica</v>
          </cell>
          <cell r="F46" t="str">
            <v>SI</v>
          </cell>
          <cell r="G46" t="str">
            <v>NO</v>
          </cell>
          <cell r="H46" t="str">
            <v>PABELLON CIRUGIA MAYOR AMBULATORIA</v>
          </cell>
          <cell r="I46">
            <v>1</v>
          </cell>
          <cell r="J46" t="str">
            <v>C.5.6.4.6.1</v>
          </cell>
          <cell r="K46" t="str">
            <v>Pabellones</v>
          </cell>
          <cell r="L46">
            <v>3</v>
          </cell>
          <cell r="M46">
            <v>46030</v>
          </cell>
          <cell r="N46">
            <v>46031</v>
          </cell>
          <cell r="O46">
            <v>10</v>
          </cell>
          <cell r="P46">
            <v>46045</v>
          </cell>
          <cell r="Q46">
            <v>5</v>
          </cell>
          <cell r="R46" t="str">
            <v>NA</v>
          </cell>
          <cell r="S46">
            <v>5</v>
          </cell>
        </row>
        <row r="47">
          <cell r="B47" t="str">
            <v>EMMC</v>
          </cell>
          <cell r="C47" t="str">
            <v>HSLB10536</v>
          </cell>
          <cell r="D47">
            <v>104011</v>
          </cell>
          <cell r="E47" t="str">
            <v>Lámpara Quirúrgica</v>
          </cell>
          <cell r="F47" t="str">
            <v>SI</v>
          </cell>
          <cell r="G47" t="str">
            <v>NO</v>
          </cell>
          <cell r="H47" t="str">
            <v>PABELLON CIRUGIA MAYOR AMBULATORIA</v>
          </cell>
          <cell r="I47">
            <v>1</v>
          </cell>
          <cell r="J47" t="str">
            <v>C.5.6.4.6.2</v>
          </cell>
          <cell r="K47" t="str">
            <v>Pabellones</v>
          </cell>
          <cell r="L47">
            <v>3</v>
          </cell>
          <cell r="M47">
            <v>46030</v>
          </cell>
          <cell r="N47">
            <v>46031</v>
          </cell>
          <cell r="O47">
            <v>10</v>
          </cell>
          <cell r="P47">
            <v>46045</v>
          </cell>
          <cell r="Q47">
            <v>5</v>
          </cell>
          <cell r="R47" t="str">
            <v>NA</v>
          </cell>
          <cell r="S47">
            <v>5</v>
          </cell>
        </row>
        <row r="48">
          <cell r="B48" t="str">
            <v>EMMC</v>
          </cell>
          <cell r="C48" t="str">
            <v>HSLB10537</v>
          </cell>
          <cell r="D48">
            <v>104011</v>
          </cell>
          <cell r="E48" t="str">
            <v>Lámpara Quirúrgica</v>
          </cell>
          <cell r="F48" t="str">
            <v>SI</v>
          </cell>
          <cell r="G48" t="str">
            <v>NO</v>
          </cell>
          <cell r="H48" t="str">
            <v>PABELLON URGENCIAS</v>
          </cell>
          <cell r="I48">
            <v>1</v>
          </cell>
          <cell r="J48" t="str">
            <v>C.5.6.4.7</v>
          </cell>
          <cell r="K48" t="str">
            <v>Pabellones</v>
          </cell>
          <cell r="L48">
            <v>3</v>
          </cell>
          <cell r="M48">
            <v>46030</v>
          </cell>
          <cell r="N48">
            <v>46031</v>
          </cell>
          <cell r="O48">
            <v>10</v>
          </cell>
          <cell r="P48">
            <v>46045</v>
          </cell>
          <cell r="Q48">
            <v>5</v>
          </cell>
          <cell r="R48" t="str">
            <v>NA</v>
          </cell>
          <cell r="S48">
            <v>5</v>
          </cell>
        </row>
        <row r="49">
          <cell r="B49" t="str">
            <v>EMMC</v>
          </cell>
          <cell r="C49" t="str">
            <v>HSLB10538</v>
          </cell>
          <cell r="D49">
            <v>104012</v>
          </cell>
          <cell r="E49" t="str">
            <v>LÁMPARA QUIRÚRGICA CON CÁMARA</v>
          </cell>
          <cell r="F49" t="str">
            <v>SI</v>
          </cell>
          <cell r="G49" t="str">
            <v>NO</v>
          </cell>
          <cell r="H49" t="str">
            <v>PABELLON CIRUGIA MAYOR ELECTIVA</v>
          </cell>
          <cell r="I49">
            <v>1</v>
          </cell>
          <cell r="J49" t="str">
            <v>C.5.6.4.5.1</v>
          </cell>
          <cell r="K49" t="str">
            <v>Pabellones</v>
          </cell>
          <cell r="L49">
            <v>3</v>
          </cell>
          <cell r="M49">
            <v>46030</v>
          </cell>
          <cell r="N49">
            <v>46031</v>
          </cell>
          <cell r="O49">
            <v>10</v>
          </cell>
          <cell r="P49">
            <v>46045</v>
          </cell>
          <cell r="Q49">
            <v>5</v>
          </cell>
          <cell r="R49" t="str">
            <v>NA</v>
          </cell>
          <cell r="S49">
            <v>5</v>
          </cell>
        </row>
        <row r="50">
          <cell r="B50" t="str">
            <v>EMMC</v>
          </cell>
          <cell r="C50" t="str">
            <v>HSLB10370</v>
          </cell>
          <cell r="D50">
            <v>103032</v>
          </cell>
          <cell r="E50" t="str">
            <v>Lavachatas Automático</v>
          </cell>
          <cell r="F50" t="str">
            <v>SI</v>
          </cell>
          <cell r="G50" t="str">
            <v>NO</v>
          </cell>
          <cell r="H50" t="str">
            <v>LAVACHATA AUTOMATICO</v>
          </cell>
          <cell r="I50">
            <v>1</v>
          </cell>
          <cell r="J50" t="str">
            <v>C.3.6.3.16</v>
          </cell>
          <cell r="K50" t="str">
            <v>Parto integral</v>
          </cell>
          <cell r="L50">
            <v>3</v>
          </cell>
          <cell r="M50">
            <v>46045</v>
          </cell>
          <cell r="N50">
            <v>46048</v>
          </cell>
          <cell r="O50">
            <v>5</v>
          </cell>
          <cell r="P50">
            <v>46055</v>
          </cell>
          <cell r="Q50">
            <v>5</v>
          </cell>
          <cell r="R50" t="str">
            <v>NA</v>
          </cell>
          <cell r="S50">
            <v>5</v>
          </cell>
        </row>
        <row r="51">
          <cell r="B51" t="str">
            <v>EMMC</v>
          </cell>
          <cell r="C51" t="str">
            <v>HSLB10371</v>
          </cell>
          <cell r="D51">
            <v>103032</v>
          </cell>
          <cell r="E51" t="str">
            <v>Lavachatas Automático</v>
          </cell>
          <cell r="F51" t="str">
            <v>SI</v>
          </cell>
          <cell r="G51" t="str">
            <v>NO</v>
          </cell>
          <cell r="H51" t="str">
            <v>LAVACHATA AUTOMATICO</v>
          </cell>
          <cell r="I51">
            <v>1</v>
          </cell>
          <cell r="J51" t="str">
            <v>C.3.7.23</v>
          </cell>
          <cell r="K51" t="str">
            <v>UTI</v>
          </cell>
          <cell r="L51">
            <v>3</v>
          </cell>
          <cell r="M51">
            <v>46043</v>
          </cell>
          <cell r="N51">
            <v>46044</v>
          </cell>
          <cell r="O51">
            <v>5</v>
          </cell>
          <cell r="P51">
            <v>46051</v>
          </cell>
          <cell r="Q51">
            <v>5</v>
          </cell>
          <cell r="R51" t="str">
            <v>NA</v>
          </cell>
          <cell r="S51">
            <v>5</v>
          </cell>
        </row>
        <row r="52">
          <cell r="B52" t="str">
            <v>EMMC</v>
          </cell>
          <cell r="C52" t="str">
            <v>HSLB10374</v>
          </cell>
          <cell r="D52">
            <v>103032</v>
          </cell>
          <cell r="E52" t="str">
            <v>Lavachatas Automático</v>
          </cell>
          <cell r="F52" t="str">
            <v>SI</v>
          </cell>
          <cell r="G52" t="str">
            <v>NO</v>
          </cell>
          <cell r="H52" t="str">
            <v>LAVACHATA AUTOMATICO</v>
          </cell>
          <cell r="I52">
            <v>1</v>
          </cell>
          <cell r="J52" t="str">
            <v>C.5.6.3.22</v>
          </cell>
          <cell r="K52" t="str">
            <v>Pabellones</v>
          </cell>
          <cell r="L52">
            <v>3</v>
          </cell>
          <cell r="M52">
            <v>46013</v>
          </cell>
          <cell r="N52">
            <v>46014</v>
          </cell>
          <cell r="O52">
            <v>5</v>
          </cell>
          <cell r="P52">
            <v>46022</v>
          </cell>
          <cell r="Q52">
            <v>5</v>
          </cell>
          <cell r="R52" t="str">
            <v>NA</v>
          </cell>
          <cell r="S52">
            <v>5</v>
          </cell>
        </row>
        <row r="53">
          <cell r="B53" t="str">
            <v>EMMC</v>
          </cell>
          <cell r="C53" t="str">
            <v>HSLB11137</v>
          </cell>
          <cell r="D53">
            <v>107007</v>
          </cell>
          <cell r="E53" t="str">
            <v>Lavadora Descontaminadora 10 DIN</v>
          </cell>
          <cell r="F53" t="str">
            <v>SI</v>
          </cell>
          <cell r="G53" t="str">
            <v>NO</v>
          </cell>
          <cell r="H53" t="str">
            <v>LAVADORAS DESCONTAMINADORAS</v>
          </cell>
          <cell r="I53">
            <v>1</v>
          </cell>
          <cell r="J53" t="str">
            <v>C.5.5.14</v>
          </cell>
          <cell r="K53" t="str">
            <v>Esterilización</v>
          </cell>
          <cell r="L53">
            <v>3</v>
          </cell>
          <cell r="M53">
            <v>46013</v>
          </cell>
          <cell r="N53">
            <v>46014</v>
          </cell>
          <cell r="O53">
            <v>7</v>
          </cell>
          <cell r="P53">
            <v>46027</v>
          </cell>
          <cell r="Q53">
            <v>5</v>
          </cell>
          <cell r="R53" t="str">
            <v>NA</v>
          </cell>
          <cell r="S53">
            <v>5</v>
          </cell>
        </row>
        <row r="54">
          <cell r="B54" t="str">
            <v>EMMC</v>
          </cell>
          <cell r="C54" t="str">
            <v>HSLB11138</v>
          </cell>
          <cell r="D54">
            <v>107008</v>
          </cell>
          <cell r="E54" t="str">
            <v>Lavadora Descontaminadora 15 DIN</v>
          </cell>
          <cell r="F54" t="str">
            <v>SI</v>
          </cell>
          <cell r="G54" t="str">
            <v>NO</v>
          </cell>
          <cell r="H54" t="str">
            <v>LAVADORAS DESCONTAMINADORAS</v>
          </cell>
          <cell r="I54">
            <v>2</v>
          </cell>
          <cell r="J54" t="str">
            <v>C.5.5.14</v>
          </cell>
          <cell r="K54" t="str">
            <v>Esterilización</v>
          </cell>
          <cell r="L54">
            <v>3</v>
          </cell>
          <cell r="M54">
            <v>46013</v>
          </cell>
          <cell r="N54">
            <v>46014</v>
          </cell>
          <cell r="O54">
            <v>7</v>
          </cell>
          <cell r="P54">
            <v>46027</v>
          </cell>
          <cell r="Q54">
            <v>5</v>
          </cell>
          <cell r="R54" t="str">
            <v>NA</v>
          </cell>
          <cell r="S54">
            <v>5</v>
          </cell>
        </row>
        <row r="55">
          <cell r="B55" t="str">
            <v>EMMC</v>
          </cell>
          <cell r="C55" t="str">
            <v>HSLB11140</v>
          </cell>
          <cell r="D55">
            <v>107010</v>
          </cell>
          <cell r="E55" t="str">
            <v>Lavadora Ultrasónica</v>
          </cell>
          <cell r="F55" t="str">
            <v>SI</v>
          </cell>
          <cell r="G55" t="str">
            <v>NO</v>
          </cell>
          <cell r="H55" t="str">
            <v xml:space="preserve">LAVADORA ULTRASONICA </v>
          </cell>
          <cell r="I55">
            <v>1</v>
          </cell>
          <cell r="J55" t="str">
            <v>C.5.5.16</v>
          </cell>
          <cell r="K55" t="str">
            <v>Esterilización</v>
          </cell>
          <cell r="L55">
            <v>3</v>
          </cell>
          <cell r="M55">
            <v>46013</v>
          </cell>
          <cell r="N55">
            <v>46014</v>
          </cell>
          <cell r="O55">
            <v>7</v>
          </cell>
          <cell r="P55">
            <v>46027</v>
          </cell>
          <cell r="Q55">
            <v>5</v>
          </cell>
          <cell r="R55">
            <v>14</v>
          </cell>
          <cell r="S55">
            <v>5</v>
          </cell>
        </row>
        <row r="56">
          <cell r="B56" t="str">
            <v>EMMC</v>
          </cell>
          <cell r="C56" t="str">
            <v>HSLB12725</v>
          </cell>
          <cell r="D56">
            <v>113007</v>
          </cell>
          <cell r="E56" t="str">
            <v>Monitor de Signos Vitales Alta Complejidad</v>
          </cell>
          <cell r="F56" t="str">
            <v>SI</v>
          </cell>
          <cell r="G56" t="str">
            <v>NO</v>
          </cell>
          <cell r="H56" t="str">
            <v>SALA 1 CAMA</v>
          </cell>
          <cell r="I56">
            <v>1</v>
          </cell>
          <cell r="J56" t="str">
            <v>C.3.7.16.8</v>
          </cell>
          <cell r="K56" t="str">
            <v>UTI</v>
          </cell>
          <cell r="L56">
            <v>3</v>
          </cell>
          <cell r="M56">
            <v>46043</v>
          </cell>
          <cell r="N56">
            <v>46044</v>
          </cell>
          <cell r="O56">
            <v>5</v>
          </cell>
          <cell r="P56">
            <v>46051</v>
          </cell>
          <cell r="Q56">
            <v>5</v>
          </cell>
          <cell r="R56" t="str">
            <v>NA</v>
          </cell>
          <cell r="S56">
            <v>5</v>
          </cell>
        </row>
        <row r="57">
          <cell r="B57" t="str">
            <v>EMMC</v>
          </cell>
          <cell r="C57" t="str">
            <v>HSLB12726</v>
          </cell>
          <cell r="D57">
            <v>113007</v>
          </cell>
          <cell r="E57" t="str">
            <v>Monitor de Signos Vitales Alta Complejidad</v>
          </cell>
          <cell r="F57" t="str">
            <v>SI</v>
          </cell>
          <cell r="G57" t="str">
            <v>NO</v>
          </cell>
          <cell r="H57" t="str">
            <v>SALA 1 CAMA</v>
          </cell>
          <cell r="I57">
            <v>1</v>
          </cell>
          <cell r="J57" t="str">
            <v>C.3.7.16.9</v>
          </cell>
          <cell r="K57" t="str">
            <v>UTI</v>
          </cell>
          <cell r="L57">
            <v>3</v>
          </cell>
          <cell r="M57">
            <v>46043</v>
          </cell>
          <cell r="N57">
            <v>46044</v>
          </cell>
          <cell r="O57">
            <v>5</v>
          </cell>
          <cell r="P57">
            <v>46051</v>
          </cell>
          <cell r="Q57">
            <v>5</v>
          </cell>
          <cell r="R57" t="str">
            <v>NA</v>
          </cell>
          <cell r="S57">
            <v>5</v>
          </cell>
        </row>
        <row r="58">
          <cell r="B58" t="str">
            <v>EMMC</v>
          </cell>
          <cell r="C58" t="str">
            <v>HSLB12727</v>
          </cell>
          <cell r="D58">
            <v>113007</v>
          </cell>
          <cell r="E58" t="str">
            <v>Monitor de Signos Vitales Alta Complejidad</v>
          </cell>
          <cell r="F58" t="str">
            <v>SI</v>
          </cell>
          <cell r="G58" t="str">
            <v>NO</v>
          </cell>
          <cell r="H58" t="str">
            <v>SALA AISLAMIENTO</v>
          </cell>
          <cell r="I58">
            <v>1</v>
          </cell>
          <cell r="J58" t="str">
            <v>C.3.7.17.1</v>
          </cell>
          <cell r="K58" t="str">
            <v>UTI</v>
          </cell>
          <cell r="L58">
            <v>3</v>
          </cell>
          <cell r="M58">
            <v>46043</v>
          </cell>
          <cell r="N58">
            <v>46044</v>
          </cell>
          <cell r="O58">
            <v>5</v>
          </cell>
          <cell r="P58">
            <v>46051</v>
          </cell>
          <cell r="Q58">
            <v>5</v>
          </cell>
          <cell r="R58" t="str">
            <v>NA</v>
          </cell>
          <cell r="S58">
            <v>5</v>
          </cell>
        </row>
        <row r="59">
          <cell r="B59" t="str">
            <v>EMMC</v>
          </cell>
          <cell r="C59" t="str">
            <v>HSLB12819</v>
          </cell>
          <cell r="D59">
            <v>113010</v>
          </cell>
          <cell r="E59" t="str">
            <v>Monitor de Signos Vitales Mediana Complejidad</v>
          </cell>
          <cell r="F59" t="str">
            <v>SI</v>
          </cell>
          <cell r="G59" t="str">
            <v>NO</v>
          </cell>
          <cell r="H59" t="str">
            <v>SALA 1 CAMA</v>
          </cell>
          <cell r="I59">
            <v>1</v>
          </cell>
          <cell r="J59" t="str">
            <v>C.3.7.16.1</v>
          </cell>
          <cell r="K59" t="str">
            <v>UTI</v>
          </cell>
          <cell r="L59">
            <v>3</v>
          </cell>
          <cell r="M59">
            <v>46043</v>
          </cell>
          <cell r="N59">
            <v>46044</v>
          </cell>
          <cell r="O59">
            <v>5</v>
          </cell>
          <cell r="P59">
            <v>46051</v>
          </cell>
          <cell r="Q59">
            <v>5</v>
          </cell>
          <cell r="R59" t="str">
            <v>NA</v>
          </cell>
          <cell r="S59">
            <v>5</v>
          </cell>
        </row>
        <row r="60">
          <cell r="B60" t="str">
            <v>EMMC</v>
          </cell>
          <cell r="C60" t="str">
            <v>HSLB12820</v>
          </cell>
          <cell r="D60">
            <v>113010</v>
          </cell>
          <cell r="E60" t="str">
            <v>Monitor de Signos Vitales Mediana Complejidad</v>
          </cell>
          <cell r="F60" t="str">
            <v>SI</v>
          </cell>
          <cell r="G60" t="str">
            <v>NO</v>
          </cell>
          <cell r="H60" t="str">
            <v>SALA 1 CAMA</v>
          </cell>
          <cell r="I60">
            <v>1</v>
          </cell>
          <cell r="J60" t="str">
            <v>C.3.7.16.10</v>
          </cell>
          <cell r="K60" t="str">
            <v>UTI</v>
          </cell>
          <cell r="L60">
            <v>3</v>
          </cell>
          <cell r="M60">
            <v>46043</v>
          </cell>
          <cell r="N60">
            <v>46044</v>
          </cell>
          <cell r="O60">
            <v>5</v>
          </cell>
          <cell r="P60">
            <v>46051</v>
          </cell>
          <cell r="Q60">
            <v>5</v>
          </cell>
          <cell r="R60" t="str">
            <v>NA</v>
          </cell>
          <cell r="S60">
            <v>5</v>
          </cell>
        </row>
        <row r="61">
          <cell r="B61" t="str">
            <v>EMMC</v>
          </cell>
          <cell r="C61" t="str">
            <v>HSLB12821</v>
          </cell>
          <cell r="D61">
            <v>113010</v>
          </cell>
          <cell r="E61" t="str">
            <v>Monitor de Signos Vitales Mediana Complejidad</v>
          </cell>
          <cell r="F61" t="str">
            <v>SI</v>
          </cell>
          <cell r="G61" t="str">
            <v>NO</v>
          </cell>
          <cell r="H61" t="str">
            <v>SALA 1 CAMA</v>
          </cell>
          <cell r="I61">
            <v>1</v>
          </cell>
          <cell r="J61" t="str">
            <v>C.3.7.16.2</v>
          </cell>
          <cell r="K61" t="str">
            <v>UTI</v>
          </cell>
          <cell r="L61">
            <v>3</v>
          </cell>
          <cell r="M61">
            <v>46043</v>
          </cell>
          <cell r="N61">
            <v>46044</v>
          </cell>
          <cell r="O61">
            <v>5</v>
          </cell>
          <cell r="P61">
            <v>46051</v>
          </cell>
          <cell r="Q61">
            <v>5</v>
          </cell>
          <cell r="R61" t="str">
            <v>NA</v>
          </cell>
          <cell r="S61">
            <v>5</v>
          </cell>
        </row>
        <row r="62">
          <cell r="B62" t="str">
            <v>EMMC</v>
          </cell>
          <cell r="C62" t="str">
            <v>HSLB12822</v>
          </cell>
          <cell r="D62">
            <v>113010</v>
          </cell>
          <cell r="E62" t="str">
            <v>Monitor de Signos Vitales Mediana Complejidad</v>
          </cell>
          <cell r="F62" t="str">
            <v>SI</v>
          </cell>
          <cell r="G62" t="str">
            <v>NO</v>
          </cell>
          <cell r="H62" t="str">
            <v>SALA 1 CAMA</v>
          </cell>
          <cell r="I62">
            <v>1</v>
          </cell>
          <cell r="J62" t="str">
            <v>C.3.7.16.3</v>
          </cell>
          <cell r="K62" t="str">
            <v>UTI</v>
          </cell>
          <cell r="L62">
            <v>3</v>
          </cell>
          <cell r="M62">
            <v>46043</v>
          </cell>
          <cell r="N62">
            <v>46044</v>
          </cell>
          <cell r="O62">
            <v>5</v>
          </cell>
          <cell r="P62">
            <v>46051</v>
          </cell>
          <cell r="Q62">
            <v>5</v>
          </cell>
          <cell r="R62" t="str">
            <v>NA</v>
          </cell>
          <cell r="S62">
            <v>5</v>
          </cell>
        </row>
        <row r="63">
          <cell r="B63" t="str">
            <v>EMMC</v>
          </cell>
          <cell r="C63" t="str">
            <v>HSLB12823</v>
          </cell>
          <cell r="D63">
            <v>113010</v>
          </cell>
          <cell r="E63" t="str">
            <v>Monitor de Signos Vitales Mediana Complejidad</v>
          </cell>
          <cell r="F63" t="str">
            <v>SI</v>
          </cell>
          <cell r="G63" t="str">
            <v>NO</v>
          </cell>
          <cell r="H63" t="str">
            <v>SALA 1 CAMA</v>
          </cell>
          <cell r="I63">
            <v>1</v>
          </cell>
          <cell r="J63" t="str">
            <v>C.3.7.16.4</v>
          </cell>
          <cell r="K63" t="str">
            <v>UTI</v>
          </cell>
          <cell r="L63">
            <v>3</v>
          </cell>
          <cell r="M63">
            <v>46043</v>
          </cell>
          <cell r="N63">
            <v>46044</v>
          </cell>
          <cell r="O63">
            <v>5</v>
          </cell>
          <cell r="P63">
            <v>46051</v>
          </cell>
          <cell r="Q63">
            <v>5</v>
          </cell>
          <cell r="R63" t="str">
            <v>NA</v>
          </cell>
          <cell r="S63">
            <v>5</v>
          </cell>
        </row>
        <row r="64">
          <cell r="B64" t="str">
            <v>EMMC</v>
          </cell>
          <cell r="C64" t="str">
            <v>HSLB12824</v>
          </cell>
          <cell r="D64">
            <v>113010</v>
          </cell>
          <cell r="E64" t="str">
            <v>Monitor de Signos Vitales Mediana Complejidad</v>
          </cell>
          <cell r="F64" t="str">
            <v>SI</v>
          </cell>
          <cell r="G64" t="str">
            <v>NO</v>
          </cell>
          <cell r="H64" t="str">
            <v>SALA 1 CAMA</v>
          </cell>
          <cell r="I64">
            <v>1</v>
          </cell>
          <cell r="J64" t="str">
            <v>C.3.7.16.5</v>
          </cell>
          <cell r="K64" t="str">
            <v>UTI</v>
          </cell>
          <cell r="L64">
            <v>3</v>
          </cell>
          <cell r="M64">
            <v>46043</v>
          </cell>
          <cell r="N64">
            <v>46044</v>
          </cell>
          <cell r="O64">
            <v>5</v>
          </cell>
          <cell r="P64">
            <v>46051</v>
          </cell>
          <cell r="Q64">
            <v>5</v>
          </cell>
          <cell r="R64" t="str">
            <v>NA</v>
          </cell>
          <cell r="S64">
            <v>5</v>
          </cell>
        </row>
        <row r="65">
          <cell r="B65" t="str">
            <v>EMMC</v>
          </cell>
          <cell r="C65" t="str">
            <v>HSLB12825</v>
          </cell>
          <cell r="D65">
            <v>113010</v>
          </cell>
          <cell r="E65" t="str">
            <v>Monitor de Signos Vitales Mediana Complejidad</v>
          </cell>
          <cell r="F65" t="str">
            <v>SI</v>
          </cell>
          <cell r="G65" t="str">
            <v>NO</v>
          </cell>
          <cell r="H65" t="str">
            <v>SALA 1 CAMA</v>
          </cell>
          <cell r="I65">
            <v>1</v>
          </cell>
          <cell r="J65" t="str">
            <v>C.3.7.16.6</v>
          </cell>
          <cell r="K65" t="str">
            <v>UTI</v>
          </cell>
          <cell r="L65">
            <v>3</v>
          </cell>
          <cell r="M65">
            <v>46043</v>
          </cell>
          <cell r="N65">
            <v>46044</v>
          </cell>
          <cell r="O65">
            <v>5</v>
          </cell>
          <cell r="P65">
            <v>46051</v>
          </cell>
          <cell r="Q65">
            <v>5</v>
          </cell>
          <cell r="R65" t="str">
            <v>NA</v>
          </cell>
          <cell r="S65">
            <v>5</v>
          </cell>
        </row>
        <row r="66">
          <cell r="B66" t="str">
            <v>EMMC</v>
          </cell>
          <cell r="C66" t="str">
            <v>HSLB12826</v>
          </cell>
          <cell r="D66">
            <v>113010</v>
          </cell>
          <cell r="E66" t="str">
            <v>Monitor de Signos Vitales Mediana Complejidad</v>
          </cell>
          <cell r="F66" t="str">
            <v>SI</v>
          </cell>
          <cell r="G66" t="str">
            <v>NO</v>
          </cell>
          <cell r="H66" t="str">
            <v>SALA 1 CAMA</v>
          </cell>
          <cell r="I66">
            <v>1</v>
          </cell>
          <cell r="J66" t="str">
            <v>C.3.7.16.7</v>
          </cell>
          <cell r="K66" t="str">
            <v>UTI</v>
          </cell>
          <cell r="L66">
            <v>3</v>
          </cell>
          <cell r="M66">
            <v>46043</v>
          </cell>
          <cell r="N66">
            <v>46044</v>
          </cell>
          <cell r="O66">
            <v>5</v>
          </cell>
          <cell r="P66">
            <v>46051</v>
          </cell>
          <cell r="Q66">
            <v>5</v>
          </cell>
          <cell r="R66" t="str">
            <v>NA</v>
          </cell>
          <cell r="S66">
            <v>5</v>
          </cell>
        </row>
        <row r="67">
          <cell r="B67" t="str">
            <v>EMMC</v>
          </cell>
          <cell r="C67" t="str">
            <v>HSLB12827</v>
          </cell>
          <cell r="D67">
            <v>113010</v>
          </cell>
          <cell r="E67" t="str">
            <v>Monitor de Signos Vitales Mediana Complejidad</v>
          </cell>
          <cell r="F67" t="str">
            <v>SI</v>
          </cell>
          <cell r="G67" t="str">
            <v>NO</v>
          </cell>
          <cell r="H67" t="str">
            <v>SALA AISLAMIENTO</v>
          </cell>
          <cell r="I67">
            <v>1</v>
          </cell>
          <cell r="J67" t="str">
            <v>C.3.7.17.2</v>
          </cell>
          <cell r="K67" t="str">
            <v>UTI</v>
          </cell>
          <cell r="L67">
            <v>3</v>
          </cell>
          <cell r="M67">
            <v>46043</v>
          </cell>
          <cell r="N67">
            <v>46044</v>
          </cell>
          <cell r="O67">
            <v>5</v>
          </cell>
          <cell r="P67">
            <v>46051</v>
          </cell>
          <cell r="Q67">
            <v>5</v>
          </cell>
          <cell r="R67" t="str">
            <v>NA</v>
          </cell>
          <cell r="S67">
            <v>5</v>
          </cell>
        </row>
        <row r="68">
          <cell r="B68" t="str">
            <v>EMMC</v>
          </cell>
          <cell r="C68" t="str">
            <v>HSLB11143</v>
          </cell>
          <cell r="D68">
            <v>107012</v>
          </cell>
          <cell r="E68" t="str">
            <v>Secadora de Tubos</v>
          </cell>
          <cell r="F68" t="str">
            <v>SI</v>
          </cell>
          <cell r="G68" t="str">
            <v>NO</v>
          </cell>
          <cell r="H68" t="str">
            <v>PREPARACIÓN Y EMPAQUE INSTRUMENTAL</v>
          </cell>
          <cell r="I68">
            <v>1</v>
          </cell>
          <cell r="J68" t="str">
            <v>C.5.5.23</v>
          </cell>
          <cell r="K68" t="str">
            <v>Esterilización</v>
          </cell>
          <cell r="L68">
            <v>3</v>
          </cell>
          <cell r="M68">
            <v>46013</v>
          </cell>
          <cell r="N68">
            <v>46014</v>
          </cell>
          <cell r="O68">
            <v>7</v>
          </cell>
          <cell r="P68">
            <v>46027</v>
          </cell>
          <cell r="Q68">
            <v>5</v>
          </cell>
          <cell r="R68">
            <v>14</v>
          </cell>
          <cell r="S68">
            <v>5</v>
          </cell>
        </row>
        <row r="69">
          <cell r="B69" t="str">
            <v>EMMC</v>
          </cell>
          <cell r="C69" t="str">
            <v>HSLB10576</v>
          </cell>
          <cell r="D69">
            <v>104030</v>
          </cell>
          <cell r="E69" t="str">
            <v>Sistema de Columnas y Brazos</v>
          </cell>
          <cell r="F69" t="str">
            <v>SI</v>
          </cell>
          <cell r="G69" t="str">
            <v>NO</v>
          </cell>
          <cell r="H69" t="str">
            <v>PABELLON CIRUGIA MAYOR ELECTIVA</v>
          </cell>
          <cell r="I69">
            <v>1</v>
          </cell>
          <cell r="J69" t="str">
            <v>C.5.6.4.5.2</v>
          </cell>
          <cell r="K69" t="str">
            <v>Pabellones</v>
          </cell>
          <cell r="L69">
            <v>3</v>
          </cell>
          <cell r="M69">
            <v>46030</v>
          </cell>
          <cell r="N69">
            <v>46031</v>
          </cell>
          <cell r="O69">
            <v>15</v>
          </cell>
          <cell r="P69">
            <v>46052</v>
          </cell>
          <cell r="Q69">
            <v>5</v>
          </cell>
          <cell r="R69" t="str">
            <v>NA</v>
          </cell>
          <cell r="S69">
            <v>5</v>
          </cell>
        </row>
        <row r="70">
          <cell r="B70" t="str">
            <v>EMMC</v>
          </cell>
          <cell r="C70" t="str">
            <v>HSLB10577</v>
          </cell>
          <cell r="D70">
            <v>104030</v>
          </cell>
          <cell r="E70" t="str">
            <v>Sistema de Columnas y Brazos</v>
          </cell>
          <cell r="F70" t="str">
            <v>SI</v>
          </cell>
          <cell r="G70" t="str">
            <v>NO</v>
          </cell>
          <cell r="H70" t="str">
            <v>PABELLON CIRUGIA MAYOR ELECTIVA</v>
          </cell>
          <cell r="I70">
            <v>1</v>
          </cell>
          <cell r="J70" t="str">
            <v>C.5.6.4.5.3</v>
          </cell>
          <cell r="K70" t="str">
            <v>Pabellones</v>
          </cell>
          <cell r="L70">
            <v>3</v>
          </cell>
          <cell r="M70">
            <v>46030</v>
          </cell>
          <cell r="N70">
            <v>46031</v>
          </cell>
          <cell r="O70">
            <v>15</v>
          </cell>
          <cell r="P70">
            <v>46052</v>
          </cell>
          <cell r="Q70">
            <v>5</v>
          </cell>
          <cell r="R70" t="str">
            <v>NA</v>
          </cell>
          <cell r="S70">
            <v>5</v>
          </cell>
        </row>
        <row r="71">
          <cell r="B71" t="str">
            <v>EMMC</v>
          </cell>
          <cell r="C71" t="str">
            <v>HSLB12814</v>
          </cell>
          <cell r="D71">
            <v>113009</v>
          </cell>
          <cell r="E71" t="str">
            <v>Monitor de Signos Vitales Básico</v>
          </cell>
          <cell r="F71" t="str">
            <v>NO</v>
          </cell>
          <cell r="G71" t="str">
            <v>NO</v>
          </cell>
          <cell r="H71" t="str">
            <v>SALA RECUPERACION CIRUGIA MAYOR AMBULATORIA</v>
          </cell>
          <cell r="I71">
            <v>2</v>
          </cell>
          <cell r="J71" t="str">
            <v>C.5.6.3.14.4</v>
          </cell>
          <cell r="K71" t="str">
            <v>Pabellones</v>
          </cell>
          <cell r="L71">
            <v>3</v>
          </cell>
          <cell r="M71">
            <v>46039</v>
          </cell>
          <cell r="N71">
            <v>46041</v>
          </cell>
          <cell r="O71">
            <v>1</v>
          </cell>
          <cell r="P71">
            <v>46042</v>
          </cell>
          <cell r="Q71">
            <v>5</v>
          </cell>
          <cell r="R71" t="str">
            <v>NA</v>
          </cell>
          <cell r="S71">
            <v>5</v>
          </cell>
        </row>
        <row r="72">
          <cell r="B72" t="str">
            <v>EMMC</v>
          </cell>
          <cell r="C72" t="str">
            <v>HSLB12810</v>
          </cell>
          <cell r="D72">
            <v>113009</v>
          </cell>
          <cell r="E72" t="str">
            <v>Monitor de Signos Vitales Básico</v>
          </cell>
          <cell r="F72" t="str">
            <v>NO</v>
          </cell>
          <cell r="G72" t="str">
            <v>NO</v>
          </cell>
          <cell r="H72" t="str">
            <v>BOX INGRESO PREPARACIÓN DE PACIENTES</v>
          </cell>
          <cell r="I72">
            <v>1</v>
          </cell>
          <cell r="J72" t="str">
            <v>C.5.6.2.1</v>
          </cell>
          <cell r="K72" t="str">
            <v>Pabellones</v>
          </cell>
          <cell r="L72">
            <v>3</v>
          </cell>
          <cell r="M72">
            <v>46039</v>
          </cell>
          <cell r="N72">
            <v>46041</v>
          </cell>
          <cell r="O72">
            <v>1</v>
          </cell>
          <cell r="P72">
            <v>46042</v>
          </cell>
          <cell r="Q72">
            <v>5</v>
          </cell>
          <cell r="R72" t="str">
            <v>NA</v>
          </cell>
          <cell r="S72">
            <v>5</v>
          </cell>
        </row>
        <row r="73">
          <cell r="B73" t="str">
            <v>EMMC</v>
          </cell>
          <cell r="C73" t="str">
            <v>HSLB12811</v>
          </cell>
          <cell r="D73">
            <v>113009</v>
          </cell>
          <cell r="E73" t="str">
            <v>Monitor de Signos Vitales Básico</v>
          </cell>
          <cell r="F73" t="str">
            <v>NO</v>
          </cell>
          <cell r="G73" t="str">
            <v>NO</v>
          </cell>
          <cell r="H73" t="str">
            <v>SALA RECUPERACION CIRUGIA MAYOR AMBULATORIA</v>
          </cell>
          <cell r="I73">
            <v>1</v>
          </cell>
          <cell r="J73" t="str">
            <v>C.5.6.3.14.1</v>
          </cell>
          <cell r="K73" t="str">
            <v>Pabellones</v>
          </cell>
          <cell r="L73">
            <v>3</v>
          </cell>
          <cell r="M73">
            <v>46039</v>
          </cell>
          <cell r="N73">
            <v>46041</v>
          </cell>
          <cell r="O73">
            <v>1</v>
          </cell>
          <cell r="P73">
            <v>46042</v>
          </cell>
          <cell r="Q73">
            <v>5</v>
          </cell>
          <cell r="R73" t="str">
            <v>NA</v>
          </cell>
          <cell r="S73">
            <v>5</v>
          </cell>
        </row>
        <row r="74">
          <cell r="B74" t="str">
            <v>EMMC</v>
          </cell>
          <cell r="C74" t="str">
            <v>HSLB12812</v>
          </cell>
          <cell r="D74">
            <v>113009</v>
          </cell>
          <cell r="E74" t="str">
            <v>Monitor de Signos Vitales Básico</v>
          </cell>
          <cell r="F74" t="str">
            <v>NO</v>
          </cell>
          <cell r="G74" t="str">
            <v>NO</v>
          </cell>
          <cell r="H74" t="str">
            <v>SALA RECUPERACION CIRUGIA MAYOR AMBULATORIA</v>
          </cell>
          <cell r="I74">
            <v>1</v>
          </cell>
          <cell r="J74" t="str">
            <v>C.5.6.3.14.2</v>
          </cell>
          <cell r="K74" t="str">
            <v>Pabellones</v>
          </cell>
          <cell r="L74">
            <v>3</v>
          </cell>
          <cell r="M74">
            <v>46039</v>
          </cell>
          <cell r="N74">
            <v>46041</v>
          </cell>
          <cell r="O74">
            <v>1</v>
          </cell>
          <cell r="P74">
            <v>46042</v>
          </cell>
          <cell r="Q74">
            <v>5</v>
          </cell>
          <cell r="R74" t="str">
            <v>NA</v>
          </cell>
          <cell r="S74">
            <v>5</v>
          </cell>
        </row>
        <row r="75">
          <cell r="B75" t="str">
            <v>EMMC</v>
          </cell>
          <cell r="C75" t="str">
            <v>HSLB12813</v>
          </cell>
          <cell r="D75">
            <v>113009</v>
          </cell>
          <cell r="E75" t="str">
            <v>Monitor de Signos Vitales Básico</v>
          </cell>
          <cell r="F75" t="str">
            <v>NO</v>
          </cell>
          <cell r="G75" t="str">
            <v>NO</v>
          </cell>
          <cell r="H75" t="str">
            <v>SALA RECUPERACION CIRUGIA MAYOR AMBULATORIA</v>
          </cell>
          <cell r="I75">
            <v>1</v>
          </cell>
          <cell r="J75" t="str">
            <v>C.5.6.3.14.3</v>
          </cell>
          <cell r="K75" t="str">
            <v>Pabellones</v>
          </cell>
          <cell r="L75">
            <v>3</v>
          </cell>
          <cell r="M75">
            <v>46039</v>
          </cell>
          <cell r="N75">
            <v>46041</v>
          </cell>
          <cell r="O75">
            <v>1</v>
          </cell>
          <cell r="P75">
            <v>46042</v>
          </cell>
          <cell r="Q75">
            <v>5</v>
          </cell>
          <cell r="R75" t="str">
            <v>NA</v>
          </cell>
          <cell r="S75">
            <v>5</v>
          </cell>
        </row>
        <row r="76">
          <cell r="B76" t="str">
            <v>EMMC</v>
          </cell>
          <cell r="C76" t="str">
            <v>HSLB12870</v>
          </cell>
          <cell r="D76">
            <v>113014</v>
          </cell>
          <cell r="E76" t="str">
            <v>Monitor Grado Médico</v>
          </cell>
          <cell r="F76" t="str">
            <v>NO</v>
          </cell>
          <cell r="G76" t="str">
            <v>NO</v>
          </cell>
          <cell r="H76" t="str">
            <v>PABELLON CIRUGIA MAYOR ELECTIVA</v>
          </cell>
          <cell r="I76">
            <v>1</v>
          </cell>
          <cell r="J76" t="str">
            <v>C.5.6.4.5.1</v>
          </cell>
          <cell r="K76" t="str">
            <v>Pabellones</v>
          </cell>
          <cell r="L76">
            <v>3</v>
          </cell>
          <cell r="M76">
            <v>46039</v>
          </cell>
          <cell r="N76">
            <v>46041</v>
          </cell>
          <cell r="O76">
            <v>1</v>
          </cell>
          <cell r="P76">
            <v>46042</v>
          </cell>
          <cell r="Q76">
            <v>5</v>
          </cell>
          <cell r="R76" t="str">
            <v>NA</v>
          </cell>
          <cell r="S76">
            <v>5</v>
          </cell>
        </row>
        <row r="77">
          <cell r="B77" t="str">
            <v>EMMC</v>
          </cell>
          <cell r="C77" t="str">
            <v>HSLB12871</v>
          </cell>
          <cell r="D77">
            <v>113014</v>
          </cell>
          <cell r="E77" t="str">
            <v>Monitor Grado Médico</v>
          </cell>
          <cell r="F77" t="str">
            <v>NO</v>
          </cell>
          <cell r="G77" t="str">
            <v>NO</v>
          </cell>
          <cell r="H77" t="str">
            <v>PABELLON CIRUGIA MAYOR ELECTIVA</v>
          </cell>
          <cell r="I77">
            <v>1</v>
          </cell>
          <cell r="J77" t="str">
            <v>C.5.6.4.5.2</v>
          </cell>
          <cell r="K77" t="str">
            <v>Pabellones</v>
          </cell>
          <cell r="L77">
            <v>3</v>
          </cell>
          <cell r="M77">
            <v>46039</v>
          </cell>
          <cell r="N77">
            <v>46041</v>
          </cell>
          <cell r="O77">
            <v>1</v>
          </cell>
          <cell r="P77">
            <v>46042</v>
          </cell>
          <cell r="Q77">
            <v>5</v>
          </cell>
          <cell r="R77" t="str">
            <v>NA</v>
          </cell>
          <cell r="S77">
            <v>5</v>
          </cell>
        </row>
        <row r="78">
          <cell r="B78" t="str">
            <v>EMMC</v>
          </cell>
          <cell r="C78" t="str">
            <v>HSLB12872</v>
          </cell>
          <cell r="D78">
            <v>113014</v>
          </cell>
          <cell r="E78" t="str">
            <v>Monitor Grado Médico</v>
          </cell>
          <cell r="F78" t="str">
            <v>NO</v>
          </cell>
          <cell r="G78" t="str">
            <v>NO</v>
          </cell>
          <cell r="H78" t="str">
            <v>PABELLON CIRUGIA MAYOR ELECTIVA</v>
          </cell>
          <cell r="I78">
            <v>1</v>
          </cell>
          <cell r="J78" t="str">
            <v>C.5.6.4.5.3</v>
          </cell>
          <cell r="K78" t="str">
            <v>Pabellones</v>
          </cell>
          <cell r="L78">
            <v>3</v>
          </cell>
          <cell r="M78">
            <v>46039</v>
          </cell>
          <cell r="N78">
            <v>46041</v>
          </cell>
          <cell r="O78">
            <v>1</v>
          </cell>
          <cell r="P78">
            <v>46042</v>
          </cell>
          <cell r="Q78">
            <v>5</v>
          </cell>
          <cell r="R78" t="str">
            <v>NA</v>
          </cell>
          <cell r="S78">
            <v>5</v>
          </cell>
        </row>
        <row r="79">
          <cell r="B79" t="str">
            <v>EMMC</v>
          </cell>
          <cell r="C79" t="str">
            <v>HSLB12873</v>
          </cell>
          <cell r="D79">
            <v>113014</v>
          </cell>
          <cell r="E79" t="str">
            <v>Monitor Grado Médico</v>
          </cell>
          <cell r="F79" t="str">
            <v>NO</v>
          </cell>
          <cell r="G79" t="str">
            <v>NO</v>
          </cell>
          <cell r="H79" t="str">
            <v>PABELLON CIRUGIA MAYOR AMBULATORIA</v>
          </cell>
          <cell r="I79">
            <v>1</v>
          </cell>
          <cell r="J79" t="str">
            <v>C.5.6.4.6.1</v>
          </cell>
          <cell r="K79" t="str">
            <v>Pabellones</v>
          </cell>
          <cell r="L79">
            <v>3</v>
          </cell>
          <cell r="M79">
            <v>46039</v>
          </cell>
          <cell r="N79">
            <v>46041</v>
          </cell>
          <cell r="O79">
            <v>1</v>
          </cell>
          <cell r="P79">
            <v>46042</v>
          </cell>
          <cell r="Q79">
            <v>5</v>
          </cell>
          <cell r="R79" t="str">
            <v>NA</v>
          </cell>
          <cell r="S79">
            <v>5</v>
          </cell>
        </row>
        <row r="80">
          <cell r="B80" t="str">
            <v>EMMC</v>
          </cell>
          <cell r="C80" t="str">
            <v>HSLB12874</v>
          </cell>
          <cell r="D80">
            <v>113014</v>
          </cell>
          <cell r="E80" t="str">
            <v>Monitor Grado Médico</v>
          </cell>
          <cell r="F80" t="str">
            <v>NO</v>
          </cell>
          <cell r="G80" t="str">
            <v>NO</v>
          </cell>
          <cell r="H80" t="str">
            <v>PABELLON CIRUGIA MAYOR AMBULATORIA</v>
          </cell>
          <cell r="I80">
            <v>1</v>
          </cell>
          <cell r="J80" t="str">
            <v>C.5.6.4.6.2</v>
          </cell>
          <cell r="K80" t="str">
            <v>Pabellones</v>
          </cell>
          <cell r="L80">
            <v>3</v>
          </cell>
          <cell r="M80">
            <v>46039</v>
          </cell>
          <cell r="N80">
            <v>46041</v>
          </cell>
          <cell r="O80">
            <v>1</v>
          </cell>
          <cell r="P80">
            <v>46042</v>
          </cell>
          <cell r="Q80">
            <v>5</v>
          </cell>
          <cell r="R80" t="str">
            <v>NA</v>
          </cell>
          <cell r="S80">
            <v>5</v>
          </cell>
        </row>
        <row r="81">
          <cell r="B81" t="str">
            <v>EMMC</v>
          </cell>
          <cell r="C81" t="str">
            <v>HSLB12875</v>
          </cell>
          <cell r="D81">
            <v>113014</v>
          </cell>
          <cell r="E81" t="str">
            <v>Monitor Grado Médico</v>
          </cell>
          <cell r="F81" t="str">
            <v>NO</v>
          </cell>
          <cell r="G81" t="str">
            <v>NO</v>
          </cell>
          <cell r="H81" t="str">
            <v>PABELLON URGENCIAS</v>
          </cell>
          <cell r="I81">
            <v>1</v>
          </cell>
          <cell r="J81" t="str">
            <v>C.5.6.4.7</v>
          </cell>
          <cell r="K81" t="str">
            <v>Pabellones</v>
          </cell>
          <cell r="L81">
            <v>3</v>
          </cell>
          <cell r="M81">
            <v>46039</v>
          </cell>
          <cell r="N81">
            <v>46041</v>
          </cell>
          <cell r="O81">
            <v>1</v>
          </cell>
          <cell r="P81">
            <v>46042</v>
          </cell>
          <cell r="Q81">
            <v>5</v>
          </cell>
          <cell r="R81" t="str">
            <v>NA</v>
          </cell>
          <cell r="S81">
            <v>5</v>
          </cell>
        </row>
        <row r="82">
          <cell r="B82" t="str">
            <v>EMMC</v>
          </cell>
          <cell r="C82" t="str">
            <v>HSLB12877</v>
          </cell>
          <cell r="D82">
            <v>113015</v>
          </cell>
          <cell r="E82" t="str">
            <v>Monitor Oxímetro de Pulso Neonatal</v>
          </cell>
          <cell r="F82" t="str">
            <v>NO</v>
          </cell>
          <cell r="G82" t="str">
            <v>NO</v>
          </cell>
          <cell r="H82" t="str">
            <v>SALA REANIMACIÓN NEONATAL</v>
          </cell>
          <cell r="I82">
            <v>1</v>
          </cell>
          <cell r="J82" t="str">
            <v>C.5.6.4.11</v>
          </cell>
          <cell r="K82" t="str">
            <v>Pabellones</v>
          </cell>
          <cell r="L82">
            <v>3</v>
          </cell>
          <cell r="M82">
            <v>46039</v>
          </cell>
          <cell r="N82">
            <v>46041</v>
          </cell>
          <cell r="O82">
            <v>1</v>
          </cell>
          <cell r="P82">
            <v>46042</v>
          </cell>
          <cell r="Q82">
            <v>5</v>
          </cell>
          <cell r="R82" t="str">
            <v>NA</v>
          </cell>
          <cell r="S82">
            <v>5</v>
          </cell>
        </row>
        <row r="83">
          <cell r="B83" t="str">
            <v>EMMC</v>
          </cell>
          <cell r="C83" t="str">
            <v>HSLB10165</v>
          </cell>
          <cell r="D83">
            <v>101037</v>
          </cell>
          <cell r="E83" t="str">
            <v>LÁMPARA DE EXAMEN RODABLE</v>
          </cell>
          <cell r="F83" t="str">
            <v>NO</v>
          </cell>
          <cell r="G83" t="str">
            <v>NO</v>
          </cell>
          <cell r="H83" t="str">
            <v>ESTACIÓN DE ENFERMERÍA</v>
          </cell>
          <cell r="I83">
            <v>1</v>
          </cell>
          <cell r="J83" t="str">
            <v>C.5.6.3.18.1</v>
          </cell>
          <cell r="K83" t="str">
            <v>Pabellones</v>
          </cell>
          <cell r="L83">
            <v>3</v>
          </cell>
          <cell r="M83">
            <v>46039</v>
          </cell>
          <cell r="N83">
            <v>46041</v>
          </cell>
          <cell r="O83">
            <v>1</v>
          </cell>
          <cell r="P83">
            <v>46042</v>
          </cell>
          <cell r="Q83">
            <v>5</v>
          </cell>
          <cell r="R83" t="str">
            <v>NA</v>
          </cell>
          <cell r="S83">
            <v>5</v>
          </cell>
        </row>
        <row r="84">
          <cell r="B84" t="str">
            <v>EMMC</v>
          </cell>
          <cell r="C84" t="str">
            <v>HSLB10610</v>
          </cell>
          <cell r="D84">
            <v>105001</v>
          </cell>
          <cell r="E84" t="str">
            <v>Acelerador Infusión</v>
          </cell>
          <cell r="F84" t="str">
            <v>NO</v>
          </cell>
          <cell r="G84" t="str">
            <v>NO</v>
          </cell>
          <cell r="H84" t="str">
            <v>SALA RECUPERACION ELECTIVA</v>
          </cell>
          <cell r="I84">
            <v>6</v>
          </cell>
          <cell r="J84" t="str">
            <v>C.5.6.3.13</v>
          </cell>
          <cell r="K84" t="str">
            <v>Pabellones</v>
          </cell>
          <cell r="L84">
            <v>3</v>
          </cell>
          <cell r="M84">
            <v>46039</v>
          </cell>
          <cell r="N84">
            <v>46041</v>
          </cell>
          <cell r="O84">
            <v>1</v>
          </cell>
          <cell r="P84">
            <v>46042</v>
          </cell>
          <cell r="Q84">
            <v>5</v>
          </cell>
          <cell r="R84" t="str">
            <v>NA</v>
          </cell>
          <cell r="S84">
            <v>5</v>
          </cell>
        </row>
        <row r="85">
          <cell r="B85" t="str">
            <v>EMMC</v>
          </cell>
          <cell r="C85" t="str">
            <v>HSLB11611</v>
          </cell>
          <cell r="D85">
            <v>112001</v>
          </cell>
          <cell r="E85" t="str">
            <v>Alza Ropa</v>
          </cell>
          <cell r="F85" t="str">
            <v>NO</v>
          </cell>
          <cell r="G85" t="str">
            <v>NO</v>
          </cell>
          <cell r="H85" t="str">
            <v>ESTACIÓN DE ENFERMERÍA</v>
          </cell>
          <cell r="I85">
            <v>3</v>
          </cell>
          <cell r="J85" t="str">
            <v>C.3.7.12.1</v>
          </cell>
          <cell r="K85" t="str">
            <v>UTI</v>
          </cell>
          <cell r="L85">
            <v>3</v>
          </cell>
          <cell r="M85">
            <v>46042</v>
          </cell>
          <cell r="N85">
            <v>46043</v>
          </cell>
          <cell r="O85">
            <v>1</v>
          </cell>
          <cell r="P85">
            <v>46044</v>
          </cell>
          <cell r="Q85">
            <v>5</v>
          </cell>
          <cell r="R85" t="str">
            <v>NA</v>
          </cell>
          <cell r="S85">
            <v>5</v>
          </cell>
        </row>
        <row r="86">
          <cell r="B86" t="str">
            <v>EMMC</v>
          </cell>
          <cell r="C86" t="str">
            <v>HSLB10614</v>
          </cell>
          <cell r="D86">
            <v>105001</v>
          </cell>
          <cell r="E86" t="str">
            <v>Acelerador Infusión</v>
          </cell>
          <cell r="F86" t="str">
            <v>NO</v>
          </cell>
          <cell r="G86" t="str">
            <v>NO</v>
          </cell>
          <cell r="H86" t="str">
            <v>SALA RECUPERACION CIRUGIA MAYOR AMBULATORIA</v>
          </cell>
          <cell r="I86">
            <v>2</v>
          </cell>
          <cell r="J86" t="str">
            <v>C.5.6.3.14.4</v>
          </cell>
          <cell r="K86" t="str">
            <v>Pabellones</v>
          </cell>
          <cell r="L86">
            <v>3</v>
          </cell>
          <cell r="M86">
            <v>46039</v>
          </cell>
          <cell r="N86">
            <v>46041</v>
          </cell>
          <cell r="O86">
            <v>1</v>
          </cell>
          <cell r="P86">
            <v>46042</v>
          </cell>
          <cell r="Q86">
            <v>5</v>
          </cell>
          <cell r="R86" t="str">
            <v>NA</v>
          </cell>
          <cell r="S86">
            <v>5</v>
          </cell>
        </row>
        <row r="87">
          <cell r="B87" t="str">
            <v>EMMC</v>
          </cell>
          <cell r="C87" t="str">
            <v>HSLB10617</v>
          </cell>
          <cell r="D87">
            <v>105001</v>
          </cell>
          <cell r="E87" t="str">
            <v>Acelerador Infusión</v>
          </cell>
          <cell r="F87" t="str">
            <v>NO</v>
          </cell>
          <cell r="G87" t="str">
            <v>NO</v>
          </cell>
          <cell r="H87" t="str">
            <v>ESTACIÓN DE ENFERMERÍA</v>
          </cell>
          <cell r="I87">
            <v>2</v>
          </cell>
          <cell r="J87" t="str">
            <v>C.5.6.3.18.1</v>
          </cell>
          <cell r="K87" t="str">
            <v>Pabellones</v>
          </cell>
          <cell r="L87">
            <v>3</v>
          </cell>
          <cell r="M87">
            <v>46039</v>
          </cell>
          <cell r="N87">
            <v>46041</v>
          </cell>
          <cell r="O87">
            <v>1</v>
          </cell>
          <cell r="P87">
            <v>46042</v>
          </cell>
          <cell r="Q87">
            <v>5</v>
          </cell>
          <cell r="R87" t="str">
            <v>NA</v>
          </cell>
          <cell r="S87">
            <v>5</v>
          </cell>
        </row>
        <row r="88">
          <cell r="B88" t="str">
            <v>EMMC</v>
          </cell>
          <cell r="C88" t="str">
            <v>HSLB10593</v>
          </cell>
          <cell r="D88">
            <v>105001</v>
          </cell>
          <cell r="E88" t="str">
            <v>Acelerador Infusión</v>
          </cell>
          <cell r="F88" t="str">
            <v>NO</v>
          </cell>
          <cell r="G88" t="str">
            <v>NO</v>
          </cell>
          <cell r="H88" t="str">
            <v>SALA 1 CAMA</v>
          </cell>
          <cell r="I88">
            <v>1</v>
          </cell>
          <cell r="J88" t="str">
            <v>C.3.7.16.1</v>
          </cell>
          <cell r="K88" t="str">
            <v>UTI</v>
          </cell>
          <cell r="L88">
            <v>3</v>
          </cell>
          <cell r="M88">
            <v>46042</v>
          </cell>
          <cell r="N88">
            <v>46043</v>
          </cell>
          <cell r="O88">
            <v>1</v>
          </cell>
          <cell r="P88">
            <v>46044</v>
          </cell>
          <cell r="Q88">
            <v>5</v>
          </cell>
          <cell r="R88" t="str">
            <v>NA</v>
          </cell>
          <cell r="S88">
            <v>5</v>
          </cell>
        </row>
        <row r="89">
          <cell r="B89" t="str">
            <v>EMMC</v>
          </cell>
          <cell r="C89" t="str">
            <v>HSLB10594</v>
          </cell>
          <cell r="D89">
            <v>105001</v>
          </cell>
          <cell r="E89" t="str">
            <v>Acelerador Infusión</v>
          </cell>
          <cell r="F89" t="str">
            <v>NO</v>
          </cell>
          <cell r="G89" t="str">
            <v>NO</v>
          </cell>
          <cell r="H89" t="str">
            <v>SALA 1 CAMA</v>
          </cell>
          <cell r="I89">
            <v>1</v>
          </cell>
          <cell r="J89" t="str">
            <v>C.3.7.16.10</v>
          </cell>
          <cell r="K89" t="str">
            <v>UTI</v>
          </cell>
          <cell r="L89">
            <v>3</v>
          </cell>
          <cell r="M89">
            <v>46042</v>
          </cell>
          <cell r="N89">
            <v>46043</v>
          </cell>
          <cell r="O89">
            <v>1</v>
          </cell>
          <cell r="P89">
            <v>46044</v>
          </cell>
          <cell r="Q89">
            <v>5</v>
          </cell>
          <cell r="R89" t="str">
            <v>NA</v>
          </cell>
          <cell r="S89">
            <v>5</v>
          </cell>
        </row>
        <row r="90">
          <cell r="B90" t="str">
            <v>EMMC</v>
          </cell>
          <cell r="C90" t="str">
            <v>HSLB10595</v>
          </cell>
          <cell r="D90">
            <v>105001</v>
          </cell>
          <cell r="E90" t="str">
            <v>Acelerador Infusión</v>
          </cell>
          <cell r="F90" t="str">
            <v>NO</v>
          </cell>
          <cell r="G90" t="str">
            <v>NO</v>
          </cell>
          <cell r="H90" t="str">
            <v>SALA 1 CAMA</v>
          </cell>
          <cell r="I90">
            <v>1</v>
          </cell>
          <cell r="J90" t="str">
            <v>C.3.7.16.2</v>
          </cell>
          <cell r="K90" t="str">
            <v>UTI</v>
          </cell>
          <cell r="L90">
            <v>3</v>
          </cell>
          <cell r="M90">
            <v>46042</v>
          </cell>
          <cell r="N90">
            <v>46043</v>
          </cell>
          <cell r="O90">
            <v>1</v>
          </cell>
          <cell r="P90">
            <v>46044</v>
          </cell>
          <cell r="Q90">
            <v>5</v>
          </cell>
          <cell r="R90" t="str">
            <v>NA</v>
          </cell>
          <cell r="S90">
            <v>5</v>
          </cell>
        </row>
        <row r="91">
          <cell r="B91" t="str">
            <v>EMMC</v>
          </cell>
          <cell r="C91" t="str">
            <v>HSLB10596</v>
          </cell>
          <cell r="D91">
            <v>105001</v>
          </cell>
          <cell r="E91" t="str">
            <v>Acelerador Infusión</v>
          </cell>
          <cell r="F91" t="str">
            <v>NO</v>
          </cell>
          <cell r="G91" t="str">
            <v>NO</v>
          </cell>
          <cell r="H91" t="str">
            <v>SALA 1 CAMA</v>
          </cell>
          <cell r="I91">
            <v>1</v>
          </cell>
          <cell r="J91" t="str">
            <v>C.3.7.16.3</v>
          </cell>
          <cell r="K91" t="str">
            <v>UTI</v>
          </cell>
          <cell r="L91">
            <v>3</v>
          </cell>
          <cell r="M91">
            <v>46042</v>
          </cell>
          <cell r="N91">
            <v>46043</v>
          </cell>
          <cell r="O91">
            <v>1</v>
          </cell>
          <cell r="P91">
            <v>46044</v>
          </cell>
          <cell r="Q91">
            <v>5</v>
          </cell>
          <cell r="R91" t="str">
            <v>NA</v>
          </cell>
          <cell r="S91">
            <v>5</v>
          </cell>
        </row>
        <row r="92">
          <cell r="B92" t="str">
            <v>EMMC</v>
          </cell>
          <cell r="C92" t="str">
            <v>HSLB10597</v>
          </cell>
          <cell r="D92">
            <v>105001</v>
          </cell>
          <cell r="E92" t="str">
            <v>Acelerador Infusión</v>
          </cell>
          <cell r="F92" t="str">
            <v>NO</v>
          </cell>
          <cell r="G92" t="str">
            <v>NO</v>
          </cell>
          <cell r="H92" t="str">
            <v>SALA 1 CAMA</v>
          </cell>
          <cell r="I92">
            <v>1</v>
          </cell>
          <cell r="J92" t="str">
            <v>C.3.7.16.4</v>
          </cell>
          <cell r="K92" t="str">
            <v>UTI</v>
          </cell>
          <cell r="L92">
            <v>3</v>
          </cell>
          <cell r="M92">
            <v>46042</v>
          </cell>
          <cell r="N92">
            <v>46043</v>
          </cell>
          <cell r="O92">
            <v>1</v>
          </cell>
          <cell r="P92">
            <v>46044</v>
          </cell>
          <cell r="Q92">
            <v>5</v>
          </cell>
          <cell r="R92" t="str">
            <v>NA</v>
          </cell>
          <cell r="S92">
            <v>5</v>
          </cell>
        </row>
        <row r="93">
          <cell r="B93" t="str">
            <v>EMMC</v>
          </cell>
          <cell r="C93" t="str">
            <v>HSLB10598</v>
          </cell>
          <cell r="D93">
            <v>105001</v>
          </cell>
          <cell r="E93" t="str">
            <v>Acelerador Infusión</v>
          </cell>
          <cell r="F93" t="str">
            <v>NO</v>
          </cell>
          <cell r="G93" t="str">
            <v>NO</v>
          </cell>
          <cell r="H93" t="str">
            <v>SALA 1 CAMA</v>
          </cell>
          <cell r="I93">
            <v>1</v>
          </cell>
          <cell r="J93" t="str">
            <v>C.3.7.16.5</v>
          </cell>
          <cell r="K93" t="str">
            <v>UTI</v>
          </cell>
          <cell r="L93">
            <v>3</v>
          </cell>
          <cell r="M93">
            <v>46042</v>
          </cell>
          <cell r="N93">
            <v>46043</v>
          </cell>
          <cell r="O93">
            <v>1</v>
          </cell>
          <cell r="P93">
            <v>46044</v>
          </cell>
          <cell r="Q93">
            <v>5</v>
          </cell>
          <cell r="R93" t="str">
            <v>NA</v>
          </cell>
          <cell r="S93">
            <v>5</v>
          </cell>
        </row>
        <row r="94">
          <cell r="B94" t="str">
            <v>EMMC</v>
          </cell>
          <cell r="C94" t="str">
            <v>HSLB10599</v>
          </cell>
          <cell r="D94">
            <v>105001</v>
          </cell>
          <cell r="E94" t="str">
            <v>Acelerador Infusión</v>
          </cell>
          <cell r="F94" t="str">
            <v>NO</v>
          </cell>
          <cell r="G94" t="str">
            <v>NO</v>
          </cell>
          <cell r="H94" t="str">
            <v>SALA 1 CAMA</v>
          </cell>
          <cell r="I94">
            <v>1</v>
          </cell>
          <cell r="J94" t="str">
            <v>C.3.7.16.6</v>
          </cell>
          <cell r="K94" t="str">
            <v>UTI</v>
          </cell>
          <cell r="L94">
            <v>3</v>
          </cell>
          <cell r="M94">
            <v>46042</v>
          </cell>
          <cell r="N94">
            <v>46043</v>
          </cell>
          <cell r="O94">
            <v>1</v>
          </cell>
          <cell r="P94">
            <v>46044</v>
          </cell>
          <cell r="Q94">
            <v>5</v>
          </cell>
          <cell r="R94" t="str">
            <v>NA</v>
          </cell>
          <cell r="S94">
            <v>5</v>
          </cell>
        </row>
        <row r="95">
          <cell r="B95" t="str">
            <v>EMMC</v>
          </cell>
          <cell r="C95" t="str">
            <v>HSLB10600</v>
          </cell>
          <cell r="D95">
            <v>105001</v>
          </cell>
          <cell r="E95" t="str">
            <v>Acelerador Infusión</v>
          </cell>
          <cell r="F95" t="str">
            <v>NO</v>
          </cell>
          <cell r="G95" t="str">
            <v>NO</v>
          </cell>
          <cell r="H95" t="str">
            <v>SALA 1 CAMA</v>
          </cell>
          <cell r="I95">
            <v>1</v>
          </cell>
          <cell r="J95" t="str">
            <v>C.3.7.16.7</v>
          </cell>
          <cell r="K95" t="str">
            <v>UTI</v>
          </cell>
          <cell r="L95">
            <v>3</v>
          </cell>
          <cell r="M95">
            <v>46042</v>
          </cell>
          <cell r="N95">
            <v>46043</v>
          </cell>
          <cell r="O95">
            <v>1</v>
          </cell>
          <cell r="P95">
            <v>46044</v>
          </cell>
          <cell r="Q95">
            <v>5</v>
          </cell>
          <cell r="R95" t="str">
            <v>NA</v>
          </cell>
          <cell r="S95">
            <v>5</v>
          </cell>
        </row>
        <row r="96">
          <cell r="B96" t="str">
            <v>EMMC</v>
          </cell>
          <cell r="C96" t="str">
            <v>HSLB10601</v>
          </cell>
          <cell r="D96">
            <v>105001</v>
          </cell>
          <cell r="E96" t="str">
            <v>Acelerador Infusión</v>
          </cell>
          <cell r="F96" t="str">
            <v>NO</v>
          </cell>
          <cell r="G96" t="str">
            <v>NO</v>
          </cell>
          <cell r="H96" t="str">
            <v>SALA 1 CAMA</v>
          </cell>
          <cell r="I96">
            <v>1</v>
          </cell>
          <cell r="J96" t="str">
            <v>C.3.7.16.8</v>
          </cell>
          <cell r="K96" t="str">
            <v>UTI</v>
          </cell>
          <cell r="L96">
            <v>3</v>
          </cell>
          <cell r="M96">
            <v>46042</v>
          </cell>
          <cell r="N96">
            <v>46043</v>
          </cell>
          <cell r="O96">
            <v>1</v>
          </cell>
          <cell r="P96">
            <v>46044</v>
          </cell>
          <cell r="Q96">
            <v>5</v>
          </cell>
          <cell r="R96" t="str">
            <v>NA</v>
          </cell>
          <cell r="S96">
            <v>5</v>
          </cell>
        </row>
        <row r="97">
          <cell r="B97" t="str">
            <v>EMMC</v>
          </cell>
          <cell r="C97" t="str">
            <v>HSLB10602</v>
          </cell>
          <cell r="D97">
            <v>105001</v>
          </cell>
          <cell r="E97" t="str">
            <v>Acelerador Infusión</v>
          </cell>
          <cell r="F97" t="str">
            <v>NO</v>
          </cell>
          <cell r="G97" t="str">
            <v>NO</v>
          </cell>
          <cell r="H97" t="str">
            <v>SALA 1 CAMA</v>
          </cell>
          <cell r="I97">
            <v>1</v>
          </cell>
          <cell r="J97" t="str">
            <v>C.3.7.16.9</v>
          </cell>
          <cell r="K97" t="str">
            <v>UTI</v>
          </cell>
          <cell r="L97">
            <v>3</v>
          </cell>
          <cell r="M97">
            <v>46042</v>
          </cell>
          <cell r="N97">
            <v>46043</v>
          </cell>
          <cell r="O97">
            <v>1</v>
          </cell>
          <cell r="P97">
            <v>46044</v>
          </cell>
          <cell r="Q97">
            <v>5</v>
          </cell>
          <cell r="R97" t="str">
            <v>NA</v>
          </cell>
          <cell r="S97">
            <v>5</v>
          </cell>
        </row>
        <row r="98">
          <cell r="B98" t="str">
            <v>EMMC</v>
          </cell>
          <cell r="C98" t="str">
            <v>HSLB10603</v>
          </cell>
          <cell r="D98">
            <v>105001</v>
          </cell>
          <cell r="E98" t="str">
            <v>Acelerador Infusión</v>
          </cell>
          <cell r="F98" t="str">
            <v>NO</v>
          </cell>
          <cell r="G98" t="str">
            <v>NO</v>
          </cell>
          <cell r="H98" t="str">
            <v>SALA AISLAMIENTO</v>
          </cell>
          <cell r="I98">
            <v>1</v>
          </cell>
          <cell r="J98" t="str">
            <v>C.3.7.17.1</v>
          </cell>
          <cell r="K98" t="str">
            <v>UTI</v>
          </cell>
          <cell r="L98">
            <v>3</v>
          </cell>
          <cell r="M98">
            <v>46042</v>
          </cell>
          <cell r="N98">
            <v>46043</v>
          </cell>
          <cell r="O98">
            <v>1</v>
          </cell>
          <cell r="P98">
            <v>46044</v>
          </cell>
          <cell r="Q98">
            <v>5</v>
          </cell>
          <cell r="R98" t="str">
            <v>NA</v>
          </cell>
          <cell r="S98">
            <v>5</v>
          </cell>
        </row>
        <row r="99">
          <cell r="B99" t="str">
            <v>EMMC</v>
          </cell>
          <cell r="C99" t="str">
            <v>HSLB10604</v>
          </cell>
          <cell r="D99">
            <v>105001</v>
          </cell>
          <cell r="E99" t="str">
            <v>Acelerador Infusión</v>
          </cell>
          <cell r="F99" t="str">
            <v>NO</v>
          </cell>
          <cell r="G99" t="str">
            <v>NO</v>
          </cell>
          <cell r="H99" t="str">
            <v>SALA AISLAMIENTO</v>
          </cell>
          <cell r="I99">
            <v>1</v>
          </cell>
          <cell r="J99" t="str">
            <v>C.3.7.17.2</v>
          </cell>
          <cell r="K99" t="str">
            <v>UTI</v>
          </cell>
          <cell r="L99">
            <v>3</v>
          </cell>
          <cell r="M99">
            <v>46042</v>
          </cell>
          <cell r="N99">
            <v>46043</v>
          </cell>
          <cell r="O99">
            <v>1</v>
          </cell>
          <cell r="P99">
            <v>46044</v>
          </cell>
          <cell r="Q99">
            <v>5</v>
          </cell>
          <cell r="R99" t="str">
            <v>NA</v>
          </cell>
          <cell r="S99">
            <v>5</v>
          </cell>
        </row>
        <row r="100">
          <cell r="B100" t="str">
            <v>EMMC</v>
          </cell>
          <cell r="C100" t="str">
            <v>HSLB10611</v>
          </cell>
          <cell r="D100">
            <v>105001</v>
          </cell>
          <cell r="E100" t="str">
            <v>Acelerador Infusión</v>
          </cell>
          <cell r="F100" t="str">
            <v>NO</v>
          </cell>
          <cell r="G100" t="str">
            <v>NO</v>
          </cell>
          <cell r="H100" t="str">
            <v>SALA RECUPERACION CIRUGIA MAYOR AMBULATORIA</v>
          </cell>
          <cell r="I100">
            <v>1</v>
          </cell>
          <cell r="J100" t="str">
            <v>C.5.6.3.14.1</v>
          </cell>
          <cell r="K100" t="str">
            <v>Pabellones</v>
          </cell>
          <cell r="L100">
            <v>3</v>
          </cell>
          <cell r="M100">
            <v>46039</v>
          </cell>
          <cell r="N100">
            <v>46041</v>
          </cell>
          <cell r="O100">
            <v>1</v>
          </cell>
          <cell r="P100">
            <v>46042</v>
          </cell>
          <cell r="Q100">
            <v>5</v>
          </cell>
          <cell r="R100" t="str">
            <v>NA</v>
          </cell>
          <cell r="S100">
            <v>5</v>
          </cell>
        </row>
        <row r="101">
          <cell r="B101" t="str">
            <v>EMMC</v>
          </cell>
          <cell r="C101" t="str">
            <v>HSLB10612</v>
          </cell>
          <cell r="D101">
            <v>105001</v>
          </cell>
          <cell r="E101" t="str">
            <v>Acelerador Infusión</v>
          </cell>
          <cell r="F101" t="str">
            <v>NO</v>
          </cell>
          <cell r="G101" t="str">
            <v>NO</v>
          </cell>
          <cell r="H101" t="str">
            <v>SALA RECUPERACION CIRUGIA MAYOR AMBULATORIA</v>
          </cell>
          <cell r="I101">
            <v>1</v>
          </cell>
          <cell r="J101" t="str">
            <v>C.5.6.3.14.2</v>
          </cell>
          <cell r="K101" t="str">
            <v>Pabellones</v>
          </cell>
          <cell r="L101">
            <v>3</v>
          </cell>
          <cell r="M101">
            <v>46039</v>
          </cell>
          <cell r="N101">
            <v>46041</v>
          </cell>
          <cell r="O101">
            <v>1</v>
          </cell>
          <cell r="P101">
            <v>46042</v>
          </cell>
          <cell r="Q101">
            <v>5</v>
          </cell>
          <cell r="R101" t="str">
            <v>NA</v>
          </cell>
          <cell r="S101">
            <v>5</v>
          </cell>
        </row>
        <row r="102">
          <cell r="B102" t="str">
            <v>EMMC</v>
          </cell>
          <cell r="C102" t="str">
            <v>HSLB10613</v>
          </cell>
          <cell r="D102">
            <v>105001</v>
          </cell>
          <cell r="E102" t="str">
            <v>Acelerador Infusión</v>
          </cell>
          <cell r="F102" t="str">
            <v>NO</v>
          </cell>
          <cell r="G102" t="str">
            <v>NO</v>
          </cell>
          <cell r="H102" t="str">
            <v>SALA RECUPERACION CIRUGIA MAYOR AMBULATORIA</v>
          </cell>
          <cell r="I102">
            <v>1</v>
          </cell>
          <cell r="J102" t="str">
            <v>C.5.6.3.14.3</v>
          </cell>
          <cell r="K102" t="str">
            <v>Pabellones</v>
          </cell>
          <cell r="L102">
            <v>3</v>
          </cell>
          <cell r="M102">
            <v>46039</v>
          </cell>
          <cell r="N102">
            <v>46041</v>
          </cell>
          <cell r="O102">
            <v>1</v>
          </cell>
          <cell r="P102">
            <v>46042</v>
          </cell>
          <cell r="Q102">
            <v>5</v>
          </cell>
          <cell r="R102" t="str">
            <v>NA</v>
          </cell>
          <cell r="S102">
            <v>5</v>
          </cell>
        </row>
        <row r="103">
          <cell r="B103" t="str">
            <v>EMMC</v>
          </cell>
          <cell r="C103" t="str">
            <v>HSLB10615</v>
          </cell>
          <cell r="D103">
            <v>105001</v>
          </cell>
          <cell r="E103" t="str">
            <v>Acelerador Infusión</v>
          </cell>
          <cell r="F103" t="str">
            <v>NO</v>
          </cell>
          <cell r="G103" t="str">
            <v>NO</v>
          </cell>
          <cell r="H103" t="str">
            <v>SALA RECUPERACION URGENCIAS</v>
          </cell>
          <cell r="I103">
            <v>1</v>
          </cell>
          <cell r="J103" t="str">
            <v>C.5.6.3.15.1</v>
          </cell>
          <cell r="K103" t="str">
            <v>Pabellones</v>
          </cell>
          <cell r="L103">
            <v>3</v>
          </cell>
          <cell r="M103">
            <v>46039</v>
          </cell>
          <cell r="N103">
            <v>46041</v>
          </cell>
          <cell r="O103">
            <v>1</v>
          </cell>
          <cell r="P103">
            <v>46042</v>
          </cell>
          <cell r="Q103">
            <v>5</v>
          </cell>
          <cell r="R103" t="str">
            <v>NA</v>
          </cell>
          <cell r="S103">
            <v>5</v>
          </cell>
        </row>
        <row r="104">
          <cell r="B104" t="str">
            <v>EMMC</v>
          </cell>
          <cell r="C104" t="str">
            <v>HSLB10616</v>
          </cell>
          <cell r="D104">
            <v>105001</v>
          </cell>
          <cell r="E104" t="str">
            <v>Acelerador Infusión</v>
          </cell>
          <cell r="F104" t="str">
            <v>NO</v>
          </cell>
          <cell r="G104" t="str">
            <v>NO</v>
          </cell>
          <cell r="H104" t="str">
            <v>SALA RECUPERACION URGENCIAS</v>
          </cell>
          <cell r="I104">
            <v>1</v>
          </cell>
          <cell r="J104" t="str">
            <v>C.5.6.3.15.2</v>
          </cell>
          <cell r="K104" t="str">
            <v>Pabellones</v>
          </cell>
          <cell r="L104">
            <v>3</v>
          </cell>
          <cell r="M104">
            <v>46039</v>
          </cell>
          <cell r="N104">
            <v>46041</v>
          </cell>
          <cell r="O104">
            <v>1</v>
          </cell>
          <cell r="P104">
            <v>46042</v>
          </cell>
          <cell r="Q104">
            <v>5</v>
          </cell>
          <cell r="R104" t="str">
            <v>NA</v>
          </cell>
          <cell r="S104">
            <v>5</v>
          </cell>
        </row>
        <row r="105">
          <cell r="B105" t="str">
            <v>EMMC</v>
          </cell>
          <cell r="C105" t="str">
            <v>HSLB10618</v>
          </cell>
          <cell r="D105">
            <v>105001</v>
          </cell>
          <cell r="E105" t="str">
            <v>Acelerador Infusión</v>
          </cell>
          <cell r="F105" t="str">
            <v>NO</v>
          </cell>
          <cell r="G105" t="str">
            <v>NO</v>
          </cell>
          <cell r="H105" t="str">
            <v>ESTACIÓN DE ENFERMERÍA</v>
          </cell>
          <cell r="I105">
            <v>1</v>
          </cell>
          <cell r="J105" t="str">
            <v>C.5.6.3.18.2</v>
          </cell>
          <cell r="K105" t="str">
            <v>Pabellones</v>
          </cell>
          <cell r="L105">
            <v>3</v>
          </cell>
          <cell r="M105">
            <v>46039</v>
          </cell>
          <cell r="N105">
            <v>46041</v>
          </cell>
          <cell r="O105">
            <v>1</v>
          </cell>
          <cell r="P105">
            <v>46042</v>
          </cell>
          <cell r="Q105">
            <v>5</v>
          </cell>
          <cell r="R105" t="str">
            <v>NA</v>
          </cell>
          <cell r="S105">
            <v>5</v>
          </cell>
        </row>
        <row r="106">
          <cell r="B106" t="str">
            <v>EMMC</v>
          </cell>
          <cell r="C106" t="str">
            <v>HSLB10619</v>
          </cell>
          <cell r="D106">
            <v>105001</v>
          </cell>
          <cell r="E106" t="str">
            <v>Acelerador Infusión</v>
          </cell>
          <cell r="F106" t="str">
            <v>NO</v>
          </cell>
          <cell r="G106" t="str">
            <v>NO</v>
          </cell>
          <cell r="H106" t="str">
            <v>SALA PREANESTECIA INFANTIL</v>
          </cell>
          <cell r="I106">
            <v>1</v>
          </cell>
          <cell r="J106" t="str">
            <v>C.5.6.4.2</v>
          </cell>
          <cell r="K106" t="str">
            <v>Pabellones</v>
          </cell>
          <cell r="L106">
            <v>3</v>
          </cell>
          <cell r="M106">
            <v>46039</v>
          </cell>
          <cell r="N106">
            <v>46041</v>
          </cell>
          <cell r="O106">
            <v>1</v>
          </cell>
          <cell r="P106">
            <v>46042</v>
          </cell>
          <cell r="Q106">
            <v>5</v>
          </cell>
          <cell r="R106" t="str">
            <v>NA</v>
          </cell>
          <cell r="S106">
            <v>5</v>
          </cell>
        </row>
        <row r="107">
          <cell r="B107" t="str">
            <v>EMMC</v>
          </cell>
          <cell r="C107" t="str">
            <v>HSLB10620</v>
          </cell>
          <cell r="D107">
            <v>105001</v>
          </cell>
          <cell r="E107" t="str">
            <v>Acelerador Infusión</v>
          </cell>
          <cell r="F107" t="str">
            <v>NO</v>
          </cell>
          <cell r="G107" t="str">
            <v>NO</v>
          </cell>
          <cell r="H107" t="str">
            <v>SALA PREANESTESIA ADULTO</v>
          </cell>
          <cell r="I107">
            <v>1</v>
          </cell>
          <cell r="J107" t="str">
            <v>C.5.6.4.3.1</v>
          </cell>
          <cell r="K107" t="str">
            <v>Pabellones</v>
          </cell>
          <cell r="L107">
            <v>3</v>
          </cell>
          <cell r="M107">
            <v>46039</v>
          </cell>
          <cell r="N107">
            <v>46041</v>
          </cell>
          <cell r="O107">
            <v>1</v>
          </cell>
          <cell r="P107">
            <v>46042</v>
          </cell>
          <cell r="Q107">
            <v>5</v>
          </cell>
          <cell r="R107" t="str">
            <v>NA</v>
          </cell>
          <cell r="S107">
            <v>5</v>
          </cell>
        </row>
        <row r="108">
          <cell r="B108" t="str">
            <v>EMMC</v>
          </cell>
          <cell r="C108" t="str">
            <v>HSLB10621</v>
          </cell>
          <cell r="D108">
            <v>105001</v>
          </cell>
          <cell r="E108" t="str">
            <v>Acelerador Infusión</v>
          </cell>
          <cell r="F108" t="str">
            <v>NO</v>
          </cell>
          <cell r="G108" t="str">
            <v>NO</v>
          </cell>
          <cell r="H108" t="str">
            <v>SALA PREANESTECIA ADULTO</v>
          </cell>
          <cell r="I108">
            <v>1</v>
          </cell>
          <cell r="J108" t="str">
            <v>C.5.6.4.3.2</v>
          </cell>
          <cell r="K108" t="str">
            <v>Pabellones</v>
          </cell>
          <cell r="L108">
            <v>3</v>
          </cell>
          <cell r="M108">
            <v>46039</v>
          </cell>
          <cell r="N108">
            <v>46041</v>
          </cell>
          <cell r="O108">
            <v>1</v>
          </cell>
          <cell r="P108">
            <v>46042</v>
          </cell>
          <cell r="Q108">
            <v>5</v>
          </cell>
          <cell r="R108" t="str">
            <v>NA</v>
          </cell>
          <cell r="S108">
            <v>5</v>
          </cell>
        </row>
        <row r="109">
          <cell r="B109" t="str">
            <v>EMMC</v>
          </cell>
          <cell r="C109" t="str">
            <v>HSLB10622</v>
          </cell>
          <cell r="D109">
            <v>105001</v>
          </cell>
          <cell r="E109" t="str">
            <v>Acelerador Infusión</v>
          </cell>
          <cell r="F109" t="str">
            <v>NO</v>
          </cell>
          <cell r="G109" t="str">
            <v>NO</v>
          </cell>
          <cell r="H109" t="str">
            <v>PABELLON CIRUGIA MAYOR ELECTIVA</v>
          </cell>
          <cell r="I109">
            <v>1</v>
          </cell>
          <cell r="J109" t="str">
            <v>C.5.6.4.5.1</v>
          </cell>
          <cell r="K109" t="str">
            <v>Pabellones</v>
          </cell>
          <cell r="L109">
            <v>3</v>
          </cell>
          <cell r="M109">
            <v>46039</v>
          </cell>
          <cell r="N109">
            <v>46041</v>
          </cell>
          <cell r="O109">
            <v>1</v>
          </cell>
          <cell r="P109">
            <v>46042</v>
          </cell>
          <cell r="Q109">
            <v>5</v>
          </cell>
          <cell r="R109" t="str">
            <v>NA</v>
          </cell>
          <cell r="S109">
            <v>5</v>
          </cell>
        </row>
        <row r="110">
          <cell r="B110" t="str">
            <v>EMMC</v>
          </cell>
          <cell r="C110" t="str">
            <v>HSLB10623</v>
          </cell>
          <cell r="D110">
            <v>105001</v>
          </cell>
          <cell r="E110" t="str">
            <v>Acelerador Infusión</v>
          </cell>
          <cell r="F110" t="str">
            <v>NO</v>
          </cell>
          <cell r="G110" t="str">
            <v>NO</v>
          </cell>
          <cell r="H110" t="str">
            <v>PABELLON CIRUGIA MAYOR ELECTIVA</v>
          </cell>
          <cell r="I110">
            <v>1</v>
          </cell>
          <cell r="J110" t="str">
            <v>C.5.6.4.5.2</v>
          </cell>
          <cell r="K110" t="str">
            <v>Pabellones</v>
          </cell>
          <cell r="L110">
            <v>3</v>
          </cell>
          <cell r="M110">
            <v>46039</v>
          </cell>
          <cell r="N110">
            <v>46041</v>
          </cell>
          <cell r="O110">
            <v>1</v>
          </cell>
          <cell r="P110">
            <v>46042</v>
          </cell>
          <cell r="Q110">
            <v>5</v>
          </cell>
          <cell r="R110" t="str">
            <v>NA</v>
          </cell>
          <cell r="S110">
            <v>5</v>
          </cell>
        </row>
        <row r="111">
          <cell r="B111" t="str">
            <v>EMMC</v>
          </cell>
          <cell r="C111" t="str">
            <v>HSLB10624</v>
          </cell>
          <cell r="D111">
            <v>105001</v>
          </cell>
          <cell r="E111" t="str">
            <v>Acelerador Infusión</v>
          </cell>
          <cell r="F111" t="str">
            <v>NO</v>
          </cell>
          <cell r="G111" t="str">
            <v>NO</v>
          </cell>
          <cell r="H111" t="str">
            <v>PABELLON CIRUGIA MAYOR ELECTIVA</v>
          </cell>
          <cell r="I111">
            <v>1</v>
          </cell>
          <cell r="J111" t="str">
            <v>C.5.6.4.5.3</v>
          </cell>
          <cell r="K111" t="str">
            <v>Pabellones</v>
          </cell>
          <cell r="L111">
            <v>3</v>
          </cell>
          <cell r="M111">
            <v>46039</v>
          </cell>
          <cell r="N111">
            <v>46041</v>
          </cell>
          <cell r="O111">
            <v>1</v>
          </cell>
          <cell r="P111">
            <v>46042</v>
          </cell>
          <cell r="Q111">
            <v>5</v>
          </cell>
          <cell r="R111" t="str">
            <v>NA</v>
          </cell>
          <cell r="S111">
            <v>5</v>
          </cell>
        </row>
        <row r="112">
          <cell r="B112" t="str">
            <v>EMMC</v>
          </cell>
          <cell r="C112" t="str">
            <v>HSLB10625</v>
          </cell>
          <cell r="D112">
            <v>105001</v>
          </cell>
          <cell r="E112" t="str">
            <v>Acelerador Infusión</v>
          </cell>
          <cell r="F112" t="str">
            <v>NO</v>
          </cell>
          <cell r="G112" t="str">
            <v>NO</v>
          </cell>
          <cell r="H112" t="str">
            <v>PABELLON CIRUGIA MAYOR AMBULATORIA</v>
          </cell>
          <cell r="I112">
            <v>1</v>
          </cell>
          <cell r="J112" t="str">
            <v>C.5.6.4.6.1</v>
          </cell>
          <cell r="K112" t="str">
            <v>Pabellones</v>
          </cell>
          <cell r="L112">
            <v>3</v>
          </cell>
          <cell r="M112">
            <v>46039</v>
          </cell>
          <cell r="N112">
            <v>46041</v>
          </cell>
          <cell r="O112">
            <v>1</v>
          </cell>
          <cell r="P112">
            <v>46042</v>
          </cell>
          <cell r="Q112">
            <v>5</v>
          </cell>
          <cell r="R112" t="str">
            <v>NA</v>
          </cell>
          <cell r="S112">
            <v>5</v>
          </cell>
        </row>
        <row r="113">
          <cell r="B113" t="str">
            <v>EMMC</v>
          </cell>
          <cell r="C113" t="str">
            <v>HSLB10626</v>
          </cell>
          <cell r="D113">
            <v>105001</v>
          </cell>
          <cell r="E113" t="str">
            <v>Acelerador Infusión</v>
          </cell>
          <cell r="F113" t="str">
            <v>NO</v>
          </cell>
          <cell r="G113" t="str">
            <v>NO</v>
          </cell>
          <cell r="H113" t="str">
            <v>PABELLON CIRUGIA MAYOR AMBULATORIA</v>
          </cell>
          <cell r="I113">
            <v>1</v>
          </cell>
          <cell r="J113" t="str">
            <v>C.5.6.4.6.2</v>
          </cell>
          <cell r="K113" t="str">
            <v>Pabellones</v>
          </cell>
          <cell r="L113">
            <v>3</v>
          </cell>
          <cell r="M113">
            <v>46039</v>
          </cell>
          <cell r="N113">
            <v>46041</v>
          </cell>
          <cell r="O113">
            <v>1</v>
          </cell>
          <cell r="P113">
            <v>46042</v>
          </cell>
          <cell r="Q113">
            <v>5</v>
          </cell>
          <cell r="R113" t="str">
            <v>NA</v>
          </cell>
          <cell r="S113">
            <v>5</v>
          </cell>
        </row>
        <row r="114">
          <cell r="B114" t="str">
            <v>EMMC</v>
          </cell>
          <cell r="C114" t="str">
            <v>HSLB10627</v>
          </cell>
          <cell r="D114">
            <v>105001</v>
          </cell>
          <cell r="E114" t="str">
            <v>Acelerador Infusión</v>
          </cell>
          <cell r="F114" t="str">
            <v>NO</v>
          </cell>
          <cell r="G114" t="str">
            <v>NO</v>
          </cell>
          <cell r="H114" t="str">
            <v>PABELLON URGENCIAS</v>
          </cell>
          <cell r="I114">
            <v>1</v>
          </cell>
          <cell r="J114" t="str">
            <v>C.5.6.4.7</v>
          </cell>
          <cell r="K114" t="str">
            <v>Pabellones</v>
          </cell>
          <cell r="L114">
            <v>3</v>
          </cell>
          <cell r="M114">
            <v>46039</v>
          </cell>
          <cell r="N114">
            <v>46041</v>
          </cell>
          <cell r="O114">
            <v>1</v>
          </cell>
          <cell r="P114">
            <v>46042</v>
          </cell>
          <cell r="Q114">
            <v>5</v>
          </cell>
          <cell r="R114" t="str">
            <v>NA</v>
          </cell>
          <cell r="S114">
            <v>5</v>
          </cell>
        </row>
        <row r="115">
          <cell r="B115" t="str">
            <v>EMMC</v>
          </cell>
          <cell r="C115" t="str">
            <v>HSLB11369</v>
          </cell>
          <cell r="D115">
            <v>110025</v>
          </cell>
          <cell r="E115" t="str">
            <v>Equipo de Sellado de Biopsias</v>
          </cell>
          <cell r="F115" t="str">
            <v>NO</v>
          </cell>
          <cell r="G115" t="str">
            <v>NO</v>
          </cell>
          <cell r="H115" t="str">
            <v>SALA DE BIOPSIA RÁPIDA</v>
          </cell>
          <cell r="I115">
            <v>1</v>
          </cell>
          <cell r="J115" t="str">
            <v>C.5.6.4.12</v>
          </cell>
          <cell r="K115" t="str">
            <v>Pabellones</v>
          </cell>
          <cell r="L115">
            <v>3</v>
          </cell>
          <cell r="M115">
            <v>46039</v>
          </cell>
          <cell r="N115">
            <v>46041</v>
          </cell>
          <cell r="O115">
            <v>1</v>
          </cell>
          <cell r="P115">
            <v>46042</v>
          </cell>
          <cell r="Q115">
            <v>5</v>
          </cell>
          <cell r="R115" t="str">
            <v>NA</v>
          </cell>
          <cell r="S115">
            <v>5</v>
          </cell>
        </row>
        <row r="116">
          <cell r="B116" t="str">
            <v>EMMC</v>
          </cell>
          <cell r="C116" t="str">
            <v>HSLB10105</v>
          </cell>
          <cell r="D116">
            <v>101025</v>
          </cell>
          <cell r="E116" t="str">
            <v>Equipo Estimulación Nervio Periférico</v>
          </cell>
          <cell r="F116" t="str">
            <v>NO</v>
          </cell>
          <cell r="G116" t="str">
            <v>NO</v>
          </cell>
          <cell r="H116" t="str">
            <v>PABELLON CIRUGIA MAYOR ELECTIVA</v>
          </cell>
          <cell r="I116">
            <v>1</v>
          </cell>
          <cell r="J116" t="str">
            <v>C.5.6.4.5.1</v>
          </cell>
          <cell r="K116" t="str">
            <v>Pabellones</v>
          </cell>
          <cell r="L116">
            <v>3</v>
          </cell>
          <cell r="M116">
            <v>46039</v>
          </cell>
          <cell r="N116">
            <v>46041</v>
          </cell>
          <cell r="O116">
            <v>1</v>
          </cell>
          <cell r="P116">
            <v>46042</v>
          </cell>
          <cell r="Q116">
            <v>5</v>
          </cell>
          <cell r="R116" t="str">
            <v>NA</v>
          </cell>
          <cell r="S116">
            <v>5</v>
          </cell>
        </row>
        <row r="117">
          <cell r="B117" t="str">
            <v>EMMC</v>
          </cell>
          <cell r="C117" t="str">
            <v>HSLB10106</v>
          </cell>
          <cell r="D117">
            <v>101025</v>
          </cell>
          <cell r="E117" t="str">
            <v>Equipo Estimulación Nervio Periférico</v>
          </cell>
          <cell r="F117" t="str">
            <v>NO</v>
          </cell>
          <cell r="G117" t="str">
            <v>NO</v>
          </cell>
          <cell r="H117" t="str">
            <v>PABELLON CIRUGIA MAYOR ELECTIVA</v>
          </cell>
          <cell r="I117">
            <v>1</v>
          </cell>
          <cell r="J117" t="str">
            <v>C.5.6.4.5.2</v>
          </cell>
          <cell r="K117" t="str">
            <v>Pabellones</v>
          </cell>
          <cell r="L117">
            <v>3</v>
          </cell>
          <cell r="M117">
            <v>46039</v>
          </cell>
          <cell r="N117">
            <v>46041</v>
          </cell>
          <cell r="O117">
            <v>1</v>
          </cell>
          <cell r="P117">
            <v>46042</v>
          </cell>
          <cell r="Q117">
            <v>5</v>
          </cell>
          <cell r="R117" t="str">
            <v>NA</v>
          </cell>
          <cell r="S117">
            <v>5</v>
          </cell>
        </row>
        <row r="118">
          <cell r="B118" t="str">
            <v>EMMC</v>
          </cell>
          <cell r="C118" t="str">
            <v>HSLB10107</v>
          </cell>
          <cell r="D118">
            <v>101025</v>
          </cell>
          <cell r="E118" t="str">
            <v>Equipo Estimulación Nervio Periférico</v>
          </cell>
          <cell r="F118" t="str">
            <v>NO</v>
          </cell>
          <cell r="G118" t="str">
            <v>NO</v>
          </cell>
          <cell r="H118" t="str">
            <v>PABELLON CIRUGIA MAYOR ELECTIVA</v>
          </cell>
          <cell r="I118">
            <v>1</v>
          </cell>
          <cell r="J118" t="str">
            <v>C.5.6.4.5.3</v>
          </cell>
          <cell r="K118" t="str">
            <v>Pabellones</v>
          </cell>
          <cell r="L118">
            <v>3</v>
          </cell>
          <cell r="M118">
            <v>46039</v>
          </cell>
          <cell r="N118">
            <v>46041</v>
          </cell>
          <cell r="O118">
            <v>1</v>
          </cell>
          <cell r="P118">
            <v>46042</v>
          </cell>
          <cell r="Q118">
            <v>5</v>
          </cell>
          <cell r="R118" t="str">
            <v>NA</v>
          </cell>
          <cell r="S118">
            <v>5</v>
          </cell>
        </row>
        <row r="119">
          <cell r="B119" t="str">
            <v>EMMC</v>
          </cell>
          <cell r="C119" t="str">
            <v>HSLB10496</v>
          </cell>
          <cell r="D119">
            <v>104006</v>
          </cell>
          <cell r="E119" t="str">
            <v>Dermatomo con Expansor</v>
          </cell>
          <cell r="F119" t="str">
            <v>NO</v>
          </cell>
          <cell r="G119" t="str">
            <v>SI</v>
          </cell>
          <cell r="H119" t="str">
            <v>BODEGA DE EQUIPOS</v>
          </cell>
          <cell r="I119">
            <v>2</v>
          </cell>
          <cell r="J119" t="str">
            <v>C.5.6.4.17</v>
          </cell>
          <cell r="K119" t="str">
            <v>Pabellones</v>
          </cell>
          <cell r="L119">
            <v>3</v>
          </cell>
          <cell r="M119">
            <v>46003</v>
          </cell>
          <cell r="N119">
            <v>46006</v>
          </cell>
          <cell r="O119">
            <v>1</v>
          </cell>
          <cell r="P119">
            <v>46007</v>
          </cell>
          <cell r="Q119">
            <v>5</v>
          </cell>
          <cell r="R119" t="str">
            <v>NA</v>
          </cell>
          <cell r="S119">
            <v>5</v>
          </cell>
        </row>
        <row r="120">
          <cell r="B120" t="str">
            <v>EMMC</v>
          </cell>
          <cell r="C120" t="str">
            <v>HSLB10243</v>
          </cell>
          <cell r="D120">
            <v>101059</v>
          </cell>
          <cell r="E120" t="str">
            <v>Retinoscopio</v>
          </cell>
          <cell r="F120" t="str">
            <v>NO</v>
          </cell>
          <cell r="G120" t="str">
            <v>SI</v>
          </cell>
          <cell r="H120" t="str">
            <v>BODEGA DE EQUIPOS</v>
          </cell>
          <cell r="I120">
            <v>1</v>
          </cell>
          <cell r="J120" t="str">
            <v>C.5.6.4.17</v>
          </cell>
          <cell r="K120" t="str">
            <v>Pabellones</v>
          </cell>
          <cell r="L120">
            <v>3</v>
          </cell>
          <cell r="M120">
            <v>46003</v>
          </cell>
          <cell r="N120">
            <v>46006</v>
          </cell>
          <cell r="O120">
            <v>1</v>
          </cell>
          <cell r="P120">
            <v>46007</v>
          </cell>
          <cell r="Q120">
            <v>5</v>
          </cell>
          <cell r="R120" t="str">
            <v>NA</v>
          </cell>
          <cell r="S120">
            <v>5</v>
          </cell>
        </row>
        <row r="121">
          <cell r="B121" t="str">
            <v>EMMC</v>
          </cell>
          <cell r="C121" t="str">
            <v>HSLB12719</v>
          </cell>
          <cell r="D121">
            <v>113005</v>
          </cell>
          <cell r="E121" t="str">
            <v>Monitor Cardiofetal</v>
          </cell>
          <cell r="F121" t="str">
            <v>NO</v>
          </cell>
          <cell r="G121" t="str">
            <v>NO</v>
          </cell>
          <cell r="H121" t="str">
            <v>SALA PARTO INTEGRAL</v>
          </cell>
          <cell r="I121">
            <v>1</v>
          </cell>
          <cell r="J121" t="str">
            <v>C.3.6.3.6.1</v>
          </cell>
          <cell r="K121" t="str">
            <v>Parto integral</v>
          </cell>
          <cell r="L121">
            <v>3</v>
          </cell>
          <cell r="M121">
            <v>46042</v>
          </cell>
          <cell r="N121">
            <v>46043</v>
          </cell>
          <cell r="O121">
            <v>1</v>
          </cell>
          <cell r="P121">
            <v>46044</v>
          </cell>
          <cell r="Q121">
            <v>5</v>
          </cell>
          <cell r="R121" t="str">
            <v>NA</v>
          </cell>
          <cell r="S121">
            <v>5</v>
          </cell>
        </row>
        <row r="122">
          <cell r="B122" t="str">
            <v>EMMC</v>
          </cell>
          <cell r="C122" t="str">
            <v>HSLB12720</v>
          </cell>
          <cell r="D122">
            <v>113005</v>
          </cell>
          <cell r="E122" t="str">
            <v>Monitor Cardiofetal</v>
          </cell>
          <cell r="F122" t="str">
            <v>NO</v>
          </cell>
          <cell r="G122" t="str">
            <v>NO</v>
          </cell>
          <cell r="H122" t="str">
            <v>SALA PARTO INTEGRAL</v>
          </cell>
          <cell r="I122">
            <v>1</v>
          </cell>
          <cell r="J122" t="str">
            <v>C.3.6.3.6.2</v>
          </cell>
          <cell r="K122" t="str">
            <v>Parto integral</v>
          </cell>
          <cell r="L122">
            <v>3</v>
          </cell>
          <cell r="M122">
            <v>46042</v>
          </cell>
          <cell r="N122">
            <v>46043</v>
          </cell>
          <cell r="O122">
            <v>1</v>
          </cell>
          <cell r="P122">
            <v>46044</v>
          </cell>
          <cell r="Q122">
            <v>5</v>
          </cell>
          <cell r="R122" t="str">
            <v>NA</v>
          </cell>
          <cell r="S122">
            <v>5</v>
          </cell>
        </row>
        <row r="123">
          <cell r="B123" t="str">
            <v>EMMC</v>
          </cell>
          <cell r="C123" t="str">
            <v>HSLB12721</v>
          </cell>
          <cell r="D123">
            <v>113005</v>
          </cell>
          <cell r="E123" t="str">
            <v>Monitor Cardiofetal</v>
          </cell>
          <cell r="F123" t="str">
            <v>NO</v>
          </cell>
          <cell r="G123" t="str">
            <v>NO</v>
          </cell>
          <cell r="H123" t="str">
            <v>SALA PARTO INTEGRAL</v>
          </cell>
          <cell r="I123">
            <v>1</v>
          </cell>
          <cell r="J123" t="str">
            <v>C.3.6.3.6.3</v>
          </cell>
          <cell r="K123" t="str">
            <v>Parto integral</v>
          </cell>
          <cell r="L123">
            <v>3</v>
          </cell>
          <cell r="M123">
            <v>46042</v>
          </cell>
          <cell r="N123">
            <v>46043</v>
          </cell>
          <cell r="O123">
            <v>1</v>
          </cell>
          <cell r="P123">
            <v>46044</v>
          </cell>
          <cell r="Q123">
            <v>5</v>
          </cell>
          <cell r="R123" t="str">
            <v>NA</v>
          </cell>
          <cell r="S123">
            <v>5</v>
          </cell>
        </row>
        <row r="124">
          <cell r="B124" t="str">
            <v>EMMC</v>
          </cell>
          <cell r="C124" t="str">
            <v>HSLB12744</v>
          </cell>
          <cell r="D124">
            <v>113008</v>
          </cell>
          <cell r="E124" t="str">
            <v>Monitor de Signos Vitales Baja Complejidad</v>
          </cell>
          <cell r="F124" t="str">
            <v>NO</v>
          </cell>
          <cell r="G124" t="str">
            <v>NO</v>
          </cell>
          <cell r="H124" t="str">
            <v>SALA TRANSICIÓN NEONATAL</v>
          </cell>
          <cell r="I124">
            <v>1</v>
          </cell>
          <cell r="J124" t="str">
            <v>C.3.6.3.11</v>
          </cell>
          <cell r="K124" t="str">
            <v>Parto integral</v>
          </cell>
          <cell r="L124">
            <v>3</v>
          </cell>
          <cell r="M124">
            <v>46042</v>
          </cell>
          <cell r="N124">
            <v>46043</v>
          </cell>
          <cell r="O124">
            <v>1</v>
          </cell>
          <cell r="P124">
            <v>46044</v>
          </cell>
          <cell r="Q124">
            <v>5</v>
          </cell>
          <cell r="R124" t="str">
            <v>NA</v>
          </cell>
          <cell r="S124">
            <v>5</v>
          </cell>
        </row>
        <row r="125">
          <cell r="B125" t="str">
            <v>EMMC</v>
          </cell>
          <cell r="C125" t="str">
            <v>HSLB12745</v>
          </cell>
          <cell r="D125">
            <v>113008</v>
          </cell>
          <cell r="E125" t="str">
            <v>Monitor de Signos Vitales Baja Complejidad</v>
          </cell>
          <cell r="F125" t="str">
            <v>NO</v>
          </cell>
          <cell r="G125" t="str">
            <v>NO</v>
          </cell>
          <cell r="H125" t="str">
            <v>BODEGA DE EQUIPOS</v>
          </cell>
          <cell r="I125">
            <v>1</v>
          </cell>
          <cell r="J125" t="str">
            <v>C.3.6.3.13</v>
          </cell>
          <cell r="K125" t="str">
            <v>Parto integral</v>
          </cell>
          <cell r="L125">
            <v>3</v>
          </cell>
          <cell r="M125">
            <v>46042</v>
          </cell>
          <cell r="N125">
            <v>46043</v>
          </cell>
          <cell r="O125">
            <v>1</v>
          </cell>
          <cell r="P125">
            <v>46044</v>
          </cell>
          <cell r="Q125">
            <v>5</v>
          </cell>
          <cell r="R125" t="str">
            <v>NA</v>
          </cell>
          <cell r="S125">
            <v>5</v>
          </cell>
        </row>
        <row r="126">
          <cell r="B126" t="str">
            <v>EMMC</v>
          </cell>
          <cell r="C126" t="str">
            <v>HSLB12794</v>
          </cell>
          <cell r="D126">
            <v>113009</v>
          </cell>
          <cell r="E126" t="str">
            <v>Monitor de Signos Vitales Básico</v>
          </cell>
          <cell r="F126" t="str">
            <v>NO</v>
          </cell>
          <cell r="G126" t="str">
            <v>NO</v>
          </cell>
          <cell r="H126" t="str">
            <v>BODEGA DE EQUIPOS</v>
          </cell>
          <cell r="I126">
            <v>1</v>
          </cell>
          <cell r="J126" t="str">
            <v>C.3.6.3.13</v>
          </cell>
          <cell r="K126" t="str">
            <v>Parto integral</v>
          </cell>
          <cell r="L126">
            <v>3</v>
          </cell>
          <cell r="M126">
            <v>46042</v>
          </cell>
          <cell r="N126">
            <v>46043</v>
          </cell>
          <cell r="O126">
            <v>1</v>
          </cell>
          <cell r="P126">
            <v>46044</v>
          </cell>
          <cell r="Q126">
            <v>5</v>
          </cell>
          <cell r="R126" t="str">
            <v>NA</v>
          </cell>
          <cell r="S126">
            <v>5</v>
          </cell>
        </row>
        <row r="127">
          <cell r="B127" t="str">
            <v>EMMC</v>
          </cell>
          <cell r="C127" t="str">
            <v>HSLB12795</v>
          </cell>
          <cell r="D127">
            <v>113009</v>
          </cell>
          <cell r="E127" t="str">
            <v>Monitor de Signos Vitales Básico</v>
          </cell>
          <cell r="F127" t="str">
            <v>NO</v>
          </cell>
          <cell r="G127" t="str">
            <v>NO</v>
          </cell>
          <cell r="H127" t="str">
            <v>SALA PARTO INTEGRAL</v>
          </cell>
          <cell r="I127">
            <v>1</v>
          </cell>
          <cell r="J127" t="str">
            <v>C.3.6.3.6.1</v>
          </cell>
          <cell r="K127" t="str">
            <v>Parto integral</v>
          </cell>
          <cell r="L127">
            <v>3</v>
          </cell>
          <cell r="M127">
            <v>46042</v>
          </cell>
          <cell r="N127">
            <v>46043</v>
          </cell>
          <cell r="O127">
            <v>1</v>
          </cell>
          <cell r="P127">
            <v>46044</v>
          </cell>
          <cell r="Q127">
            <v>5</v>
          </cell>
          <cell r="R127" t="str">
            <v>NA</v>
          </cell>
          <cell r="S127">
            <v>5</v>
          </cell>
        </row>
        <row r="128">
          <cell r="B128" t="str">
            <v>EMMC</v>
          </cell>
          <cell r="C128" t="str">
            <v>HSLB12796</v>
          </cell>
          <cell r="D128">
            <v>113009</v>
          </cell>
          <cell r="E128" t="str">
            <v>Monitor de Signos Vitales Básico</v>
          </cell>
          <cell r="F128" t="str">
            <v>NO</v>
          </cell>
          <cell r="G128" t="str">
            <v>NO</v>
          </cell>
          <cell r="H128" t="str">
            <v>SALA PARTO INTEGRAL</v>
          </cell>
          <cell r="I128">
            <v>1</v>
          </cell>
          <cell r="J128" t="str">
            <v>C.3.6.3.6.2</v>
          </cell>
          <cell r="K128" t="str">
            <v>Parto integral</v>
          </cell>
          <cell r="L128">
            <v>3</v>
          </cell>
          <cell r="M128">
            <v>46042</v>
          </cell>
          <cell r="N128">
            <v>46043</v>
          </cell>
          <cell r="O128">
            <v>1</v>
          </cell>
          <cell r="P128">
            <v>46044</v>
          </cell>
          <cell r="Q128">
            <v>5</v>
          </cell>
          <cell r="R128" t="str">
            <v>NA</v>
          </cell>
          <cell r="S128">
            <v>5</v>
          </cell>
        </row>
        <row r="129">
          <cell r="B129" t="str">
            <v>EMMC</v>
          </cell>
          <cell r="C129" t="str">
            <v>HSLB12797</v>
          </cell>
          <cell r="D129">
            <v>113009</v>
          </cell>
          <cell r="E129" t="str">
            <v>Monitor de Signos Vitales Básico</v>
          </cell>
          <cell r="F129" t="str">
            <v>NO</v>
          </cell>
          <cell r="G129" t="str">
            <v>NO</v>
          </cell>
          <cell r="H129" t="str">
            <v>SALA PARTO INTEGRAL</v>
          </cell>
          <cell r="I129">
            <v>1</v>
          </cell>
          <cell r="J129" t="str">
            <v>C.3.6.3.6.3</v>
          </cell>
          <cell r="K129" t="str">
            <v>Parto integral</v>
          </cell>
          <cell r="L129">
            <v>3</v>
          </cell>
          <cell r="M129">
            <v>46042</v>
          </cell>
          <cell r="N129">
            <v>46043</v>
          </cell>
          <cell r="O129">
            <v>1</v>
          </cell>
          <cell r="P129">
            <v>46044</v>
          </cell>
          <cell r="Q129">
            <v>5</v>
          </cell>
          <cell r="R129" t="str">
            <v>NA</v>
          </cell>
          <cell r="S129">
            <v>5</v>
          </cell>
        </row>
        <row r="130">
          <cell r="B130" t="str">
            <v>EMMC</v>
          </cell>
          <cell r="C130" t="str">
            <v>HSLB12818</v>
          </cell>
          <cell r="D130">
            <v>113010</v>
          </cell>
          <cell r="E130" t="str">
            <v>Monitor de Signos Vitales Mediana Complejidad</v>
          </cell>
          <cell r="F130" t="str">
            <v>NO</v>
          </cell>
          <cell r="G130" t="str">
            <v>NO</v>
          </cell>
          <cell r="H130" t="str">
            <v>SALA PARTO INTEGRAL</v>
          </cell>
          <cell r="I130">
            <v>1</v>
          </cell>
          <cell r="J130" t="str">
            <v>C.3.6.3.6.3</v>
          </cell>
          <cell r="K130" t="str">
            <v>Parto integral</v>
          </cell>
          <cell r="L130">
            <v>3</v>
          </cell>
          <cell r="M130">
            <v>46042</v>
          </cell>
          <cell r="N130">
            <v>46043</v>
          </cell>
          <cell r="O130">
            <v>1</v>
          </cell>
          <cell r="P130">
            <v>46044</v>
          </cell>
          <cell r="Q130">
            <v>5</v>
          </cell>
          <cell r="R130" t="str">
            <v>NA</v>
          </cell>
          <cell r="S130">
            <v>5</v>
          </cell>
        </row>
        <row r="131">
          <cell r="B131" t="str">
            <v>EMMC</v>
          </cell>
          <cell r="C131" t="str">
            <v>HSLB12858</v>
          </cell>
          <cell r="D131">
            <v>113013</v>
          </cell>
          <cell r="E131" t="str">
            <v>Monitor Desfibrilador</v>
          </cell>
          <cell r="F131" t="str">
            <v>NO</v>
          </cell>
          <cell r="G131" t="str">
            <v>NO</v>
          </cell>
          <cell r="H131" t="str">
            <v>SALA TRANSICIÓN NEONATAL</v>
          </cell>
          <cell r="I131">
            <v>1</v>
          </cell>
          <cell r="J131" t="str">
            <v>C.3.6.3.11</v>
          </cell>
          <cell r="K131" t="str">
            <v>Parto integral</v>
          </cell>
          <cell r="L131">
            <v>3</v>
          </cell>
          <cell r="M131">
            <v>46042</v>
          </cell>
          <cell r="N131">
            <v>46043</v>
          </cell>
          <cell r="O131">
            <v>1</v>
          </cell>
          <cell r="P131">
            <v>46044</v>
          </cell>
          <cell r="Q131">
            <v>5</v>
          </cell>
          <cell r="R131" t="str">
            <v>NA</v>
          </cell>
          <cell r="S131">
            <v>5</v>
          </cell>
        </row>
        <row r="132">
          <cell r="B132" t="str">
            <v>EMMC</v>
          </cell>
          <cell r="C132" t="str">
            <v>HSLB12859</v>
          </cell>
          <cell r="D132">
            <v>113013</v>
          </cell>
          <cell r="E132" t="str">
            <v>Monitor Desfibrilador</v>
          </cell>
          <cell r="F132" t="str">
            <v>NO</v>
          </cell>
          <cell r="G132" t="str">
            <v>NO</v>
          </cell>
          <cell r="H132" t="str">
            <v>ESTACIÓN DE ENFERMERÍA</v>
          </cell>
          <cell r="I132">
            <v>1</v>
          </cell>
          <cell r="J132" t="str">
            <v>C.3.6.3.7</v>
          </cell>
          <cell r="K132" t="str">
            <v>Parto integral</v>
          </cell>
          <cell r="L132">
            <v>3</v>
          </cell>
          <cell r="M132">
            <v>46042</v>
          </cell>
          <cell r="N132">
            <v>46043</v>
          </cell>
          <cell r="O132">
            <v>1</v>
          </cell>
          <cell r="P132">
            <v>46044</v>
          </cell>
          <cell r="Q132">
            <v>5</v>
          </cell>
          <cell r="R132" t="str">
            <v>NA</v>
          </cell>
          <cell r="S132">
            <v>5</v>
          </cell>
        </row>
        <row r="133">
          <cell r="B133" t="str">
            <v>EMMC</v>
          </cell>
          <cell r="C133" t="str">
            <v>HSLB12876</v>
          </cell>
          <cell r="D133">
            <v>113015</v>
          </cell>
          <cell r="E133" t="str">
            <v>Monitor Oxímetro de Pulso Neonatal</v>
          </cell>
          <cell r="F133" t="str">
            <v>NO</v>
          </cell>
          <cell r="G133" t="str">
            <v>NO</v>
          </cell>
          <cell r="H133" t="str">
            <v>SALA TRANSICIÓN NEONATAL</v>
          </cell>
          <cell r="I133">
            <v>1</v>
          </cell>
          <cell r="J133" t="str">
            <v>C.3.6.3.11</v>
          </cell>
          <cell r="K133" t="str">
            <v>Parto integral</v>
          </cell>
          <cell r="L133">
            <v>3</v>
          </cell>
          <cell r="M133">
            <v>46042</v>
          </cell>
          <cell r="N133">
            <v>46043</v>
          </cell>
          <cell r="O133">
            <v>1</v>
          </cell>
          <cell r="P133">
            <v>46044</v>
          </cell>
          <cell r="Q133">
            <v>5</v>
          </cell>
          <cell r="R133" t="str">
            <v>NA</v>
          </cell>
          <cell r="S133">
            <v>5</v>
          </cell>
        </row>
        <row r="134">
          <cell r="B134" t="str">
            <v>EMMC</v>
          </cell>
          <cell r="C134" t="str">
            <v>HSLB12751</v>
          </cell>
          <cell r="D134">
            <v>113008</v>
          </cell>
          <cell r="E134" t="str">
            <v>Monitor de Signos Vitales Baja Complejidad</v>
          </cell>
          <cell r="F134" t="str">
            <v>NO</v>
          </cell>
          <cell r="G134" t="str">
            <v>NO</v>
          </cell>
          <cell r="H134" t="str">
            <v>SALA RECUPERACION ELECTIVA</v>
          </cell>
          <cell r="I134">
            <v>6</v>
          </cell>
          <cell r="J134" t="str">
            <v>C.5.6.3.13</v>
          </cell>
          <cell r="K134" t="str">
            <v>Pabellones</v>
          </cell>
          <cell r="L134">
            <v>3</v>
          </cell>
          <cell r="M134">
            <v>46039</v>
          </cell>
          <cell r="N134">
            <v>46041</v>
          </cell>
          <cell r="O134">
            <v>1</v>
          </cell>
          <cell r="P134">
            <v>46042</v>
          </cell>
          <cell r="Q134">
            <v>5</v>
          </cell>
          <cell r="R134" t="str">
            <v>NA</v>
          </cell>
          <cell r="S134">
            <v>5</v>
          </cell>
        </row>
        <row r="135">
          <cell r="B135" t="str">
            <v>EMMC</v>
          </cell>
          <cell r="C135" t="str">
            <v>HSLB10685</v>
          </cell>
          <cell r="D135">
            <v>105018</v>
          </cell>
          <cell r="E135" t="str">
            <v>Ventilador de Transporte</v>
          </cell>
          <cell r="F135" t="str">
            <v>NO</v>
          </cell>
          <cell r="G135" t="str">
            <v>SI</v>
          </cell>
          <cell r="H135" t="str">
            <v>BODEGA DE EQUIPOS</v>
          </cell>
          <cell r="I135">
            <v>3</v>
          </cell>
          <cell r="J135" t="str">
            <v>C.5.6.4.17</v>
          </cell>
          <cell r="K135" t="str">
            <v>Pabellones</v>
          </cell>
          <cell r="L135">
            <v>3</v>
          </cell>
          <cell r="M135">
            <v>46003</v>
          </cell>
          <cell r="N135">
            <v>46006</v>
          </cell>
          <cell r="O135">
            <v>1</v>
          </cell>
          <cell r="P135">
            <v>46007</v>
          </cell>
          <cell r="Q135">
            <v>5</v>
          </cell>
          <cell r="R135" t="str">
            <v>NA</v>
          </cell>
          <cell r="S135">
            <v>5</v>
          </cell>
        </row>
        <row r="136">
          <cell r="B136" t="str">
            <v>EMMC</v>
          </cell>
          <cell r="C136" t="str">
            <v>HSLB10724</v>
          </cell>
          <cell r="D136">
            <v>105023</v>
          </cell>
          <cell r="E136" t="str">
            <v>Ventilador Mecánico no Invasivo</v>
          </cell>
          <cell r="F136" t="str">
            <v>NO</v>
          </cell>
          <cell r="G136" t="str">
            <v>SI</v>
          </cell>
          <cell r="H136" t="str">
            <v>BODEGA DE EQUIPOS</v>
          </cell>
          <cell r="I136">
            <v>3</v>
          </cell>
          <cell r="J136" t="str">
            <v>C.3.7.20</v>
          </cell>
          <cell r="K136" t="str">
            <v>UTI</v>
          </cell>
          <cell r="L136">
            <v>3</v>
          </cell>
          <cell r="M136">
            <v>46003</v>
          </cell>
          <cell r="N136">
            <v>46006</v>
          </cell>
          <cell r="O136">
            <v>1</v>
          </cell>
          <cell r="P136">
            <v>46007</v>
          </cell>
          <cell r="Q136">
            <v>5</v>
          </cell>
          <cell r="R136" t="str">
            <v>NA</v>
          </cell>
          <cell r="S136">
            <v>5</v>
          </cell>
        </row>
        <row r="137">
          <cell r="B137" t="str">
            <v>EMMC</v>
          </cell>
          <cell r="C137" t="str">
            <v>HSLB10261</v>
          </cell>
          <cell r="D137">
            <v>102002</v>
          </cell>
          <cell r="E137" t="str">
            <v>Histeroscopio</v>
          </cell>
          <cell r="F137" t="str">
            <v>NO</v>
          </cell>
          <cell r="G137" t="str">
            <v>SI</v>
          </cell>
          <cell r="H137" t="str">
            <v>BODEGA DE EQUIPOS</v>
          </cell>
          <cell r="I137">
            <v>1</v>
          </cell>
          <cell r="J137" t="str">
            <v>C.5.6.4.17</v>
          </cell>
          <cell r="K137" t="str">
            <v>Pabellones</v>
          </cell>
          <cell r="L137">
            <v>3</v>
          </cell>
          <cell r="M137">
            <v>46003</v>
          </cell>
          <cell r="N137">
            <v>46006</v>
          </cell>
          <cell r="O137">
            <v>1</v>
          </cell>
          <cell r="P137">
            <v>46007</v>
          </cell>
          <cell r="Q137">
            <v>5</v>
          </cell>
          <cell r="R137" t="str">
            <v>NA</v>
          </cell>
          <cell r="S137">
            <v>5</v>
          </cell>
        </row>
        <row r="138">
          <cell r="B138" t="str">
            <v>EMMC</v>
          </cell>
          <cell r="C138" t="str">
            <v>HSLB10578</v>
          </cell>
          <cell r="D138">
            <v>104030</v>
          </cell>
          <cell r="E138" t="str">
            <v>Sistema de Columnas y Brazos</v>
          </cell>
          <cell r="F138" t="str">
            <v>SI</v>
          </cell>
          <cell r="G138" t="str">
            <v>NO</v>
          </cell>
          <cell r="H138" t="str">
            <v>PABELLON CIRUGIA MAYOR AMBULATORIA</v>
          </cell>
          <cell r="I138">
            <v>1</v>
          </cell>
          <cell r="J138" t="str">
            <v>C.5.6.4.6.1</v>
          </cell>
          <cell r="K138" t="str">
            <v>Pabellones</v>
          </cell>
          <cell r="L138">
            <v>3</v>
          </cell>
          <cell r="M138">
            <v>46030</v>
          </cell>
          <cell r="N138">
            <v>46031</v>
          </cell>
          <cell r="O138">
            <v>15</v>
          </cell>
          <cell r="P138">
            <v>46052</v>
          </cell>
          <cell r="Q138">
            <v>5</v>
          </cell>
          <cell r="R138" t="str">
            <v>NA</v>
          </cell>
          <cell r="S138">
            <v>5</v>
          </cell>
        </row>
        <row r="139">
          <cell r="B139" t="str">
            <v>EMMC</v>
          </cell>
          <cell r="C139" t="str">
            <v>HSLB12753</v>
          </cell>
          <cell r="D139">
            <v>113008</v>
          </cell>
          <cell r="E139" t="str">
            <v>Monitor de Signos Vitales Baja Complejidad</v>
          </cell>
          <cell r="F139" t="str">
            <v>NO</v>
          </cell>
          <cell r="G139" t="str">
            <v>NO</v>
          </cell>
          <cell r="H139" t="str">
            <v>SALA REANIMACIÓN NEONATAL</v>
          </cell>
          <cell r="I139">
            <v>1</v>
          </cell>
          <cell r="J139" t="str">
            <v>C.5.6.4.11</v>
          </cell>
          <cell r="K139" t="str">
            <v>Pabellones</v>
          </cell>
          <cell r="L139">
            <v>3</v>
          </cell>
          <cell r="M139">
            <v>46039</v>
          </cell>
          <cell r="N139">
            <v>46041</v>
          </cell>
          <cell r="O139">
            <v>1</v>
          </cell>
          <cell r="P139">
            <v>46042</v>
          </cell>
          <cell r="Q139">
            <v>5</v>
          </cell>
          <cell r="R139" t="str">
            <v>NA</v>
          </cell>
          <cell r="S139">
            <v>5</v>
          </cell>
        </row>
        <row r="140">
          <cell r="B140" t="str">
            <v>EMMC</v>
          </cell>
          <cell r="C140" t="str">
            <v>HSLB10700</v>
          </cell>
          <cell r="D140">
            <v>105021</v>
          </cell>
          <cell r="E140" t="str">
            <v>Ventilador Manual Válvula Peep</v>
          </cell>
          <cell r="F140" t="str">
            <v>NO</v>
          </cell>
          <cell r="G140" t="str">
            <v>NO</v>
          </cell>
          <cell r="H140" t="str">
            <v>SALA TRANSICIÓN NEONATAL</v>
          </cell>
          <cell r="I140">
            <v>2</v>
          </cell>
          <cell r="J140" t="str">
            <v>C.3.6.3.11</v>
          </cell>
          <cell r="K140" t="str">
            <v>Parto integral</v>
          </cell>
          <cell r="L140">
            <v>3</v>
          </cell>
          <cell r="M140">
            <v>46042</v>
          </cell>
          <cell r="N140">
            <v>46043</v>
          </cell>
          <cell r="O140">
            <v>1</v>
          </cell>
          <cell r="P140">
            <v>46044</v>
          </cell>
          <cell r="Q140">
            <v>5</v>
          </cell>
          <cell r="R140" t="str">
            <v>NA</v>
          </cell>
          <cell r="S140">
            <v>5</v>
          </cell>
        </row>
        <row r="141">
          <cell r="B141" t="str">
            <v>EMMC</v>
          </cell>
          <cell r="C141" t="str">
            <v>HSLB10699</v>
          </cell>
          <cell r="D141">
            <v>105021</v>
          </cell>
          <cell r="E141" t="str">
            <v>Ventilador Manual Válvula Peep</v>
          </cell>
          <cell r="F141" t="str">
            <v>NO</v>
          </cell>
          <cell r="G141" t="str">
            <v>NO</v>
          </cell>
          <cell r="H141" t="str">
            <v>SALA AISLAMIENTO</v>
          </cell>
          <cell r="I141">
            <v>1</v>
          </cell>
          <cell r="J141" t="str">
            <v>C.3.7.17.2</v>
          </cell>
          <cell r="K141" t="str">
            <v>UTI</v>
          </cell>
          <cell r="L141">
            <v>3</v>
          </cell>
          <cell r="M141">
            <v>46042</v>
          </cell>
          <cell r="N141">
            <v>46043</v>
          </cell>
          <cell r="O141">
            <v>1</v>
          </cell>
          <cell r="P141">
            <v>46044</v>
          </cell>
          <cell r="Q141">
            <v>5</v>
          </cell>
          <cell r="R141" t="str">
            <v>NA</v>
          </cell>
          <cell r="S141">
            <v>5</v>
          </cell>
        </row>
        <row r="142">
          <cell r="B142" t="str">
            <v>EMMC</v>
          </cell>
          <cell r="C142" t="str">
            <v>HSLB10698</v>
          </cell>
          <cell r="D142">
            <v>105021</v>
          </cell>
          <cell r="E142" t="str">
            <v>Ventilador Manual Válvula Peep</v>
          </cell>
          <cell r="F142" t="str">
            <v>NO</v>
          </cell>
          <cell r="G142" t="str">
            <v>NO</v>
          </cell>
          <cell r="H142" t="str">
            <v>SALA AISLAMIENTO</v>
          </cell>
          <cell r="I142">
            <v>1</v>
          </cell>
          <cell r="J142" t="str">
            <v>C.3.7.17.1</v>
          </cell>
          <cell r="K142" t="str">
            <v>UTI</v>
          </cell>
          <cell r="L142">
            <v>3</v>
          </cell>
          <cell r="M142">
            <v>46042</v>
          </cell>
          <cell r="N142">
            <v>46043</v>
          </cell>
          <cell r="O142">
            <v>1</v>
          </cell>
          <cell r="P142">
            <v>46044</v>
          </cell>
          <cell r="Q142">
            <v>5</v>
          </cell>
          <cell r="R142" t="str">
            <v>NA</v>
          </cell>
          <cell r="S142">
            <v>5</v>
          </cell>
        </row>
        <row r="143">
          <cell r="B143" t="str">
            <v>EMMC</v>
          </cell>
          <cell r="C143" t="str">
            <v>HSLB10697</v>
          </cell>
          <cell r="D143">
            <v>105021</v>
          </cell>
          <cell r="E143" t="str">
            <v>Ventilador Manual Válvula Peep</v>
          </cell>
          <cell r="F143" t="str">
            <v>NO</v>
          </cell>
          <cell r="G143" t="str">
            <v>NO</v>
          </cell>
          <cell r="H143" t="str">
            <v>SALA 1 CAMA</v>
          </cell>
          <cell r="I143">
            <v>1</v>
          </cell>
          <cell r="J143" t="str">
            <v>C.3.7.16.9</v>
          </cell>
          <cell r="K143" t="str">
            <v>UTI</v>
          </cell>
          <cell r="L143">
            <v>3</v>
          </cell>
          <cell r="M143">
            <v>46042</v>
          </cell>
          <cell r="N143">
            <v>46043</v>
          </cell>
          <cell r="O143">
            <v>1</v>
          </cell>
          <cell r="P143">
            <v>46044</v>
          </cell>
          <cell r="Q143">
            <v>5</v>
          </cell>
          <cell r="R143" t="str">
            <v>NA</v>
          </cell>
          <cell r="S143">
            <v>5</v>
          </cell>
        </row>
        <row r="144">
          <cell r="B144" t="str">
            <v>EMMC</v>
          </cell>
          <cell r="C144" t="str">
            <v>HSLB10696</v>
          </cell>
          <cell r="D144">
            <v>105021</v>
          </cell>
          <cell r="E144" t="str">
            <v>Ventilador Manual Válvula Peep</v>
          </cell>
          <cell r="F144" t="str">
            <v>NO</v>
          </cell>
          <cell r="G144" t="str">
            <v>NO</v>
          </cell>
          <cell r="H144" t="str">
            <v>SALA 1 CAMA</v>
          </cell>
          <cell r="I144">
            <v>1</v>
          </cell>
          <cell r="J144" t="str">
            <v>C.3.7.16.8</v>
          </cell>
          <cell r="K144" t="str">
            <v>UTI</v>
          </cell>
          <cell r="L144">
            <v>3</v>
          </cell>
          <cell r="M144">
            <v>46042</v>
          </cell>
          <cell r="N144">
            <v>46043</v>
          </cell>
          <cell r="O144">
            <v>1</v>
          </cell>
          <cell r="P144">
            <v>46044</v>
          </cell>
          <cell r="Q144">
            <v>5</v>
          </cell>
          <cell r="R144" t="str">
            <v>NA</v>
          </cell>
          <cell r="S144">
            <v>5</v>
          </cell>
        </row>
        <row r="145">
          <cell r="B145" t="str">
            <v>EMMC</v>
          </cell>
          <cell r="C145" t="str">
            <v>HSLB10695</v>
          </cell>
          <cell r="D145">
            <v>105021</v>
          </cell>
          <cell r="E145" t="str">
            <v>Ventilador Manual Válvula Peep</v>
          </cell>
          <cell r="F145" t="str">
            <v>NO</v>
          </cell>
          <cell r="G145" t="str">
            <v>NO</v>
          </cell>
          <cell r="H145" t="str">
            <v>SALA 1 CAMA</v>
          </cell>
          <cell r="I145">
            <v>1</v>
          </cell>
          <cell r="J145" t="str">
            <v>C.3.7.16.7</v>
          </cell>
          <cell r="K145" t="str">
            <v>UTI</v>
          </cell>
          <cell r="L145">
            <v>3</v>
          </cell>
          <cell r="M145">
            <v>46042</v>
          </cell>
          <cell r="N145">
            <v>46043</v>
          </cell>
          <cell r="O145">
            <v>1</v>
          </cell>
          <cell r="P145">
            <v>46044</v>
          </cell>
          <cell r="Q145">
            <v>5</v>
          </cell>
          <cell r="R145" t="str">
            <v>NA</v>
          </cell>
          <cell r="S145">
            <v>5</v>
          </cell>
        </row>
        <row r="146">
          <cell r="B146" t="str">
            <v>EMMC</v>
          </cell>
          <cell r="C146" t="str">
            <v>HSLB10694</v>
          </cell>
          <cell r="D146">
            <v>105021</v>
          </cell>
          <cell r="E146" t="str">
            <v>Ventilador Manual Válvula Peep</v>
          </cell>
          <cell r="F146" t="str">
            <v>NO</v>
          </cell>
          <cell r="G146" t="str">
            <v>NO</v>
          </cell>
          <cell r="H146" t="str">
            <v>SALA 1 CAMA</v>
          </cell>
          <cell r="I146">
            <v>1</v>
          </cell>
          <cell r="J146" t="str">
            <v>C.3.7.16.6</v>
          </cell>
          <cell r="K146" t="str">
            <v>UTI</v>
          </cell>
          <cell r="L146">
            <v>3</v>
          </cell>
          <cell r="M146">
            <v>46042</v>
          </cell>
          <cell r="N146">
            <v>46043</v>
          </cell>
          <cell r="O146">
            <v>1</v>
          </cell>
          <cell r="P146">
            <v>46044</v>
          </cell>
          <cell r="Q146">
            <v>5</v>
          </cell>
          <cell r="R146" t="str">
            <v>NA</v>
          </cell>
          <cell r="S146">
            <v>5</v>
          </cell>
        </row>
        <row r="147">
          <cell r="B147" t="str">
            <v>EMMC</v>
          </cell>
          <cell r="C147" t="str">
            <v>HSLB10693</v>
          </cell>
          <cell r="D147">
            <v>105021</v>
          </cell>
          <cell r="E147" t="str">
            <v>Ventilador Manual Válvula Peep</v>
          </cell>
          <cell r="F147" t="str">
            <v>NO</v>
          </cell>
          <cell r="G147" t="str">
            <v>NO</v>
          </cell>
          <cell r="H147" t="str">
            <v>SALA 1 CAMA</v>
          </cell>
          <cell r="I147">
            <v>1</v>
          </cell>
          <cell r="J147" t="str">
            <v>C.3.7.16.5</v>
          </cell>
          <cell r="K147" t="str">
            <v>UTI</v>
          </cell>
          <cell r="L147">
            <v>3</v>
          </cell>
          <cell r="M147">
            <v>46042</v>
          </cell>
          <cell r="N147">
            <v>46043</v>
          </cell>
          <cell r="O147">
            <v>1</v>
          </cell>
          <cell r="P147">
            <v>46044</v>
          </cell>
          <cell r="Q147">
            <v>5</v>
          </cell>
          <cell r="R147" t="str">
            <v>NA</v>
          </cell>
          <cell r="S147">
            <v>5</v>
          </cell>
        </row>
        <row r="148">
          <cell r="B148" t="str">
            <v>EMMC</v>
          </cell>
          <cell r="C148" t="str">
            <v>HSLB10692</v>
          </cell>
          <cell r="D148">
            <v>105021</v>
          </cell>
          <cell r="E148" t="str">
            <v>Ventilador Manual Válvula Peep</v>
          </cell>
          <cell r="F148" t="str">
            <v>NO</v>
          </cell>
          <cell r="G148" t="str">
            <v>NO</v>
          </cell>
          <cell r="H148" t="str">
            <v>SALA 1 CAMA</v>
          </cell>
          <cell r="I148">
            <v>1</v>
          </cell>
          <cell r="J148" t="str">
            <v>C.3.7.16.4</v>
          </cell>
          <cell r="K148" t="str">
            <v>UTI</v>
          </cell>
          <cell r="L148">
            <v>3</v>
          </cell>
          <cell r="M148">
            <v>46042</v>
          </cell>
          <cell r="N148">
            <v>46043</v>
          </cell>
          <cell r="O148">
            <v>1</v>
          </cell>
          <cell r="P148">
            <v>46044</v>
          </cell>
          <cell r="Q148">
            <v>5</v>
          </cell>
          <cell r="R148" t="str">
            <v>NA</v>
          </cell>
          <cell r="S148">
            <v>5</v>
          </cell>
        </row>
        <row r="149">
          <cell r="B149" t="str">
            <v>EMMC</v>
          </cell>
          <cell r="C149" t="str">
            <v>HSLB10691</v>
          </cell>
          <cell r="D149">
            <v>105021</v>
          </cell>
          <cell r="E149" t="str">
            <v>Ventilador Manual Válvula Peep</v>
          </cell>
          <cell r="F149" t="str">
            <v>NO</v>
          </cell>
          <cell r="G149" t="str">
            <v>NO</v>
          </cell>
          <cell r="H149" t="str">
            <v>SALA 1 CAMA</v>
          </cell>
          <cell r="I149">
            <v>1</v>
          </cell>
          <cell r="J149" t="str">
            <v>C.3.7.16.3</v>
          </cell>
          <cell r="K149" t="str">
            <v>UTI</v>
          </cell>
          <cell r="L149">
            <v>3</v>
          </cell>
          <cell r="M149">
            <v>46042</v>
          </cell>
          <cell r="N149">
            <v>46043</v>
          </cell>
          <cell r="O149">
            <v>1</v>
          </cell>
          <cell r="P149">
            <v>46044</v>
          </cell>
          <cell r="Q149">
            <v>5</v>
          </cell>
          <cell r="R149" t="str">
            <v>NA</v>
          </cell>
          <cell r="S149">
            <v>5</v>
          </cell>
        </row>
        <row r="150">
          <cell r="B150" t="str">
            <v>EMMC</v>
          </cell>
          <cell r="C150" t="str">
            <v>HSLB10690</v>
          </cell>
          <cell r="D150">
            <v>105021</v>
          </cell>
          <cell r="E150" t="str">
            <v>Ventilador Manual Válvula Peep</v>
          </cell>
          <cell r="F150" t="str">
            <v>NO</v>
          </cell>
          <cell r="G150" t="str">
            <v>NO</v>
          </cell>
          <cell r="H150" t="str">
            <v>SALA 1 CAMA</v>
          </cell>
          <cell r="I150">
            <v>1</v>
          </cell>
          <cell r="J150" t="str">
            <v>C.3.7.16.2</v>
          </cell>
          <cell r="K150" t="str">
            <v>UTI</v>
          </cell>
          <cell r="L150">
            <v>3</v>
          </cell>
          <cell r="M150">
            <v>46042</v>
          </cell>
          <cell r="N150">
            <v>46043</v>
          </cell>
          <cell r="O150">
            <v>1</v>
          </cell>
          <cell r="P150">
            <v>46044</v>
          </cell>
          <cell r="Q150">
            <v>5</v>
          </cell>
          <cell r="R150" t="str">
            <v>NA</v>
          </cell>
          <cell r="S150">
            <v>5</v>
          </cell>
        </row>
        <row r="151">
          <cell r="B151" t="str">
            <v>EMMC</v>
          </cell>
          <cell r="C151" t="str">
            <v>HSLB10689</v>
          </cell>
          <cell r="D151">
            <v>105021</v>
          </cell>
          <cell r="E151" t="str">
            <v>Ventilador Manual Válvula Peep</v>
          </cell>
          <cell r="F151" t="str">
            <v>NO</v>
          </cell>
          <cell r="G151" t="str">
            <v>NO</v>
          </cell>
          <cell r="H151" t="str">
            <v>SALA 1 CAMA</v>
          </cell>
          <cell r="I151">
            <v>1</v>
          </cell>
          <cell r="J151" t="str">
            <v>C.3.7.16.10</v>
          </cell>
          <cell r="K151" t="str">
            <v>UTI</v>
          </cell>
          <cell r="L151">
            <v>3</v>
          </cell>
          <cell r="M151">
            <v>46042</v>
          </cell>
          <cell r="N151">
            <v>46043</v>
          </cell>
          <cell r="O151">
            <v>1</v>
          </cell>
          <cell r="P151">
            <v>46044</v>
          </cell>
          <cell r="Q151">
            <v>5</v>
          </cell>
          <cell r="R151" t="str">
            <v>NA</v>
          </cell>
          <cell r="S151">
            <v>5</v>
          </cell>
        </row>
        <row r="152">
          <cell r="B152" t="str">
            <v>EMMC</v>
          </cell>
          <cell r="C152" t="str">
            <v>HSLB10688</v>
          </cell>
          <cell r="D152">
            <v>105021</v>
          </cell>
          <cell r="E152" t="str">
            <v>Ventilador Manual Válvula Peep</v>
          </cell>
          <cell r="F152" t="str">
            <v>NO</v>
          </cell>
          <cell r="G152" t="str">
            <v>NO</v>
          </cell>
          <cell r="H152" t="str">
            <v>SALA 1 CAMA</v>
          </cell>
          <cell r="I152">
            <v>1</v>
          </cell>
          <cell r="J152" t="str">
            <v>C.3.7.16.1</v>
          </cell>
          <cell r="K152" t="str">
            <v>UTI</v>
          </cell>
          <cell r="L152">
            <v>3</v>
          </cell>
          <cell r="M152">
            <v>46042</v>
          </cell>
          <cell r="N152">
            <v>46043</v>
          </cell>
          <cell r="O152">
            <v>1</v>
          </cell>
          <cell r="P152">
            <v>46044</v>
          </cell>
          <cell r="Q152">
            <v>5</v>
          </cell>
          <cell r="R152" t="str">
            <v>NA</v>
          </cell>
          <cell r="S152">
            <v>5</v>
          </cell>
        </row>
        <row r="153">
          <cell r="B153" t="str">
            <v>EMMC</v>
          </cell>
          <cell r="C153" t="str">
            <v>HSLB10701</v>
          </cell>
          <cell r="D153">
            <v>105021</v>
          </cell>
          <cell r="E153" t="str">
            <v>Ventilador Manual Válvula Peep</v>
          </cell>
          <cell r="F153" t="str">
            <v>NO</v>
          </cell>
          <cell r="G153" t="str">
            <v>NO</v>
          </cell>
          <cell r="H153" t="str">
            <v>SALA REANIMACIÓN NEONATAL</v>
          </cell>
          <cell r="I153">
            <v>1</v>
          </cell>
          <cell r="J153" t="str">
            <v>C.5.6.4.11</v>
          </cell>
          <cell r="K153" t="str">
            <v>Pabellones</v>
          </cell>
          <cell r="L153">
            <v>3</v>
          </cell>
          <cell r="M153">
            <v>46039</v>
          </cell>
          <cell r="N153">
            <v>46041</v>
          </cell>
          <cell r="O153">
            <v>1</v>
          </cell>
          <cell r="P153">
            <v>46042</v>
          </cell>
          <cell r="Q153">
            <v>5</v>
          </cell>
          <cell r="R153" t="str">
            <v>NA</v>
          </cell>
          <cell r="S153">
            <v>5</v>
          </cell>
        </row>
        <row r="154">
          <cell r="B154" t="str">
            <v>EMMC</v>
          </cell>
          <cell r="C154" t="str">
            <v>HSLB10702</v>
          </cell>
          <cell r="D154">
            <v>105021</v>
          </cell>
          <cell r="E154" t="str">
            <v>Ventilador Manual Válvula Peep</v>
          </cell>
          <cell r="F154" t="str">
            <v>NO</v>
          </cell>
          <cell r="G154" t="str">
            <v>NO</v>
          </cell>
          <cell r="H154" t="str">
            <v>PABELLON CIRUGIA MAYOR ELECTIVA</v>
          </cell>
          <cell r="I154">
            <v>1</v>
          </cell>
          <cell r="J154" t="str">
            <v>C.5.6.4.5.1</v>
          </cell>
          <cell r="K154" t="str">
            <v>Pabellones</v>
          </cell>
          <cell r="L154">
            <v>3</v>
          </cell>
          <cell r="M154">
            <v>46039</v>
          </cell>
          <cell r="N154">
            <v>46041</v>
          </cell>
          <cell r="O154">
            <v>1</v>
          </cell>
          <cell r="P154">
            <v>46042</v>
          </cell>
          <cell r="Q154">
            <v>5</v>
          </cell>
          <cell r="R154" t="str">
            <v>NA</v>
          </cell>
          <cell r="S154">
            <v>5</v>
          </cell>
        </row>
        <row r="155">
          <cell r="B155" t="str">
            <v>EMMC</v>
          </cell>
          <cell r="C155" t="str">
            <v>HSLB10703</v>
          </cell>
          <cell r="D155">
            <v>105021</v>
          </cell>
          <cell r="E155" t="str">
            <v>Ventilador Manual Válvula Peep</v>
          </cell>
          <cell r="F155" t="str">
            <v>NO</v>
          </cell>
          <cell r="G155" t="str">
            <v>NO</v>
          </cell>
          <cell r="H155" t="str">
            <v>PABELLON CIRUGIA MAYOR ELECTIVA</v>
          </cell>
          <cell r="I155">
            <v>1</v>
          </cell>
          <cell r="J155" t="str">
            <v>C.5.6.4.5.2</v>
          </cell>
          <cell r="K155" t="str">
            <v>Pabellones</v>
          </cell>
          <cell r="L155">
            <v>3</v>
          </cell>
          <cell r="M155">
            <v>46039</v>
          </cell>
          <cell r="N155">
            <v>46041</v>
          </cell>
          <cell r="O155">
            <v>1</v>
          </cell>
          <cell r="P155">
            <v>46042</v>
          </cell>
          <cell r="Q155">
            <v>5</v>
          </cell>
          <cell r="R155" t="str">
            <v>NA</v>
          </cell>
          <cell r="S155">
            <v>5</v>
          </cell>
        </row>
        <row r="156">
          <cell r="B156" t="str">
            <v>EMMC</v>
          </cell>
          <cell r="C156" t="str">
            <v>HSLB10704</v>
          </cell>
          <cell r="D156">
            <v>105021</v>
          </cell>
          <cell r="E156" t="str">
            <v>Ventilador Manual Válvula Peep</v>
          </cell>
          <cell r="F156" t="str">
            <v>NO</v>
          </cell>
          <cell r="G156" t="str">
            <v>NO</v>
          </cell>
          <cell r="H156" t="str">
            <v>PABELLON CIRUGIA MAYOR ELECTIVA</v>
          </cell>
          <cell r="I156">
            <v>1</v>
          </cell>
          <cell r="J156" t="str">
            <v>C.5.6.4.5.3</v>
          </cell>
          <cell r="K156" t="str">
            <v>Pabellones</v>
          </cell>
          <cell r="L156">
            <v>3</v>
          </cell>
          <cell r="M156">
            <v>46039</v>
          </cell>
          <cell r="N156">
            <v>46041</v>
          </cell>
          <cell r="O156">
            <v>1</v>
          </cell>
          <cell r="P156">
            <v>46042</v>
          </cell>
          <cell r="Q156">
            <v>5</v>
          </cell>
          <cell r="R156" t="str">
            <v>NA</v>
          </cell>
          <cell r="S156">
            <v>5</v>
          </cell>
        </row>
        <row r="157">
          <cell r="B157" t="str">
            <v>EMMC</v>
          </cell>
          <cell r="C157" t="str">
            <v>HSLB10705</v>
          </cell>
          <cell r="D157">
            <v>105021</v>
          </cell>
          <cell r="E157" t="str">
            <v>Ventilador Manual Válvula Peep</v>
          </cell>
          <cell r="F157" t="str">
            <v>NO</v>
          </cell>
          <cell r="G157" t="str">
            <v>NO</v>
          </cell>
          <cell r="H157" t="str">
            <v>PABELLON CIRUGIA MAYOR AMBULATORIA</v>
          </cell>
          <cell r="I157">
            <v>1</v>
          </cell>
          <cell r="J157" t="str">
            <v>C.5.6.4.6.1</v>
          </cell>
          <cell r="K157" t="str">
            <v>Pabellones</v>
          </cell>
          <cell r="L157">
            <v>3</v>
          </cell>
          <cell r="M157">
            <v>46039</v>
          </cell>
          <cell r="N157">
            <v>46041</v>
          </cell>
          <cell r="O157">
            <v>1</v>
          </cell>
          <cell r="P157">
            <v>46042</v>
          </cell>
          <cell r="Q157">
            <v>5</v>
          </cell>
          <cell r="R157" t="str">
            <v>NA</v>
          </cell>
          <cell r="S157">
            <v>5</v>
          </cell>
        </row>
        <row r="158">
          <cell r="B158" t="str">
            <v>EMMC</v>
          </cell>
          <cell r="C158" t="str">
            <v>HSLB10706</v>
          </cell>
          <cell r="D158">
            <v>105021</v>
          </cell>
          <cell r="E158" t="str">
            <v>Ventilador Manual Válvula Peep</v>
          </cell>
          <cell r="F158" t="str">
            <v>NO</v>
          </cell>
          <cell r="G158" t="str">
            <v>NO</v>
          </cell>
          <cell r="H158" t="str">
            <v>PABELLON CIRUGIA MAYOR AMBULATORIA</v>
          </cell>
          <cell r="I158">
            <v>1</v>
          </cell>
          <cell r="J158" t="str">
            <v>C.5.6.4.6.2</v>
          </cell>
          <cell r="K158" t="str">
            <v>Pabellones</v>
          </cell>
          <cell r="L158">
            <v>3</v>
          </cell>
          <cell r="M158">
            <v>46039</v>
          </cell>
          <cell r="N158">
            <v>46041</v>
          </cell>
          <cell r="O158">
            <v>1</v>
          </cell>
          <cell r="P158">
            <v>46042</v>
          </cell>
          <cell r="Q158">
            <v>5</v>
          </cell>
          <cell r="R158" t="str">
            <v>NA</v>
          </cell>
          <cell r="S158">
            <v>5</v>
          </cell>
        </row>
        <row r="159">
          <cell r="B159" t="str">
            <v>EMMC</v>
          </cell>
          <cell r="C159" t="str">
            <v>HSLB10707</v>
          </cell>
          <cell r="D159">
            <v>105021</v>
          </cell>
          <cell r="E159" t="str">
            <v>Ventilador Manual Válvula Peep</v>
          </cell>
          <cell r="F159" t="str">
            <v>NO</v>
          </cell>
          <cell r="G159" t="str">
            <v>NO</v>
          </cell>
          <cell r="H159" t="str">
            <v>PABELLON URGENCIAS</v>
          </cell>
          <cell r="I159">
            <v>1</v>
          </cell>
          <cell r="J159" t="str">
            <v>C.5.6.4.7</v>
          </cell>
          <cell r="K159" t="str">
            <v>Pabellones</v>
          </cell>
          <cell r="L159">
            <v>3</v>
          </cell>
          <cell r="M159">
            <v>46039</v>
          </cell>
          <cell r="N159">
            <v>46041</v>
          </cell>
          <cell r="O159">
            <v>1</v>
          </cell>
          <cell r="P159">
            <v>46042</v>
          </cell>
          <cell r="Q159">
            <v>5</v>
          </cell>
          <cell r="R159" t="str">
            <v>NA</v>
          </cell>
          <cell r="S159">
            <v>5</v>
          </cell>
        </row>
        <row r="160">
          <cell r="B160" t="str">
            <v>EMMC</v>
          </cell>
          <cell r="C160" t="str">
            <v>HSLB12833</v>
          </cell>
          <cell r="D160">
            <v>113010</v>
          </cell>
          <cell r="E160" t="str">
            <v>Monitor de Signos Vitales Mediana Complejidad</v>
          </cell>
          <cell r="F160" t="str">
            <v>NO</v>
          </cell>
          <cell r="G160" t="str">
            <v>NO</v>
          </cell>
          <cell r="H160" t="str">
            <v>SALA RECUPERACION URGENCIAS</v>
          </cell>
          <cell r="I160">
            <v>1</v>
          </cell>
          <cell r="J160" t="str">
            <v>C.5.6.3.15.1</v>
          </cell>
          <cell r="K160" t="str">
            <v>Pabellones</v>
          </cell>
          <cell r="L160">
            <v>3</v>
          </cell>
          <cell r="M160">
            <v>46039</v>
          </cell>
          <cell r="N160">
            <v>46041</v>
          </cell>
          <cell r="O160">
            <v>1</v>
          </cell>
          <cell r="P160">
            <v>46042</v>
          </cell>
          <cell r="Q160">
            <v>5</v>
          </cell>
          <cell r="R160" t="str">
            <v>NA</v>
          </cell>
          <cell r="S160">
            <v>5</v>
          </cell>
        </row>
        <row r="161">
          <cell r="B161" t="str">
            <v>EMMC</v>
          </cell>
          <cell r="C161" t="str">
            <v>HSLB12834</v>
          </cell>
          <cell r="D161">
            <v>113010</v>
          </cell>
          <cell r="E161" t="str">
            <v>Monitor de Signos Vitales Mediana Complejidad</v>
          </cell>
          <cell r="F161" t="str">
            <v>NO</v>
          </cell>
          <cell r="G161" t="str">
            <v>NO</v>
          </cell>
          <cell r="H161" t="str">
            <v>SALA RECUPERACION URGENCIAS</v>
          </cell>
          <cell r="I161">
            <v>1</v>
          </cell>
          <cell r="J161" t="str">
            <v>C.5.6.3.15.2</v>
          </cell>
          <cell r="K161" t="str">
            <v>Pabellones</v>
          </cell>
          <cell r="L161">
            <v>3</v>
          </cell>
          <cell r="M161">
            <v>46039</v>
          </cell>
          <cell r="N161">
            <v>46041</v>
          </cell>
          <cell r="O161">
            <v>1</v>
          </cell>
          <cell r="P161">
            <v>46042</v>
          </cell>
          <cell r="Q161">
            <v>5</v>
          </cell>
          <cell r="R161" t="str">
            <v>NA</v>
          </cell>
          <cell r="S161">
            <v>5</v>
          </cell>
        </row>
        <row r="162">
          <cell r="B162" t="str">
            <v>EMMC</v>
          </cell>
          <cell r="C162" t="str">
            <v>HSLB12867</v>
          </cell>
          <cell r="D162">
            <v>113013</v>
          </cell>
          <cell r="E162" t="str">
            <v>Monitor Desfibrilador</v>
          </cell>
          <cell r="F162" t="str">
            <v>NO</v>
          </cell>
          <cell r="G162" t="str">
            <v>NO</v>
          </cell>
          <cell r="H162" t="str">
            <v>ESTACIÓN DE ENFERMERÍA</v>
          </cell>
          <cell r="I162">
            <v>1</v>
          </cell>
          <cell r="J162" t="str">
            <v>C.5.6.3.18.1</v>
          </cell>
          <cell r="K162" t="str">
            <v>Pabellones</v>
          </cell>
          <cell r="L162">
            <v>3</v>
          </cell>
          <cell r="M162">
            <v>46039</v>
          </cell>
          <cell r="N162">
            <v>46041</v>
          </cell>
          <cell r="O162">
            <v>1</v>
          </cell>
          <cell r="P162">
            <v>46042</v>
          </cell>
          <cell r="Q162">
            <v>5</v>
          </cell>
          <cell r="R162" t="str">
            <v>NA</v>
          </cell>
          <cell r="S162">
            <v>5</v>
          </cell>
        </row>
        <row r="163">
          <cell r="B163" t="str">
            <v>EMMC</v>
          </cell>
          <cell r="C163" t="str">
            <v>HSLB12868</v>
          </cell>
          <cell r="D163">
            <v>113013</v>
          </cell>
          <cell r="E163" t="str">
            <v>Monitor Desfibrilador</v>
          </cell>
          <cell r="F163" t="str">
            <v>NO</v>
          </cell>
          <cell r="G163" t="str">
            <v>SI</v>
          </cell>
          <cell r="H163" t="str">
            <v>BODEGA DE EQUIPOS</v>
          </cell>
          <cell r="I163">
            <v>1</v>
          </cell>
          <cell r="J163" t="str">
            <v>C.5.6.4.17</v>
          </cell>
          <cell r="K163" t="str">
            <v>Pabellones</v>
          </cell>
          <cell r="L163">
            <v>3</v>
          </cell>
          <cell r="M163">
            <v>46003</v>
          </cell>
          <cell r="N163">
            <v>46006</v>
          </cell>
          <cell r="O163">
            <v>1</v>
          </cell>
          <cell r="P163">
            <v>46007</v>
          </cell>
          <cell r="Q163">
            <v>5</v>
          </cell>
          <cell r="R163" t="str">
            <v>NA</v>
          </cell>
          <cell r="S163">
            <v>5</v>
          </cell>
        </row>
        <row r="164">
          <cell r="B164" t="str">
            <v>EMMC</v>
          </cell>
          <cell r="C164" t="str">
            <v>HSLB10680</v>
          </cell>
          <cell r="D164">
            <v>105018</v>
          </cell>
          <cell r="E164" t="str">
            <v>Ventilador de Transporte</v>
          </cell>
          <cell r="F164" t="str">
            <v>NO</v>
          </cell>
          <cell r="G164" t="str">
            <v>NO</v>
          </cell>
          <cell r="H164" t="str">
            <v>ESTACIÓN DE ENFERMERÍA</v>
          </cell>
          <cell r="I164">
            <v>1</v>
          </cell>
          <cell r="J164" t="str">
            <v>C.3.7.12.1</v>
          </cell>
          <cell r="K164" t="str">
            <v>UTI</v>
          </cell>
          <cell r="L164">
            <v>3</v>
          </cell>
          <cell r="M164">
            <v>46042</v>
          </cell>
          <cell r="N164">
            <v>46043</v>
          </cell>
          <cell r="O164">
            <v>1</v>
          </cell>
          <cell r="P164">
            <v>46044</v>
          </cell>
          <cell r="Q164">
            <v>5</v>
          </cell>
          <cell r="R164" t="str">
            <v>NA</v>
          </cell>
          <cell r="S164">
            <v>5</v>
          </cell>
        </row>
        <row r="165">
          <cell r="B165" t="str">
            <v>EMMC</v>
          </cell>
          <cell r="C165" t="str">
            <v>HSLB10681</v>
          </cell>
          <cell r="D165">
            <v>105018</v>
          </cell>
          <cell r="E165" t="str">
            <v>Ventilador de Transporte</v>
          </cell>
          <cell r="F165" t="str">
            <v>NO</v>
          </cell>
          <cell r="G165" t="str">
            <v>NO</v>
          </cell>
          <cell r="H165" t="str">
            <v>ESTACIÓN DE ENFERMERÍA</v>
          </cell>
          <cell r="I165">
            <v>1</v>
          </cell>
          <cell r="J165" t="str">
            <v>C.3.7.12.2</v>
          </cell>
          <cell r="K165" t="str">
            <v>UTI</v>
          </cell>
          <cell r="L165">
            <v>3</v>
          </cell>
          <cell r="M165">
            <v>46042</v>
          </cell>
          <cell r="N165">
            <v>46043</v>
          </cell>
          <cell r="O165">
            <v>1</v>
          </cell>
          <cell r="P165">
            <v>46044</v>
          </cell>
          <cell r="Q165">
            <v>5</v>
          </cell>
          <cell r="R165" t="str">
            <v>NA</v>
          </cell>
          <cell r="S165">
            <v>5</v>
          </cell>
        </row>
        <row r="166">
          <cell r="B166" t="str">
            <v>EMMC</v>
          </cell>
          <cell r="C166" t="str">
            <v>HSLB10687</v>
          </cell>
          <cell r="D166">
            <v>105019</v>
          </cell>
          <cell r="E166" t="str">
            <v>Ventilador de Transporte neonatal</v>
          </cell>
          <cell r="F166" t="str">
            <v>NO</v>
          </cell>
          <cell r="G166" t="str">
            <v>NO</v>
          </cell>
          <cell r="H166" t="str">
            <v>SALA REANIMACIÓN NEONATAL</v>
          </cell>
          <cell r="I166">
            <v>1</v>
          </cell>
          <cell r="J166" t="str">
            <v>C.5.6.4.11</v>
          </cell>
          <cell r="K166" t="str">
            <v>Pabellones</v>
          </cell>
          <cell r="L166">
            <v>3</v>
          </cell>
          <cell r="M166">
            <v>46039</v>
          </cell>
          <cell r="N166">
            <v>46041</v>
          </cell>
          <cell r="O166">
            <v>1</v>
          </cell>
          <cell r="P166">
            <v>46042</v>
          </cell>
          <cell r="Q166">
            <v>5</v>
          </cell>
          <cell r="R166" t="str">
            <v>NA</v>
          </cell>
          <cell r="S166">
            <v>5</v>
          </cell>
        </row>
        <row r="167">
          <cell r="B167" t="str">
            <v>EMMC</v>
          </cell>
          <cell r="C167" t="str">
            <v>HSLB10708</v>
          </cell>
          <cell r="D167">
            <v>105022</v>
          </cell>
          <cell r="E167" t="str">
            <v>Ventilador Mecánico Invasivo</v>
          </cell>
          <cell r="F167" t="str">
            <v>NO</v>
          </cell>
          <cell r="G167" t="str">
            <v>NO</v>
          </cell>
          <cell r="H167" t="str">
            <v>SALA 1 CAMA</v>
          </cell>
          <cell r="I167">
            <v>1</v>
          </cell>
          <cell r="J167" t="str">
            <v>C.3.7.16.8</v>
          </cell>
          <cell r="K167" t="str">
            <v>UTI</v>
          </cell>
          <cell r="L167">
            <v>3</v>
          </cell>
          <cell r="M167">
            <v>46042</v>
          </cell>
          <cell r="N167">
            <v>46043</v>
          </cell>
          <cell r="O167">
            <v>1</v>
          </cell>
          <cell r="P167">
            <v>46044</v>
          </cell>
          <cell r="Q167">
            <v>5</v>
          </cell>
          <cell r="R167" t="str">
            <v>NA</v>
          </cell>
          <cell r="S167">
            <v>5</v>
          </cell>
        </row>
        <row r="168">
          <cell r="B168" t="str">
            <v>EMMC</v>
          </cell>
          <cell r="C168" t="str">
            <v>HSLB10709</v>
          </cell>
          <cell r="D168">
            <v>105022</v>
          </cell>
          <cell r="E168" t="str">
            <v>Ventilador Mecánico Invasivo</v>
          </cell>
          <cell r="F168" t="str">
            <v>NO</v>
          </cell>
          <cell r="G168" t="str">
            <v>NO</v>
          </cell>
          <cell r="H168" t="str">
            <v>SALA 1 CAMA</v>
          </cell>
          <cell r="I168">
            <v>1</v>
          </cell>
          <cell r="J168" t="str">
            <v>C.3.7.16.9</v>
          </cell>
          <cell r="K168" t="str">
            <v>UTI</v>
          </cell>
          <cell r="L168">
            <v>3</v>
          </cell>
          <cell r="M168">
            <v>46042</v>
          </cell>
          <cell r="N168">
            <v>46043</v>
          </cell>
          <cell r="O168">
            <v>1</v>
          </cell>
          <cell r="P168">
            <v>46044</v>
          </cell>
          <cell r="Q168">
            <v>5</v>
          </cell>
          <cell r="R168" t="str">
            <v>NA</v>
          </cell>
          <cell r="S168">
            <v>5</v>
          </cell>
        </row>
        <row r="169">
          <cell r="B169" t="str">
            <v>EMMC</v>
          </cell>
          <cell r="C169" t="str">
            <v>HSLB10710</v>
          </cell>
          <cell r="D169">
            <v>105022</v>
          </cell>
          <cell r="E169" t="str">
            <v>Ventilador Mecánico Invasivo</v>
          </cell>
          <cell r="F169" t="str">
            <v>NO</v>
          </cell>
          <cell r="G169" t="str">
            <v>NO</v>
          </cell>
          <cell r="H169" t="str">
            <v>SALA AISLAMIENTO</v>
          </cell>
          <cell r="I169">
            <v>1</v>
          </cell>
          <cell r="J169" t="str">
            <v>C.3.7.17.1</v>
          </cell>
          <cell r="K169" t="str">
            <v>UTI</v>
          </cell>
          <cell r="L169">
            <v>3</v>
          </cell>
          <cell r="M169">
            <v>46042</v>
          </cell>
          <cell r="N169">
            <v>46043</v>
          </cell>
          <cell r="O169">
            <v>1</v>
          </cell>
          <cell r="P169">
            <v>46044</v>
          </cell>
          <cell r="Q169">
            <v>5</v>
          </cell>
          <cell r="R169" t="str">
            <v>NA</v>
          </cell>
          <cell r="S169">
            <v>5</v>
          </cell>
        </row>
        <row r="170">
          <cell r="B170" t="str">
            <v>EMMC</v>
          </cell>
          <cell r="C170" t="str">
            <v>HSLB10715</v>
          </cell>
          <cell r="D170">
            <v>105023</v>
          </cell>
          <cell r="E170" t="str">
            <v>Ventilador Mecánico no Invasivo</v>
          </cell>
          <cell r="F170" t="str">
            <v>NO</v>
          </cell>
          <cell r="G170" t="str">
            <v>NO</v>
          </cell>
          <cell r="H170" t="str">
            <v>SALA 1 CAMA</v>
          </cell>
          <cell r="I170">
            <v>1</v>
          </cell>
          <cell r="J170" t="str">
            <v>C.3.7.16.1</v>
          </cell>
          <cell r="K170" t="str">
            <v>UTI</v>
          </cell>
          <cell r="L170">
            <v>3</v>
          </cell>
          <cell r="M170">
            <v>46042</v>
          </cell>
          <cell r="N170">
            <v>46043</v>
          </cell>
          <cell r="O170">
            <v>1</v>
          </cell>
          <cell r="P170">
            <v>46044</v>
          </cell>
          <cell r="Q170">
            <v>5</v>
          </cell>
          <cell r="R170" t="str">
            <v>NA</v>
          </cell>
          <cell r="S170">
            <v>5</v>
          </cell>
        </row>
        <row r="171">
          <cell r="B171" t="str">
            <v>EMMC</v>
          </cell>
          <cell r="C171" t="str">
            <v>HSLB10716</v>
          </cell>
          <cell r="D171">
            <v>105023</v>
          </cell>
          <cell r="E171" t="str">
            <v>Ventilador Mecánico no Invasivo</v>
          </cell>
          <cell r="F171" t="str">
            <v>NO</v>
          </cell>
          <cell r="G171" t="str">
            <v>NO</v>
          </cell>
          <cell r="H171" t="str">
            <v>SALA 1 CAMA</v>
          </cell>
          <cell r="I171">
            <v>1</v>
          </cell>
          <cell r="J171" t="str">
            <v>C.3.7.16.10</v>
          </cell>
          <cell r="K171" t="str">
            <v>UTI</v>
          </cell>
          <cell r="L171">
            <v>3</v>
          </cell>
          <cell r="M171">
            <v>46042</v>
          </cell>
          <cell r="N171">
            <v>46043</v>
          </cell>
          <cell r="O171">
            <v>1</v>
          </cell>
          <cell r="P171">
            <v>46044</v>
          </cell>
          <cell r="Q171">
            <v>5</v>
          </cell>
          <cell r="R171" t="str">
            <v>NA</v>
          </cell>
          <cell r="S171">
            <v>5</v>
          </cell>
        </row>
        <row r="172">
          <cell r="B172" t="str">
            <v>EMMC</v>
          </cell>
          <cell r="C172" t="str">
            <v>HSLB10717</v>
          </cell>
          <cell r="D172">
            <v>105023</v>
          </cell>
          <cell r="E172" t="str">
            <v>Ventilador Mecánico no Invasivo</v>
          </cell>
          <cell r="F172" t="str">
            <v>NO</v>
          </cell>
          <cell r="G172" t="str">
            <v>NO</v>
          </cell>
          <cell r="H172" t="str">
            <v>SALA 1 CAMA</v>
          </cell>
          <cell r="I172">
            <v>1</v>
          </cell>
          <cell r="J172" t="str">
            <v>C.3.7.16.2</v>
          </cell>
          <cell r="K172" t="str">
            <v>UTI</v>
          </cell>
          <cell r="L172">
            <v>3</v>
          </cell>
          <cell r="M172">
            <v>46042</v>
          </cell>
          <cell r="N172">
            <v>46043</v>
          </cell>
          <cell r="O172">
            <v>1</v>
          </cell>
          <cell r="P172">
            <v>46044</v>
          </cell>
          <cell r="Q172">
            <v>5</v>
          </cell>
          <cell r="R172" t="str">
            <v>NA</v>
          </cell>
          <cell r="S172">
            <v>5</v>
          </cell>
        </row>
        <row r="173">
          <cell r="B173" t="str">
            <v>EMMC</v>
          </cell>
          <cell r="C173" t="str">
            <v>HSLB10718</v>
          </cell>
          <cell r="D173">
            <v>105023</v>
          </cell>
          <cell r="E173" t="str">
            <v>Ventilador Mecánico no Invasivo</v>
          </cell>
          <cell r="F173" t="str">
            <v>NO</v>
          </cell>
          <cell r="G173" t="str">
            <v>NO</v>
          </cell>
          <cell r="H173" t="str">
            <v>SALA 1 CAMA</v>
          </cell>
          <cell r="I173">
            <v>1</v>
          </cell>
          <cell r="J173" t="str">
            <v>C.3.7.16.3</v>
          </cell>
          <cell r="K173" t="str">
            <v>UTI</v>
          </cell>
          <cell r="L173">
            <v>3</v>
          </cell>
          <cell r="M173">
            <v>46042</v>
          </cell>
          <cell r="N173">
            <v>46043</v>
          </cell>
          <cell r="O173">
            <v>1</v>
          </cell>
          <cell r="P173">
            <v>46044</v>
          </cell>
          <cell r="Q173">
            <v>5</v>
          </cell>
          <cell r="R173" t="str">
            <v>NA</v>
          </cell>
          <cell r="S173">
            <v>5</v>
          </cell>
        </row>
        <row r="174">
          <cell r="B174" t="str">
            <v>EMMC</v>
          </cell>
          <cell r="C174" t="str">
            <v>HSLB10719</v>
          </cell>
          <cell r="D174">
            <v>105023</v>
          </cell>
          <cell r="E174" t="str">
            <v>Ventilador Mecánico no Invasivo</v>
          </cell>
          <cell r="F174" t="str">
            <v>NO</v>
          </cell>
          <cell r="G174" t="str">
            <v>NO</v>
          </cell>
          <cell r="H174" t="str">
            <v>SALA 1 CAMA</v>
          </cell>
          <cell r="I174">
            <v>1</v>
          </cell>
          <cell r="J174" t="str">
            <v>C.3.7.16.4</v>
          </cell>
          <cell r="K174" t="str">
            <v>UTI</v>
          </cell>
          <cell r="L174">
            <v>3</v>
          </cell>
          <cell r="M174">
            <v>46042</v>
          </cell>
          <cell r="N174">
            <v>46043</v>
          </cell>
          <cell r="O174">
            <v>1</v>
          </cell>
          <cell r="P174">
            <v>46044</v>
          </cell>
          <cell r="Q174">
            <v>5</v>
          </cell>
          <cell r="R174" t="str">
            <v>NA</v>
          </cell>
          <cell r="S174">
            <v>5</v>
          </cell>
        </row>
        <row r="175">
          <cell r="B175" t="str">
            <v>EMMC</v>
          </cell>
          <cell r="C175" t="str">
            <v>HSLB10720</v>
          </cell>
          <cell r="D175">
            <v>105023</v>
          </cell>
          <cell r="E175" t="str">
            <v>Ventilador Mecánico no Invasivo</v>
          </cell>
          <cell r="F175" t="str">
            <v>NO</v>
          </cell>
          <cell r="G175" t="str">
            <v>NO</v>
          </cell>
          <cell r="H175" t="str">
            <v>SALA 1 CAMA</v>
          </cell>
          <cell r="I175">
            <v>1</v>
          </cell>
          <cell r="J175" t="str">
            <v>C.3.7.16.5</v>
          </cell>
          <cell r="K175" t="str">
            <v>UTI</v>
          </cell>
          <cell r="L175">
            <v>3</v>
          </cell>
          <cell r="M175">
            <v>46042</v>
          </cell>
          <cell r="N175">
            <v>46043</v>
          </cell>
          <cell r="O175">
            <v>1</v>
          </cell>
          <cell r="P175">
            <v>46044</v>
          </cell>
          <cell r="Q175">
            <v>5</v>
          </cell>
          <cell r="R175" t="str">
            <v>NA</v>
          </cell>
          <cell r="S175">
            <v>5</v>
          </cell>
        </row>
        <row r="176">
          <cell r="B176" t="str">
            <v>EMMC</v>
          </cell>
          <cell r="C176" t="str">
            <v>HSLB10721</v>
          </cell>
          <cell r="D176">
            <v>105023</v>
          </cell>
          <cell r="E176" t="str">
            <v>Ventilador Mecánico no Invasivo</v>
          </cell>
          <cell r="F176" t="str">
            <v>NO</v>
          </cell>
          <cell r="G176" t="str">
            <v>NO</v>
          </cell>
          <cell r="H176" t="str">
            <v>SALA 1 CAMA</v>
          </cell>
          <cell r="I176">
            <v>1</v>
          </cell>
          <cell r="J176" t="str">
            <v>C.3.7.16.6</v>
          </cell>
          <cell r="K176" t="str">
            <v>UTI</v>
          </cell>
          <cell r="L176">
            <v>3</v>
          </cell>
          <cell r="M176">
            <v>46042</v>
          </cell>
          <cell r="N176">
            <v>46043</v>
          </cell>
          <cell r="O176">
            <v>1</v>
          </cell>
          <cell r="P176">
            <v>46044</v>
          </cell>
          <cell r="Q176">
            <v>5</v>
          </cell>
          <cell r="R176" t="str">
            <v>NA</v>
          </cell>
          <cell r="S176">
            <v>5</v>
          </cell>
        </row>
        <row r="177">
          <cell r="B177" t="str">
            <v>EMMC</v>
          </cell>
          <cell r="C177" t="str">
            <v>HSLB10722</v>
          </cell>
          <cell r="D177">
            <v>105023</v>
          </cell>
          <cell r="E177" t="str">
            <v>Ventilador Mecánico no Invasivo</v>
          </cell>
          <cell r="F177" t="str">
            <v>NO</v>
          </cell>
          <cell r="G177" t="str">
            <v>NO</v>
          </cell>
          <cell r="H177" t="str">
            <v>SALA 1 CAMA</v>
          </cell>
          <cell r="I177">
            <v>1</v>
          </cell>
          <cell r="J177" t="str">
            <v>C.3.7.16.7</v>
          </cell>
          <cell r="K177" t="str">
            <v>UTI</v>
          </cell>
          <cell r="L177">
            <v>3</v>
          </cell>
          <cell r="M177">
            <v>46042</v>
          </cell>
          <cell r="N177">
            <v>46043</v>
          </cell>
          <cell r="O177">
            <v>1</v>
          </cell>
          <cell r="P177">
            <v>46044</v>
          </cell>
          <cell r="Q177">
            <v>5</v>
          </cell>
          <cell r="R177" t="str">
            <v>NA</v>
          </cell>
          <cell r="S177">
            <v>5</v>
          </cell>
        </row>
        <row r="178">
          <cell r="B178" t="str">
            <v>EMMC</v>
          </cell>
          <cell r="C178" t="str">
            <v>HSLB10723</v>
          </cell>
          <cell r="D178">
            <v>105023</v>
          </cell>
          <cell r="E178" t="str">
            <v>Ventilador Mecánico no Invasivo</v>
          </cell>
          <cell r="F178" t="str">
            <v>NO</v>
          </cell>
          <cell r="G178" t="str">
            <v>NO</v>
          </cell>
          <cell r="H178" t="str">
            <v>SALA AISLAMIENTO</v>
          </cell>
          <cell r="I178">
            <v>1</v>
          </cell>
          <cell r="J178" t="str">
            <v>C.3.7.17.2</v>
          </cell>
          <cell r="K178" t="str">
            <v>UTI</v>
          </cell>
          <cell r="L178">
            <v>3</v>
          </cell>
          <cell r="M178">
            <v>46042</v>
          </cell>
          <cell r="N178">
            <v>46043</v>
          </cell>
          <cell r="O178">
            <v>1</v>
          </cell>
          <cell r="P178">
            <v>46044</v>
          </cell>
          <cell r="Q178">
            <v>5</v>
          </cell>
          <cell r="R178" t="str">
            <v>NA</v>
          </cell>
          <cell r="S178">
            <v>5</v>
          </cell>
        </row>
        <row r="179">
          <cell r="B179" t="str">
            <v>EMMC</v>
          </cell>
          <cell r="C179" t="str">
            <v>HSLB11886</v>
          </cell>
          <cell r="D179">
            <v>112029</v>
          </cell>
          <cell r="E179" t="str">
            <v>Carro Endoscopios Limpio</v>
          </cell>
          <cell r="F179" t="str">
            <v>NO</v>
          </cell>
          <cell r="G179" t="str">
            <v>SI</v>
          </cell>
          <cell r="H179" t="str">
            <v>BODEGA DE EQUIPOS</v>
          </cell>
          <cell r="I179">
            <v>1</v>
          </cell>
          <cell r="J179" t="str">
            <v>C.5.6.4.17</v>
          </cell>
          <cell r="K179" t="str">
            <v>Pabellones</v>
          </cell>
          <cell r="L179">
            <v>3</v>
          </cell>
          <cell r="M179">
            <v>46003</v>
          </cell>
          <cell r="N179">
            <v>46006</v>
          </cell>
          <cell r="O179">
            <v>1</v>
          </cell>
          <cell r="P179">
            <v>46007</v>
          </cell>
          <cell r="Q179">
            <v>5</v>
          </cell>
          <cell r="R179" t="str">
            <v>NA</v>
          </cell>
          <cell r="S179">
            <v>5</v>
          </cell>
        </row>
        <row r="180">
          <cell r="B180" t="str">
            <v>EMMC</v>
          </cell>
          <cell r="C180" t="str">
            <v>HSLB11888</v>
          </cell>
          <cell r="D180">
            <v>112030</v>
          </cell>
          <cell r="E180" t="str">
            <v>Carro Endoscopios Sucio</v>
          </cell>
          <cell r="F180" t="str">
            <v>NO</v>
          </cell>
          <cell r="G180" t="str">
            <v>SI</v>
          </cell>
          <cell r="H180" t="str">
            <v>BODEGA DE EQUIPOS</v>
          </cell>
          <cell r="I180">
            <v>1</v>
          </cell>
          <cell r="J180" t="str">
            <v>C.5.6.4.17</v>
          </cell>
          <cell r="K180" t="str">
            <v>Pabellones</v>
          </cell>
          <cell r="L180">
            <v>3</v>
          </cell>
          <cell r="M180">
            <v>46003</v>
          </cell>
          <cell r="N180">
            <v>46006</v>
          </cell>
          <cell r="O180">
            <v>1</v>
          </cell>
          <cell r="P180">
            <v>46007</v>
          </cell>
          <cell r="Q180">
            <v>5</v>
          </cell>
          <cell r="R180" t="str">
            <v>NA</v>
          </cell>
          <cell r="S180">
            <v>5</v>
          </cell>
        </row>
        <row r="181">
          <cell r="B181" t="str">
            <v>EMMC</v>
          </cell>
          <cell r="C181" t="str">
            <v>HSLB10663</v>
          </cell>
          <cell r="D181">
            <v>105007</v>
          </cell>
          <cell r="E181" t="str">
            <v>Cuna de Procedimientos Básica</v>
          </cell>
          <cell r="F181" t="str">
            <v>NO</v>
          </cell>
          <cell r="G181" t="str">
            <v>NO</v>
          </cell>
          <cell r="H181" t="str">
            <v>SALA REANIMACIÓN NEONATAL</v>
          </cell>
          <cell r="I181">
            <v>1</v>
          </cell>
          <cell r="J181" t="str">
            <v>C.5.6.4.11</v>
          </cell>
          <cell r="K181" t="str">
            <v>Pabellones</v>
          </cell>
          <cell r="L181">
            <v>3</v>
          </cell>
          <cell r="M181">
            <v>46039</v>
          </cell>
          <cell r="N181">
            <v>46041</v>
          </cell>
          <cell r="O181">
            <v>1</v>
          </cell>
          <cell r="P181">
            <v>46042</v>
          </cell>
          <cell r="Q181">
            <v>5</v>
          </cell>
          <cell r="R181" t="str">
            <v>NA</v>
          </cell>
          <cell r="S181">
            <v>5</v>
          </cell>
        </row>
        <row r="182">
          <cell r="B182" t="str">
            <v>EMMC</v>
          </cell>
          <cell r="C182" t="str">
            <v>HSLB10547</v>
          </cell>
          <cell r="D182">
            <v>104015</v>
          </cell>
          <cell r="E182" t="str">
            <v>Máquina de Anestesia Alta Complejidad con Monitor</v>
          </cell>
          <cell r="F182" t="str">
            <v>NO</v>
          </cell>
          <cell r="G182" t="str">
            <v>SI</v>
          </cell>
          <cell r="H182" t="str">
            <v>BODEGA DE EQUIPOS</v>
          </cell>
          <cell r="I182">
            <v>1</v>
          </cell>
          <cell r="J182" t="str">
            <v>C.5.6.4.17</v>
          </cell>
          <cell r="K182" t="str">
            <v>Pabellones</v>
          </cell>
          <cell r="L182">
            <v>3</v>
          </cell>
          <cell r="M182">
            <v>46003</v>
          </cell>
          <cell r="N182">
            <v>46006</v>
          </cell>
          <cell r="O182">
            <v>1</v>
          </cell>
          <cell r="P182">
            <v>46007</v>
          </cell>
          <cell r="Q182">
            <v>5</v>
          </cell>
          <cell r="R182" t="str">
            <v>NA</v>
          </cell>
          <cell r="S182">
            <v>5</v>
          </cell>
        </row>
        <row r="183">
          <cell r="B183" t="str">
            <v>EMMC</v>
          </cell>
          <cell r="C183" t="str">
            <v>HSLB10548</v>
          </cell>
          <cell r="D183">
            <v>104015</v>
          </cell>
          <cell r="E183" t="str">
            <v>Máquina de Anestesia Alta Complejidad con Monitor</v>
          </cell>
          <cell r="F183" t="str">
            <v>NO</v>
          </cell>
          <cell r="G183" t="str">
            <v>NO</v>
          </cell>
          <cell r="H183" t="str">
            <v>PABELLON CIRUGIA MAYOR ELECTIVA</v>
          </cell>
          <cell r="I183">
            <v>1</v>
          </cell>
          <cell r="J183" t="str">
            <v>C.5.6.4.5.1</v>
          </cell>
          <cell r="K183" t="str">
            <v>Pabellones</v>
          </cell>
          <cell r="L183">
            <v>3</v>
          </cell>
          <cell r="M183">
            <v>46039</v>
          </cell>
          <cell r="N183">
            <v>46041</v>
          </cell>
          <cell r="O183">
            <v>1</v>
          </cell>
          <cell r="P183">
            <v>46042</v>
          </cell>
          <cell r="Q183">
            <v>5</v>
          </cell>
          <cell r="R183" t="str">
            <v>NA</v>
          </cell>
          <cell r="S183">
            <v>5</v>
          </cell>
        </row>
        <row r="184">
          <cell r="B184" t="str">
            <v>EMMC</v>
          </cell>
          <cell r="C184" t="str">
            <v>HSLB10549</v>
          </cell>
          <cell r="D184">
            <v>104015</v>
          </cell>
          <cell r="E184" t="str">
            <v>Máquina de Anestesia Alta Complejidad con Monitor</v>
          </cell>
          <cell r="F184" t="str">
            <v>NO</v>
          </cell>
          <cell r="G184" t="str">
            <v>NO</v>
          </cell>
          <cell r="H184" t="str">
            <v>PABELLON CIRUGIA MAYOR ELECTIVA</v>
          </cell>
          <cell r="I184">
            <v>1</v>
          </cell>
          <cell r="J184" t="str">
            <v>C.5.6.4.5.2</v>
          </cell>
          <cell r="K184" t="str">
            <v>Pabellones</v>
          </cell>
          <cell r="L184">
            <v>3</v>
          </cell>
          <cell r="M184">
            <v>46039</v>
          </cell>
          <cell r="N184">
            <v>46041</v>
          </cell>
          <cell r="O184">
            <v>1</v>
          </cell>
          <cell r="P184">
            <v>46042</v>
          </cell>
          <cell r="Q184">
            <v>5</v>
          </cell>
          <cell r="R184" t="str">
            <v>NA</v>
          </cell>
          <cell r="S184">
            <v>5</v>
          </cell>
        </row>
        <row r="185">
          <cell r="B185" t="str">
            <v>EMMC</v>
          </cell>
          <cell r="C185" t="str">
            <v>HSLB10550</v>
          </cell>
          <cell r="D185">
            <v>104015</v>
          </cell>
          <cell r="E185" t="str">
            <v>Máquina de Anestesia Alta Complejidad con Monitor</v>
          </cell>
          <cell r="F185" t="str">
            <v>NO</v>
          </cell>
          <cell r="G185" t="str">
            <v>NO</v>
          </cell>
          <cell r="H185" t="str">
            <v>PABELLON CIRUGIA MAYOR ELECTIVA</v>
          </cell>
          <cell r="I185">
            <v>1</v>
          </cell>
          <cell r="J185" t="str">
            <v>C.5.6.4.5.3</v>
          </cell>
          <cell r="K185" t="str">
            <v>Pabellones</v>
          </cell>
          <cell r="L185">
            <v>3</v>
          </cell>
          <cell r="M185">
            <v>46039</v>
          </cell>
          <cell r="N185">
            <v>46041</v>
          </cell>
          <cell r="O185">
            <v>1</v>
          </cell>
          <cell r="P185">
            <v>46042</v>
          </cell>
          <cell r="Q185">
            <v>5</v>
          </cell>
          <cell r="R185" t="str">
            <v>NA</v>
          </cell>
          <cell r="S185">
            <v>5</v>
          </cell>
        </row>
        <row r="186">
          <cell r="B186" t="str">
            <v>EMMC</v>
          </cell>
          <cell r="C186" t="str">
            <v>HSLB10551</v>
          </cell>
          <cell r="D186">
            <v>104015</v>
          </cell>
          <cell r="E186" t="str">
            <v>Máquina de Anestesia Alta Complejidad con Monitor</v>
          </cell>
          <cell r="F186" t="str">
            <v>NO</v>
          </cell>
          <cell r="G186" t="str">
            <v>NO</v>
          </cell>
          <cell r="H186" t="str">
            <v>PABELLON URGENCIAS</v>
          </cell>
          <cell r="I186">
            <v>1</v>
          </cell>
          <cell r="J186" t="str">
            <v>C.5.6.4.7</v>
          </cell>
          <cell r="K186" t="str">
            <v>Pabellones</v>
          </cell>
          <cell r="L186">
            <v>3</v>
          </cell>
          <cell r="M186">
            <v>46039</v>
          </cell>
          <cell r="N186">
            <v>46041</v>
          </cell>
          <cell r="O186">
            <v>1</v>
          </cell>
          <cell r="P186">
            <v>46042</v>
          </cell>
          <cell r="Q186">
            <v>5</v>
          </cell>
          <cell r="R186" t="str">
            <v>NA</v>
          </cell>
          <cell r="S186">
            <v>5</v>
          </cell>
        </row>
        <row r="187">
          <cell r="B187" t="str">
            <v>EMMC</v>
          </cell>
          <cell r="C187" t="str">
            <v>HSLB10552</v>
          </cell>
          <cell r="D187">
            <v>104016</v>
          </cell>
          <cell r="E187" t="str">
            <v>Máquina de Anestesia Mediana Complejidad con Monitor</v>
          </cell>
          <cell r="F187" t="str">
            <v>NO</v>
          </cell>
          <cell r="G187" t="str">
            <v>NO</v>
          </cell>
          <cell r="H187" t="str">
            <v>PABELLON CIRUGIA MAYOR AMBULATORIA</v>
          </cell>
          <cell r="I187">
            <v>1</v>
          </cell>
          <cell r="J187" t="str">
            <v>C.5.6.4.6.1</v>
          </cell>
          <cell r="K187" t="str">
            <v>Pabellones</v>
          </cell>
          <cell r="L187">
            <v>3</v>
          </cell>
          <cell r="M187">
            <v>46039</v>
          </cell>
          <cell r="N187">
            <v>46041</v>
          </cell>
          <cell r="O187">
            <v>1</v>
          </cell>
          <cell r="P187">
            <v>46042</v>
          </cell>
          <cell r="Q187">
            <v>5</v>
          </cell>
          <cell r="R187" t="str">
            <v>NA</v>
          </cell>
          <cell r="S187">
            <v>5</v>
          </cell>
        </row>
        <row r="188">
          <cell r="B188" t="str">
            <v>EMMC</v>
          </cell>
          <cell r="C188" t="str">
            <v>HSLB10553</v>
          </cell>
          <cell r="D188">
            <v>104016</v>
          </cell>
          <cell r="E188" t="str">
            <v>Máquina de Anestesia Mediana Complejidad con Monitor</v>
          </cell>
          <cell r="F188" t="str">
            <v>NO</v>
          </cell>
          <cell r="G188" t="str">
            <v>NO</v>
          </cell>
          <cell r="H188" t="str">
            <v>PABELLON CIRUGIA MAYOR AMBULATORIA</v>
          </cell>
          <cell r="I188">
            <v>1</v>
          </cell>
          <cell r="J188" t="str">
            <v>C.5.6.4.6.2</v>
          </cell>
          <cell r="K188" t="str">
            <v>Pabellones</v>
          </cell>
          <cell r="L188">
            <v>3</v>
          </cell>
          <cell r="M188">
            <v>46039</v>
          </cell>
          <cell r="N188">
            <v>46041</v>
          </cell>
          <cell r="O188">
            <v>1</v>
          </cell>
          <cell r="P188">
            <v>46042</v>
          </cell>
          <cell r="Q188">
            <v>5</v>
          </cell>
          <cell r="R188" t="str">
            <v>NA</v>
          </cell>
          <cell r="S188">
            <v>5</v>
          </cell>
        </row>
        <row r="189">
          <cell r="B189" t="str">
            <v>EMMC</v>
          </cell>
          <cell r="C189" t="str">
            <v>HSLB10557</v>
          </cell>
          <cell r="D189">
            <v>104018</v>
          </cell>
          <cell r="E189" t="str">
            <v>Mesa Quirúrgica Oftalmológica</v>
          </cell>
          <cell r="F189" t="str">
            <v>NO</v>
          </cell>
          <cell r="G189" t="str">
            <v>NO</v>
          </cell>
          <cell r="H189" t="str">
            <v>BODEGA DE EQUIPOS</v>
          </cell>
          <cell r="I189">
            <v>1</v>
          </cell>
          <cell r="J189" t="str">
            <v>C.5.6.4.17.1</v>
          </cell>
          <cell r="K189" t="str">
            <v>Pabellones</v>
          </cell>
          <cell r="L189">
            <v>3</v>
          </cell>
          <cell r="M189">
            <v>46039</v>
          </cell>
          <cell r="N189">
            <v>46041</v>
          </cell>
          <cell r="O189">
            <v>1</v>
          </cell>
          <cell r="P189">
            <v>46042</v>
          </cell>
          <cell r="Q189">
            <v>5</v>
          </cell>
          <cell r="R189" t="str">
            <v>NA</v>
          </cell>
          <cell r="S189">
            <v>5</v>
          </cell>
        </row>
        <row r="190">
          <cell r="B190" t="str">
            <v>EMMC</v>
          </cell>
          <cell r="C190" t="str">
            <v>HSLB10558</v>
          </cell>
          <cell r="D190">
            <v>104019</v>
          </cell>
          <cell r="E190" t="str">
            <v>Mesa Quirúrgica Traumatológica</v>
          </cell>
          <cell r="F190" t="str">
            <v>NO</v>
          </cell>
          <cell r="G190" t="str">
            <v>NO</v>
          </cell>
          <cell r="H190" t="str">
            <v>PABELLON CIRUGIA MAYOR ELECTIVA</v>
          </cell>
          <cell r="I190">
            <v>1</v>
          </cell>
          <cell r="J190" t="str">
            <v>C.5.6.4.5.3</v>
          </cell>
          <cell r="K190" t="str">
            <v>Pabellones</v>
          </cell>
          <cell r="L190">
            <v>3</v>
          </cell>
          <cell r="M190">
            <v>46039</v>
          </cell>
          <cell r="N190">
            <v>46041</v>
          </cell>
          <cell r="O190">
            <v>1</v>
          </cell>
          <cell r="P190">
            <v>46042</v>
          </cell>
          <cell r="Q190">
            <v>5</v>
          </cell>
          <cell r="R190" t="str">
            <v>NA</v>
          </cell>
          <cell r="S190">
            <v>5</v>
          </cell>
        </row>
        <row r="191">
          <cell r="B191" t="str">
            <v>EMMC</v>
          </cell>
          <cell r="C191" t="str">
            <v>HSLB10559</v>
          </cell>
          <cell r="D191">
            <v>104020</v>
          </cell>
          <cell r="E191" t="str">
            <v>Mesa Quirúrgica Universal</v>
          </cell>
          <cell r="F191" t="str">
            <v>NO</v>
          </cell>
          <cell r="G191" t="str">
            <v>NO</v>
          </cell>
          <cell r="H191" t="str">
            <v>PABELLON CIRUGIA MAYOR ELECTIVA</v>
          </cell>
          <cell r="I191">
            <v>1</v>
          </cell>
          <cell r="J191" t="str">
            <v>C.5.6.4.5.1</v>
          </cell>
          <cell r="K191" t="str">
            <v>Pabellones</v>
          </cell>
          <cell r="L191">
            <v>3</v>
          </cell>
          <cell r="M191">
            <v>46039</v>
          </cell>
          <cell r="N191">
            <v>46041</v>
          </cell>
          <cell r="O191">
            <v>1</v>
          </cell>
          <cell r="P191">
            <v>46042</v>
          </cell>
          <cell r="Q191">
            <v>5</v>
          </cell>
          <cell r="R191" t="str">
            <v>NA</v>
          </cell>
          <cell r="S191">
            <v>5</v>
          </cell>
        </row>
        <row r="192">
          <cell r="B192" t="str">
            <v>EMMC</v>
          </cell>
          <cell r="C192" t="str">
            <v>HSLB10560</v>
          </cell>
          <cell r="D192">
            <v>104020</v>
          </cell>
          <cell r="E192" t="str">
            <v>Mesa Quirúrgica Universal</v>
          </cell>
          <cell r="F192" t="str">
            <v>NO</v>
          </cell>
          <cell r="G192" t="str">
            <v>NO</v>
          </cell>
          <cell r="H192" t="str">
            <v>PABELLON CIRUGIA MAYOR ELECTIVA</v>
          </cell>
          <cell r="I192">
            <v>1</v>
          </cell>
          <cell r="J192" t="str">
            <v>C.5.6.4.5.2</v>
          </cell>
          <cell r="K192" t="str">
            <v>Pabellones</v>
          </cell>
          <cell r="L192">
            <v>3</v>
          </cell>
          <cell r="M192">
            <v>46039</v>
          </cell>
          <cell r="N192">
            <v>46041</v>
          </cell>
          <cell r="O192">
            <v>1</v>
          </cell>
          <cell r="P192">
            <v>46042</v>
          </cell>
          <cell r="Q192">
            <v>5</v>
          </cell>
          <cell r="R192" t="str">
            <v>NA</v>
          </cell>
          <cell r="S192">
            <v>5</v>
          </cell>
        </row>
        <row r="193">
          <cell r="B193" t="str">
            <v>EMMC</v>
          </cell>
          <cell r="C193" t="str">
            <v>HSLB10561</v>
          </cell>
          <cell r="D193">
            <v>104020</v>
          </cell>
          <cell r="E193" t="str">
            <v>Mesa Quirúrgica Universal</v>
          </cell>
          <cell r="F193" t="str">
            <v>NO</v>
          </cell>
          <cell r="G193" t="str">
            <v>NO</v>
          </cell>
          <cell r="H193" t="str">
            <v>PABELLON CIRUGIA MAYOR AMBULATORIA</v>
          </cell>
          <cell r="I193">
            <v>1</v>
          </cell>
          <cell r="J193" t="str">
            <v>C.5.6.4.6.1</v>
          </cell>
          <cell r="K193" t="str">
            <v>Pabellones</v>
          </cell>
          <cell r="L193">
            <v>3</v>
          </cell>
          <cell r="M193">
            <v>46039</v>
          </cell>
          <cell r="N193">
            <v>46041</v>
          </cell>
          <cell r="O193">
            <v>1</v>
          </cell>
          <cell r="P193">
            <v>46042</v>
          </cell>
          <cell r="Q193">
            <v>5</v>
          </cell>
          <cell r="R193" t="str">
            <v>NA</v>
          </cell>
          <cell r="S193">
            <v>5</v>
          </cell>
        </row>
        <row r="194">
          <cell r="B194" t="str">
            <v>EMMC</v>
          </cell>
          <cell r="C194" t="str">
            <v>HSLB10562</v>
          </cell>
          <cell r="D194">
            <v>104020</v>
          </cell>
          <cell r="E194" t="str">
            <v>Mesa Quirúrgica Universal</v>
          </cell>
          <cell r="F194" t="str">
            <v>NO</v>
          </cell>
          <cell r="G194" t="str">
            <v>NO</v>
          </cell>
          <cell r="H194" t="str">
            <v>PABELLON CIRUGIA MAYOR AMBULATORIA</v>
          </cell>
          <cell r="I194">
            <v>1</v>
          </cell>
          <cell r="J194" t="str">
            <v>C.5.6.4.6.2</v>
          </cell>
          <cell r="K194" t="str">
            <v>Pabellones</v>
          </cell>
          <cell r="L194">
            <v>3</v>
          </cell>
          <cell r="M194">
            <v>46039</v>
          </cell>
          <cell r="N194">
            <v>46041</v>
          </cell>
          <cell r="O194">
            <v>1</v>
          </cell>
          <cell r="P194">
            <v>46042</v>
          </cell>
          <cell r="Q194">
            <v>5</v>
          </cell>
          <cell r="R194" t="str">
            <v>NA</v>
          </cell>
          <cell r="S194">
            <v>5</v>
          </cell>
        </row>
        <row r="195">
          <cell r="B195" t="str">
            <v>EMMC</v>
          </cell>
          <cell r="C195" t="str">
            <v>HSLB10563</v>
          </cell>
          <cell r="D195">
            <v>104020</v>
          </cell>
          <cell r="E195" t="str">
            <v>Mesa Quirúrgica Universal</v>
          </cell>
          <cell r="F195" t="str">
            <v>NO</v>
          </cell>
          <cell r="G195" t="str">
            <v>NO</v>
          </cell>
          <cell r="H195" t="str">
            <v>PABELLON URGENCIAS</v>
          </cell>
          <cell r="I195">
            <v>1</v>
          </cell>
          <cell r="J195" t="str">
            <v>C.5.6.4.7</v>
          </cell>
          <cell r="K195" t="str">
            <v>Pabellones</v>
          </cell>
          <cell r="L195">
            <v>3</v>
          </cell>
          <cell r="M195">
            <v>46039</v>
          </cell>
          <cell r="N195">
            <v>46041</v>
          </cell>
          <cell r="O195">
            <v>1</v>
          </cell>
          <cell r="P195">
            <v>46042</v>
          </cell>
          <cell r="Q195">
            <v>5</v>
          </cell>
          <cell r="R195" t="str">
            <v>NA</v>
          </cell>
          <cell r="S195">
            <v>5</v>
          </cell>
        </row>
        <row r="196">
          <cell r="B196" t="str">
            <v>EMMC</v>
          </cell>
          <cell r="C196" t="str">
            <v>HSLB11901</v>
          </cell>
          <cell r="D196">
            <v>112035</v>
          </cell>
          <cell r="E196" t="str">
            <v>Carro Transporte Estéril/Sucio</v>
          </cell>
          <cell r="F196" t="str">
            <v>NO</v>
          </cell>
          <cell r="G196" t="str">
            <v>NO</v>
          </cell>
          <cell r="H196" t="str">
            <v>ESTACIONAMIENTO CARROS LIMPIOS</v>
          </cell>
          <cell r="I196">
            <v>9</v>
          </cell>
          <cell r="J196" t="str">
            <v>C.5.5.30</v>
          </cell>
          <cell r="K196" t="str">
            <v>Esterilización</v>
          </cell>
          <cell r="L196">
            <v>3</v>
          </cell>
          <cell r="M196">
            <v>46042</v>
          </cell>
          <cell r="N196">
            <v>46043</v>
          </cell>
          <cell r="O196">
            <v>1</v>
          </cell>
          <cell r="P196">
            <v>46044</v>
          </cell>
          <cell r="Q196">
            <v>5</v>
          </cell>
          <cell r="R196" t="str">
            <v>NA</v>
          </cell>
          <cell r="S196">
            <v>5</v>
          </cell>
        </row>
        <row r="197">
          <cell r="B197" t="str">
            <v>EMMC</v>
          </cell>
          <cell r="C197" t="str">
            <v>HSLB11924</v>
          </cell>
          <cell r="D197">
            <v>112039</v>
          </cell>
          <cell r="E197" t="str">
            <v>Carro Transporte Ropa Sucia Tipo I</v>
          </cell>
          <cell r="F197" t="str">
            <v>NO</v>
          </cell>
          <cell r="G197" t="str">
            <v>NO</v>
          </cell>
          <cell r="H197" t="str">
            <v>BODEGA ROPA SUCIA</v>
          </cell>
          <cell r="I197">
            <v>4</v>
          </cell>
          <cell r="J197" t="str">
            <v>C.5.6.5.3</v>
          </cell>
          <cell r="K197" t="str">
            <v>Pabellones</v>
          </cell>
          <cell r="L197">
            <v>3</v>
          </cell>
          <cell r="M197">
            <v>46039</v>
          </cell>
          <cell r="N197">
            <v>46041</v>
          </cell>
          <cell r="O197">
            <v>1</v>
          </cell>
          <cell r="P197">
            <v>46042</v>
          </cell>
          <cell r="Q197">
            <v>5</v>
          </cell>
          <cell r="R197" t="str">
            <v>NA</v>
          </cell>
          <cell r="S197">
            <v>5</v>
          </cell>
        </row>
        <row r="198">
          <cell r="B198" t="str">
            <v>EMMC</v>
          </cell>
          <cell r="C198" t="str">
            <v>HSLB11776</v>
          </cell>
          <cell r="D198">
            <v>112020</v>
          </cell>
          <cell r="E198" t="str">
            <v>Carro Compresero</v>
          </cell>
          <cell r="F198" t="str">
            <v>NO</v>
          </cell>
          <cell r="G198" t="str">
            <v>NO</v>
          </cell>
          <cell r="H198" t="str">
            <v>PABELLON CIRUGIA MAYOR ELECTIVA</v>
          </cell>
          <cell r="I198">
            <v>2</v>
          </cell>
          <cell r="J198" t="str">
            <v>C.5.6.4.5.1</v>
          </cell>
          <cell r="K198" t="str">
            <v>Pabellones</v>
          </cell>
          <cell r="L198">
            <v>3</v>
          </cell>
          <cell r="M198">
            <v>46039</v>
          </cell>
          <cell r="N198">
            <v>46041</v>
          </cell>
          <cell r="O198">
            <v>1</v>
          </cell>
          <cell r="P198">
            <v>46042</v>
          </cell>
          <cell r="Q198">
            <v>5</v>
          </cell>
          <cell r="R198" t="str">
            <v>NA</v>
          </cell>
          <cell r="S198">
            <v>5</v>
          </cell>
        </row>
        <row r="199">
          <cell r="B199" t="str">
            <v>EMMC</v>
          </cell>
          <cell r="C199" t="str">
            <v>HSLB11777</v>
          </cell>
          <cell r="D199">
            <v>112020</v>
          </cell>
          <cell r="E199" t="str">
            <v>Carro Compresero</v>
          </cell>
          <cell r="F199" t="str">
            <v>NO</v>
          </cell>
          <cell r="G199" t="str">
            <v>NO</v>
          </cell>
          <cell r="H199" t="str">
            <v>PABELLON CIRUGIA MAYOR ELECTIVA</v>
          </cell>
          <cell r="I199">
            <v>2</v>
          </cell>
          <cell r="J199" t="str">
            <v>C.5.6.4.5.2</v>
          </cell>
          <cell r="K199" t="str">
            <v>Pabellones</v>
          </cell>
          <cell r="L199">
            <v>3</v>
          </cell>
          <cell r="M199">
            <v>46039</v>
          </cell>
          <cell r="N199">
            <v>46041</v>
          </cell>
          <cell r="O199">
            <v>1</v>
          </cell>
          <cell r="P199">
            <v>46042</v>
          </cell>
          <cell r="Q199">
            <v>5</v>
          </cell>
          <cell r="R199" t="str">
            <v>NA</v>
          </cell>
          <cell r="S199">
            <v>5</v>
          </cell>
        </row>
        <row r="200">
          <cell r="B200" t="str">
            <v>EMMC</v>
          </cell>
          <cell r="C200" t="str">
            <v>HSLB11778</v>
          </cell>
          <cell r="D200">
            <v>112020</v>
          </cell>
          <cell r="E200" t="str">
            <v>Carro Compresero</v>
          </cell>
          <cell r="F200" t="str">
            <v>NO</v>
          </cell>
          <cell r="G200" t="str">
            <v>NO</v>
          </cell>
          <cell r="H200" t="str">
            <v>PABELLON CIRUGIA MAYOR ELECTIVA</v>
          </cell>
          <cell r="I200">
            <v>2</v>
          </cell>
          <cell r="J200" t="str">
            <v>C.5.6.4.5.3</v>
          </cell>
          <cell r="K200" t="str">
            <v>Pabellones</v>
          </cell>
          <cell r="L200">
            <v>3</v>
          </cell>
          <cell r="M200">
            <v>46039</v>
          </cell>
          <cell r="N200">
            <v>46041</v>
          </cell>
          <cell r="O200">
            <v>1</v>
          </cell>
          <cell r="P200">
            <v>46042</v>
          </cell>
          <cell r="Q200">
            <v>5</v>
          </cell>
          <cell r="R200" t="str">
            <v>NA</v>
          </cell>
          <cell r="S200">
            <v>5</v>
          </cell>
        </row>
        <row r="201">
          <cell r="B201" t="str">
            <v>EMMC</v>
          </cell>
          <cell r="C201" t="str">
            <v>HSLB11779</v>
          </cell>
          <cell r="D201">
            <v>112020</v>
          </cell>
          <cell r="E201" t="str">
            <v>Carro Compresero</v>
          </cell>
          <cell r="F201" t="str">
            <v>NO</v>
          </cell>
          <cell r="G201" t="str">
            <v>NO</v>
          </cell>
          <cell r="H201" t="str">
            <v>PABELLON CIRUGIA MAYOR AMBULATORIA</v>
          </cell>
          <cell r="I201">
            <v>2</v>
          </cell>
          <cell r="J201" t="str">
            <v>C.5.6.4.6.1</v>
          </cell>
          <cell r="K201" t="str">
            <v>Pabellones</v>
          </cell>
          <cell r="L201">
            <v>3</v>
          </cell>
          <cell r="M201">
            <v>46039</v>
          </cell>
          <cell r="N201">
            <v>46041</v>
          </cell>
          <cell r="O201">
            <v>1</v>
          </cell>
          <cell r="P201">
            <v>46042</v>
          </cell>
          <cell r="Q201">
            <v>5</v>
          </cell>
          <cell r="R201" t="str">
            <v>NA</v>
          </cell>
          <cell r="S201">
            <v>5</v>
          </cell>
        </row>
        <row r="202">
          <cell r="B202" t="str">
            <v>EMMC</v>
          </cell>
          <cell r="C202" t="str">
            <v>HSLB11780</v>
          </cell>
          <cell r="D202">
            <v>112020</v>
          </cell>
          <cell r="E202" t="str">
            <v>Carro Compresero</v>
          </cell>
          <cell r="F202" t="str">
            <v>NO</v>
          </cell>
          <cell r="G202" t="str">
            <v>NO</v>
          </cell>
          <cell r="H202" t="str">
            <v>PABELLON CIRUGIA MAYOR AMBULATORIA</v>
          </cell>
          <cell r="I202">
            <v>2</v>
          </cell>
          <cell r="J202" t="str">
            <v>C.5.6.4.6.2</v>
          </cell>
          <cell r="K202" t="str">
            <v>Pabellones</v>
          </cell>
          <cell r="L202">
            <v>3</v>
          </cell>
          <cell r="M202">
            <v>46039</v>
          </cell>
          <cell r="N202">
            <v>46041</v>
          </cell>
          <cell r="O202">
            <v>1</v>
          </cell>
          <cell r="P202">
            <v>46042</v>
          </cell>
          <cell r="Q202">
            <v>5</v>
          </cell>
          <cell r="R202" t="str">
            <v>NA</v>
          </cell>
          <cell r="S202">
            <v>5</v>
          </cell>
        </row>
        <row r="203">
          <cell r="B203" t="str">
            <v>EMMC</v>
          </cell>
          <cell r="C203" t="str">
            <v>HSLB11781</v>
          </cell>
          <cell r="D203">
            <v>112020</v>
          </cell>
          <cell r="E203" t="str">
            <v>Carro Compresero</v>
          </cell>
          <cell r="F203" t="str">
            <v>NO</v>
          </cell>
          <cell r="G203" t="str">
            <v>NO</v>
          </cell>
          <cell r="H203" t="str">
            <v>PABELLON URGENCIAS</v>
          </cell>
          <cell r="I203">
            <v>2</v>
          </cell>
          <cell r="J203" t="str">
            <v>C.5.6.4.7</v>
          </cell>
          <cell r="K203" t="str">
            <v>Pabellones</v>
          </cell>
          <cell r="L203">
            <v>3</v>
          </cell>
          <cell r="M203">
            <v>46039</v>
          </cell>
          <cell r="N203">
            <v>46041</v>
          </cell>
          <cell r="O203">
            <v>1</v>
          </cell>
          <cell r="P203">
            <v>46042</v>
          </cell>
          <cell r="Q203">
            <v>5</v>
          </cell>
          <cell r="R203" t="str">
            <v>NA</v>
          </cell>
          <cell r="S203">
            <v>5</v>
          </cell>
        </row>
        <row r="204">
          <cell r="B204" t="str">
            <v>EMMC</v>
          </cell>
          <cell r="C204" t="str">
            <v>HSLB11800</v>
          </cell>
          <cell r="D204">
            <v>112021</v>
          </cell>
          <cell r="E204" t="str">
            <v>Carro Curación</v>
          </cell>
          <cell r="F204" t="str">
            <v>NO</v>
          </cell>
          <cell r="G204" t="str">
            <v>NO</v>
          </cell>
          <cell r="H204" t="str">
            <v>ESTACIÓN DE ENFERMERÍA</v>
          </cell>
          <cell r="I204">
            <v>2</v>
          </cell>
          <cell r="J204" t="str">
            <v>C.3.6.3.7</v>
          </cell>
          <cell r="K204" t="str">
            <v>Parto integral</v>
          </cell>
          <cell r="L204">
            <v>3</v>
          </cell>
          <cell r="M204">
            <v>46042</v>
          </cell>
          <cell r="N204">
            <v>46043</v>
          </cell>
          <cell r="O204">
            <v>1</v>
          </cell>
          <cell r="P204">
            <v>46044</v>
          </cell>
          <cell r="Q204">
            <v>5</v>
          </cell>
          <cell r="R204" t="str">
            <v>NA</v>
          </cell>
          <cell r="S204">
            <v>5</v>
          </cell>
        </row>
        <row r="205">
          <cell r="B205" t="str">
            <v>EMMC</v>
          </cell>
          <cell r="C205" t="str">
            <v>HSLB11900</v>
          </cell>
          <cell r="D205">
            <v>112035</v>
          </cell>
          <cell r="E205" t="str">
            <v>Carro Transporte Estéril/Sucio</v>
          </cell>
          <cell r="F205" t="str">
            <v>NO</v>
          </cell>
          <cell r="G205" t="str">
            <v>NO</v>
          </cell>
          <cell r="H205" t="str">
            <v>ESTACIÓN DE ENFERMERÍA</v>
          </cell>
          <cell r="I205">
            <v>2</v>
          </cell>
          <cell r="J205" t="str">
            <v>C.3.7.12.2</v>
          </cell>
          <cell r="K205" t="str">
            <v>UTI</v>
          </cell>
          <cell r="L205">
            <v>3</v>
          </cell>
          <cell r="M205">
            <v>46042</v>
          </cell>
          <cell r="N205">
            <v>46043</v>
          </cell>
          <cell r="O205">
            <v>1</v>
          </cell>
          <cell r="P205">
            <v>46044</v>
          </cell>
          <cell r="Q205">
            <v>5</v>
          </cell>
          <cell r="R205" t="str">
            <v>NA</v>
          </cell>
          <cell r="S205">
            <v>5</v>
          </cell>
        </row>
        <row r="206">
          <cell r="B206" t="str">
            <v>EMMC</v>
          </cell>
          <cell r="C206" t="str">
            <v>HSLB11919</v>
          </cell>
          <cell r="D206">
            <v>112039</v>
          </cell>
          <cell r="E206" t="str">
            <v>Carro Transporte Ropa Sucia Tipo I</v>
          </cell>
          <cell r="F206" t="str">
            <v>NO</v>
          </cell>
          <cell r="G206" t="str">
            <v>NO</v>
          </cell>
          <cell r="H206" t="str">
            <v>BODEGA ROPA SUCIA</v>
          </cell>
          <cell r="I206">
            <v>2</v>
          </cell>
          <cell r="J206" t="str">
            <v>C.3.6.3.15</v>
          </cell>
          <cell r="K206" t="str">
            <v>Parto integral</v>
          </cell>
          <cell r="L206">
            <v>3</v>
          </cell>
          <cell r="M206">
            <v>46042</v>
          </cell>
          <cell r="N206">
            <v>46043</v>
          </cell>
          <cell r="O206">
            <v>1</v>
          </cell>
          <cell r="P206">
            <v>46044</v>
          </cell>
          <cell r="Q206">
            <v>5</v>
          </cell>
          <cell r="R206" t="str">
            <v>NA</v>
          </cell>
          <cell r="S206">
            <v>5</v>
          </cell>
        </row>
        <row r="207">
          <cell r="B207" t="str">
            <v>EMMC</v>
          </cell>
          <cell r="C207" t="str">
            <v>HSLB10319</v>
          </cell>
          <cell r="D207">
            <v>103017</v>
          </cell>
          <cell r="E207" t="str">
            <v>Carro Utilitario</v>
          </cell>
          <cell r="F207" t="str">
            <v>NO</v>
          </cell>
          <cell r="G207" t="str">
            <v>NO</v>
          </cell>
          <cell r="H207" t="str">
            <v xml:space="preserve">ÁREA DESCONTAMINACIÓN </v>
          </cell>
          <cell r="I207">
            <v>2</v>
          </cell>
          <cell r="J207" t="str">
            <v>C.5.5.12</v>
          </cell>
          <cell r="K207" t="str">
            <v>Esterilización</v>
          </cell>
          <cell r="L207">
            <v>3</v>
          </cell>
          <cell r="M207">
            <v>46042</v>
          </cell>
          <cell r="N207">
            <v>46043</v>
          </cell>
          <cell r="O207">
            <v>1</v>
          </cell>
          <cell r="P207">
            <v>46044</v>
          </cell>
          <cell r="Q207">
            <v>5</v>
          </cell>
          <cell r="R207" t="str">
            <v>NA</v>
          </cell>
          <cell r="S207">
            <v>5</v>
          </cell>
        </row>
        <row r="208">
          <cell r="B208" t="str">
            <v>EMMC</v>
          </cell>
          <cell r="C208" t="str">
            <v>HSLB10320</v>
          </cell>
          <cell r="D208">
            <v>103017</v>
          </cell>
          <cell r="E208" t="str">
            <v>Carro Utilitario</v>
          </cell>
          <cell r="F208" t="str">
            <v>NO</v>
          </cell>
          <cell r="G208" t="str">
            <v>NO</v>
          </cell>
          <cell r="H208" t="str">
            <v>PABELLON CIRUGIA MAYOR ELECTIVA</v>
          </cell>
          <cell r="I208">
            <v>2</v>
          </cell>
          <cell r="J208" t="str">
            <v>C.5.6.4.5.1</v>
          </cell>
          <cell r="K208" t="str">
            <v>Pabellones</v>
          </cell>
          <cell r="L208">
            <v>3</v>
          </cell>
          <cell r="M208">
            <v>46039</v>
          </cell>
          <cell r="N208">
            <v>46041</v>
          </cell>
          <cell r="O208">
            <v>1</v>
          </cell>
          <cell r="P208">
            <v>46042</v>
          </cell>
          <cell r="Q208">
            <v>5</v>
          </cell>
          <cell r="R208" t="str">
            <v>NA</v>
          </cell>
          <cell r="S208">
            <v>5</v>
          </cell>
        </row>
        <row r="209">
          <cell r="B209" t="str">
            <v>EMMC</v>
          </cell>
          <cell r="C209" t="str">
            <v>HSLB10321</v>
          </cell>
          <cell r="D209">
            <v>103017</v>
          </cell>
          <cell r="E209" t="str">
            <v>Carro Utilitario</v>
          </cell>
          <cell r="F209" t="str">
            <v>NO</v>
          </cell>
          <cell r="G209" t="str">
            <v>NO</v>
          </cell>
          <cell r="H209" t="str">
            <v>PABELLON CIRUGIA MAYOR ELECTIVA</v>
          </cell>
          <cell r="I209">
            <v>2</v>
          </cell>
          <cell r="J209" t="str">
            <v>C.5.6.4.5.2</v>
          </cell>
          <cell r="K209" t="str">
            <v>Pabellones</v>
          </cell>
          <cell r="L209">
            <v>3</v>
          </cell>
          <cell r="M209">
            <v>46039</v>
          </cell>
          <cell r="N209">
            <v>46041</v>
          </cell>
          <cell r="O209">
            <v>1</v>
          </cell>
          <cell r="P209">
            <v>46042</v>
          </cell>
          <cell r="Q209">
            <v>5</v>
          </cell>
          <cell r="R209" t="str">
            <v>NA</v>
          </cell>
          <cell r="S209">
            <v>5</v>
          </cell>
        </row>
        <row r="210">
          <cell r="B210" t="str">
            <v>EMMC</v>
          </cell>
          <cell r="C210" t="str">
            <v>HSLB10322</v>
          </cell>
          <cell r="D210">
            <v>103017</v>
          </cell>
          <cell r="E210" t="str">
            <v>Carro Utilitario</v>
          </cell>
          <cell r="F210" t="str">
            <v>NO</v>
          </cell>
          <cell r="G210" t="str">
            <v>NO</v>
          </cell>
          <cell r="H210" t="str">
            <v>PABELLON CIRUGIA MAYOR ELECTIVA</v>
          </cell>
          <cell r="I210">
            <v>2</v>
          </cell>
          <cell r="J210" t="str">
            <v>C.5.6.4.5.3</v>
          </cell>
          <cell r="K210" t="str">
            <v>Pabellones</v>
          </cell>
          <cell r="L210">
            <v>3</v>
          </cell>
          <cell r="M210">
            <v>46039</v>
          </cell>
          <cell r="N210">
            <v>46041</v>
          </cell>
          <cell r="O210">
            <v>1</v>
          </cell>
          <cell r="P210">
            <v>46042</v>
          </cell>
          <cell r="Q210">
            <v>5</v>
          </cell>
          <cell r="R210" t="str">
            <v>NA</v>
          </cell>
          <cell r="S210">
            <v>5</v>
          </cell>
        </row>
        <row r="211">
          <cell r="B211" t="str">
            <v>EMMC</v>
          </cell>
          <cell r="C211" t="str">
            <v>HSLB10323</v>
          </cell>
          <cell r="D211">
            <v>103017</v>
          </cell>
          <cell r="E211" t="str">
            <v>Carro Utilitario</v>
          </cell>
          <cell r="F211" t="str">
            <v>NO</v>
          </cell>
          <cell r="G211" t="str">
            <v>NO</v>
          </cell>
          <cell r="H211" t="str">
            <v>PABELLON CIRUGIA MAYOR AMBULATORIA</v>
          </cell>
          <cell r="I211">
            <v>2</v>
          </cell>
          <cell r="J211" t="str">
            <v>C.5.6.4.6.1</v>
          </cell>
          <cell r="K211" t="str">
            <v>Pabellones</v>
          </cell>
          <cell r="L211">
            <v>3</v>
          </cell>
          <cell r="M211">
            <v>46039</v>
          </cell>
          <cell r="N211">
            <v>46041</v>
          </cell>
          <cell r="O211">
            <v>1</v>
          </cell>
          <cell r="P211">
            <v>46042</v>
          </cell>
          <cell r="Q211">
            <v>5</v>
          </cell>
          <cell r="R211" t="str">
            <v>NA</v>
          </cell>
          <cell r="S211">
            <v>5</v>
          </cell>
        </row>
        <row r="212">
          <cell r="B212" t="str">
            <v>EMMC</v>
          </cell>
          <cell r="C212" t="str">
            <v>HSLB10324</v>
          </cell>
          <cell r="D212">
            <v>103017</v>
          </cell>
          <cell r="E212" t="str">
            <v>Carro Utilitario</v>
          </cell>
          <cell r="F212" t="str">
            <v>NO</v>
          </cell>
          <cell r="G212" t="str">
            <v>NO</v>
          </cell>
          <cell r="H212" t="str">
            <v>PABELLON CIRUGIA MAYOR AMBULATORIA</v>
          </cell>
          <cell r="I212">
            <v>2</v>
          </cell>
          <cell r="J212" t="str">
            <v>C.5.6.4.6.2</v>
          </cell>
          <cell r="K212" t="str">
            <v>Pabellones</v>
          </cell>
          <cell r="L212">
            <v>3</v>
          </cell>
          <cell r="M212">
            <v>46039</v>
          </cell>
          <cell r="N212">
            <v>46041</v>
          </cell>
          <cell r="O212">
            <v>1</v>
          </cell>
          <cell r="P212">
            <v>46042</v>
          </cell>
          <cell r="Q212">
            <v>5</v>
          </cell>
          <cell r="R212" t="str">
            <v>NA</v>
          </cell>
          <cell r="S212">
            <v>5</v>
          </cell>
        </row>
        <row r="213">
          <cell r="B213" t="str">
            <v>EMMC</v>
          </cell>
          <cell r="C213" t="str">
            <v>HSLB10325</v>
          </cell>
          <cell r="D213">
            <v>103017</v>
          </cell>
          <cell r="E213" t="str">
            <v>Carro Utilitario</v>
          </cell>
          <cell r="F213" t="str">
            <v>NO</v>
          </cell>
          <cell r="G213" t="str">
            <v>NO</v>
          </cell>
          <cell r="H213" t="str">
            <v>PABELLON URGENCIAS</v>
          </cell>
          <cell r="I213">
            <v>2</v>
          </cell>
          <cell r="J213" t="str">
            <v>C.5.6.4.7</v>
          </cell>
          <cell r="K213" t="str">
            <v>Pabellones</v>
          </cell>
          <cell r="L213">
            <v>3</v>
          </cell>
          <cell r="M213">
            <v>46039</v>
          </cell>
          <cell r="N213">
            <v>46041</v>
          </cell>
          <cell r="O213">
            <v>1</v>
          </cell>
          <cell r="P213">
            <v>46042</v>
          </cell>
          <cell r="Q213">
            <v>5</v>
          </cell>
          <cell r="R213" t="str">
            <v>NA</v>
          </cell>
          <cell r="S213">
            <v>5</v>
          </cell>
        </row>
        <row r="214">
          <cell r="B214" t="str">
            <v>EMMC</v>
          </cell>
          <cell r="C214" t="str">
            <v>HSLB11110</v>
          </cell>
          <cell r="D214">
            <v>106021</v>
          </cell>
          <cell r="E214" t="str">
            <v>Telón</v>
          </cell>
          <cell r="F214" t="str">
            <v>NO</v>
          </cell>
          <cell r="G214" t="str">
            <v>NO</v>
          </cell>
          <cell r="H214" t="str">
            <v>AUDITORIO</v>
          </cell>
          <cell r="I214">
            <v>2</v>
          </cell>
          <cell r="J214" t="str">
            <v>E.1.2</v>
          </cell>
          <cell r="K214" t="str">
            <v>Auditorio</v>
          </cell>
          <cell r="L214">
            <v>3</v>
          </cell>
          <cell r="M214">
            <v>46042</v>
          </cell>
          <cell r="N214">
            <v>46043</v>
          </cell>
          <cell r="O214">
            <v>1</v>
          </cell>
          <cell r="P214">
            <v>46044</v>
          </cell>
          <cell r="Q214">
            <v>5</v>
          </cell>
          <cell r="R214" t="str">
            <v>NA</v>
          </cell>
          <cell r="S214">
            <v>5</v>
          </cell>
        </row>
        <row r="215">
          <cell r="B215" t="str">
            <v>EMMC</v>
          </cell>
          <cell r="C215" t="str">
            <v>HSLB11770</v>
          </cell>
          <cell r="D215">
            <v>112019</v>
          </cell>
          <cell r="E215" t="str">
            <v>Carro Aseo Paciente</v>
          </cell>
          <cell r="F215" t="str">
            <v>NO</v>
          </cell>
          <cell r="G215" t="str">
            <v>NO</v>
          </cell>
          <cell r="H215" t="str">
            <v>BODEGA DE EQUIPOS</v>
          </cell>
          <cell r="I215">
            <v>1</v>
          </cell>
          <cell r="J215" t="str">
            <v>C.3.6.3.13</v>
          </cell>
          <cell r="K215" t="str">
            <v>Parto integral</v>
          </cell>
          <cell r="L215">
            <v>3</v>
          </cell>
          <cell r="M215">
            <v>46042</v>
          </cell>
          <cell r="N215">
            <v>46043</v>
          </cell>
          <cell r="O215">
            <v>1</v>
          </cell>
          <cell r="P215">
            <v>46044</v>
          </cell>
          <cell r="Q215">
            <v>5</v>
          </cell>
          <cell r="R215" t="str">
            <v>NA</v>
          </cell>
          <cell r="S215">
            <v>5</v>
          </cell>
        </row>
        <row r="216">
          <cell r="B216" t="str">
            <v>EMMC</v>
          </cell>
          <cell r="C216" t="str">
            <v>HSLB11771</v>
          </cell>
          <cell r="D216">
            <v>112019</v>
          </cell>
          <cell r="E216" t="str">
            <v>Carro Aseo Paciente</v>
          </cell>
          <cell r="F216" t="str">
            <v>NO</v>
          </cell>
          <cell r="G216" t="str">
            <v>NO</v>
          </cell>
          <cell r="H216" t="str">
            <v>ESTACIÓN DE ENFERMERÍA</v>
          </cell>
          <cell r="I216">
            <v>1</v>
          </cell>
          <cell r="J216" t="str">
            <v>C.3.7.12.1</v>
          </cell>
          <cell r="K216" t="str">
            <v>UTI</v>
          </cell>
          <cell r="L216">
            <v>3</v>
          </cell>
          <cell r="M216">
            <v>46042</v>
          </cell>
          <cell r="N216">
            <v>46043</v>
          </cell>
          <cell r="O216">
            <v>1</v>
          </cell>
          <cell r="P216">
            <v>46044</v>
          </cell>
          <cell r="Q216">
            <v>5</v>
          </cell>
          <cell r="R216" t="str">
            <v>NA</v>
          </cell>
          <cell r="S216">
            <v>5</v>
          </cell>
        </row>
        <row r="217">
          <cell r="B217" t="str">
            <v>EMMC</v>
          </cell>
          <cell r="C217" t="str">
            <v>HSLB11773</v>
          </cell>
          <cell r="D217">
            <v>112020</v>
          </cell>
          <cell r="E217" t="str">
            <v>Carro Compresero</v>
          </cell>
          <cell r="F217" t="str">
            <v>NO</v>
          </cell>
          <cell r="G217" t="str">
            <v>NO</v>
          </cell>
          <cell r="H217" t="str">
            <v>SALA PARTO INTEGRAL</v>
          </cell>
          <cell r="I217">
            <v>1</v>
          </cell>
          <cell r="J217" t="str">
            <v>C.3.6.3.6.1</v>
          </cell>
          <cell r="K217" t="str">
            <v>Parto integral</v>
          </cell>
          <cell r="L217">
            <v>3</v>
          </cell>
          <cell r="M217">
            <v>46042</v>
          </cell>
          <cell r="N217">
            <v>46043</v>
          </cell>
          <cell r="O217">
            <v>1</v>
          </cell>
          <cell r="P217">
            <v>46044</v>
          </cell>
          <cell r="Q217">
            <v>5</v>
          </cell>
          <cell r="R217" t="str">
            <v>NA</v>
          </cell>
          <cell r="S217">
            <v>5</v>
          </cell>
        </row>
        <row r="218">
          <cell r="B218" t="str">
            <v>EMMC</v>
          </cell>
          <cell r="C218" t="str">
            <v>HSLB11774</v>
          </cell>
          <cell r="D218">
            <v>112020</v>
          </cell>
          <cell r="E218" t="str">
            <v>Carro Compresero</v>
          </cell>
          <cell r="F218" t="str">
            <v>NO</v>
          </cell>
          <cell r="G218" t="str">
            <v>NO</v>
          </cell>
          <cell r="H218" t="str">
            <v>SALA PARTO INTEGRAL</v>
          </cell>
          <cell r="I218">
            <v>1</v>
          </cell>
          <cell r="J218" t="str">
            <v>C.3.6.3.6.2</v>
          </cell>
          <cell r="K218" t="str">
            <v>Parto integral</v>
          </cell>
          <cell r="L218">
            <v>3</v>
          </cell>
          <cell r="M218">
            <v>46042</v>
          </cell>
          <cell r="N218">
            <v>46043</v>
          </cell>
          <cell r="O218">
            <v>1</v>
          </cell>
          <cell r="P218">
            <v>46044</v>
          </cell>
          <cell r="Q218">
            <v>5</v>
          </cell>
          <cell r="R218" t="str">
            <v>NA</v>
          </cell>
          <cell r="S218">
            <v>5</v>
          </cell>
        </row>
        <row r="219">
          <cell r="B219" t="str">
            <v>EMMC</v>
          </cell>
          <cell r="C219" t="str">
            <v>HSLB11775</v>
          </cell>
          <cell r="D219">
            <v>112020</v>
          </cell>
          <cell r="E219" t="str">
            <v>Carro Compresero</v>
          </cell>
          <cell r="F219" t="str">
            <v>NO</v>
          </cell>
          <cell r="G219" t="str">
            <v>NO</v>
          </cell>
          <cell r="H219" t="str">
            <v>SALA PARTO INTEGRAL</v>
          </cell>
          <cell r="I219">
            <v>1</v>
          </cell>
          <cell r="J219" t="str">
            <v>C.3.6.3.6.3</v>
          </cell>
          <cell r="K219" t="str">
            <v>Parto integral</v>
          </cell>
          <cell r="L219">
            <v>3</v>
          </cell>
          <cell r="M219">
            <v>46042</v>
          </cell>
          <cell r="N219">
            <v>46043</v>
          </cell>
          <cell r="O219">
            <v>1</v>
          </cell>
          <cell r="P219">
            <v>46044</v>
          </cell>
          <cell r="Q219">
            <v>5</v>
          </cell>
          <cell r="R219" t="str">
            <v>NA</v>
          </cell>
          <cell r="S219">
            <v>5</v>
          </cell>
        </row>
        <row r="220">
          <cell r="B220" t="str">
            <v>EMMC</v>
          </cell>
          <cell r="C220" t="str">
            <v>HSLB11801</v>
          </cell>
          <cell r="D220">
            <v>112021</v>
          </cell>
          <cell r="E220" t="str">
            <v>Carro Curación</v>
          </cell>
          <cell r="F220" t="str">
            <v>NO</v>
          </cell>
          <cell r="G220" t="str">
            <v>NO</v>
          </cell>
          <cell r="H220" t="str">
            <v>ESTACIÓN DE ENFERMERÍA</v>
          </cell>
          <cell r="I220">
            <v>1</v>
          </cell>
          <cell r="J220" t="str">
            <v>C.3.7.12.1</v>
          </cell>
          <cell r="K220" t="str">
            <v>UTI</v>
          </cell>
          <cell r="L220">
            <v>3</v>
          </cell>
          <cell r="M220">
            <v>46042</v>
          </cell>
          <cell r="N220">
            <v>46043</v>
          </cell>
          <cell r="O220">
            <v>1</v>
          </cell>
          <cell r="P220">
            <v>46044</v>
          </cell>
          <cell r="Q220">
            <v>5</v>
          </cell>
          <cell r="R220" t="str">
            <v>NA</v>
          </cell>
          <cell r="S220">
            <v>5</v>
          </cell>
        </row>
        <row r="221">
          <cell r="B221" t="str">
            <v>EMMC</v>
          </cell>
          <cell r="C221" t="str">
            <v>HSLB11809</v>
          </cell>
          <cell r="D221">
            <v>112021</v>
          </cell>
          <cell r="E221" t="str">
            <v>Carro Curación</v>
          </cell>
          <cell r="F221" t="str">
            <v>NO</v>
          </cell>
          <cell r="G221" t="str">
            <v>NO</v>
          </cell>
          <cell r="H221" t="str">
            <v>ESTACIÓN DE ENFERMERÍA</v>
          </cell>
          <cell r="I221">
            <v>1</v>
          </cell>
          <cell r="J221" t="str">
            <v>C.5.6.3.18.1</v>
          </cell>
          <cell r="K221" t="str">
            <v>Pabellones</v>
          </cell>
          <cell r="L221">
            <v>3</v>
          </cell>
          <cell r="M221">
            <v>46039</v>
          </cell>
          <cell r="N221">
            <v>46041</v>
          </cell>
          <cell r="O221">
            <v>1</v>
          </cell>
          <cell r="P221">
            <v>46042</v>
          </cell>
          <cell r="Q221">
            <v>5</v>
          </cell>
          <cell r="R221" t="str">
            <v>NA</v>
          </cell>
          <cell r="S221">
            <v>5</v>
          </cell>
        </row>
        <row r="222">
          <cell r="B222" t="str">
            <v>EMMC</v>
          </cell>
          <cell r="C222" t="str">
            <v>HSLB11810</v>
          </cell>
          <cell r="D222">
            <v>112021</v>
          </cell>
          <cell r="E222" t="str">
            <v>Carro Curación</v>
          </cell>
          <cell r="F222" t="str">
            <v>NO</v>
          </cell>
          <cell r="G222" t="str">
            <v>NO</v>
          </cell>
          <cell r="H222" t="str">
            <v>ESTACIÓN DE ENFERMERÍA</v>
          </cell>
          <cell r="I222">
            <v>1</v>
          </cell>
          <cell r="J222" t="str">
            <v>C.5.6.3.18.2</v>
          </cell>
          <cell r="K222" t="str">
            <v>Pabellones</v>
          </cell>
          <cell r="L222">
            <v>3</v>
          </cell>
          <cell r="M222">
            <v>46039</v>
          </cell>
          <cell r="N222">
            <v>46041</v>
          </cell>
          <cell r="O222">
            <v>1</v>
          </cell>
          <cell r="P222">
            <v>46042</v>
          </cell>
          <cell r="Q222">
            <v>5</v>
          </cell>
          <cell r="R222" t="str">
            <v>NA</v>
          </cell>
          <cell r="S222">
            <v>5</v>
          </cell>
        </row>
        <row r="223">
          <cell r="B223" t="str">
            <v>EMMC</v>
          </cell>
          <cell r="C223" t="str">
            <v>HSLB11858</v>
          </cell>
          <cell r="D223">
            <v>112023</v>
          </cell>
          <cell r="E223" t="str">
            <v>Carro de Procedimientos</v>
          </cell>
          <cell r="F223" t="str">
            <v>NO</v>
          </cell>
          <cell r="G223" t="str">
            <v>NO</v>
          </cell>
          <cell r="H223" t="str">
            <v>SALA TRANSICIÓN NEONATAL</v>
          </cell>
          <cell r="I223">
            <v>1</v>
          </cell>
          <cell r="J223" t="str">
            <v>C.3.6.3.11</v>
          </cell>
          <cell r="K223" t="str">
            <v>Parto integral</v>
          </cell>
          <cell r="L223">
            <v>3</v>
          </cell>
          <cell r="M223">
            <v>46042</v>
          </cell>
          <cell r="N223">
            <v>46043</v>
          </cell>
          <cell r="O223">
            <v>1</v>
          </cell>
          <cell r="P223">
            <v>46044</v>
          </cell>
          <cell r="Q223">
            <v>5</v>
          </cell>
          <cell r="R223" t="str">
            <v>NA</v>
          </cell>
          <cell r="S223">
            <v>5</v>
          </cell>
        </row>
        <row r="224">
          <cell r="B224" t="str">
            <v>EMMC</v>
          </cell>
          <cell r="C224" t="str">
            <v>HSLB11859</v>
          </cell>
          <cell r="D224">
            <v>112023</v>
          </cell>
          <cell r="E224" t="str">
            <v>Carro de Procedimientos</v>
          </cell>
          <cell r="F224" t="str">
            <v>NO</v>
          </cell>
          <cell r="G224" t="str">
            <v>SI</v>
          </cell>
          <cell r="H224" t="str">
            <v>SALA MULTIUSO</v>
          </cell>
          <cell r="I224">
            <v>1</v>
          </cell>
          <cell r="J224" t="str">
            <v>C.3.6.3.5</v>
          </cell>
          <cell r="K224" t="str">
            <v>Parto integral</v>
          </cell>
          <cell r="L224">
            <v>3</v>
          </cell>
          <cell r="M224">
            <v>46003</v>
          </cell>
          <cell r="N224">
            <v>46006</v>
          </cell>
          <cell r="O224">
            <v>1</v>
          </cell>
          <cell r="P224">
            <v>46007</v>
          </cell>
          <cell r="Q224">
            <v>5</v>
          </cell>
          <cell r="R224" t="str">
            <v>NA</v>
          </cell>
          <cell r="S224">
            <v>5</v>
          </cell>
        </row>
        <row r="225">
          <cell r="B225" t="str">
            <v>EMMC</v>
          </cell>
          <cell r="C225" t="str">
            <v>HSLB11860</v>
          </cell>
          <cell r="D225">
            <v>112023</v>
          </cell>
          <cell r="E225" t="str">
            <v>Carro de Procedimientos</v>
          </cell>
          <cell r="F225" t="str">
            <v>NO</v>
          </cell>
          <cell r="G225" t="str">
            <v>NO</v>
          </cell>
          <cell r="H225" t="str">
            <v>SALA PARTO INTEGRAL</v>
          </cell>
          <cell r="I225">
            <v>1</v>
          </cell>
          <cell r="J225" t="str">
            <v>C.3.6.3.6.1</v>
          </cell>
          <cell r="K225" t="str">
            <v>Parto integral</v>
          </cell>
          <cell r="L225">
            <v>3</v>
          </cell>
          <cell r="M225">
            <v>46042</v>
          </cell>
          <cell r="N225">
            <v>46043</v>
          </cell>
          <cell r="O225">
            <v>1</v>
          </cell>
          <cell r="P225">
            <v>46044</v>
          </cell>
          <cell r="Q225">
            <v>5</v>
          </cell>
          <cell r="R225" t="str">
            <v>NA</v>
          </cell>
          <cell r="S225">
            <v>5</v>
          </cell>
        </row>
        <row r="226">
          <cell r="B226" t="str">
            <v>EMMC</v>
          </cell>
          <cell r="C226" t="str">
            <v>HSLB11861</v>
          </cell>
          <cell r="D226">
            <v>112023</v>
          </cell>
          <cell r="E226" t="str">
            <v>Carro de Procedimientos</v>
          </cell>
          <cell r="F226" t="str">
            <v>NO</v>
          </cell>
          <cell r="G226" t="str">
            <v>NO</v>
          </cell>
          <cell r="H226" t="str">
            <v>SALA PARTO INTEGRAL</v>
          </cell>
          <cell r="I226">
            <v>1</v>
          </cell>
          <cell r="J226" t="str">
            <v>C.3.6.3.6.2</v>
          </cell>
          <cell r="K226" t="str">
            <v>Parto integral</v>
          </cell>
          <cell r="L226">
            <v>3</v>
          </cell>
          <cell r="M226">
            <v>46042</v>
          </cell>
          <cell r="N226">
            <v>46043</v>
          </cell>
          <cell r="O226">
            <v>1</v>
          </cell>
          <cell r="P226">
            <v>46044</v>
          </cell>
          <cell r="Q226">
            <v>5</v>
          </cell>
          <cell r="R226" t="str">
            <v>NA</v>
          </cell>
          <cell r="S226">
            <v>5</v>
          </cell>
        </row>
        <row r="227">
          <cell r="B227" t="str">
            <v>EMMC</v>
          </cell>
          <cell r="C227" t="str">
            <v>HSLB11862</v>
          </cell>
          <cell r="D227">
            <v>112023</v>
          </cell>
          <cell r="E227" t="str">
            <v>Carro de Procedimientos</v>
          </cell>
          <cell r="F227" t="str">
            <v>NO</v>
          </cell>
          <cell r="G227" t="str">
            <v>NO</v>
          </cell>
          <cell r="H227" t="str">
            <v>SALA PARTO INTEGRAL</v>
          </cell>
          <cell r="I227">
            <v>1</v>
          </cell>
          <cell r="J227" t="str">
            <v>C.3.6.3.6.3</v>
          </cell>
          <cell r="K227" t="str">
            <v>Parto integral</v>
          </cell>
          <cell r="L227">
            <v>3</v>
          </cell>
          <cell r="M227">
            <v>46042</v>
          </cell>
          <cell r="N227">
            <v>46043</v>
          </cell>
          <cell r="O227">
            <v>1</v>
          </cell>
          <cell r="P227">
            <v>46044</v>
          </cell>
          <cell r="Q227">
            <v>5</v>
          </cell>
          <cell r="R227" t="str">
            <v>NA</v>
          </cell>
          <cell r="S227">
            <v>5</v>
          </cell>
        </row>
        <row r="228">
          <cell r="B228" t="str">
            <v>EMMC</v>
          </cell>
          <cell r="C228" t="str">
            <v>HSLB11863</v>
          </cell>
          <cell r="D228">
            <v>112023</v>
          </cell>
          <cell r="E228" t="str">
            <v>Carro de Procedimientos</v>
          </cell>
          <cell r="F228" t="str">
            <v>NO</v>
          </cell>
          <cell r="G228" t="str">
            <v>NO</v>
          </cell>
          <cell r="H228" t="str">
            <v>ESTACIÓN DE ENFERMERÍA</v>
          </cell>
          <cell r="I228">
            <v>1</v>
          </cell>
          <cell r="J228" t="str">
            <v>C.3.7.12.2</v>
          </cell>
          <cell r="K228" t="str">
            <v>UTI</v>
          </cell>
          <cell r="L228">
            <v>3</v>
          </cell>
          <cell r="M228">
            <v>46042</v>
          </cell>
          <cell r="N228">
            <v>46043</v>
          </cell>
          <cell r="O228">
            <v>1</v>
          </cell>
          <cell r="P228">
            <v>46044</v>
          </cell>
          <cell r="Q228">
            <v>5</v>
          </cell>
          <cell r="R228" t="str">
            <v>NA</v>
          </cell>
          <cell r="S228">
            <v>5</v>
          </cell>
        </row>
        <row r="229">
          <cell r="B229" t="str">
            <v>EMMC</v>
          </cell>
          <cell r="C229" t="str">
            <v>HSLB11864</v>
          </cell>
          <cell r="D229">
            <v>112023</v>
          </cell>
          <cell r="E229" t="str">
            <v>Carro de Procedimientos</v>
          </cell>
          <cell r="F229" t="str">
            <v>NO</v>
          </cell>
          <cell r="G229" t="str">
            <v>NO</v>
          </cell>
          <cell r="H229" t="str">
            <v>SALA DE PROCEDIMIENTOS</v>
          </cell>
          <cell r="I229">
            <v>1</v>
          </cell>
          <cell r="J229" t="str">
            <v>C.3.7.18</v>
          </cell>
          <cell r="K229" t="str">
            <v>UTI</v>
          </cell>
          <cell r="L229">
            <v>3</v>
          </cell>
          <cell r="M229">
            <v>46042</v>
          </cell>
          <cell r="N229">
            <v>46043</v>
          </cell>
          <cell r="O229">
            <v>1</v>
          </cell>
          <cell r="P229">
            <v>46044</v>
          </cell>
          <cell r="Q229">
            <v>5</v>
          </cell>
          <cell r="R229" t="str">
            <v>NA</v>
          </cell>
          <cell r="S229">
            <v>5</v>
          </cell>
        </row>
        <row r="230">
          <cell r="B230" t="str">
            <v>EMMC</v>
          </cell>
          <cell r="C230" t="str">
            <v>HSLB11871</v>
          </cell>
          <cell r="D230">
            <v>112023</v>
          </cell>
          <cell r="E230" t="str">
            <v>Carro de Procedimientos</v>
          </cell>
          <cell r="F230" t="str">
            <v>NO</v>
          </cell>
          <cell r="G230" t="str">
            <v>NO</v>
          </cell>
          <cell r="H230" t="str">
            <v>BOX INGRESO PREPARACIÓN DE PACIENTES</v>
          </cell>
          <cell r="I230">
            <v>1</v>
          </cell>
          <cell r="J230" t="str">
            <v>C.5.6.2.1</v>
          </cell>
          <cell r="K230" t="str">
            <v>Pabellones</v>
          </cell>
          <cell r="L230">
            <v>3</v>
          </cell>
          <cell r="M230">
            <v>46039</v>
          </cell>
          <cell r="N230">
            <v>46041</v>
          </cell>
          <cell r="O230">
            <v>1</v>
          </cell>
          <cell r="P230">
            <v>46042</v>
          </cell>
          <cell r="Q230">
            <v>5</v>
          </cell>
          <cell r="R230" t="str">
            <v>NA</v>
          </cell>
          <cell r="S230">
            <v>5</v>
          </cell>
        </row>
        <row r="231">
          <cell r="B231" t="str">
            <v>EMMC</v>
          </cell>
          <cell r="C231" t="str">
            <v>HSLB11872</v>
          </cell>
          <cell r="D231">
            <v>112023</v>
          </cell>
          <cell r="E231" t="str">
            <v>Carro de Procedimientos</v>
          </cell>
          <cell r="F231" t="str">
            <v>NO</v>
          </cell>
          <cell r="G231" t="str">
            <v>NO</v>
          </cell>
          <cell r="H231" t="str">
            <v>ESTACIÓN DE ENFERMERÍA</v>
          </cell>
          <cell r="I231">
            <v>1</v>
          </cell>
          <cell r="J231" t="str">
            <v>C.5.6.3.18.1</v>
          </cell>
          <cell r="K231" t="str">
            <v>Pabellones</v>
          </cell>
          <cell r="L231">
            <v>3</v>
          </cell>
          <cell r="M231">
            <v>46039</v>
          </cell>
          <cell r="N231">
            <v>46041</v>
          </cell>
          <cell r="O231">
            <v>1</v>
          </cell>
          <cell r="P231">
            <v>46042</v>
          </cell>
          <cell r="Q231">
            <v>5</v>
          </cell>
          <cell r="R231" t="str">
            <v>NA</v>
          </cell>
          <cell r="S231">
            <v>5</v>
          </cell>
        </row>
        <row r="232">
          <cell r="B232" t="str">
            <v>EMMC</v>
          </cell>
          <cell r="C232" t="str">
            <v>HSLB11877</v>
          </cell>
          <cell r="D232">
            <v>112024</v>
          </cell>
          <cell r="E232" t="str">
            <v>Carro Dosis Unitaria 1x12</v>
          </cell>
          <cell r="F232" t="str">
            <v>NO</v>
          </cell>
          <cell r="G232" t="str">
            <v>NO</v>
          </cell>
          <cell r="H232" t="str">
            <v>ESTACIÓN DE ENFERMERÍA</v>
          </cell>
          <cell r="I232">
            <v>1</v>
          </cell>
          <cell r="J232" t="str">
            <v>C.3.7.12.1</v>
          </cell>
          <cell r="K232" t="str">
            <v>UTI</v>
          </cell>
          <cell r="L232">
            <v>3</v>
          </cell>
          <cell r="M232">
            <v>46042</v>
          </cell>
          <cell r="N232">
            <v>46043</v>
          </cell>
          <cell r="O232">
            <v>1</v>
          </cell>
          <cell r="P232">
            <v>46044</v>
          </cell>
          <cell r="Q232">
            <v>5</v>
          </cell>
          <cell r="R232" t="str">
            <v>NA</v>
          </cell>
          <cell r="S232">
            <v>5</v>
          </cell>
        </row>
        <row r="233">
          <cell r="B233" t="str">
            <v>EMMC</v>
          </cell>
          <cell r="C233" t="str">
            <v>HSLB11895</v>
          </cell>
          <cell r="D233">
            <v>112032</v>
          </cell>
          <cell r="E233" t="str">
            <v>Carro Pabellonera</v>
          </cell>
          <cell r="F233" t="str">
            <v>NO</v>
          </cell>
          <cell r="G233" t="str">
            <v>NO</v>
          </cell>
          <cell r="H233" t="str">
            <v>PABELLON URGENCIAS</v>
          </cell>
          <cell r="I233">
            <v>1</v>
          </cell>
          <cell r="J233" t="str">
            <v>C.5.6.4.7</v>
          </cell>
          <cell r="K233" t="str">
            <v>Pabellones</v>
          </cell>
          <cell r="L233">
            <v>3</v>
          </cell>
          <cell r="M233">
            <v>46039</v>
          </cell>
          <cell r="N233">
            <v>46041</v>
          </cell>
          <cell r="O233">
            <v>1</v>
          </cell>
          <cell r="P233">
            <v>46042</v>
          </cell>
          <cell r="Q233">
            <v>5</v>
          </cell>
          <cell r="R233" t="str">
            <v>NA</v>
          </cell>
          <cell r="S233">
            <v>5</v>
          </cell>
        </row>
        <row r="234">
          <cell r="B234" t="str">
            <v>EMMC</v>
          </cell>
          <cell r="C234" t="str">
            <v>HSLB11890</v>
          </cell>
          <cell r="D234">
            <v>112032</v>
          </cell>
          <cell r="E234" t="str">
            <v>Carro Pabellonera</v>
          </cell>
          <cell r="F234" t="str">
            <v>NO</v>
          </cell>
          <cell r="G234" t="str">
            <v>NO</v>
          </cell>
          <cell r="H234" t="str">
            <v>PABELLON CIRUGIA MAYOR ELECTIVA</v>
          </cell>
          <cell r="I234">
            <v>1</v>
          </cell>
          <cell r="J234" t="str">
            <v>C.5.6.4.5.1</v>
          </cell>
          <cell r="K234" t="str">
            <v>Pabellones</v>
          </cell>
          <cell r="L234">
            <v>3</v>
          </cell>
          <cell r="M234">
            <v>46039</v>
          </cell>
          <cell r="N234">
            <v>46041</v>
          </cell>
          <cell r="O234">
            <v>1</v>
          </cell>
          <cell r="P234">
            <v>46042</v>
          </cell>
          <cell r="Q234">
            <v>5</v>
          </cell>
          <cell r="R234" t="str">
            <v>NA</v>
          </cell>
          <cell r="S234">
            <v>5</v>
          </cell>
        </row>
        <row r="235">
          <cell r="B235" t="str">
            <v>EMMC</v>
          </cell>
          <cell r="C235" t="str">
            <v>HSLB11891</v>
          </cell>
          <cell r="D235">
            <v>112032</v>
          </cell>
          <cell r="E235" t="str">
            <v>Carro Pabellonera</v>
          </cell>
          <cell r="F235" t="str">
            <v>NO</v>
          </cell>
          <cell r="G235" t="str">
            <v>NO</v>
          </cell>
          <cell r="H235" t="str">
            <v>PABELLON CIRUGIA MAYOR ELECTIVA</v>
          </cell>
          <cell r="I235">
            <v>1</v>
          </cell>
          <cell r="J235" t="str">
            <v>C.5.6.4.5.2</v>
          </cell>
          <cell r="K235" t="str">
            <v>Pabellones</v>
          </cell>
          <cell r="L235">
            <v>3</v>
          </cell>
          <cell r="M235">
            <v>46039</v>
          </cell>
          <cell r="N235">
            <v>46041</v>
          </cell>
          <cell r="O235">
            <v>1</v>
          </cell>
          <cell r="P235">
            <v>46042</v>
          </cell>
          <cell r="Q235">
            <v>5</v>
          </cell>
          <cell r="R235" t="str">
            <v>NA</v>
          </cell>
          <cell r="S235">
            <v>5</v>
          </cell>
        </row>
        <row r="236">
          <cell r="B236" t="str">
            <v>EMMC</v>
          </cell>
          <cell r="C236" t="str">
            <v>HSLB11892</v>
          </cell>
          <cell r="D236">
            <v>112032</v>
          </cell>
          <cell r="E236" t="str">
            <v>Carro Pabellonera</v>
          </cell>
          <cell r="F236" t="str">
            <v>NO</v>
          </cell>
          <cell r="G236" t="str">
            <v>NO</v>
          </cell>
          <cell r="H236" t="str">
            <v>PABELLON CIRUGIA MAYOR ELECTIVA</v>
          </cell>
          <cell r="I236">
            <v>1</v>
          </cell>
          <cell r="J236" t="str">
            <v>C.5.6.4.5.3</v>
          </cell>
          <cell r="K236" t="str">
            <v>Pabellones</v>
          </cell>
          <cell r="L236">
            <v>3</v>
          </cell>
          <cell r="M236">
            <v>46039</v>
          </cell>
          <cell r="N236">
            <v>46041</v>
          </cell>
          <cell r="O236">
            <v>1</v>
          </cell>
          <cell r="P236">
            <v>46042</v>
          </cell>
          <cell r="Q236">
            <v>5</v>
          </cell>
          <cell r="R236" t="str">
            <v>NA</v>
          </cell>
          <cell r="S236">
            <v>5</v>
          </cell>
        </row>
        <row r="237">
          <cell r="B237" t="str">
            <v>EMMC</v>
          </cell>
          <cell r="C237" t="str">
            <v>HSLB11893</v>
          </cell>
          <cell r="D237">
            <v>112032</v>
          </cell>
          <cell r="E237" t="str">
            <v>Carro Pabellonera</v>
          </cell>
          <cell r="F237" t="str">
            <v>NO</v>
          </cell>
          <cell r="G237" t="str">
            <v>NO</v>
          </cell>
          <cell r="H237" t="str">
            <v>PABELLON CIRUGIA MAYOR AMBULATORIA</v>
          </cell>
          <cell r="I237">
            <v>1</v>
          </cell>
          <cell r="J237" t="str">
            <v>C.5.6.4.6.1</v>
          </cell>
          <cell r="K237" t="str">
            <v>Pabellones</v>
          </cell>
          <cell r="L237">
            <v>3</v>
          </cell>
          <cell r="M237">
            <v>46039</v>
          </cell>
          <cell r="N237">
            <v>46041</v>
          </cell>
          <cell r="O237">
            <v>1</v>
          </cell>
          <cell r="P237">
            <v>46042</v>
          </cell>
          <cell r="Q237">
            <v>5</v>
          </cell>
          <cell r="R237" t="str">
            <v>NA</v>
          </cell>
          <cell r="S237">
            <v>5</v>
          </cell>
        </row>
        <row r="238">
          <cell r="B238" t="str">
            <v>EMMC</v>
          </cell>
          <cell r="C238" t="str">
            <v>HSLB11894</v>
          </cell>
          <cell r="D238">
            <v>112032</v>
          </cell>
          <cell r="E238" t="str">
            <v>Carro Pabellonera</v>
          </cell>
          <cell r="F238" t="str">
            <v>NO</v>
          </cell>
          <cell r="G238" t="str">
            <v>NO</v>
          </cell>
          <cell r="H238" t="str">
            <v>PABELLON CIRUGIA MAYOR AMBULATORIA</v>
          </cell>
          <cell r="I238">
            <v>1</v>
          </cell>
          <cell r="J238" t="str">
            <v>C.5.6.4.6.2</v>
          </cell>
          <cell r="K238" t="str">
            <v>Pabellones</v>
          </cell>
          <cell r="L238">
            <v>3</v>
          </cell>
          <cell r="M238">
            <v>46039</v>
          </cell>
          <cell r="N238">
            <v>46041</v>
          </cell>
          <cell r="O238">
            <v>1</v>
          </cell>
          <cell r="P238">
            <v>46042</v>
          </cell>
          <cell r="Q238">
            <v>5</v>
          </cell>
          <cell r="R238" t="str">
            <v>NA</v>
          </cell>
          <cell r="S238">
            <v>5</v>
          </cell>
        </row>
        <row r="239">
          <cell r="B239" t="str">
            <v>EMMC</v>
          </cell>
          <cell r="C239" t="str">
            <v>HSLB11905</v>
          </cell>
          <cell r="D239">
            <v>112037</v>
          </cell>
          <cell r="E239" t="str">
            <v>Carro Transporte Material Sucio</v>
          </cell>
          <cell r="F239" t="str">
            <v>NO</v>
          </cell>
          <cell r="G239" t="str">
            <v>NO</v>
          </cell>
          <cell r="H239" t="str">
            <v>AREA RECUENTO INSTRUMENTAL SUCIO</v>
          </cell>
          <cell r="I239">
            <v>1</v>
          </cell>
          <cell r="J239" t="str">
            <v>C.5.6.5.2</v>
          </cell>
          <cell r="K239" t="str">
            <v>Pabellones</v>
          </cell>
          <cell r="L239">
            <v>3</v>
          </cell>
          <cell r="M239">
            <v>46039</v>
          </cell>
          <cell r="N239">
            <v>46041</v>
          </cell>
          <cell r="O239">
            <v>1</v>
          </cell>
          <cell r="P239">
            <v>46042</v>
          </cell>
          <cell r="Q239">
            <v>5</v>
          </cell>
          <cell r="R239" t="str">
            <v>NA</v>
          </cell>
          <cell r="S239">
            <v>5</v>
          </cell>
        </row>
        <row r="240">
          <cell r="B240" t="str">
            <v>EMMC</v>
          </cell>
          <cell r="C240" t="str">
            <v>HSLB11920</v>
          </cell>
          <cell r="D240">
            <v>112039</v>
          </cell>
          <cell r="E240" t="str">
            <v>Carro Transporte Ropa Sucia Tipo I</v>
          </cell>
          <cell r="F240" t="str">
            <v>NO</v>
          </cell>
          <cell r="G240" t="str">
            <v>NO</v>
          </cell>
          <cell r="H240" t="str">
            <v>BODEGA ROPA SUCIA</v>
          </cell>
          <cell r="I240">
            <v>1</v>
          </cell>
          <cell r="J240" t="str">
            <v>C.3.7.22</v>
          </cell>
          <cell r="K240" t="str">
            <v>UTI</v>
          </cell>
          <cell r="L240">
            <v>3</v>
          </cell>
          <cell r="M240">
            <v>46042</v>
          </cell>
          <cell r="N240">
            <v>46043</v>
          </cell>
          <cell r="O240">
            <v>1</v>
          </cell>
          <cell r="P240">
            <v>46044</v>
          </cell>
          <cell r="Q240">
            <v>5</v>
          </cell>
          <cell r="R240" t="str">
            <v>NA</v>
          </cell>
          <cell r="S240">
            <v>5</v>
          </cell>
        </row>
        <row r="241">
          <cell r="B241" t="str">
            <v>EMMC</v>
          </cell>
          <cell r="C241" t="str">
            <v>HSLB10312</v>
          </cell>
          <cell r="D241">
            <v>103017</v>
          </cell>
          <cell r="E241" t="str">
            <v>Carro Utilitario</v>
          </cell>
          <cell r="F241" t="str">
            <v>NO</v>
          </cell>
          <cell r="G241" t="str">
            <v>NO</v>
          </cell>
          <cell r="H241" t="str">
            <v>SALA PARTO INTEGRAL</v>
          </cell>
          <cell r="I241">
            <v>1</v>
          </cell>
          <cell r="J241" t="str">
            <v>C.3.6.3.6.1</v>
          </cell>
          <cell r="K241" t="str">
            <v>Parto integral</v>
          </cell>
          <cell r="L241">
            <v>3</v>
          </cell>
          <cell r="M241">
            <v>46042</v>
          </cell>
          <cell r="N241">
            <v>46043</v>
          </cell>
          <cell r="O241">
            <v>1</v>
          </cell>
          <cell r="P241">
            <v>46044</v>
          </cell>
          <cell r="Q241">
            <v>5</v>
          </cell>
          <cell r="R241" t="str">
            <v>NA</v>
          </cell>
          <cell r="S241">
            <v>5</v>
          </cell>
        </row>
        <row r="242">
          <cell r="B242" t="str">
            <v>EMMC</v>
          </cell>
          <cell r="C242" t="str">
            <v>HSLB10313</v>
          </cell>
          <cell r="D242">
            <v>103017</v>
          </cell>
          <cell r="E242" t="str">
            <v>Carro Utilitario</v>
          </cell>
          <cell r="F242" t="str">
            <v>NO</v>
          </cell>
          <cell r="G242" t="str">
            <v>NO</v>
          </cell>
          <cell r="H242" t="str">
            <v>SALA PARTO INTEGRAL</v>
          </cell>
          <cell r="I242">
            <v>1</v>
          </cell>
          <cell r="J242" t="str">
            <v>C.3.6.3.6.2</v>
          </cell>
          <cell r="K242" t="str">
            <v>Parto integral</v>
          </cell>
          <cell r="L242">
            <v>3</v>
          </cell>
          <cell r="M242">
            <v>46042</v>
          </cell>
          <cell r="N242">
            <v>46043</v>
          </cell>
          <cell r="O242">
            <v>1</v>
          </cell>
          <cell r="P242">
            <v>46044</v>
          </cell>
          <cell r="Q242">
            <v>5</v>
          </cell>
          <cell r="R242" t="str">
            <v>NA</v>
          </cell>
          <cell r="S242">
            <v>5</v>
          </cell>
        </row>
        <row r="243">
          <cell r="B243" t="str">
            <v>EMMC</v>
          </cell>
          <cell r="C243" t="str">
            <v>HSLB10314</v>
          </cell>
          <cell r="D243">
            <v>103017</v>
          </cell>
          <cell r="E243" t="str">
            <v>Carro Utilitario</v>
          </cell>
          <cell r="F243" t="str">
            <v>NO</v>
          </cell>
          <cell r="G243" t="str">
            <v>NO</v>
          </cell>
          <cell r="H243" t="str">
            <v>SALA PARTO INTEGRAL</v>
          </cell>
          <cell r="I243">
            <v>1</v>
          </cell>
          <cell r="J243" t="str">
            <v>C.3.6.3.6.3</v>
          </cell>
          <cell r="K243" t="str">
            <v>Parto integral</v>
          </cell>
          <cell r="L243">
            <v>3</v>
          </cell>
          <cell r="M243">
            <v>46042</v>
          </cell>
          <cell r="N243">
            <v>46043</v>
          </cell>
          <cell r="O243">
            <v>1</v>
          </cell>
          <cell r="P243">
            <v>46044</v>
          </cell>
          <cell r="Q243">
            <v>5</v>
          </cell>
          <cell r="R243" t="str">
            <v>NA</v>
          </cell>
          <cell r="S243">
            <v>5</v>
          </cell>
        </row>
        <row r="244">
          <cell r="B244" t="str">
            <v>EMMC</v>
          </cell>
          <cell r="C244" t="str">
            <v>HSLB11080</v>
          </cell>
          <cell r="D244">
            <v>106021</v>
          </cell>
          <cell r="E244" t="str">
            <v>Telón</v>
          </cell>
          <cell r="F244" t="str">
            <v>NO</v>
          </cell>
          <cell r="G244" t="str">
            <v>NO</v>
          </cell>
          <cell r="H244" t="str">
            <v>SALA DE REUNIONES (25pp)</v>
          </cell>
          <cell r="I244">
            <v>1</v>
          </cell>
          <cell r="J244" t="str">
            <v>B.5.1</v>
          </cell>
          <cell r="K244" t="str">
            <v>Contabilidad</v>
          </cell>
          <cell r="L244">
            <v>3</v>
          </cell>
          <cell r="M244">
            <v>46042</v>
          </cell>
          <cell r="N244">
            <v>46043</v>
          </cell>
          <cell r="O244">
            <v>1</v>
          </cell>
          <cell r="P244">
            <v>46044</v>
          </cell>
          <cell r="Q244">
            <v>5</v>
          </cell>
          <cell r="R244" t="str">
            <v>NA</v>
          </cell>
          <cell r="S244">
            <v>5</v>
          </cell>
        </row>
        <row r="245">
          <cell r="B245" t="str">
            <v>EMMC</v>
          </cell>
          <cell r="C245" t="str">
            <v>HSLB11104</v>
          </cell>
          <cell r="D245">
            <v>106021</v>
          </cell>
          <cell r="E245" t="str">
            <v>Telón</v>
          </cell>
          <cell r="F245" t="str">
            <v>NO</v>
          </cell>
          <cell r="G245" t="str">
            <v>NO</v>
          </cell>
          <cell r="H245" t="str">
            <v>SALA DE REUNIONES (20 pp)</v>
          </cell>
          <cell r="I245">
            <v>1</v>
          </cell>
          <cell r="J245" t="str">
            <v>D.2.5.1</v>
          </cell>
          <cell r="K245" t="str">
            <v>Auditorio</v>
          </cell>
          <cell r="L245">
            <v>3</v>
          </cell>
          <cell r="M245">
            <v>46042</v>
          </cell>
          <cell r="N245">
            <v>46043</v>
          </cell>
          <cell r="O245">
            <v>1</v>
          </cell>
          <cell r="P245">
            <v>46044</v>
          </cell>
          <cell r="Q245">
            <v>5</v>
          </cell>
          <cell r="R245" t="str">
            <v>NA</v>
          </cell>
          <cell r="S245">
            <v>5</v>
          </cell>
        </row>
        <row r="246">
          <cell r="B246" t="str">
            <v>EMMC</v>
          </cell>
          <cell r="C246" t="str">
            <v>HSLB11107</v>
          </cell>
          <cell r="D246">
            <v>106021</v>
          </cell>
          <cell r="E246" t="str">
            <v>Telón</v>
          </cell>
          <cell r="F246" t="str">
            <v>NO</v>
          </cell>
          <cell r="G246" t="str">
            <v>NO</v>
          </cell>
          <cell r="H246" t="str">
            <v>SALA DE CAPACITACIÓN PERSONALIZADA</v>
          </cell>
          <cell r="I246">
            <v>1</v>
          </cell>
          <cell r="J246" t="str">
            <v>D.4.5.3</v>
          </cell>
          <cell r="K246" t="str">
            <v>Capacitación</v>
          </cell>
          <cell r="L246">
            <v>3</v>
          </cell>
          <cell r="M246">
            <v>46042</v>
          </cell>
          <cell r="N246">
            <v>46043</v>
          </cell>
          <cell r="O246">
            <v>1</v>
          </cell>
          <cell r="P246">
            <v>46044</v>
          </cell>
          <cell r="Q246">
            <v>5</v>
          </cell>
          <cell r="R246" t="str">
            <v>NA</v>
          </cell>
          <cell r="S246">
            <v>5</v>
          </cell>
        </row>
        <row r="247">
          <cell r="B247" t="str">
            <v>EMMC</v>
          </cell>
          <cell r="C247" t="str">
            <v>HSLB11108</v>
          </cell>
          <cell r="D247">
            <v>106021</v>
          </cell>
          <cell r="E247" t="str">
            <v>Telón</v>
          </cell>
          <cell r="F247" t="str">
            <v>NO</v>
          </cell>
          <cell r="G247" t="str">
            <v>NO</v>
          </cell>
          <cell r="H247" t="str">
            <v>SALA DE CAPACITACIÓN MASIVA</v>
          </cell>
          <cell r="I247">
            <v>1</v>
          </cell>
          <cell r="J247" t="str">
            <v>D.4.5.4</v>
          </cell>
          <cell r="K247" t="str">
            <v>Capacitación</v>
          </cell>
          <cell r="L247">
            <v>3</v>
          </cell>
          <cell r="M247">
            <v>46042</v>
          </cell>
          <cell r="N247">
            <v>46043</v>
          </cell>
          <cell r="O247">
            <v>1</v>
          </cell>
          <cell r="P247">
            <v>46044</v>
          </cell>
          <cell r="Q247">
            <v>5</v>
          </cell>
          <cell r="R247" t="str">
            <v>NA</v>
          </cell>
          <cell r="S247">
            <v>5</v>
          </cell>
        </row>
        <row r="248">
          <cell r="B248" t="str">
            <v>EMMC</v>
          </cell>
          <cell r="C248" t="str">
            <v>HSLB11109</v>
          </cell>
          <cell r="D248">
            <v>106021</v>
          </cell>
          <cell r="E248" t="str">
            <v>Telón</v>
          </cell>
          <cell r="F248" t="str">
            <v>NO</v>
          </cell>
          <cell r="G248" t="str">
            <v>NO</v>
          </cell>
          <cell r="H248" t="str">
            <v>SALA DE REUNIONES</v>
          </cell>
          <cell r="I248">
            <v>1</v>
          </cell>
          <cell r="J248" t="str">
            <v>D.4.6.1</v>
          </cell>
          <cell r="K248" t="str">
            <v>Capacitación</v>
          </cell>
          <cell r="L248">
            <v>3</v>
          </cell>
          <cell r="M248">
            <v>46042</v>
          </cell>
          <cell r="N248">
            <v>46043</v>
          </cell>
          <cell r="O248">
            <v>1</v>
          </cell>
          <cell r="P248">
            <v>46044</v>
          </cell>
          <cell r="Q248">
            <v>5</v>
          </cell>
          <cell r="R248" t="str">
            <v>NA</v>
          </cell>
          <cell r="S248">
            <v>5</v>
          </cell>
        </row>
        <row r="249">
          <cell r="B249" t="str">
            <v>EMMC</v>
          </cell>
          <cell r="C249" t="str">
            <v>HSLB11111</v>
          </cell>
          <cell r="D249">
            <v>106021</v>
          </cell>
          <cell r="E249" t="str">
            <v>Telón</v>
          </cell>
          <cell r="F249" t="str">
            <v>NO</v>
          </cell>
          <cell r="G249" t="str">
            <v>NO</v>
          </cell>
          <cell r="H249" t="str">
            <v>AUDITORIO</v>
          </cell>
          <cell r="I249">
            <v>1</v>
          </cell>
          <cell r="J249" t="str">
            <v>E.1.3</v>
          </cell>
          <cell r="K249" t="str">
            <v>Auditorio</v>
          </cell>
          <cell r="L249">
            <v>3</v>
          </cell>
          <cell r="M249">
            <v>46042</v>
          </cell>
          <cell r="N249">
            <v>46043</v>
          </cell>
          <cell r="O249">
            <v>1</v>
          </cell>
          <cell r="P249">
            <v>46044</v>
          </cell>
          <cell r="Q249">
            <v>5</v>
          </cell>
          <cell r="R249" t="str">
            <v>NA</v>
          </cell>
          <cell r="S249">
            <v>5</v>
          </cell>
        </row>
        <row r="250">
          <cell r="B250" t="str">
            <v>EMMC</v>
          </cell>
          <cell r="C250" t="str">
            <v>HSLB10489</v>
          </cell>
          <cell r="D250">
            <v>104003</v>
          </cell>
          <cell r="E250" t="str">
            <v>Cama de Parto Integral</v>
          </cell>
          <cell r="F250" t="str">
            <v>NO</v>
          </cell>
          <cell r="G250" t="str">
            <v>NO</v>
          </cell>
          <cell r="H250" t="str">
            <v>SALA PARTO INTEGRAL</v>
          </cell>
          <cell r="I250">
            <v>1</v>
          </cell>
          <cell r="J250" t="str">
            <v>C.3.6.3.6.1</v>
          </cell>
          <cell r="K250" t="str">
            <v>Parto integral</v>
          </cell>
          <cell r="L250">
            <v>3</v>
          </cell>
          <cell r="M250">
            <v>46042</v>
          </cell>
          <cell r="N250">
            <v>46043</v>
          </cell>
          <cell r="O250">
            <v>1</v>
          </cell>
          <cell r="P250">
            <v>46044</v>
          </cell>
          <cell r="Q250">
            <v>5</v>
          </cell>
          <cell r="R250" t="str">
            <v>NA</v>
          </cell>
          <cell r="S250">
            <v>5</v>
          </cell>
        </row>
        <row r="251">
          <cell r="B251" t="str">
            <v>EMMC</v>
          </cell>
          <cell r="C251" t="str">
            <v>HSLB10490</v>
          </cell>
          <cell r="D251">
            <v>104003</v>
          </cell>
          <cell r="E251" t="str">
            <v>Cama de Parto Integral</v>
          </cell>
          <cell r="F251" t="str">
            <v>NO</v>
          </cell>
          <cell r="G251" t="str">
            <v>NO</v>
          </cell>
          <cell r="H251" t="str">
            <v>SALA PARTO INTEGRAL</v>
          </cell>
          <cell r="I251">
            <v>1</v>
          </cell>
          <cell r="J251" t="str">
            <v>C.3.6.3.6.2</v>
          </cell>
          <cell r="K251" t="str">
            <v>Parto integral</v>
          </cell>
          <cell r="L251">
            <v>3</v>
          </cell>
          <cell r="M251">
            <v>46042</v>
          </cell>
          <cell r="N251">
            <v>46043</v>
          </cell>
          <cell r="O251">
            <v>1</v>
          </cell>
          <cell r="P251">
            <v>46044</v>
          </cell>
          <cell r="Q251">
            <v>5</v>
          </cell>
          <cell r="R251" t="str">
            <v>NA</v>
          </cell>
          <cell r="S251">
            <v>5</v>
          </cell>
        </row>
        <row r="252">
          <cell r="B252" t="str">
            <v>EMMC</v>
          </cell>
          <cell r="C252" t="str">
            <v>HSLB10491</v>
          </cell>
          <cell r="D252">
            <v>104003</v>
          </cell>
          <cell r="E252" t="str">
            <v>Cama de Parto Integral</v>
          </cell>
          <cell r="F252" t="str">
            <v>NO</v>
          </cell>
          <cell r="G252" t="str">
            <v>NO</v>
          </cell>
          <cell r="H252" t="str">
            <v>SALA PARTO INTEGRAL</v>
          </cell>
          <cell r="I252">
            <v>1</v>
          </cell>
          <cell r="J252" t="str">
            <v>C.3.6.3.6.3</v>
          </cell>
          <cell r="K252" t="str">
            <v>Parto integral</v>
          </cell>
          <cell r="L252">
            <v>3</v>
          </cell>
          <cell r="M252">
            <v>46042</v>
          </cell>
          <cell r="N252">
            <v>46043</v>
          </cell>
          <cell r="O252">
            <v>1</v>
          </cell>
          <cell r="P252">
            <v>46044</v>
          </cell>
          <cell r="Q252">
            <v>5</v>
          </cell>
          <cell r="R252" t="str">
            <v>NA</v>
          </cell>
          <cell r="S252">
            <v>5</v>
          </cell>
        </row>
        <row r="253">
          <cell r="B253" t="str">
            <v>EMMC</v>
          </cell>
          <cell r="C253" t="str">
            <v>HSLB11826</v>
          </cell>
          <cell r="D253">
            <v>112022</v>
          </cell>
          <cell r="E253" t="str">
            <v>Carro de Paro</v>
          </cell>
          <cell r="F253" t="str">
            <v>NO</v>
          </cell>
          <cell r="G253" t="str">
            <v>NO</v>
          </cell>
          <cell r="H253" t="str">
            <v>ESTACIÓN DE ENFERMERÍA</v>
          </cell>
          <cell r="I253">
            <v>1</v>
          </cell>
          <cell r="J253" t="str">
            <v>C.3.6.3.7</v>
          </cell>
          <cell r="K253" t="str">
            <v>Parto integral</v>
          </cell>
          <cell r="L253">
            <v>3</v>
          </cell>
          <cell r="M253">
            <v>46042</v>
          </cell>
          <cell r="N253">
            <v>46043</v>
          </cell>
          <cell r="O253">
            <v>1</v>
          </cell>
          <cell r="P253">
            <v>46044</v>
          </cell>
          <cell r="Q253">
            <v>5</v>
          </cell>
          <cell r="R253" t="str">
            <v>NA</v>
          </cell>
          <cell r="S253">
            <v>5</v>
          </cell>
        </row>
        <row r="254">
          <cell r="B254" t="str">
            <v>EMMC</v>
          </cell>
          <cell r="C254" t="str">
            <v>HSLB10659</v>
          </cell>
          <cell r="D254">
            <v>105007</v>
          </cell>
          <cell r="E254" t="str">
            <v>Cuna de Procedimientos Básica</v>
          </cell>
          <cell r="F254" t="str">
            <v>NO</v>
          </cell>
          <cell r="G254" t="str">
            <v>NO</v>
          </cell>
          <cell r="H254" t="str">
            <v>SALA TRANSICIÓN NEONATAL</v>
          </cell>
          <cell r="I254">
            <v>1</v>
          </cell>
          <cell r="J254" t="str">
            <v>C.3.6.3.11</v>
          </cell>
          <cell r="K254" t="str">
            <v>Parto integral</v>
          </cell>
          <cell r="L254">
            <v>3</v>
          </cell>
          <cell r="M254">
            <v>46042</v>
          </cell>
          <cell r="N254">
            <v>46043</v>
          </cell>
          <cell r="O254">
            <v>1</v>
          </cell>
          <cell r="P254">
            <v>46044</v>
          </cell>
          <cell r="Q254">
            <v>5</v>
          </cell>
          <cell r="R254" t="str">
            <v>NA</v>
          </cell>
          <cell r="S254">
            <v>5</v>
          </cell>
        </row>
        <row r="255">
          <cell r="B255" t="str">
            <v>EMMC</v>
          </cell>
          <cell r="C255" t="str">
            <v>HSLB10660</v>
          </cell>
          <cell r="D255">
            <v>105007</v>
          </cell>
          <cell r="E255" t="str">
            <v>Cuna de Procedimientos Básica</v>
          </cell>
          <cell r="F255" t="str">
            <v>NO</v>
          </cell>
          <cell r="G255" t="str">
            <v>NO</v>
          </cell>
          <cell r="H255" t="str">
            <v>SALA PARTO INTEGRAL</v>
          </cell>
          <cell r="I255">
            <v>1</v>
          </cell>
          <cell r="J255" t="str">
            <v>C.3.6.3.6.1</v>
          </cell>
          <cell r="K255" t="str">
            <v>Parto integral</v>
          </cell>
          <cell r="L255">
            <v>3</v>
          </cell>
          <cell r="M255">
            <v>46042</v>
          </cell>
          <cell r="N255">
            <v>46043</v>
          </cell>
          <cell r="O255">
            <v>1</v>
          </cell>
          <cell r="P255">
            <v>46044</v>
          </cell>
          <cell r="Q255">
            <v>5</v>
          </cell>
          <cell r="R255" t="str">
            <v>NA</v>
          </cell>
          <cell r="S255">
            <v>5</v>
          </cell>
        </row>
        <row r="256">
          <cell r="B256" t="str">
            <v>EMMC</v>
          </cell>
          <cell r="C256" t="str">
            <v>HSLB10661</v>
          </cell>
          <cell r="D256">
            <v>105007</v>
          </cell>
          <cell r="E256" t="str">
            <v>Cuna de Procedimientos Básica</v>
          </cell>
          <cell r="F256" t="str">
            <v>NO</v>
          </cell>
          <cell r="G256" t="str">
            <v>NO</v>
          </cell>
          <cell r="H256" t="str">
            <v>SALA PARTO INTEGRAL</v>
          </cell>
          <cell r="I256">
            <v>1</v>
          </cell>
          <cell r="J256" t="str">
            <v>C.3.6.3.6.2</v>
          </cell>
          <cell r="K256" t="str">
            <v>Parto integral</v>
          </cell>
          <cell r="L256">
            <v>3</v>
          </cell>
          <cell r="M256">
            <v>46042</v>
          </cell>
          <cell r="N256">
            <v>46043</v>
          </cell>
          <cell r="O256">
            <v>1</v>
          </cell>
          <cell r="P256">
            <v>46044</v>
          </cell>
          <cell r="Q256">
            <v>5</v>
          </cell>
          <cell r="R256" t="str">
            <v>NA</v>
          </cell>
          <cell r="S256">
            <v>5</v>
          </cell>
        </row>
        <row r="257">
          <cell r="B257" t="str">
            <v>EMMC</v>
          </cell>
          <cell r="C257" t="str">
            <v>HSLB10662</v>
          </cell>
          <cell r="D257">
            <v>105007</v>
          </cell>
          <cell r="E257" t="str">
            <v>Cuna de Procedimientos Básica</v>
          </cell>
          <cell r="F257" t="str">
            <v>NO</v>
          </cell>
          <cell r="G257" t="str">
            <v>NO</v>
          </cell>
          <cell r="H257" t="str">
            <v>SALA PARTO INTEGRAL</v>
          </cell>
          <cell r="I257">
            <v>1</v>
          </cell>
          <cell r="J257" t="str">
            <v>C.3.6.3.6.3</v>
          </cell>
          <cell r="K257" t="str">
            <v>Parto integral</v>
          </cell>
          <cell r="L257">
            <v>3</v>
          </cell>
          <cell r="M257">
            <v>46042</v>
          </cell>
          <cell r="N257">
            <v>46043</v>
          </cell>
          <cell r="O257">
            <v>1</v>
          </cell>
          <cell r="P257">
            <v>46044</v>
          </cell>
          <cell r="Q257">
            <v>5</v>
          </cell>
          <cell r="R257" t="str">
            <v>NA</v>
          </cell>
          <cell r="S257">
            <v>5</v>
          </cell>
        </row>
        <row r="258">
          <cell r="B258" t="str">
            <v>EMMC</v>
          </cell>
          <cell r="C258" t="str">
            <v>HSLB10079</v>
          </cell>
          <cell r="D258">
            <v>101023</v>
          </cell>
          <cell r="E258" t="str">
            <v>DETECTOR DE LATIDOS CARDIOFETALES</v>
          </cell>
          <cell r="F258" t="str">
            <v>NO</v>
          </cell>
          <cell r="G258" t="str">
            <v>SI</v>
          </cell>
          <cell r="H258" t="str">
            <v>SALA MULTIUSO</v>
          </cell>
          <cell r="I258">
            <v>1</v>
          </cell>
          <cell r="J258" t="str">
            <v>C.3.6.3.5</v>
          </cell>
          <cell r="K258" t="str">
            <v>Parto integral</v>
          </cell>
          <cell r="L258">
            <v>3</v>
          </cell>
          <cell r="M258">
            <v>46003</v>
          </cell>
          <cell r="N258">
            <v>46006</v>
          </cell>
          <cell r="O258">
            <v>1</v>
          </cell>
          <cell r="P258">
            <v>46007</v>
          </cell>
          <cell r="Q258">
            <v>5</v>
          </cell>
          <cell r="R258" t="str">
            <v>NA</v>
          </cell>
          <cell r="S258">
            <v>5</v>
          </cell>
        </row>
        <row r="259">
          <cell r="B259" t="str">
            <v>EMMC</v>
          </cell>
          <cell r="C259" t="str">
            <v>HSLB10080</v>
          </cell>
          <cell r="D259">
            <v>101023</v>
          </cell>
          <cell r="E259" t="str">
            <v>DETECTOR DE LATIDOS CARDIOFETALES</v>
          </cell>
          <cell r="F259" t="str">
            <v>NO</v>
          </cell>
          <cell r="G259" t="str">
            <v>NO</v>
          </cell>
          <cell r="H259" t="str">
            <v>SALA PARTO INTEGRAL</v>
          </cell>
          <cell r="I259">
            <v>1</v>
          </cell>
          <cell r="J259" t="str">
            <v>C.3.6.3.6.1</v>
          </cell>
          <cell r="K259" t="str">
            <v>Parto integral</v>
          </cell>
          <cell r="L259">
            <v>3</v>
          </cell>
          <cell r="M259">
            <v>46042</v>
          </cell>
          <cell r="N259">
            <v>46043</v>
          </cell>
          <cell r="O259">
            <v>1</v>
          </cell>
          <cell r="P259">
            <v>46044</v>
          </cell>
          <cell r="Q259">
            <v>5</v>
          </cell>
          <cell r="R259" t="str">
            <v>NA</v>
          </cell>
          <cell r="S259">
            <v>5</v>
          </cell>
        </row>
        <row r="260">
          <cell r="B260" t="str">
            <v>EMMC</v>
          </cell>
          <cell r="C260" t="str">
            <v>HSLB10081</v>
          </cell>
          <cell r="D260">
            <v>101023</v>
          </cell>
          <cell r="E260" t="str">
            <v>DETECTOR DE LATIDOS CARDIOFETALES</v>
          </cell>
          <cell r="F260" t="str">
            <v>NO</v>
          </cell>
          <cell r="G260" t="str">
            <v>NO</v>
          </cell>
          <cell r="H260" t="str">
            <v>SALA PARTO INTEGRAL</v>
          </cell>
          <cell r="I260">
            <v>1</v>
          </cell>
          <cell r="J260" t="str">
            <v>C.3.6.3.6.2</v>
          </cell>
          <cell r="K260" t="str">
            <v>Parto integral</v>
          </cell>
          <cell r="L260">
            <v>3</v>
          </cell>
          <cell r="M260">
            <v>46042</v>
          </cell>
          <cell r="N260">
            <v>46043</v>
          </cell>
          <cell r="O260">
            <v>1</v>
          </cell>
          <cell r="P260">
            <v>46044</v>
          </cell>
          <cell r="Q260">
            <v>5</v>
          </cell>
          <cell r="R260" t="str">
            <v>NA</v>
          </cell>
          <cell r="S260">
            <v>5</v>
          </cell>
        </row>
        <row r="261">
          <cell r="B261" t="str">
            <v>EMMC</v>
          </cell>
          <cell r="C261" t="str">
            <v>HSLB10082</v>
          </cell>
          <cell r="D261">
            <v>101023</v>
          </cell>
          <cell r="E261" t="str">
            <v>DETECTOR DE LATIDOS CARDIOFETALES</v>
          </cell>
          <cell r="F261" t="str">
            <v>NO</v>
          </cell>
          <cell r="G261" t="str">
            <v>NO</v>
          </cell>
          <cell r="H261" t="str">
            <v>SALA PARTO INTEGRAL</v>
          </cell>
          <cell r="I261">
            <v>1</v>
          </cell>
          <cell r="J261" t="str">
            <v>C.3.6.3.6.3</v>
          </cell>
          <cell r="K261" t="str">
            <v>Parto integral</v>
          </cell>
          <cell r="L261">
            <v>3</v>
          </cell>
          <cell r="M261">
            <v>46042</v>
          </cell>
          <cell r="N261">
            <v>46043</v>
          </cell>
          <cell r="O261">
            <v>1</v>
          </cell>
          <cell r="P261">
            <v>46044</v>
          </cell>
          <cell r="Q261">
            <v>5</v>
          </cell>
          <cell r="R261" t="str">
            <v>NA</v>
          </cell>
          <cell r="S261">
            <v>5</v>
          </cell>
        </row>
        <row r="262">
          <cell r="B262" t="str">
            <v>EMMC</v>
          </cell>
          <cell r="C262" t="str">
            <v>HSLB10497</v>
          </cell>
          <cell r="D262">
            <v>104007</v>
          </cell>
          <cell r="E262" t="str">
            <v>Electrobisturí Alta Potencia</v>
          </cell>
          <cell r="F262" t="str">
            <v>NO</v>
          </cell>
          <cell r="G262" t="str">
            <v>SI</v>
          </cell>
          <cell r="H262" t="str">
            <v>BODEGA DE EQUIPOS</v>
          </cell>
          <cell r="I262">
            <v>1</v>
          </cell>
          <cell r="J262" t="str">
            <v>C.5.6.4.17</v>
          </cell>
          <cell r="K262" t="str">
            <v>Pabellones</v>
          </cell>
          <cell r="L262">
            <v>3</v>
          </cell>
          <cell r="M262">
            <v>46003</v>
          </cell>
          <cell r="N262">
            <v>46006</v>
          </cell>
          <cell r="O262">
            <v>1</v>
          </cell>
          <cell r="P262">
            <v>46007</v>
          </cell>
          <cell r="Q262">
            <v>5</v>
          </cell>
          <cell r="R262" t="str">
            <v>NA</v>
          </cell>
          <cell r="S262">
            <v>5</v>
          </cell>
        </row>
        <row r="263">
          <cell r="B263" t="str">
            <v>EMMC</v>
          </cell>
          <cell r="C263" t="str">
            <v>HSLB10498</v>
          </cell>
          <cell r="D263">
            <v>104007</v>
          </cell>
          <cell r="E263" t="str">
            <v>Electrobisturí Alta Potencia</v>
          </cell>
          <cell r="F263" t="str">
            <v>NO</v>
          </cell>
          <cell r="G263" t="str">
            <v>NO</v>
          </cell>
          <cell r="H263" t="str">
            <v>PABELLON CIRUGIA MAYOR ELECTIVA</v>
          </cell>
          <cell r="I263">
            <v>1</v>
          </cell>
          <cell r="J263" t="str">
            <v>C.5.6.4.5.1</v>
          </cell>
          <cell r="K263" t="str">
            <v>Pabellones</v>
          </cell>
          <cell r="L263">
            <v>3</v>
          </cell>
          <cell r="M263">
            <v>46039</v>
          </cell>
          <cell r="N263">
            <v>46041</v>
          </cell>
          <cell r="O263">
            <v>1</v>
          </cell>
          <cell r="P263">
            <v>46042</v>
          </cell>
          <cell r="Q263">
            <v>5</v>
          </cell>
          <cell r="R263" t="str">
            <v>NA</v>
          </cell>
          <cell r="S263">
            <v>5</v>
          </cell>
        </row>
        <row r="264">
          <cell r="B264" t="str">
            <v>EMMC</v>
          </cell>
          <cell r="C264" t="str">
            <v>HSLB10499</v>
          </cell>
          <cell r="D264">
            <v>104007</v>
          </cell>
          <cell r="E264" t="str">
            <v>Electrobisturí Alta Potencia</v>
          </cell>
          <cell r="F264" t="str">
            <v>NO</v>
          </cell>
          <cell r="G264" t="str">
            <v>NO</v>
          </cell>
          <cell r="H264" t="str">
            <v>PABELLON CIRUGIA MAYOR ELECTIVA</v>
          </cell>
          <cell r="I264">
            <v>1</v>
          </cell>
          <cell r="J264" t="str">
            <v>C.5.6.4.5.2</v>
          </cell>
          <cell r="K264" t="str">
            <v>Pabellones</v>
          </cell>
          <cell r="L264">
            <v>3</v>
          </cell>
          <cell r="M264">
            <v>46039</v>
          </cell>
          <cell r="N264">
            <v>46041</v>
          </cell>
          <cell r="O264">
            <v>1</v>
          </cell>
          <cell r="P264">
            <v>46042</v>
          </cell>
          <cell r="Q264">
            <v>5</v>
          </cell>
          <cell r="R264" t="str">
            <v>NA</v>
          </cell>
          <cell r="S264">
            <v>5</v>
          </cell>
        </row>
        <row r="265">
          <cell r="B265" t="str">
            <v>EMMC</v>
          </cell>
          <cell r="C265" t="str">
            <v>HSLB10500</v>
          </cell>
          <cell r="D265">
            <v>104007</v>
          </cell>
          <cell r="E265" t="str">
            <v>Electrobisturí Alta Potencia</v>
          </cell>
          <cell r="F265" t="str">
            <v>NO</v>
          </cell>
          <cell r="G265" t="str">
            <v>NO</v>
          </cell>
          <cell r="H265" t="str">
            <v>PABELLON CIRUGIA MAYOR ELECTIVA</v>
          </cell>
          <cell r="I265">
            <v>1</v>
          </cell>
          <cell r="J265" t="str">
            <v>C.5.6.4.5.3</v>
          </cell>
          <cell r="K265" t="str">
            <v>Pabellones</v>
          </cell>
          <cell r="L265">
            <v>3</v>
          </cell>
          <cell r="M265">
            <v>46039</v>
          </cell>
          <cell r="N265">
            <v>46041</v>
          </cell>
          <cell r="O265">
            <v>1</v>
          </cell>
          <cell r="P265">
            <v>46042</v>
          </cell>
          <cell r="Q265">
            <v>5</v>
          </cell>
          <cell r="R265" t="str">
            <v>NA</v>
          </cell>
          <cell r="S265">
            <v>5</v>
          </cell>
        </row>
        <row r="266">
          <cell r="B266" t="str">
            <v>EMMC</v>
          </cell>
          <cell r="C266" t="str">
            <v>HSLB10501</v>
          </cell>
          <cell r="D266">
            <v>104007</v>
          </cell>
          <cell r="E266" t="str">
            <v>Electrobisturí Alta Potencia</v>
          </cell>
          <cell r="F266" t="str">
            <v>NO</v>
          </cell>
          <cell r="G266" t="str">
            <v>NO</v>
          </cell>
          <cell r="H266" t="str">
            <v>PABELLON URGENCIAS</v>
          </cell>
          <cell r="I266">
            <v>1</v>
          </cell>
          <cell r="J266" t="str">
            <v>C.5.6.4.7</v>
          </cell>
          <cell r="K266" t="str">
            <v>Pabellones</v>
          </cell>
          <cell r="L266">
            <v>3</v>
          </cell>
          <cell r="M266">
            <v>46039</v>
          </cell>
          <cell r="N266">
            <v>46041</v>
          </cell>
          <cell r="O266">
            <v>1</v>
          </cell>
          <cell r="P266">
            <v>46042</v>
          </cell>
          <cell r="Q266">
            <v>5</v>
          </cell>
          <cell r="R266" t="str">
            <v>NA</v>
          </cell>
          <cell r="S266">
            <v>5</v>
          </cell>
        </row>
        <row r="267">
          <cell r="B267" t="str">
            <v>EMMC</v>
          </cell>
          <cell r="C267" t="str">
            <v>HSLB10503</v>
          </cell>
          <cell r="D267">
            <v>104008</v>
          </cell>
          <cell r="E267" t="str">
            <v>Electrobisturí Baja Potencia</v>
          </cell>
          <cell r="F267" t="str">
            <v>NO</v>
          </cell>
          <cell r="G267" t="str">
            <v>SI</v>
          </cell>
          <cell r="H267" t="str">
            <v>BODEGA DE EQUIPOS</v>
          </cell>
          <cell r="I267">
            <v>1</v>
          </cell>
          <cell r="J267" t="str">
            <v>C.5.6.4.17</v>
          </cell>
          <cell r="K267" t="str">
            <v>Pabellones</v>
          </cell>
          <cell r="L267">
            <v>3</v>
          </cell>
          <cell r="M267">
            <v>46003</v>
          </cell>
          <cell r="N267">
            <v>46006</v>
          </cell>
          <cell r="O267">
            <v>1</v>
          </cell>
          <cell r="P267">
            <v>46007</v>
          </cell>
          <cell r="Q267">
            <v>5</v>
          </cell>
          <cell r="R267" t="str">
            <v>NA</v>
          </cell>
          <cell r="S267">
            <v>5</v>
          </cell>
        </row>
        <row r="268">
          <cell r="B268" t="str">
            <v>EMMC</v>
          </cell>
          <cell r="C268" t="str">
            <v>HSLB10504</v>
          </cell>
          <cell r="D268">
            <v>104008</v>
          </cell>
          <cell r="E268" t="str">
            <v>Electrobisturí Baja Potencia</v>
          </cell>
          <cell r="F268" t="str">
            <v>NO</v>
          </cell>
          <cell r="G268" t="str">
            <v>NO</v>
          </cell>
          <cell r="H268" t="str">
            <v>PABELLON CIRUGIA MAYOR AMBULATORIA</v>
          </cell>
          <cell r="I268">
            <v>1</v>
          </cell>
          <cell r="J268" t="str">
            <v>C.5.6.4.6.1</v>
          </cell>
          <cell r="K268" t="str">
            <v>Pabellones</v>
          </cell>
          <cell r="L268">
            <v>3</v>
          </cell>
          <cell r="M268">
            <v>46039</v>
          </cell>
          <cell r="N268">
            <v>46041</v>
          </cell>
          <cell r="O268">
            <v>1</v>
          </cell>
          <cell r="P268">
            <v>46042</v>
          </cell>
          <cell r="Q268">
            <v>5</v>
          </cell>
          <cell r="R268" t="str">
            <v>NA</v>
          </cell>
          <cell r="S268">
            <v>5</v>
          </cell>
        </row>
        <row r="269">
          <cell r="B269" t="str">
            <v>EMMC</v>
          </cell>
          <cell r="C269" t="str">
            <v>HSLB10505</v>
          </cell>
          <cell r="D269">
            <v>104008</v>
          </cell>
          <cell r="E269" t="str">
            <v>Electrobisturí Baja Potencia</v>
          </cell>
          <cell r="F269" t="str">
            <v>NO</v>
          </cell>
          <cell r="G269" t="str">
            <v>NO</v>
          </cell>
          <cell r="H269" t="str">
            <v>PABELLON CIRUGIA MAYOR AMBULATORIA</v>
          </cell>
          <cell r="I269">
            <v>1</v>
          </cell>
          <cell r="J269" t="str">
            <v>C.5.6.4.6.2</v>
          </cell>
          <cell r="K269" t="str">
            <v>Pabellones</v>
          </cell>
          <cell r="L269">
            <v>3</v>
          </cell>
          <cell r="M269">
            <v>46039</v>
          </cell>
          <cell r="N269">
            <v>46041</v>
          </cell>
          <cell r="O269">
            <v>1</v>
          </cell>
          <cell r="P269">
            <v>46042</v>
          </cell>
          <cell r="Q269">
            <v>5</v>
          </cell>
          <cell r="R269" t="str">
            <v>NA</v>
          </cell>
          <cell r="S269">
            <v>5</v>
          </cell>
        </row>
        <row r="270">
          <cell r="B270" t="str">
            <v>EMMC</v>
          </cell>
          <cell r="C270" t="str">
            <v>HSLB10096</v>
          </cell>
          <cell r="D270">
            <v>101024</v>
          </cell>
          <cell r="E270" t="str">
            <v>Electrocardiógrafo</v>
          </cell>
          <cell r="F270" t="str">
            <v>NO</v>
          </cell>
          <cell r="G270" t="str">
            <v>NO</v>
          </cell>
          <cell r="H270" t="str">
            <v>ESTACIÓN DE ENFERMERÍA</v>
          </cell>
          <cell r="I270">
            <v>1</v>
          </cell>
          <cell r="J270" t="str">
            <v>C.3.6.3.7</v>
          </cell>
          <cell r="K270" t="str">
            <v>Parto integral</v>
          </cell>
          <cell r="L270">
            <v>3</v>
          </cell>
          <cell r="M270">
            <v>46042</v>
          </cell>
          <cell r="N270">
            <v>46043</v>
          </cell>
          <cell r="O270">
            <v>1</v>
          </cell>
          <cell r="P270">
            <v>46044</v>
          </cell>
          <cell r="Q270">
            <v>5</v>
          </cell>
          <cell r="R270" t="str">
            <v>NA</v>
          </cell>
          <cell r="S270">
            <v>5</v>
          </cell>
        </row>
        <row r="271">
          <cell r="B271" t="str">
            <v>EMMC</v>
          </cell>
          <cell r="C271" t="str">
            <v>HSLB10673</v>
          </cell>
          <cell r="D271">
            <v>105012</v>
          </cell>
          <cell r="E271" t="str">
            <v>Incubadora de Transporte</v>
          </cell>
          <cell r="F271" t="str">
            <v>NO</v>
          </cell>
          <cell r="G271" t="str">
            <v>NO</v>
          </cell>
          <cell r="H271" t="str">
            <v>SALA REANIMACIÓN NEONATAL</v>
          </cell>
          <cell r="I271">
            <v>1</v>
          </cell>
          <cell r="J271" t="str">
            <v>C.5.6.4.11</v>
          </cell>
          <cell r="K271" t="str">
            <v>Pabellones</v>
          </cell>
          <cell r="L271">
            <v>3</v>
          </cell>
          <cell r="M271">
            <v>46039</v>
          </cell>
          <cell r="N271">
            <v>46041</v>
          </cell>
          <cell r="O271">
            <v>1</v>
          </cell>
          <cell r="P271">
            <v>46042</v>
          </cell>
          <cell r="Q271">
            <v>5</v>
          </cell>
          <cell r="R271" t="str">
            <v>NA</v>
          </cell>
          <cell r="S271">
            <v>5</v>
          </cell>
        </row>
        <row r="272">
          <cell r="B272" t="str">
            <v>EMMC</v>
          </cell>
          <cell r="C272" t="str">
            <v>HSLB10154</v>
          </cell>
          <cell r="D272">
            <v>101037</v>
          </cell>
          <cell r="E272" t="str">
            <v>LÁMPARA DE EXAMEN RODABLE</v>
          </cell>
          <cell r="F272" t="str">
            <v>NO</v>
          </cell>
          <cell r="G272" t="str">
            <v>NO</v>
          </cell>
          <cell r="H272" t="str">
            <v>SALA PREPARACIÓN PACIENTES</v>
          </cell>
          <cell r="I272">
            <v>1</v>
          </cell>
          <cell r="J272" t="str">
            <v>C.3.6.3.11.1</v>
          </cell>
          <cell r="K272" t="str">
            <v>Parto integral</v>
          </cell>
          <cell r="L272">
            <v>3</v>
          </cell>
          <cell r="M272">
            <v>46042</v>
          </cell>
          <cell r="N272">
            <v>46043</v>
          </cell>
          <cell r="O272">
            <v>1</v>
          </cell>
          <cell r="P272">
            <v>46044</v>
          </cell>
          <cell r="Q272">
            <v>5</v>
          </cell>
          <cell r="R272" t="str">
            <v>NA</v>
          </cell>
          <cell r="S272">
            <v>5</v>
          </cell>
        </row>
        <row r="273">
          <cell r="B273" t="str">
            <v>EMMC</v>
          </cell>
          <cell r="C273" t="str">
            <v>HSLB10528</v>
          </cell>
          <cell r="D273">
            <v>104010</v>
          </cell>
          <cell r="E273" t="str">
            <v>Lámpara de Procedimientos Rodable</v>
          </cell>
          <cell r="F273" t="str">
            <v>NO</v>
          </cell>
          <cell r="G273" t="str">
            <v>SI</v>
          </cell>
          <cell r="H273" t="str">
            <v>SALA MULTIUSO</v>
          </cell>
          <cell r="I273">
            <v>1</v>
          </cell>
          <cell r="J273" t="str">
            <v>C.3.6.3.5</v>
          </cell>
          <cell r="K273" t="str">
            <v>Parto integral</v>
          </cell>
          <cell r="L273">
            <v>3</v>
          </cell>
          <cell r="M273">
            <v>46003</v>
          </cell>
          <cell r="N273">
            <v>46006</v>
          </cell>
          <cell r="O273">
            <v>1</v>
          </cell>
          <cell r="P273">
            <v>46007</v>
          </cell>
          <cell r="Q273">
            <v>5</v>
          </cell>
          <cell r="R273" t="str">
            <v>NA</v>
          </cell>
          <cell r="S273">
            <v>5</v>
          </cell>
        </row>
        <row r="274">
          <cell r="B274" t="str">
            <v>EMMC</v>
          </cell>
          <cell r="C274" t="str">
            <v>HSLB12270</v>
          </cell>
          <cell r="D274">
            <v>112060</v>
          </cell>
          <cell r="E274" t="str">
            <v>Mesa Comer en Cama</v>
          </cell>
          <cell r="F274" t="str">
            <v>NO</v>
          </cell>
          <cell r="G274" t="str">
            <v>SI</v>
          </cell>
          <cell r="H274" t="str">
            <v>SALA MULTIUSO</v>
          </cell>
          <cell r="I274">
            <v>2</v>
          </cell>
          <cell r="J274" t="str">
            <v>C.3.6.3.5</v>
          </cell>
          <cell r="K274" t="str">
            <v>Parto integral</v>
          </cell>
          <cell r="L274">
            <v>3</v>
          </cell>
          <cell r="M274">
            <v>46003</v>
          </cell>
          <cell r="N274">
            <v>46006</v>
          </cell>
          <cell r="O274">
            <v>1</v>
          </cell>
          <cell r="P274">
            <v>46007</v>
          </cell>
          <cell r="Q274">
            <v>5</v>
          </cell>
          <cell r="R274" t="str">
            <v>NA</v>
          </cell>
          <cell r="S274">
            <v>5</v>
          </cell>
        </row>
        <row r="275">
          <cell r="B275" t="str">
            <v>EMMC</v>
          </cell>
          <cell r="C275" t="str">
            <v>HSLB12271</v>
          </cell>
          <cell r="D275">
            <v>112060</v>
          </cell>
          <cell r="E275" t="str">
            <v>Mesa Comer en Cama</v>
          </cell>
          <cell r="F275" t="str">
            <v>NO</v>
          </cell>
          <cell r="G275" t="str">
            <v>NO</v>
          </cell>
          <cell r="H275" t="str">
            <v>SALA PARTO INTEGRAL</v>
          </cell>
          <cell r="I275">
            <v>1</v>
          </cell>
          <cell r="J275" t="str">
            <v>C.3.6.3.6.1</v>
          </cell>
          <cell r="K275" t="str">
            <v>Parto integral</v>
          </cell>
          <cell r="L275">
            <v>3</v>
          </cell>
          <cell r="M275">
            <v>46042</v>
          </cell>
          <cell r="N275">
            <v>46043</v>
          </cell>
          <cell r="O275">
            <v>1</v>
          </cell>
          <cell r="P275">
            <v>46044</v>
          </cell>
          <cell r="Q275">
            <v>5</v>
          </cell>
          <cell r="R275" t="str">
            <v>NA</v>
          </cell>
          <cell r="S275">
            <v>5</v>
          </cell>
        </row>
        <row r="276">
          <cell r="B276" t="str">
            <v>EMMC</v>
          </cell>
          <cell r="C276" t="str">
            <v>HSLB12272</v>
          </cell>
          <cell r="D276">
            <v>112060</v>
          </cell>
          <cell r="E276" t="str">
            <v>Mesa Comer en Cama</v>
          </cell>
          <cell r="F276" t="str">
            <v>NO</v>
          </cell>
          <cell r="G276" t="str">
            <v>NO</v>
          </cell>
          <cell r="H276" t="str">
            <v>SALA PARTO INTEGRAL</v>
          </cell>
          <cell r="I276">
            <v>1</v>
          </cell>
          <cell r="J276" t="str">
            <v>C.3.6.3.6.2</v>
          </cell>
          <cell r="K276" t="str">
            <v>Parto integral</v>
          </cell>
          <cell r="L276">
            <v>3</v>
          </cell>
          <cell r="M276">
            <v>46042</v>
          </cell>
          <cell r="N276">
            <v>46043</v>
          </cell>
          <cell r="O276">
            <v>1</v>
          </cell>
          <cell r="P276">
            <v>46044</v>
          </cell>
          <cell r="Q276">
            <v>5</v>
          </cell>
          <cell r="R276" t="str">
            <v>NA</v>
          </cell>
          <cell r="S276">
            <v>5</v>
          </cell>
        </row>
        <row r="277">
          <cell r="B277" t="str">
            <v>EMMC</v>
          </cell>
          <cell r="C277" t="str">
            <v>HSLB12273</v>
          </cell>
          <cell r="D277">
            <v>112060</v>
          </cell>
          <cell r="E277" t="str">
            <v>Mesa Comer en Cama</v>
          </cell>
          <cell r="F277" t="str">
            <v>NO</v>
          </cell>
          <cell r="G277" t="str">
            <v>NO</v>
          </cell>
          <cell r="H277" t="str">
            <v>SALA PARTO INTEGRAL</v>
          </cell>
          <cell r="I277">
            <v>1</v>
          </cell>
          <cell r="J277" t="str">
            <v>C.3.6.3.6.3</v>
          </cell>
          <cell r="K277" t="str">
            <v>Parto integral</v>
          </cell>
          <cell r="L277">
            <v>3</v>
          </cell>
          <cell r="M277">
            <v>46042</v>
          </cell>
          <cell r="N277">
            <v>46043</v>
          </cell>
          <cell r="O277">
            <v>1</v>
          </cell>
          <cell r="P277">
            <v>46044</v>
          </cell>
          <cell r="Q277">
            <v>5</v>
          </cell>
          <cell r="R277" t="str">
            <v>NA</v>
          </cell>
          <cell r="S277">
            <v>5</v>
          </cell>
        </row>
        <row r="278">
          <cell r="B278" t="str">
            <v>EMMC</v>
          </cell>
          <cell r="C278" t="str">
            <v>HSLB12274</v>
          </cell>
          <cell r="D278">
            <v>112060</v>
          </cell>
          <cell r="E278" t="str">
            <v>Mesa Comer en Cama</v>
          </cell>
          <cell r="F278" t="str">
            <v>NO</v>
          </cell>
          <cell r="G278" t="str">
            <v>NO</v>
          </cell>
          <cell r="H278" t="str">
            <v>SALA 1 CAMA</v>
          </cell>
          <cell r="I278">
            <v>1</v>
          </cell>
          <cell r="J278" t="str">
            <v>C.3.7.16.1</v>
          </cell>
          <cell r="K278" t="str">
            <v>UTI</v>
          </cell>
          <cell r="L278">
            <v>3</v>
          </cell>
          <cell r="M278">
            <v>46042</v>
          </cell>
          <cell r="N278">
            <v>46043</v>
          </cell>
          <cell r="O278">
            <v>1</v>
          </cell>
          <cell r="P278">
            <v>46044</v>
          </cell>
          <cell r="Q278">
            <v>5</v>
          </cell>
          <cell r="R278" t="str">
            <v>NA</v>
          </cell>
          <cell r="S278">
            <v>5</v>
          </cell>
        </row>
        <row r="279">
          <cell r="B279" t="str">
            <v>EMMC</v>
          </cell>
          <cell r="C279" t="str">
            <v>HSLB12275</v>
          </cell>
          <cell r="D279">
            <v>112060</v>
          </cell>
          <cell r="E279" t="str">
            <v>Mesa Comer en Cama</v>
          </cell>
          <cell r="F279" t="str">
            <v>NO</v>
          </cell>
          <cell r="G279" t="str">
            <v>NO</v>
          </cell>
          <cell r="H279" t="str">
            <v>SALA 1 CAMA</v>
          </cell>
          <cell r="I279">
            <v>1</v>
          </cell>
          <cell r="J279" t="str">
            <v>C.3.7.16.10</v>
          </cell>
          <cell r="K279" t="str">
            <v>UTI</v>
          </cell>
          <cell r="L279">
            <v>3</v>
          </cell>
          <cell r="M279">
            <v>46042</v>
          </cell>
          <cell r="N279">
            <v>46043</v>
          </cell>
          <cell r="O279">
            <v>1</v>
          </cell>
          <cell r="P279">
            <v>46044</v>
          </cell>
          <cell r="Q279">
            <v>5</v>
          </cell>
          <cell r="R279" t="str">
            <v>NA</v>
          </cell>
          <cell r="S279">
            <v>5</v>
          </cell>
        </row>
        <row r="280">
          <cell r="B280" t="str">
            <v>EMMC</v>
          </cell>
          <cell r="C280" t="str">
            <v>HSLB12276</v>
          </cell>
          <cell r="D280">
            <v>112060</v>
          </cell>
          <cell r="E280" t="str">
            <v>Mesa Comer en Cama</v>
          </cell>
          <cell r="F280" t="str">
            <v>NO</v>
          </cell>
          <cell r="G280" t="str">
            <v>NO</v>
          </cell>
          <cell r="H280" t="str">
            <v>SALA 1 CAMA</v>
          </cell>
          <cell r="I280">
            <v>1</v>
          </cell>
          <cell r="J280" t="str">
            <v>C.3.7.16.2</v>
          </cell>
          <cell r="K280" t="str">
            <v>UTI</v>
          </cell>
          <cell r="L280">
            <v>3</v>
          </cell>
          <cell r="M280">
            <v>46042</v>
          </cell>
          <cell r="N280">
            <v>46043</v>
          </cell>
          <cell r="O280">
            <v>1</v>
          </cell>
          <cell r="P280">
            <v>46044</v>
          </cell>
          <cell r="Q280">
            <v>5</v>
          </cell>
          <cell r="R280" t="str">
            <v>NA</v>
          </cell>
          <cell r="S280">
            <v>5</v>
          </cell>
        </row>
        <row r="281">
          <cell r="B281" t="str">
            <v>EMMC</v>
          </cell>
          <cell r="C281" t="str">
            <v>HSLB12277</v>
          </cell>
          <cell r="D281">
            <v>112060</v>
          </cell>
          <cell r="E281" t="str">
            <v>Mesa Comer en Cama</v>
          </cell>
          <cell r="F281" t="str">
            <v>NO</v>
          </cell>
          <cell r="G281" t="str">
            <v>NO</v>
          </cell>
          <cell r="H281" t="str">
            <v>SALA 1 CAMA</v>
          </cell>
          <cell r="I281">
            <v>1</v>
          </cell>
          <cell r="J281" t="str">
            <v>C.3.7.16.3</v>
          </cell>
          <cell r="K281" t="str">
            <v>UTI</v>
          </cell>
          <cell r="L281">
            <v>3</v>
          </cell>
          <cell r="M281">
            <v>46042</v>
          </cell>
          <cell r="N281">
            <v>46043</v>
          </cell>
          <cell r="O281">
            <v>1</v>
          </cell>
          <cell r="P281">
            <v>46044</v>
          </cell>
          <cell r="Q281">
            <v>5</v>
          </cell>
          <cell r="R281" t="str">
            <v>NA</v>
          </cell>
          <cell r="S281">
            <v>5</v>
          </cell>
        </row>
        <row r="282">
          <cell r="B282" t="str">
            <v>EMMC</v>
          </cell>
          <cell r="C282" t="str">
            <v>HSLB12278</v>
          </cell>
          <cell r="D282">
            <v>112060</v>
          </cell>
          <cell r="E282" t="str">
            <v>Mesa Comer en Cama</v>
          </cell>
          <cell r="F282" t="str">
            <v>NO</v>
          </cell>
          <cell r="G282" t="str">
            <v>NO</v>
          </cell>
          <cell r="H282" t="str">
            <v>SALA 1 CAMA</v>
          </cell>
          <cell r="I282">
            <v>1</v>
          </cell>
          <cell r="J282" t="str">
            <v>C.3.7.16.4</v>
          </cell>
          <cell r="K282" t="str">
            <v>UTI</v>
          </cell>
          <cell r="L282">
            <v>3</v>
          </cell>
          <cell r="M282">
            <v>46042</v>
          </cell>
          <cell r="N282">
            <v>46043</v>
          </cell>
          <cell r="O282">
            <v>1</v>
          </cell>
          <cell r="P282">
            <v>46044</v>
          </cell>
          <cell r="Q282">
            <v>5</v>
          </cell>
          <cell r="R282" t="str">
            <v>NA</v>
          </cell>
          <cell r="S282">
            <v>5</v>
          </cell>
        </row>
        <row r="283">
          <cell r="B283" t="str">
            <v>EMMC</v>
          </cell>
          <cell r="C283" t="str">
            <v>HSLB12279</v>
          </cell>
          <cell r="D283">
            <v>112060</v>
          </cell>
          <cell r="E283" t="str">
            <v>Mesa Comer en Cama</v>
          </cell>
          <cell r="F283" t="str">
            <v>NO</v>
          </cell>
          <cell r="G283" t="str">
            <v>NO</v>
          </cell>
          <cell r="H283" t="str">
            <v>SALA 1 CAMA</v>
          </cell>
          <cell r="I283">
            <v>1</v>
          </cell>
          <cell r="J283" t="str">
            <v>C.3.7.16.5</v>
          </cell>
          <cell r="K283" t="str">
            <v>UTI</v>
          </cell>
          <cell r="L283">
            <v>3</v>
          </cell>
          <cell r="M283">
            <v>46042</v>
          </cell>
          <cell r="N283">
            <v>46043</v>
          </cell>
          <cell r="O283">
            <v>1</v>
          </cell>
          <cell r="P283">
            <v>46044</v>
          </cell>
          <cell r="Q283">
            <v>5</v>
          </cell>
          <cell r="R283" t="str">
            <v>NA</v>
          </cell>
          <cell r="S283">
            <v>5</v>
          </cell>
        </row>
        <row r="284">
          <cell r="B284" t="str">
            <v>EMMC</v>
          </cell>
          <cell r="C284" t="str">
            <v>HSLB12280</v>
          </cell>
          <cell r="D284">
            <v>112060</v>
          </cell>
          <cell r="E284" t="str">
            <v>Mesa Comer en Cama</v>
          </cell>
          <cell r="F284" t="str">
            <v>NO</v>
          </cell>
          <cell r="G284" t="str">
            <v>NO</v>
          </cell>
          <cell r="H284" t="str">
            <v>SALA 1 CAMA</v>
          </cell>
          <cell r="I284">
            <v>1</v>
          </cell>
          <cell r="J284" t="str">
            <v>C.3.7.16.6</v>
          </cell>
          <cell r="K284" t="str">
            <v>UTI</v>
          </cell>
          <cell r="L284">
            <v>3</v>
          </cell>
          <cell r="M284">
            <v>46042</v>
          </cell>
          <cell r="N284">
            <v>46043</v>
          </cell>
          <cell r="O284">
            <v>1</v>
          </cell>
          <cell r="P284">
            <v>46044</v>
          </cell>
          <cell r="Q284">
            <v>5</v>
          </cell>
          <cell r="R284" t="str">
            <v>NA</v>
          </cell>
          <cell r="S284">
            <v>5</v>
          </cell>
        </row>
        <row r="285">
          <cell r="B285" t="str">
            <v>EMMC</v>
          </cell>
          <cell r="C285" t="str">
            <v>HSLB12281</v>
          </cell>
          <cell r="D285">
            <v>112060</v>
          </cell>
          <cell r="E285" t="str">
            <v>Mesa Comer en Cama</v>
          </cell>
          <cell r="F285" t="str">
            <v>NO</v>
          </cell>
          <cell r="G285" t="str">
            <v>NO</v>
          </cell>
          <cell r="H285" t="str">
            <v>SALA 1 CAMA</v>
          </cell>
          <cell r="I285">
            <v>1</v>
          </cell>
          <cell r="J285" t="str">
            <v>C.3.7.16.7</v>
          </cell>
          <cell r="K285" t="str">
            <v>UTI</v>
          </cell>
          <cell r="L285">
            <v>3</v>
          </cell>
          <cell r="M285">
            <v>46042</v>
          </cell>
          <cell r="N285">
            <v>46043</v>
          </cell>
          <cell r="O285">
            <v>1</v>
          </cell>
          <cell r="P285">
            <v>46044</v>
          </cell>
          <cell r="Q285">
            <v>5</v>
          </cell>
          <cell r="R285" t="str">
            <v>NA</v>
          </cell>
          <cell r="S285">
            <v>5</v>
          </cell>
        </row>
        <row r="286">
          <cell r="B286" t="str">
            <v>EMMC</v>
          </cell>
          <cell r="C286" t="str">
            <v>HSLB12282</v>
          </cell>
          <cell r="D286">
            <v>112060</v>
          </cell>
          <cell r="E286" t="str">
            <v>Mesa Comer en Cama</v>
          </cell>
          <cell r="F286" t="str">
            <v>NO</v>
          </cell>
          <cell r="G286" t="str">
            <v>NO</v>
          </cell>
          <cell r="H286" t="str">
            <v>SALA 1 CAMA</v>
          </cell>
          <cell r="I286">
            <v>1</v>
          </cell>
          <cell r="J286" t="str">
            <v>C.3.7.16.8</v>
          </cell>
          <cell r="K286" t="str">
            <v>UTI</v>
          </cell>
          <cell r="L286">
            <v>3</v>
          </cell>
          <cell r="M286">
            <v>46042</v>
          </cell>
          <cell r="N286">
            <v>46043</v>
          </cell>
          <cell r="O286">
            <v>1</v>
          </cell>
          <cell r="P286">
            <v>46044</v>
          </cell>
          <cell r="Q286">
            <v>5</v>
          </cell>
          <cell r="R286" t="str">
            <v>NA</v>
          </cell>
          <cell r="S286">
            <v>5</v>
          </cell>
        </row>
        <row r="287">
          <cell r="B287" t="str">
            <v>EMMC</v>
          </cell>
          <cell r="C287" t="str">
            <v>HSLB12283</v>
          </cell>
          <cell r="D287">
            <v>112060</v>
          </cell>
          <cell r="E287" t="str">
            <v>Mesa Comer en Cama</v>
          </cell>
          <cell r="F287" t="str">
            <v>NO</v>
          </cell>
          <cell r="G287" t="str">
            <v>NO</v>
          </cell>
          <cell r="H287" t="str">
            <v>SALA 1 CAMA</v>
          </cell>
          <cell r="I287">
            <v>1</v>
          </cell>
          <cell r="J287" t="str">
            <v>C.3.7.16.9</v>
          </cell>
          <cell r="K287" t="str">
            <v>UTI</v>
          </cell>
          <cell r="L287">
            <v>3</v>
          </cell>
          <cell r="M287">
            <v>46042</v>
          </cell>
          <cell r="N287">
            <v>46043</v>
          </cell>
          <cell r="O287">
            <v>1</v>
          </cell>
          <cell r="P287">
            <v>46044</v>
          </cell>
          <cell r="Q287">
            <v>5</v>
          </cell>
          <cell r="R287" t="str">
            <v>NA</v>
          </cell>
          <cell r="S287">
            <v>5</v>
          </cell>
        </row>
        <row r="288">
          <cell r="B288" t="str">
            <v>EMMC</v>
          </cell>
          <cell r="C288" t="str">
            <v>HSLB12284</v>
          </cell>
          <cell r="D288">
            <v>112060</v>
          </cell>
          <cell r="E288" t="str">
            <v>Mesa Comer en Cama</v>
          </cell>
          <cell r="F288" t="str">
            <v>NO</v>
          </cell>
          <cell r="G288" t="str">
            <v>NO</v>
          </cell>
          <cell r="H288" t="str">
            <v>SALA AISLAMIENTO</v>
          </cell>
          <cell r="I288">
            <v>1</v>
          </cell>
          <cell r="J288" t="str">
            <v>C.3.7.17.1</v>
          </cell>
          <cell r="K288" t="str">
            <v>UTI</v>
          </cell>
          <cell r="L288">
            <v>3</v>
          </cell>
          <cell r="M288">
            <v>46042</v>
          </cell>
          <cell r="N288">
            <v>46043</v>
          </cell>
          <cell r="O288">
            <v>1</v>
          </cell>
          <cell r="P288">
            <v>46044</v>
          </cell>
          <cell r="Q288">
            <v>5</v>
          </cell>
          <cell r="R288" t="str">
            <v>NA</v>
          </cell>
          <cell r="S288">
            <v>5</v>
          </cell>
        </row>
        <row r="289">
          <cell r="B289" t="str">
            <v>EMMC</v>
          </cell>
          <cell r="C289" t="str">
            <v>HSLB12285</v>
          </cell>
          <cell r="D289">
            <v>112060</v>
          </cell>
          <cell r="E289" t="str">
            <v>Mesa Comer en Cama</v>
          </cell>
          <cell r="F289" t="str">
            <v>NO</v>
          </cell>
          <cell r="G289" t="str">
            <v>NO</v>
          </cell>
          <cell r="H289" t="str">
            <v>SALA AISLAMIENTO</v>
          </cell>
          <cell r="I289">
            <v>1</v>
          </cell>
          <cell r="J289" t="str">
            <v>C.3.7.17.2</v>
          </cell>
          <cell r="K289" t="str">
            <v>UTI</v>
          </cell>
          <cell r="L289">
            <v>3</v>
          </cell>
          <cell r="M289">
            <v>46042</v>
          </cell>
          <cell r="N289">
            <v>46043</v>
          </cell>
          <cell r="O289">
            <v>1</v>
          </cell>
          <cell r="P289">
            <v>46044</v>
          </cell>
          <cell r="Q289">
            <v>5</v>
          </cell>
          <cell r="R289" t="str">
            <v>NA</v>
          </cell>
          <cell r="S289">
            <v>5</v>
          </cell>
        </row>
        <row r="290">
          <cell r="B290" t="str">
            <v>EMMC</v>
          </cell>
          <cell r="C290" t="str">
            <v>HSLB10213</v>
          </cell>
          <cell r="D290">
            <v>101053</v>
          </cell>
          <cell r="E290" t="str">
            <v>Otooftalmoscopio Mural</v>
          </cell>
          <cell r="F290" t="str">
            <v>NO</v>
          </cell>
          <cell r="G290" t="str">
            <v>SI</v>
          </cell>
          <cell r="H290" t="str">
            <v>BOX DE ATENCIÓN</v>
          </cell>
          <cell r="I290">
            <v>1</v>
          </cell>
          <cell r="J290" t="str">
            <v>D.4.4.1.3.1</v>
          </cell>
          <cell r="K290" t="str">
            <v>Consultas Ambulatorias</v>
          </cell>
          <cell r="L290">
            <v>3</v>
          </cell>
          <cell r="M290">
            <v>46003</v>
          </cell>
          <cell r="N290">
            <v>46006</v>
          </cell>
          <cell r="O290">
            <v>1</v>
          </cell>
          <cell r="P290">
            <v>46007</v>
          </cell>
          <cell r="Q290">
            <v>5</v>
          </cell>
          <cell r="R290" t="str">
            <v>NA</v>
          </cell>
          <cell r="S290">
            <v>5</v>
          </cell>
        </row>
        <row r="291">
          <cell r="B291" t="str">
            <v>EMMC</v>
          </cell>
          <cell r="C291" t="str">
            <v>HSLB10214</v>
          </cell>
          <cell r="D291">
            <v>101053</v>
          </cell>
          <cell r="E291" t="str">
            <v>Otooftalmoscopio Mural</v>
          </cell>
          <cell r="F291" t="str">
            <v>NO</v>
          </cell>
          <cell r="G291" t="str">
            <v>NO</v>
          </cell>
          <cell r="H291" t="str">
            <v>BOX DE ATENCIÓN</v>
          </cell>
          <cell r="I291">
            <v>1</v>
          </cell>
          <cell r="J291" t="str">
            <v>D.4.4.1.3.2</v>
          </cell>
          <cell r="K291" t="str">
            <v>Consultas Ambulatorias</v>
          </cell>
          <cell r="L291">
            <v>3</v>
          </cell>
          <cell r="M291">
            <v>46042</v>
          </cell>
          <cell r="N291">
            <v>46043</v>
          </cell>
          <cell r="O291">
            <v>1</v>
          </cell>
          <cell r="P291">
            <v>46044</v>
          </cell>
          <cell r="Q291">
            <v>5</v>
          </cell>
          <cell r="R291" t="str">
            <v>NA</v>
          </cell>
          <cell r="S291">
            <v>5</v>
          </cell>
        </row>
        <row r="292">
          <cell r="B292" t="str">
            <v>EMMC</v>
          </cell>
          <cell r="C292" t="str">
            <v>HSLB10215</v>
          </cell>
          <cell r="D292">
            <v>101053</v>
          </cell>
          <cell r="E292" t="str">
            <v>Otooftalmoscopio Mural</v>
          </cell>
          <cell r="F292" t="str">
            <v>NO</v>
          </cell>
          <cell r="G292" t="str">
            <v>NO</v>
          </cell>
          <cell r="H292" t="str">
            <v>BOX DE ATENCIÓN</v>
          </cell>
          <cell r="I292">
            <v>1</v>
          </cell>
          <cell r="J292" t="str">
            <v>D.4.4.1.3.3</v>
          </cell>
          <cell r="K292" t="str">
            <v>Consultas Ambulatorias</v>
          </cell>
          <cell r="L292">
            <v>3</v>
          </cell>
          <cell r="M292">
            <v>46042</v>
          </cell>
          <cell r="N292">
            <v>46043</v>
          </cell>
          <cell r="O292">
            <v>1</v>
          </cell>
          <cell r="P292">
            <v>46044</v>
          </cell>
          <cell r="Q292">
            <v>5</v>
          </cell>
          <cell r="R292" t="str">
            <v>NA</v>
          </cell>
          <cell r="S292">
            <v>5</v>
          </cell>
        </row>
        <row r="293">
          <cell r="B293" t="str">
            <v>EMMC</v>
          </cell>
          <cell r="C293" t="str">
            <v>HSLB11021</v>
          </cell>
          <cell r="D293">
            <v>106019</v>
          </cell>
          <cell r="E293" t="str">
            <v>Televisor 32'</v>
          </cell>
          <cell r="F293" t="str">
            <v>NO</v>
          </cell>
          <cell r="G293" t="str">
            <v>NO</v>
          </cell>
          <cell r="H293" t="str">
            <v>SALA DE ESPERA</v>
          </cell>
          <cell r="I293">
            <v>1</v>
          </cell>
          <cell r="J293" t="str">
            <v>C.3.6.3.1</v>
          </cell>
          <cell r="K293" t="str">
            <v>UTI</v>
          </cell>
          <cell r="L293">
            <v>3</v>
          </cell>
          <cell r="M293">
            <v>46042</v>
          </cell>
          <cell r="N293">
            <v>46043</v>
          </cell>
          <cell r="O293">
            <v>1</v>
          </cell>
          <cell r="P293">
            <v>46044</v>
          </cell>
          <cell r="Q293">
            <v>5</v>
          </cell>
          <cell r="R293" t="str">
            <v>NA</v>
          </cell>
          <cell r="S293">
            <v>5</v>
          </cell>
        </row>
        <row r="294">
          <cell r="B294" t="str">
            <v>EMMC</v>
          </cell>
          <cell r="C294" t="str">
            <v>HSLB11022</v>
          </cell>
          <cell r="D294">
            <v>106019</v>
          </cell>
          <cell r="E294" t="str">
            <v>Televisor 32'</v>
          </cell>
          <cell r="F294" t="str">
            <v>NO</v>
          </cell>
          <cell r="G294" t="str">
            <v>NO</v>
          </cell>
          <cell r="H294" t="str">
            <v>SALA 1 CAMA</v>
          </cell>
          <cell r="I294">
            <v>1</v>
          </cell>
          <cell r="J294" t="str">
            <v>C.3.7.16.1</v>
          </cell>
          <cell r="K294" t="str">
            <v>UTI</v>
          </cell>
          <cell r="L294">
            <v>3</v>
          </cell>
          <cell r="M294">
            <v>46042</v>
          </cell>
          <cell r="N294">
            <v>46043</v>
          </cell>
          <cell r="O294">
            <v>1</v>
          </cell>
          <cell r="P294">
            <v>46044</v>
          </cell>
          <cell r="Q294">
            <v>5</v>
          </cell>
          <cell r="R294" t="str">
            <v>NA</v>
          </cell>
          <cell r="S294">
            <v>5</v>
          </cell>
        </row>
        <row r="295">
          <cell r="B295" t="str">
            <v>EMMC</v>
          </cell>
          <cell r="C295" t="str">
            <v>HSLB11023</v>
          </cell>
          <cell r="D295">
            <v>106019</v>
          </cell>
          <cell r="E295" t="str">
            <v>Televisor 32'</v>
          </cell>
          <cell r="F295" t="str">
            <v>NO</v>
          </cell>
          <cell r="G295" t="str">
            <v>NO</v>
          </cell>
          <cell r="H295" t="str">
            <v>SALA 1 CAMA</v>
          </cell>
          <cell r="I295">
            <v>1</v>
          </cell>
          <cell r="J295" t="str">
            <v>C.3.7.16.10</v>
          </cell>
          <cell r="K295" t="str">
            <v>UTI</v>
          </cell>
          <cell r="L295">
            <v>3</v>
          </cell>
          <cell r="M295">
            <v>46042</v>
          </cell>
          <cell r="N295">
            <v>46043</v>
          </cell>
          <cell r="O295">
            <v>1</v>
          </cell>
          <cell r="P295">
            <v>46044</v>
          </cell>
          <cell r="Q295">
            <v>5</v>
          </cell>
          <cell r="R295" t="str">
            <v>NA</v>
          </cell>
          <cell r="S295">
            <v>5</v>
          </cell>
        </row>
        <row r="296">
          <cell r="B296" t="str">
            <v>EMMC</v>
          </cell>
          <cell r="C296" t="str">
            <v>HSLB11024</v>
          </cell>
          <cell r="D296">
            <v>106019</v>
          </cell>
          <cell r="E296" t="str">
            <v>Televisor 32'</v>
          </cell>
          <cell r="F296" t="str">
            <v>NO</v>
          </cell>
          <cell r="G296" t="str">
            <v>NO</v>
          </cell>
          <cell r="H296" t="str">
            <v>SALA 1 CAMA</v>
          </cell>
          <cell r="I296">
            <v>1</v>
          </cell>
          <cell r="J296" t="str">
            <v>C.3.7.16.2</v>
          </cell>
          <cell r="K296" t="str">
            <v>UTI</v>
          </cell>
          <cell r="L296">
            <v>3</v>
          </cell>
          <cell r="M296">
            <v>46042</v>
          </cell>
          <cell r="N296">
            <v>46043</v>
          </cell>
          <cell r="O296">
            <v>1</v>
          </cell>
          <cell r="P296">
            <v>46044</v>
          </cell>
          <cell r="Q296">
            <v>5</v>
          </cell>
          <cell r="R296" t="str">
            <v>NA</v>
          </cell>
          <cell r="S296">
            <v>5</v>
          </cell>
        </row>
        <row r="297">
          <cell r="B297" t="str">
            <v>EMMC</v>
          </cell>
          <cell r="C297" t="str">
            <v>HSLB11025</v>
          </cell>
          <cell r="D297">
            <v>106019</v>
          </cell>
          <cell r="E297" t="str">
            <v>Televisor 32'</v>
          </cell>
          <cell r="F297" t="str">
            <v>NO</v>
          </cell>
          <cell r="G297" t="str">
            <v>NO</v>
          </cell>
          <cell r="H297" t="str">
            <v>SALA 1 CAMA</v>
          </cell>
          <cell r="I297">
            <v>1</v>
          </cell>
          <cell r="J297" t="str">
            <v>C.3.7.16.3</v>
          </cell>
          <cell r="K297" t="str">
            <v>UTI</v>
          </cell>
          <cell r="L297">
            <v>3</v>
          </cell>
          <cell r="M297">
            <v>46042</v>
          </cell>
          <cell r="N297">
            <v>46043</v>
          </cell>
          <cell r="O297">
            <v>1</v>
          </cell>
          <cell r="P297">
            <v>46044</v>
          </cell>
          <cell r="Q297">
            <v>5</v>
          </cell>
          <cell r="R297" t="str">
            <v>NA</v>
          </cell>
          <cell r="S297">
            <v>5</v>
          </cell>
        </row>
        <row r="298">
          <cell r="B298" t="str">
            <v>EMMC</v>
          </cell>
          <cell r="C298" t="str">
            <v>HSLB11026</v>
          </cell>
          <cell r="D298">
            <v>106019</v>
          </cell>
          <cell r="E298" t="str">
            <v>Televisor 32'</v>
          </cell>
          <cell r="F298" t="str">
            <v>NO</v>
          </cell>
          <cell r="G298" t="str">
            <v>NO</v>
          </cell>
          <cell r="H298" t="str">
            <v>SALA 1 CAMA</v>
          </cell>
          <cell r="I298">
            <v>1</v>
          </cell>
          <cell r="J298" t="str">
            <v>C.3.7.16.4</v>
          </cell>
          <cell r="K298" t="str">
            <v>UTI</v>
          </cell>
          <cell r="L298">
            <v>3</v>
          </cell>
          <cell r="M298">
            <v>46042</v>
          </cell>
          <cell r="N298">
            <v>46043</v>
          </cell>
          <cell r="O298">
            <v>1</v>
          </cell>
          <cell r="P298">
            <v>46044</v>
          </cell>
          <cell r="Q298">
            <v>5</v>
          </cell>
          <cell r="R298" t="str">
            <v>NA</v>
          </cell>
          <cell r="S298">
            <v>5</v>
          </cell>
        </row>
        <row r="299">
          <cell r="B299" t="str">
            <v>EMMC</v>
          </cell>
          <cell r="C299" t="str">
            <v>HSLB11027</v>
          </cell>
          <cell r="D299">
            <v>106019</v>
          </cell>
          <cell r="E299" t="str">
            <v>Televisor 32'</v>
          </cell>
          <cell r="F299" t="str">
            <v>NO</v>
          </cell>
          <cell r="G299" t="str">
            <v>NO</v>
          </cell>
          <cell r="H299" t="str">
            <v>SALA 1 CAMA</v>
          </cell>
          <cell r="I299">
            <v>1</v>
          </cell>
          <cell r="J299" t="str">
            <v>C.3.7.16.5</v>
          </cell>
          <cell r="K299" t="str">
            <v>UTI</v>
          </cell>
          <cell r="L299">
            <v>3</v>
          </cell>
          <cell r="M299">
            <v>46042</v>
          </cell>
          <cell r="N299">
            <v>46043</v>
          </cell>
          <cell r="O299">
            <v>1</v>
          </cell>
          <cell r="P299">
            <v>46044</v>
          </cell>
          <cell r="Q299">
            <v>5</v>
          </cell>
          <cell r="R299" t="str">
            <v>NA</v>
          </cell>
          <cell r="S299">
            <v>5</v>
          </cell>
        </row>
        <row r="300">
          <cell r="B300" t="str">
            <v>EMMC</v>
          </cell>
          <cell r="C300" t="str">
            <v>HSLB11028</v>
          </cell>
          <cell r="D300">
            <v>106019</v>
          </cell>
          <cell r="E300" t="str">
            <v>Televisor 32'</v>
          </cell>
          <cell r="F300" t="str">
            <v>NO</v>
          </cell>
          <cell r="G300" t="str">
            <v>NO</v>
          </cell>
          <cell r="H300" t="str">
            <v>SALA 1 CAMA</v>
          </cell>
          <cell r="I300">
            <v>1</v>
          </cell>
          <cell r="J300" t="str">
            <v>C.3.7.16.6</v>
          </cell>
          <cell r="K300" t="str">
            <v>UTI</v>
          </cell>
          <cell r="L300">
            <v>3</v>
          </cell>
          <cell r="M300">
            <v>46042</v>
          </cell>
          <cell r="N300">
            <v>46043</v>
          </cell>
          <cell r="O300">
            <v>1</v>
          </cell>
          <cell r="P300">
            <v>46044</v>
          </cell>
          <cell r="Q300">
            <v>5</v>
          </cell>
          <cell r="R300" t="str">
            <v>NA</v>
          </cell>
          <cell r="S300">
            <v>5</v>
          </cell>
        </row>
        <row r="301">
          <cell r="B301" t="str">
            <v>EMMC</v>
          </cell>
          <cell r="C301" t="str">
            <v>HSLB11029</v>
          </cell>
          <cell r="D301">
            <v>106019</v>
          </cell>
          <cell r="E301" t="str">
            <v>Televisor 32'</v>
          </cell>
          <cell r="F301" t="str">
            <v>NO</v>
          </cell>
          <cell r="G301" t="str">
            <v>NO</v>
          </cell>
          <cell r="H301" t="str">
            <v>SALA 1 CAMA</v>
          </cell>
          <cell r="I301">
            <v>1</v>
          </cell>
          <cell r="J301" t="str">
            <v>C.3.7.16.7</v>
          </cell>
          <cell r="K301" t="str">
            <v>UTI</v>
          </cell>
          <cell r="L301">
            <v>3</v>
          </cell>
          <cell r="M301">
            <v>46042</v>
          </cell>
          <cell r="N301">
            <v>46043</v>
          </cell>
          <cell r="O301">
            <v>1</v>
          </cell>
          <cell r="P301">
            <v>46044</v>
          </cell>
          <cell r="Q301">
            <v>5</v>
          </cell>
          <cell r="R301" t="str">
            <v>NA</v>
          </cell>
          <cell r="S301">
            <v>5</v>
          </cell>
        </row>
        <row r="302">
          <cell r="B302" t="str">
            <v>EMMC</v>
          </cell>
          <cell r="C302" t="str">
            <v>HSLB11030</v>
          </cell>
          <cell r="D302">
            <v>106019</v>
          </cell>
          <cell r="E302" t="str">
            <v>Televisor 32'</v>
          </cell>
          <cell r="F302" t="str">
            <v>NO</v>
          </cell>
          <cell r="G302" t="str">
            <v>NO</v>
          </cell>
          <cell r="H302" t="str">
            <v>SALA 1 CAMA</v>
          </cell>
          <cell r="I302">
            <v>1</v>
          </cell>
          <cell r="J302" t="str">
            <v>C.3.7.16.8</v>
          </cell>
          <cell r="K302" t="str">
            <v>UTI</v>
          </cell>
          <cell r="L302">
            <v>3</v>
          </cell>
          <cell r="M302">
            <v>46042</v>
          </cell>
          <cell r="N302">
            <v>46043</v>
          </cell>
          <cell r="O302">
            <v>1</v>
          </cell>
          <cell r="P302">
            <v>46044</v>
          </cell>
          <cell r="Q302">
            <v>5</v>
          </cell>
          <cell r="R302" t="str">
            <v>NA</v>
          </cell>
          <cell r="S302">
            <v>5</v>
          </cell>
        </row>
        <row r="303">
          <cell r="B303" t="str">
            <v>EMMC</v>
          </cell>
          <cell r="C303" t="str">
            <v>HSLB11031</v>
          </cell>
          <cell r="D303">
            <v>106019</v>
          </cell>
          <cell r="E303" t="str">
            <v>Televisor 32'</v>
          </cell>
          <cell r="F303" t="str">
            <v>NO</v>
          </cell>
          <cell r="G303" t="str">
            <v>NO</v>
          </cell>
          <cell r="H303" t="str">
            <v>SALA 1 CAMA</v>
          </cell>
          <cell r="I303">
            <v>1</v>
          </cell>
          <cell r="J303" t="str">
            <v>C.3.7.16.9</v>
          </cell>
          <cell r="K303" t="str">
            <v>UTI</v>
          </cell>
          <cell r="L303">
            <v>3</v>
          </cell>
          <cell r="M303">
            <v>46042</v>
          </cell>
          <cell r="N303">
            <v>46043</v>
          </cell>
          <cell r="O303">
            <v>1</v>
          </cell>
          <cell r="P303">
            <v>46044</v>
          </cell>
          <cell r="Q303">
            <v>5</v>
          </cell>
          <cell r="R303" t="str">
            <v>NA</v>
          </cell>
          <cell r="S303">
            <v>5</v>
          </cell>
        </row>
        <row r="304">
          <cell r="B304" t="str">
            <v>EMMC</v>
          </cell>
          <cell r="C304" t="str">
            <v>HSLB11032</v>
          </cell>
          <cell r="D304">
            <v>106019</v>
          </cell>
          <cell r="E304" t="str">
            <v>Televisor 32'</v>
          </cell>
          <cell r="F304" t="str">
            <v>NO</v>
          </cell>
          <cell r="G304" t="str">
            <v>NO</v>
          </cell>
          <cell r="H304" t="str">
            <v>SALA AISLAMIENTO</v>
          </cell>
          <cell r="I304">
            <v>1</v>
          </cell>
          <cell r="J304" t="str">
            <v>C.3.7.17.1</v>
          </cell>
          <cell r="K304" t="str">
            <v>UTI</v>
          </cell>
          <cell r="L304">
            <v>3</v>
          </cell>
          <cell r="M304">
            <v>46042</v>
          </cell>
          <cell r="N304">
            <v>46043</v>
          </cell>
          <cell r="O304">
            <v>1</v>
          </cell>
          <cell r="P304">
            <v>46044</v>
          </cell>
          <cell r="Q304">
            <v>5</v>
          </cell>
          <cell r="R304" t="str">
            <v>NA</v>
          </cell>
          <cell r="S304">
            <v>5</v>
          </cell>
        </row>
        <row r="305">
          <cell r="B305" t="str">
            <v>EMMC</v>
          </cell>
          <cell r="C305" t="str">
            <v>HSLB11033</v>
          </cell>
          <cell r="D305">
            <v>106019</v>
          </cell>
          <cell r="E305" t="str">
            <v>Televisor 32'</v>
          </cell>
          <cell r="F305" t="str">
            <v>NO</v>
          </cell>
          <cell r="G305" t="str">
            <v>NO</v>
          </cell>
          <cell r="H305" t="str">
            <v>SALA AISLAMIENTO</v>
          </cell>
          <cell r="I305">
            <v>1</v>
          </cell>
          <cell r="J305" t="str">
            <v>C.3.7.17.2</v>
          </cell>
          <cell r="K305" t="str">
            <v>UTI</v>
          </cell>
          <cell r="L305">
            <v>3</v>
          </cell>
          <cell r="M305">
            <v>46042</v>
          </cell>
          <cell r="N305">
            <v>46043</v>
          </cell>
          <cell r="O305">
            <v>1</v>
          </cell>
          <cell r="P305">
            <v>46044</v>
          </cell>
          <cell r="Q305">
            <v>5</v>
          </cell>
          <cell r="R305" t="str">
            <v>NA</v>
          </cell>
          <cell r="S305">
            <v>5</v>
          </cell>
        </row>
        <row r="306">
          <cell r="B306" t="str">
            <v>EMMC</v>
          </cell>
          <cell r="C306" t="str">
            <v>HSLB11041</v>
          </cell>
          <cell r="D306">
            <v>106019</v>
          </cell>
          <cell r="E306" t="str">
            <v>Televisor 32'</v>
          </cell>
          <cell r="F306" t="str">
            <v>NO</v>
          </cell>
          <cell r="G306" t="str">
            <v>NO</v>
          </cell>
          <cell r="H306" t="str">
            <v>SALA DE ESPERA</v>
          </cell>
          <cell r="I306">
            <v>1</v>
          </cell>
          <cell r="J306" t="str">
            <v>C.5.6.1.1</v>
          </cell>
          <cell r="K306" t="str">
            <v>Parto integral</v>
          </cell>
          <cell r="L306">
            <v>3</v>
          </cell>
          <cell r="M306">
            <v>46042</v>
          </cell>
          <cell r="N306">
            <v>46043</v>
          </cell>
          <cell r="O306">
            <v>1</v>
          </cell>
          <cell r="P306">
            <v>46044</v>
          </cell>
          <cell r="Q306">
            <v>5</v>
          </cell>
          <cell r="R306" t="str">
            <v>NA</v>
          </cell>
          <cell r="S306">
            <v>5</v>
          </cell>
        </row>
        <row r="307">
          <cell r="B307" t="str">
            <v>EMMC</v>
          </cell>
          <cell r="C307" t="str">
            <v>HSLB11067</v>
          </cell>
          <cell r="D307">
            <v>106020</v>
          </cell>
          <cell r="E307" t="str">
            <v>Televisor 42'</v>
          </cell>
          <cell r="F307" t="str">
            <v>NO</v>
          </cell>
          <cell r="G307" t="str">
            <v>NO</v>
          </cell>
          <cell r="H307" t="str">
            <v>SALA DE ESPERA</v>
          </cell>
          <cell r="I307">
            <v>1</v>
          </cell>
          <cell r="J307" t="str">
            <v>C.3.7.4</v>
          </cell>
          <cell r="K307" t="str">
            <v>UTI</v>
          </cell>
          <cell r="L307">
            <v>3</v>
          </cell>
          <cell r="M307">
            <v>46042</v>
          </cell>
          <cell r="N307">
            <v>46043</v>
          </cell>
          <cell r="O307">
            <v>1</v>
          </cell>
          <cell r="P307">
            <v>46044</v>
          </cell>
          <cell r="Q307">
            <v>5</v>
          </cell>
          <cell r="R307" t="str">
            <v>NA</v>
          </cell>
          <cell r="S307">
            <v>5</v>
          </cell>
        </row>
        <row r="308">
          <cell r="B308" t="str">
            <v>EMMC</v>
          </cell>
          <cell r="C308" t="str">
            <v>HSLB11077</v>
          </cell>
          <cell r="D308">
            <v>106020</v>
          </cell>
          <cell r="E308" t="str">
            <v>Televisor 42'</v>
          </cell>
          <cell r="F308" t="str">
            <v>NO</v>
          </cell>
          <cell r="G308" t="str">
            <v>NO</v>
          </cell>
          <cell r="H308" t="str">
            <v>HALL DE ESPERA</v>
          </cell>
          <cell r="I308">
            <v>1</v>
          </cell>
          <cell r="J308" t="str">
            <v>D.3.2.2.1</v>
          </cell>
          <cell r="K308" t="str">
            <v>Concesionaria</v>
          </cell>
          <cell r="L308">
            <v>3</v>
          </cell>
          <cell r="M308">
            <v>46042</v>
          </cell>
          <cell r="N308">
            <v>46043</v>
          </cell>
          <cell r="O308">
            <v>1</v>
          </cell>
          <cell r="P308">
            <v>46044</v>
          </cell>
          <cell r="Q308">
            <v>5</v>
          </cell>
          <cell r="R308" t="str">
            <v>NA</v>
          </cell>
          <cell r="S308">
            <v>5</v>
          </cell>
        </row>
        <row r="309">
          <cell r="B309" t="str">
            <v>EMMC</v>
          </cell>
          <cell r="C309" t="str">
            <v>HSLB12688</v>
          </cell>
          <cell r="D309">
            <v>112092</v>
          </cell>
          <cell r="E309" t="str">
            <v>Velador Clínico</v>
          </cell>
          <cell r="F309" t="str">
            <v>NO</v>
          </cell>
          <cell r="G309" t="str">
            <v>NO</v>
          </cell>
          <cell r="H309" t="str">
            <v>SALA PARTO INTEGRAL</v>
          </cell>
          <cell r="I309">
            <v>1</v>
          </cell>
          <cell r="J309" t="str">
            <v>C.3.6.3.6.1</v>
          </cell>
          <cell r="K309" t="str">
            <v>Parto integral</v>
          </cell>
          <cell r="L309">
            <v>3</v>
          </cell>
          <cell r="M309">
            <v>46042</v>
          </cell>
          <cell r="N309">
            <v>46043</v>
          </cell>
          <cell r="O309">
            <v>1</v>
          </cell>
          <cell r="P309">
            <v>46044</v>
          </cell>
          <cell r="Q309">
            <v>5</v>
          </cell>
          <cell r="R309" t="str">
            <v>NA</v>
          </cell>
          <cell r="S309">
            <v>5</v>
          </cell>
        </row>
        <row r="310">
          <cell r="B310" t="str">
            <v>EMMC</v>
          </cell>
          <cell r="C310" t="str">
            <v>HSLB12689</v>
          </cell>
          <cell r="D310">
            <v>112092</v>
          </cell>
          <cell r="E310" t="str">
            <v>Velador Clínico</v>
          </cell>
          <cell r="F310" t="str">
            <v>NO</v>
          </cell>
          <cell r="G310" t="str">
            <v>NO</v>
          </cell>
          <cell r="H310" t="str">
            <v>SALA PARTO INTEGRAL</v>
          </cell>
          <cell r="I310">
            <v>1</v>
          </cell>
          <cell r="J310" t="str">
            <v>C.3.6.3.6.2</v>
          </cell>
          <cell r="K310" t="str">
            <v>Parto integral</v>
          </cell>
          <cell r="L310">
            <v>3</v>
          </cell>
          <cell r="M310">
            <v>46042</v>
          </cell>
          <cell r="N310">
            <v>46043</v>
          </cell>
          <cell r="O310">
            <v>1</v>
          </cell>
          <cell r="P310">
            <v>46044</v>
          </cell>
          <cell r="Q310">
            <v>5</v>
          </cell>
          <cell r="R310" t="str">
            <v>NA</v>
          </cell>
          <cell r="S310">
            <v>5</v>
          </cell>
        </row>
        <row r="311">
          <cell r="B311" t="str">
            <v>EMMC</v>
          </cell>
          <cell r="C311" t="str">
            <v>HSLB12690</v>
          </cell>
          <cell r="D311">
            <v>112092</v>
          </cell>
          <cell r="E311" t="str">
            <v>Velador Clínico</v>
          </cell>
          <cell r="F311" t="str">
            <v>NO</v>
          </cell>
          <cell r="G311" t="str">
            <v>NO</v>
          </cell>
          <cell r="H311" t="str">
            <v>SALA PARTO INTEGRAL</v>
          </cell>
          <cell r="I311">
            <v>1</v>
          </cell>
          <cell r="J311" t="str">
            <v>C.3.6.3.6.3</v>
          </cell>
          <cell r="K311" t="str">
            <v>Parto integral</v>
          </cell>
          <cell r="L311">
            <v>3</v>
          </cell>
          <cell r="M311">
            <v>46042</v>
          </cell>
          <cell r="N311">
            <v>46043</v>
          </cell>
          <cell r="O311">
            <v>1</v>
          </cell>
          <cell r="P311">
            <v>46044</v>
          </cell>
          <cell r="Q311">
            <v>5</v>
          </cell>
          <cell r="R311" t="str">
            <v>NA</v>
          </cell>
          <cell r="S311">
            <v>5</v>
          </cell>
        </row>
        <row r="312">
          <cell r="B312" t="str">
            <v>EMMC</v>
          </cell>
          <cell r="C312" t="str">
            <v>HSLB12691</v>
          </cell>
          <cell r="D312">
            <v>112092</v>
          </cell>
          <cell r="E312" t="str">
            <v>Velador Clínico</v>
          </cell>
          <cell r="F312" t="str">
            <v>NO</v>
          </cell>
          <cell r="G312" t="str">
            <v>NO</v>
          </cell>
          <cell r="H312" t="str">
            <v>SALA 1 CAMA</v>
          </cell>
          <cell r="I312">
            <v>1</v>
          </cell>
          <cell r="J312" t="str">
            <v>C.3.7.16.1</v>
          </cell>
          <cell r="K312" t="str">
            <v>UTI</v>
          </cell>
          <cell r="L312">
            <v>3</v>
          </cell>
          <cell r="M312">
            <v>46042</v>
          </cell>
          <cell r="N312">
            <v>46043</v>
          </cell>
          <cell r="O312">
            <v>1</v>
          </cell>
          <cell r="P312">
            <v>46044</v>
          </cell>
          <cell r="Q312">
            <v>5</v>
          </cell>
          <cell r="R312" t="str">
            <v>NA</v>
          </cell>
          <cell r="S312">
            <v>5</v>
          </cell>
        </row>
        <row r="313">
          <cell r="B313" t="str">
            <v>EMMC</v>
          </cell>
          <cell r="C313" t="str">
            <v>HSLB12692</v>
          </cell>
          <cell r="D313">
            <v>112092</v>
          </cell>
          <cell r="E313" t="str">
            <v>Velador Clínico</v>
          </cell>
          <cell r="F313" t="str">
            <v>NO</v>
          </cell>
          <cell r="G313" t="str">
            <v>NO</v>
          </cell>
          <cell r="H313" t="str">
            <v>SALA 1 CAMA</v>
          </cell>
          <cell r="I313">
            <v>1</v>
          </cell>
          <cell r="J313" t="str">
            <v>C.3.7.16.10</v>
          </cell>
          <cell r="K313" t="str">
            <v>UTI</v>
          </cell>
          <cell r="L313">
            <v>3</v>
          </cell>
          <cell r="M313">
            <v>46042</v>
          </cell>
          <cell r="N313">
            <v>46043</v>
          </cell>
          <cell r="O313">
            <v>1</v>
          </cell>
          <cell r="P313">
            <v>46044</v>
          </cell>
          <cell r="Q313">
            <v>5</v>
          </cell>
          <cell r="R313" t="str">
            <v>NA</v>
          </cell>
          <cell r="S313">
            <v>5</v>
          </cell>
        </row>
        <row r="314">
          <cell r="B314" t="str">
            <v>EMMC</v>
          </cell>
          <cell r="C314" t="str">
            <v>HSLB12693</v>
          </cell>
          <cell r="D314">
            <v>112092</v>
          </cell>
          <cell r="E314" t="str">
            <v>Velador Clínico</v>
          </cell>
          <cell r="F314" t="str">
            <v>NO</v>
          </cell>
          <cell r="G314" t="str">
            <v>NO</v>
          </cell>
          <cell r="H314" t="str">
            <v>SALA 1 CAMA</v>
          </cell>
          <cell r="I314">
            <v>1</v>
          </cell>
          <cell r="J314" t="str">
            <v>C.3.7.16.2</v>
          </cell>
          <cell r="K314" t="str">
            <v>UTI</v>
          </cell>
          <cell r="L314">
            <v>3</v>
          </cell>
          <cell r="M314">
            <v>46042</v>
          </cell>
          <cell r="N314">
            <v>46043</v>
          </cell>
          <cell r="O314">
            <v>1</v>
          </cell>
          <cell r="P314">
            <v>46044</v>
          </cell>
          <cell r="Q314">
            <v>5</v>
          </cell>
          <cell r="R314" t="str">
            <v>NA</v>
          </cell>
          <cell r="S314">
            <v>5</v>
          </cell>
        </row>
        <row r="315">
          <cell r="B315" t="str">
            <v>EMMC</v>
          </cell>
          <cell r="C315" t="str">
            <v>HSLB12694</v>
          </cell>
          <cell r="D315">
            <v>112092</v>
          </cell>
          <cell r="E315" t="str">
            <v>Velador Clínico</v>
          </cell>
          <cell r="F315" t="str">
            <v>NO</v>
          </cell>
          <cell r="G315" t="str">
            <v>NO</v>
          </cell>
          <cell r="H315" t="str">
            <v>SALA 1 CAMA</v>
          </cell>
          <cell r="I315">
            <v>1</v>
          </cell>
          <cell r="J315" t="str">
            <v>C.3.7.16.3</v>
          </cell>
          <cell r="K315" t="str">
            <v>UTI</v>
          </cell>
          <cell r="L315">
            <v>3</v>
          </cell>
          <cell r="M315">
            <v>46042</v>
          </cell>
          <cell r="N315">
            <v>46043</v>
          </cell>
          <cell r="O315">
            <v>1</v>
          </cell>
          <cell r="P315">
            <v>46044</v>
          </cell>
          <cell r="Q315">
            <v>5</v>
          </cell>
          <cell r="R315" t="str">
            <v>NA</v>
          </cell>
          <cell r="S315">
            <v>5</v>
          </cell>
        </row>
        <row r="316">
          <cell r="B316" t="str">
            <v>EMMC</v>
          </cell>
          <cell r="C316" t="str">
            <v>HSLB12695</v>
          </cell>
          <cell r="D316">
            <v>112092</v>
          </cell>
          <cell r="E316" t="str">
            <v>Velador Clínico</v>
          </cell>
          <cell r="F316" t="str">
            <v>NO</v>
          </cell>
          <cell r="G316" t="str">
            <v>NO</v>
          </cell>
          <cell r="H316" t="str">
            <v>SALA 1 CAMA</v>
          </cell>
          <cell r="I316">
            <v>1</v>
          </cell>
          <cell r="J316" t="str">
            <v>C.3.7.16.4</v>
          </cell>
          <cell r="K316" t="str">
            <v>UTI</v>
          </cell>
          <cell r="L316">
            <v>3</v>
          </cell>
          <cell r="M316">
            <v>46042</v>
          </cell>
          <cell r="N316">
            <v>46043</v>
          </cell>
          <cell r="O316">
            <v>1</v>
          </cell>
          <cell r="P316">
            <v>46044</v>
          </cell>
          <cell r="Q316">
            <v>5</v>
          </cell>
          <cell r="R316" t="str">
            <v>NA</v>
          </cell>
          <cell r="S316">
            <v>5</v>
          </cell>
        </row>
        <row r="317">
          <cell r="B317" t="str">
            <v>EMMC</v>
          </cell>
          <cell r="C317" t="str">
            <v>HSLB12696</v>
          </cell>
          <cell r="D317">
            <v>112092</v>
          </cell>
          <cell r="E317" t="str">
            <v>Velador Clínico</v>
          </cell>
          <cell r="F317" t="str">
            <v>NO</v>
          </cell>
          <cell r="G317" t="str">
            <v>NO</v>
          </cell>
          <cell r="H317" t="str">
            <v>SALA 1 CAMA</v>
          </cell>
          <cell r="I317">
            <v>1</v>
          </cell>
          <cell r="J317" t="str">
            <v>C.3.7.16.5</v>
          </cell>
          <cell r="K317" t="str">
            <v>UTI</v>
          </cell>
          <cell r="L317">
            <v>3</v>
          </cell>
          <cell r="M317">
            <v>46042</v>
          </cell>
          <cell r="N317">
            <v>46043</v>
          </cell>
          <cell r="O317">
            <v>1</v>
          </cell>
          <cell r="P317">
            <v>46044</v>
          </cell>
          <cell r="Q317">
            <v>5</v>
          </cell>
          <cell r="R317" t="str">
            <v>NA</v>
          </cell>
          <cell r="S317">
            <v>5</v>
          </cell>
        </row>
        <row r="318">
          <cell r="B318" t="str">
            <v>EMMC</v>
          </cell>
          <cell r="C318" t="str">
            <v>HSLB12697</v>
          </cell>
          <cell r="D318">
            <v>112092</v>
          </cell>
          <cell r="E318" t="str">
            <v>Velador Clínico</v>
          </cell>
          <cell r="F318" t="str">
            <v>NO</v>
          </cell>
          <cell r="G318" t="str">
            <v>NO</v>
          </cell>
          <cell r="H318" t="str">
            <v>SALA 1 CAMA</v>
          </cell>
          <cell r="I318">
            <v>1</v>
          </cell>
          <cell r="J318" t="str">
            <v>C.3.7.16.6</v>
          </cell>
          <cell r="K318" t="str">
            <v>UTI</v>
          </cell>
          <cell r="L318">
            <v>3</v>
          </cell>
          <cell r="M318">
            <v>46042</v>
          </cell>
          <cell r="N318">
            <v>46043</v>
          </cell>
          <cell r="O318">
            <v>1</v>
          </cell>
          <cell r="P318">
            <v>46044</v>
          </cell>
          <cell r="Q318">
            <v>5</v>
          </cell>
          <cell r="R318" t="str">
            <v>NA</v>
          </cell>
          <cell r="S318">
            <v>5</v>
          </cell>
        </row>
        <row r="319">
          <cell r="B319" t="str">
            <v>EMMC</v>
          </cell>
          <cell r="C319" t="str">
            <v>HSLB12698</v>
          </cell>
          <cell r="D319">
            <v>112092</v>
          </cell>
          <cell r="E319" t="str">
            <v>Velador Clínico</v>
          </cell>
          <cell r="F319" t="str">
            <v>NO</v>
          </cell>
          <cell r="G319" t="str">
            <v>NO</v>
          </cell>
          <cell r="H319" t="str">
            <v>SALA 1 CAMA</v>
          </cell>
          <cell r="I319">
            <v>1</v>
          </cell>
          <cell r="J319" t="str">
            <v>C.3.7.16.7</v>
          </cell>
          <cell r="K319" t="str">
            <v>UTI</v>
          </cell>
          <cell r="L319">
            <v>3</v>
          </cell>
          <cell r="M319">
            <v>46042</v>
          </cell>
          <cell r="N319">
            <v>46043</v>
          </cell>
          <cell r="O319">
            <v>1</v>
          </cell>
          <cell r="P319">
            <v>46044</v>
          </cell>
          <cell r="Q319">
            <v>5</v>
          </cell>
          <cell r="R319" t="str">
            <v>NA</v>
          </cell>
          <cell r="S319">
            <v>5</v>
          </cell>
        </row>
        <row r="320">
          <cell r="B320" t="str">
            <v>EMMC</v>
          </cell>
          <cell r="C320" t="str">
            <v>HSLB12699</v>
          </cell>
          <cell r="D320">
            <v>112092</v>
          </cell>
          <cell r="E320" t="str">
            <v>Velador Clínico</v>
          </cell>
          <cell r="F320" t="str">
            <v>NO</v>
          </cell>
          <cell r="G320" t="str">
            <v>NO</v>
          </cell>
          <cell r="H320" t="str">
            <v>SALA 1 CAMA</v>
          </cell>
          <cell r="I320">
            <v>1</v>
          </cell>
          <cell r="J320" t="str">
            <v>C.3.7.16.8</v>
          </cell>
          <cell r="K320" t="str">
            <v>UTI</v>
          </cell>
          <cell r="L320">
            <v>3</v>
          </cell>
          <cell r="M320">
            <v>46042</v>
          </cell>
          <cell r="N320">
            <v>46043</v>
          </cell>
          <cell r="O320">
            <v>1</v>
          </cell>
          <cell r="P320">
            <v>46044</v>
          </cell>
          <cell r="Q320">
            <v>5</v>
          </cell>
          <cell r="R320" t="str">
            <v>NA</v>
          </cell>
          <cell r="S320">
            <v>5</v>
          </cell>
        </row>
        <row r="321">
          <cell r="B321" t="str">
            <v>EMMC</v>
          </cell>
          <cell r="C321" t="str">
            <v>HSLB12700</v>
          </cell>
          <cell r="D321">
            <v>112092</v>
          </cell>
          <cell r="E321" t="str">
            <v>Velador Clínico</v>
          </cell>
          <cell r="F321" t="str">
            <v>NO</v>
          </cell>
          <cell r="G321" t="str">
            <v>NO</v>
          </cell>
          <cell r="H321" t="str">
            <v>SALA 1 CAMA</v>
          </cell>
          <cell r="I321">
            <v>1</v>
          </cell>
          <cell r="J321" t="str">
            <v>C.3.7.16.9</v>
          </cell>
          <cell r="K321" t="str">
            <v>UTI</v>
          </cell>
          <cell r="L321">
            <v>3</v>
          </cell>
          <cell r="M321">
            <v>46042</v>
          </cell>
          <cell r="N321">
            <v>46043</v>
          </cell>
          <cell r="O321">
            <v>1</v>
          </cell>
          <cell r="P321">
            <v>46044</v>
          </cell>
          <cell r="Q321">
            <v>5</v>
          </cell>
          <cell r="R321" t="str">
            <v>NA</v>
          </cell>
          <cell r="S321">
            <v>5</v>
          </cell>
        </row>
        <row r="322">
          <cell r="B322" t="str">
            <v>EMMC</v>
          </cell>
          <cell r="C322" t="str">
            <v>HSLB12701</v>
          </cell>
          <cell r="D322">
            <v>112092</v>
          </cell>
          <cell r="E322" t="str">
            <v>Velador Clínico</v>
          </cell>
          <cell r="F322" t="str">
            <v>NO</v>
          </cell>
          <cell r="G322" t="str">
            <v>NO</v>
          </cell>
          <cell r="H322" t="str">
            <v>SALA AISLAMIENTO</v>
          </cell>
          <cell r="I322">
            <v>1</v>
          </cell>
          <cell r="J322" t="str">
            <v>C.3.7.17.1</v>
          </cell>
          <cell r="K322" t="str">
            <v>UTI</v>
          </cell>
          <cell r="L322">
            <v>3</v>
          </cell>
          <cell r="M322">
            <v>46042</v>
          </cell>
          <cell r="N322">
            <v>46043</v>
          </cell>
          <cell r="O322">
            <v>1</v>
          </cell>
          <cell r="P322">
            <v>46044</v>
          </cell>
          <cell r="Q322">
            <v>5</v>
          </cell>
          <cell r="R322" t="str">
            <v>NA</v>
          </cell>
          <cell r="S322">
            <v>5</v>
          </cell>
        </row>
        <row r="323">
          <cell r="B323" t="str">
            <v>EMMC</v>
          </cell>
          <cell r="C323" t="str">
            <v>HSLB12702</v>
          </cell>
          <cell r="D323">
            <v>112092</v>
          </cell>
          <cell r="E323" t="str">
            <v>Velador Clínico</v>
          </cell>
          <cell r="F323" t="str">
            <v>NO</v>
          </cell>
          <cell r="G323" t="str">
            <v>NO</v>
          </cell>
          <cell r="H323" t="str">
            <v>SALA AISLAMIENTO</v>
          </cell>
          <cell r="I323">
            <v>1</v>
          </cell>
          <cell r="J323" t="str">
            <v>C.3.7.17.2</v>
          </cell>
          <cell r="K323" t="str">
            <v>UTI</v>
          </cell>
          <cell r="L323">
            <v>3</v>
          </cell>
          <cell r="M323">
            <v>46042</v>
          </cell>
          <cell r="N323">
            <v>46043</v>
          </cell>
          <cell r="O323">
            <v>1</v>
          </cell>
          <cell r="P323">
            <v>46044</v>
          </cell>
          <cell r="Q323">
            <v>5</v>
          </cell>
          <cell r="R323" t="str">
            <v>NA</v>
          </cell>
          <cell r="S323">
            <v>5</v>
          </cell>
        </row>
        <row r="324">
          <cell r="B324" t="str">
            <v>EMMC</v>
          </cell>
          <cell r="C324" t="str">
            <v>HSLB10270</v>
          </cell>
          <cell r="D324">
            <v>102006</v>
          </cell>
          <cell r="E324" t="str">
            <v>Torre Artroscopía</v>
          </cell>
          <cell r="F324" t="str">
            <v>NO</v>
          </cell>
          <cell r="G324" t="str">
            <v>SI</v>
          </cell>
          <cell r="H324" t="str">
            <v>BODEGA DE EQUIPOS</v>
          </cell>
          <cell r="I324">
            <v>1</v>
          </cell>
          <cell r="J324" t="str">
            <v>C.5.6.4.17</v>
          </cell>
          <cell r="K324" t="str">
            <v>Pabellones</v>
          </cell>
          <cell r="L324">
            <v>3</v>
          </cell>
          <cell r="M324">
            <v>46003</v>
          </cell>
          <cell r="N324">
            <v>46006</v>
          </cell>
          <cell r="O324">
            <v>1</v>
          </cell>
          <cell r="P324">
            <v>46007</v>
          </cell>
          <cell r="Q324">
            <v>5</v>
          </cell>
          <cell r="R324" t="str">
            <v>NA</v>
          </cell>
          <cell r="S324">
            <v>5</v>
          </cell>
        </row>
        <row r="325">
          <cell r="B325" t="str">
            <v>EMMC</v>
          </cell>
          <cell r="C325" t="str">
            <v>HSLB10274</v>
          </cell>
          <cell r="D325">
            <v>102007</v>
          </cell>
          <cell r="E325" t="str">
            <v>Torre de Endoscopía</v>
          </cell>
          <cell r="F325" t="str">
            <v>NO</v>
          </cell>
          <cell r="G325" t="str">
            <v>SI</v>
          </cell>
          <cell r="H325" t="str">
            <v>BODEGA DE EQUIPOS</v>
          </cell>
          <cell r="I325">
            <v>1</v>
          </cell>
          <cell r="J325" t="str">
            <v>C.5.6.4.17</v>
          </cell>
          <cell r="K325" t="str">
            <v>Pabellones</v>
          </cell>
          <cell r="L325">
            <v>3</v>
          </cell>
          <cell r="M325">
            <v>46003</v>
          </cell>
          <cell r="N325">
            <v>46006</v>
          </cell>
          <cell r="O325">
            <v>1</v>
          </cell>
          <cell r="P325">
            <v>46007</v>
          </cell>
          <cell r="Q325">
            <v>5</v>
          </cell>
          <cell r="R325" t="str">
            <v>NA</v>
          </cell>
          <cell r="S325">
            <v>5</v>
          </cell>
        </row>
        <row r="326">
          <cell r="B326" t="str">
            <v>EMMC</v>
          </cell>
          <cell r="C326" t="str">
            <v>HSLB10275</v>
          </cell>
          <cell r="D326">
            <v>102008</v>
          </cell>
          <cell r="E326" t="str">
            <v>Torre de Laparoscopía</v>
          </cell>
          <cell r="F326" t="str">
            <v>NO</v>
          </cell>
          <cell r="G326" t="str">
            <v>NO</v>
          </cell>
          <cell r="H326" t="str">
            <v>PABELLON CIRUGIA MAYOR ELECTIVA</v>
          </cell>
          <cell r="I326">
            <v>1</v>
          </cell>
          <cell r="J326" t="str">
            <v>C.5.6.4.5.1</v>
          </cell>
          <cell r="K326" t="str">
            <v>Pabellones</v>
          </cell>
          <cell r="L326">
            <v>3</v>
          </cell>
          <cell r="M326">
            <v>46039</v>
          </cell>
          <cell r="N326">
            <v>46041</v>
          </cell>
          <cell r="O326">
            <v>1</v>
          </cell>
          <cell r="P326">
            <v>46042</v>
          </cell>
          <cell r="Q326">
            <v>5</v>
          </cell>
          <cell r="R326" t="str">
            <v>NA</v>
          </cell>
          <cell r="S326">
            <v>5</v>
          </cell>
        </row>
        <row r="327">
          <cell r="B327" t="str">
            <v>EMMC</v>
          </cell>
          <cell r="C327" t="str">
            <v>HSLB10276</v>
          </cell>
          <cell r="D327">
            <v>102008</v>
          </cell>
          <cell r="E327" t="str">
            <v>Torre de Laparoscopía</v>
          </cell>
          <cell r="F327" t="str">
            <v>NO</v>
          </cell>
          <cell r="G327" t="str">
            <v>NO</v>
          </cell>
          <cell r="H327" t="str">
            <v>PABELLON CIRUGIA MAYOR ELECTIVA</v>
          </cell>
          <cell r="I327">
            <v>1</v>
          </cell>
          <cell r="J327" t="str">
            <v>C.5.6.4.5.2</v>
          </cell>
          <cell r="K327" t="str">
            <v>Pabellones</v>
          </cell>
          <cell r="L327">
            <v>3</v>
          </cell>
          <cell r="M327">
            <v>46039</v>
          </cell>
          <cell r="N327">
            <v>46041</v>
          </cell>
          <cell r="O327">
            <v>1</v>
          </cell>
          <cell r="P327">
            <v>46042</v>
          </cell>
          <cell r="Q327">
            <v>5</v>
          </cell>
          <cell r="R327" t="str">
            <v>NA</v>
          </cell>
          <cell r="S327">
            <v>5</v>
          </cell>
        </row>
        <row r="328">
          <cell r="B328" t="str">
            <v>EMMC</v>
          </cell>
          <cell r="C328" t="str">
            <v>HSLB10277</v>
          </cell>
          <cell r="D328">
            <v>102008</v>
          </cell>
          <cell r="E328" t="str">
            <v>Torre de Laparoscopía</v>
          </cell>
          <cell r="F328" t="str">
            <v>NO</v>
          </cell>
          <cell r="G328" t="str">
            <v>NO</v>
          </cell>
          <cell r="H328" t="str">
            <v>PABELLON CIRUGIA MAYOR ELECTIVA</v>
          </cell>
          <cell r="I328">
            <v>1</v>
          </cell>
          <cell r="J328" t="str">
            <v>C.5.6.4.5.3</v>
          </cell>
          <cell r="K328" t="str">
            <v>Pabellones</v>
          </cell>
          <cell r="L328">
            <v>3</v>
          </cell>
          <cell r="M328">
            <v>46039</v>
          </cell>
          <cell r="N328">
            <v>46041</v>
          </cell>
          <cell r="O328">
            <v>1</v>
          </cell>
          <cell r="P328">
            <v>46042</v>
          </cell>
          <cell r="Q328">
            <v>5</v>
          </cell>
          <cell r="R328" t="str">
            <v>NA</v>
          </cell>
          <cell r="S328">
            <v>5</v>
          </cell>
        </row>
        <row r="329">
          <cell r="B329" t="str">
            <v>EMMC</v>
          </cell>
          <cell r="C329" t="str">
            <v>HSLB10278</v>
          </cell>
          <cell r="D329">
            <v>102008</v>
          </cell>
          <cell r="E329" t="str">
            <v>Torre de Laparoscopía</v>
          </cell>
          <cell r="F329" t="str">
            <v>NO</v>
          </cell>
          <cell r="G329" t="str">
            <v>NO</v>
          </cell>
          <cell r="H329" t="str">
            <v>PABELLON URGENCIAS</v>
          </cell>
          <cell r="I329">
            <v>1</v>
          </cell>
          <cell r="J329" t="str">
            <v>C.5.6.4.7</v>
          </cell>
          <cell r="K329" t="str">
            <v>Pabellones</v>
          </cell>
          <cell r="L329">
            <v>3</v>
          </cell>
          <cell r="M329">
            <v>46039</v>
          </cell>
          <cell r="N329">
            <v>46041</v>
          </cell>
          <cell r="O329">
            <v>1</v>
          </cell>
          <cell r="P329">
            <v>46042</v>
          </cell>
          <cell r="Q329">
            <v>5</v>
          </cell>
          <cell r="R329" t="str">
            <v>NA</v>
          </cell>
          <cell r="S329">
            <v>5</v>
          </cell>
        </row>
        <row r="330">
          <cell r="B330" t="str">
            <v>EMMC</v>
          </cell>
          <cell r="C330" t="str">
            <v>HSLB11424</v>
          </cell>
          <cell r="D330">
            <v>110051</v>
          </cell>
          <cell r="E330" t="str">
            <v>Refrigerador Clínico 60 l</v>
          </cell>
          <cell r="F330" t="str">
            <v>NO</v>
          </cell>
          <cell r="G330" t="str">
            <v>NO</v>
          </cell>
          <cell r="H330" t="str">
            <v>AREA LIMPIA</v>
          </cell>
          <cell r="I330">
            <v>2</v>
          </cell>
          <cell r="J330" t="str">
            <v>C.3.6.3.8.1</v>
          </cell>
          <cell r="K330" t="str">
            <v>Parto integral</v>
          </cell>
          <cell r="L330">
            <v>3</v>
          </cell>
          <cell r="M330">
            <v>46042</v>
          </cell>
          <cell r="N330">
            <v>46043</v>
          </cell>
          <cell r="O330">
            <v>1</v>
          </cell>
          <cell r="P330">
            <v>46044</v>
          </cell>
          <cell r="Q330">
            <v>5</v>
          </cell>
          <cell r="R330" t="str">
            <v>NA</v>
          </cell>
          <cell r="S330">
            <v>5</v>
          </cell>
        </row>
        <row r="331">
          <cell r="B331" t="str">
            <v>EMMC</v>
          </cell>
          <cell r="C331" t="str">
            <v>HSLB11980</v>
          </cell>
          <cell r="D331">
            <v>112047</v>
          </cell>
          <cell r="E331" t="str">
            <v>Catre Clínico Eléctrico UTI</v>
          </cell>
          <cell r="F331" t="str">
            <v>NO</v>
          </cell>
          <cell r="G331" t="str">
            <v>NO</v>
          </cell>
          <cell r="H331" t="str">
            <v>SALA 1 CAMA</v>
          </cell>
          <cell r="I331">
            <v>1</v>
          </cell>
          <cell r="J331" t="str">
            <v>C.3.7.16.1</v>
          </cell>
          <cell r="K331" t="str">
            <v>UTI</v>
          </cell>
          <cell r="L331">
            <v>3</v>
          </cell>
          <cell r="M331">
            <v>46042</v>
          </cell>
          <cell r="N331">
            <v>46043</v>
          </cell>
          <cell r="O331">
            <v>1</v>
          </cell>
          <cell r="P331">
            <v>46044</v>
          </cell>
          <cell r="Q331">
            <v>5</v>
          </cell>
          <cell r="R331" t="str">
            <v>NA</v>
          </cell>
          <cell r="S331">
            <v>5</v>
          </cell>
        </row>
        <row r="332">
          <cell r="B332" t="str">
            <v>EMMC</v>
          </cell>
          <cell r="C332" t="str">
            <v>HSLB11981</v>
          </cell>
          <cell r="D332">
            <v>112047</v>
          </cell>
          <cell r="E332" t="str">
            <v>Catre Clínico Eléctrico UTI</v>
          </cell>
          <cell r="F332" t="str">
            <v>NO</v>
          </cell>
          <cell r="G332" t="str">
            <v>NO</v>
          </cell>
          <cell r="H332" t="str">
            <v>SALA 1 CAMA</v>
          </cell>
          <cell r="I332">
            <v>1</v>
          </cell>
          <cell r="J332" t="str">
            <v>C.3.7.16.10</v>
          </cell>
          <cell r="K332" t="str">
            <v>UTI</v>
          </cell>
          <cell r="L332">
            <v>3</v>
          </cell>
          <cell r="M332">
            <v>46042</v>
          </cell>
          <cell r="N332">
            <v>46043</v>
          </cell>
          <cell r="O332">
            <v>1</v>
          </cell>
          <cell r="P332">
            <v>46044</v>
          </cell>
          <cell r="Q332">
            <v>5</v>
          </cell>
          <cell r="R332" t="str">
            <v>NA</v>
          </cell>
          <cell r="S332">
            <v>5</v>
          </cell>
        </row>
        <row r="333">
          <cell r="B333" t="str">
            <v>EMMC</v>
          </cell>
          <cell r="C333" t="str">
            <v>HSLB11982</v>
          </cell>
          <cell r="D333">
            <v>112047</v>
          </cell>
          <cell r="E333" t="str">
            <v>Catre Clínico Eléctrico UTI</v>
          </cell>
          <cell r="F333" t="str">
            <v>NO</v>
          </cell>
          <cell r="G333" t="str">
            <v>NO</v>
          </cell>
          <cell r="H333" t="str">
            <v>SALA 1 CAMA</v>
          </cell>
          <cell r="I333">
            <v>1</v>
          </cell>
          <cell r="J333" t="str">
            <v>C.3.7.16.2</v>
          </cell>
          <cell r="K333" t="str">
            <v>UTI</v>
          </cell>
          <cell r="L333">
            <v>3</v>
          </cell>
          <cell r="M333">
            <v>46042</v>
          </cell>
          <cell r="N333">
            <v>46043</v>
          </cell>
          <cell r="O333">
            <v>1</v>
          </cell>
          <cell r="P333">
            <v>46044</v>
          </cell>
          <cell r="Q333">
            <v>5</v>
          </cell>
          <cell r="R333" t="str">
            <v>NA</v>
          </cell>
          <cell r="S333">
            <v>5</v>
          </cell>
        </row>
        <row r="334">
          <cell r="B334" t="str">
            <v>EMMC</v>
          </cell>
          <cell r="C334" t="str">
            <v>HSLB11983</v>
          </cell>
          <cell r="D334">
            <v>112047</v>
          </cell>
          <cell r="E334" t="str">
            <v>Catre Clínico Eléctrico UTI</v>
          </cell>
          <cell r="F334" t="str">
            <v>NO</v>
          </cell>
          <cell r="G334" t="str">
            <v>NO</v>
          </cell>
          <cell r="H334" t="str">
            <v>SALA 1 CAMA</v>
          </cell>
          <cell r="I334">
            <v>1</v>
          </cell>
          <cell r="J334" t="str">
            <v>C.3.7.16.3</v>
          </cell>
          <cell r="K334" t="str">
            <v>UTI</v>
          </cell>
          <cell r="L334">
            <v>3</v>
          </cell>
          <cell r="M334">
            <v>46042</v>
          </cell>
          <cell r="N334">
            <v>46043</v>
          </cell>
          <cell r="O334">
            <v>1</v>
          </cell>
          <cell r="P334">
            <v>46044</v>
          </cell>
          <cell r="Q334">
            <v>5</v>
          </cell>
          <cell r="R334" t="str">
            <v>NA</v>
          </cell>
          <cell r="S334">
            <v>5</v>
          </cell>
        </row>
        <row r="335">
          <cell r="B335" t="str">
            <v>EMMC</v>
          </cell>
          <cell r="C335" t="str">
            <v>HSLB11154</v>
          </cell>
          <cell r="D335">
            <v>108004</v>
          </cell>
          <cell r="E335" t="str">
            <v>Ecotomógrafo Multipropósito Básico</v>
          </cell>
          <cell r="F335" t="str">
            <v>NO</v>
          </cell>
          <cell r="G335" t="str">
            <v>SI</v>
          </cell>
          <cell r="H335" t="str">
            <v>BODEGA DE EQUIPOS</v>
          </cell>
          <cell r="I335">
            <v>1</v>
          </cell>
          <cell r="J335" t="str">
            <v>C.5.6.4.17</v>
          </cell>
          <cell r="K335" t="str">
            <v>Pabellones</v>
          </cell>
          <cell r="L335">
            <v>3</v>
          </cell>
          <cell r="M335">
            <v>46003</v>
          </cell>
          <cell r="N335">
            <v>46006</v>
          </cell>
          <cell r="O335">
            <v>1</v>
          </cell>
          <cell r="P335">
            <v>46007</v>
          </cell>
          <cell r="Q335">
            <v>5</v>
          </cell>
          <cell r="R335" t="str">
            <v>NA</v>
          </cell>
          <cell r="S335">
            <v>5</v>
          </cell>
        </row>
        <row r="336">
          <cell r="B336" t="str">
            <v>EMMC</v>
          </cell>
          <cell r="C336" t="str">
            <v>HSLB11984</v>
          </cell>
          <cell r="D336">
            <v>112047</v>
          </cell>
          <cell r="E336" t="str">
            <v>Catre Clínico Eléctrico UTI</v>
          </cell>
          <cell r="F336" t="str">
            <v>NO</v>
          </cell>
          <cell r="G336" t="str">
            <v>NO</v>
          </cell>
          <cell r="H336" t="str">
            <v>SALA 1 CAMA</v>
          </cell>
          <cell r="I336">
            <v>1</v>
          </cell>
          <cell r="J336" t="str">
            <v>C.3.7.16.4</v>
          </cell>
          <cell r="K336" t="str">
            <v>UTI</v>
          </cell>
          <cell r="L336">
            <v>3</v>
          </cell>
          <cell r="M336">
            <v>46042</v>
          </cell>
          <cell r="N336">
            <v>46043</v>
          </cell>
          <cell r="O336">
            <v>1</v>
          </cell>
          <cell r="P336">
            <v>46044</v>
          </cell>
          <cell r="Q336">
            <v>5</v>
          </cell>
          <cell r="R336" t="str">
            <v>NA</v>
          </cell>
          <cell r="S336">
            <v>5</v>
          </cell>
        </row>
        <row r="337">
          <cell r="B337" t="str">
            <v>EMMC</v>
          </cell>
          <cell r="C337" t="str">
            <v>HSLB11985</v>
          </cell>
          <cell r="D337">
            <v>112047</v>
          </cell>
          <cell r="E337" t="str">
            <v>Catre Clínico Eléctrico UTI</v>
          </cell>
          <cell r="F337" t="str">
            <v>NO</v>
          </cell>
          <cell r="G337" t="str">
            <v>NO</v>
          </cell>
          <cell r="H337" t="str">
            <v>SALA 1 CAMA</v>
          </cell>
          <cell r="I337">
            <v>1</v>
          </cell>
          <cell r="J337" t="str">
            <v>C.3.7.16.5</v>
          </cell>
          <cell r="K337" t="str">
            <v>UTI</v>
          </cell>
          <cell r="L337">
            <v>3</v>
          </cell>
          <cell r="M337">
            <v>46042</v>
          </cell>
          <cell r="N337">
            <v>46043</v>
          </cell>
          <cell r="O337">
            <v>1</v>
          </cell>
          <cell r="P337">
            <v>46044</v>
          </cell>
          <cell r="Q337">
            <v>5</v>
          </cell>
          <cell r="R337" t="str">
            <v>NA</v>
          </cell>
          <cell r="S337">
            <v>5</v>
          </cell>
        </row>
        <row r="338">
          <cell r="B338" t="str">
            <v>EMMC</v>
          </cell>
          <cell r="C338" t="str">
            <v>HSLB11986</v>
          </cell>
          <cell r="D338">
            <v>112047</v>
          </cell>
          <cell r="E338" t="str">
            <v>Catre Clínico Eléctrico UTI</v>
          </cell>
          <cell r="F338" t="str">
            <v>NO</v>
          </cell>
          <cell r="G338" t="str">
            <v>NO</v>
          </cell>
          <cell r="H338" t="str">
            <v>SALA 1 CAMA</v>
          </cell>
          <cell r="I338">
            <v>1</v>
          </cell>
          <cell r="J338" t="str">
            <v>C.3.7.16.6</v>
          </cell>
          <cell r="K338" t="str">
            <v>UTI</v>
          </cell>
          <cell r="L338">
            <v>3</v>
          </cell>
          <cell r="M338">
            <v>46042</v>
          </cell>
          <cell r="N338">
            <v>46043</v>
          </cell>
          <cell r="O338">
            <v>1</v>
          </cell>
          <cell r="P338">
            <v>46044</v>
          </cell>
          <cell r="Q338">
            <v>5</v>
          </cell>
          <cell r="R338" t="str">
            <v>NA</v>
          </cell>
          <cell r="S338">
            <v>5</v>
          </cell>
        </row>
        <row r="339">
          <cell r="B339" t="str">
            <v>EMMC</v>
          </cell>
          <cell r="C339" t="str">
            <v>HSLB11987</v>
          </cell>
          <cell r="D339">
            <v>112047</v>
          </cell>
          <cell r="E339" t="str">
            <v>Catre Clínico Eléctrico UTI</v>
          </cell>
          <cell r="F339" t="str">
            <v>NO</v>
          </cell>
          <cell r="G339" t="str">
            <v>NO</v>
          </cell>
          <cell r="H339" t="str">
            <v>SALA 1 CAMA</v>
          </cell>
          <cell r="I339">
            <v>1</v>
          </cell>
          <cell r="J339" t="str">
            <v>C.3.7.16.7</v>
          </cell>
          <cell r="K339" t="str">
            <v>UTI</v>
          </cell>
          <cell r="L339">
            <v>3</v>
          </cell>
          <cell r="M339">
            <v>46042</v>
          </cell>
          <cell r="N339">
            <v>46043</v>
          </cell>
          <cell r="O339">
            <v>1</v>
          </cell>
          <cell r="P339">
            <v>46044</v>
          </cell>
          <cell r="Q339">
            <v>5</v>
          </cell>
          <cell r="R339" t="str">
            <v>NA</v>
          </cell>
          <cell r="S339">
            <v>5</v>
          </cell>
        </row>
        <row r="340">
          <cell r="B340" t="str">
            <v>EMMC</v>
          </cell>
          <cell r="C340" t="str">
            <v>HSLB10579</v>
          </cell>
          <cell r="D340">
            <v>104030</v>
          </cell>
          <cell r="E340" t="str">
            <v>Sistema de Columnas y Brazos</v>
          </cell>
          <cell r="F340" t="str">
            <v>SI</v>
          </cell>
          <cell r="G340" t="str">
            <v>NO</v>
          </cell>
          <cell r="H340" t="str">
            <v>PABELLON CIRUGIA MAYOR AMBULATORIA</v>
          </cell>
          <cell r="I340">
            <v>1</v>
          </cell>
          <cell r="J340" t="str">
            <v>C.5.6.4.6.2</v>
          </cell>
          <cell r="K340" t="str">
            <v>Pabellones</v>
          </cell>
          <cell r="L340">
            <v>3</v>
          </cell>
          <cell r="M340">
            <v>46030</v>
          </cell>
          <cell r="N340">
            <v>46031</v>
          </cell>
          <cell r="O340">
            <v>15</v>
          </cell>
          <cell r="P340">
            <v>46052</v>
          </cell>
          <cell r="Q340">
            <v>5</v>
          </cell>
          <cell r="R340" t="str">
            <v>NA</v>
          </cell>
          <cell r="S340">
            <v>5</v>
          </cell>
        </row>
        <row r="341">
          <cell r="B341" t="str">
            <v>EMMC</v>
          </cell>
          <cell r="C341" t="str">
            <v>HSLB11988</v>
          </cell>
          <cell r="D341">
            <v>112047</v>
          </cell>
          <cell r="E341" t="str">
            <v>Catre Clínico Eléctrico UTI</v>
          </cell>
          <cell r="F341" t="str">
            <v>NO</v>
          </cell>
          <cell r="G341" t="str">
            <v>NO</v>
          </cell>
          <cell r="H341" t="str">
            <v>SALA 1 CAMA</v>
          </cell>
          <cell r="I341">
            <v>1</v>
          </cell>
          <cell r="J341" t="str">
            <v>C.3.7.16.8</v>
          </cell>
          <cell r="K341" t="str">
            <v>UTI</v>
          </cell>
          <cell r="L341">
            <v>3</v>
          </cell>
          <cell r="M341">
            <v>46042</v>
          </cell>
          <cell r="N341">
            <v>46043</v>
          </cell>
          <cell r="O341">
            <v>1</v>
          </cell>
          <cell r="P341">
            <v>46044</v>
          </cell>
          <cell r="Q341">
            <v>5</v>
          </cell>
          <cell r="R341" t="str">
            <v>NA</v>
          </cell>
          <cell r="S341">
            <v>5</v>
          </cell>
        </row>
        <row r="342">
          <cell r="B342" t="str">
            <v>EMMC</v>
          </cell>
          <cell r="C342" t="str">
            <v>HSLB10565</v>
          </cell>
          <cell r="D342">
            <v>104022</v>
          </cell>
          <cell r="E342" t="str">
            <v>Microscopio Quirúrgico Oftalmológico</v>
          </cell>
          <cell r="F342" t="str">
            <v>NO</v>
          </cell>
          <cell r="G342" t="str">
            <v>SI</v>
          </cell>
          <cell r="H342" t="str">
            <v>BODEGA DE EQUIPOS</v>
          </cell>
          <cell r="I342">
            <v>1</v>
          </cell>
          <cell r="J342" t="str">
            <v>C.5.6.4.17</v>
          </cell>
          <cell r="K342" t="str">
            <v>Pabellones</v>
          </cell>
          <cell r="L342">
            <v>3</v>
          </cell>
          <cell r="M342">
            <v>46003</v>
          </cell>
          <cell r="N342">
            <v>46006</v>
          </cell>
          <cell r="O342">
            <v>1</v>
          </cell>
          <cell r="P342">
            <v>46007</v>
          </cell>
          <cell r="Q342">
            <v>5</v>
          </cell>
          <cell r="R342" t="str">
            <v>NA</v>
          </cell>
          <cell r="S342">
            <v>5</v>
          </cell>
        </row>
        <row r="343">
          <cell r="B343" t="str">
            <v>EMMC</v>
          </cell>
          <cell r="C343" t="str">
            <v>HSLB10566</v>
          </cell>
          <cell r="D343">
            <v>104023</v>
          </cell>
          <cell r="E343" t="str">
            <v>Microscopio Quirúrgico Otorrinolaringológico</v>
          </cell>
          <cell r="F343" t="str">
            <v>NO</v>
          </cell>
          <cell r="G343" t="str">
            <v>NO</v>
          </cell>
          <cell r="H343" t="str">
            <v>BODEGA DE EQUIPOS</v>
          </cell>
          <cell r="I343">
            <v>1</v>
          </cell>
          <cell r="J343" t="str">
            <v>C.5.6.4.17.1</v>
          </cell>
          <cell r="K343" t="str">
            <v>Pabellones</v>
          </cell>
          <cell r="L343">
            <v>3</v>
          </cell>
          <cell r="M343">
            <v>46039</v>
          </cell>
          <cell r="N343">
            <v>46041</v>
          </cell>
          <cell r="O343">
            <v>1</v>
          </cell>
          <cell r="P343">
            <v>46042</v>
          </cell>
          <cell r="Q343">
            <v>5</v>
          </cell>
          <cell r="R343" t="str">
            <v>NA</v>
          </cell>
          <cell r="S343">
            <v>5</v>
          </cell>
        </row>
        <row r="344">
          <cell r="B344" t="str">
            <v>EMMC</v>
          </cell>
          <cell r="C344" t="str">
            <v>HSLB10263</v>
          </cell>
          <cell r="D344">
            <v>102003</v>
          </cell>
          <cell r="E344" t="str">
            <v>Nasofibrolaringoscopio</v>
          </cell>
          <cell r="F344" t="str">
            <v>NO</v>
          </cell>
          <cell r="G344" t="str">
            <v>SI</v>
          </cell>
          <cell r="H344" t="str">
            <v>BODEGA DE EQUIPOS</v>
          </cell>
          <cell r="I344">
            <v>1</v>
          </cell>
          <cell r="J344" t="str">
            <v>C.5.6.4.17</v>
          </cell>
          <cell r="K344" t="str">
            <v>Pabellones</v>
          </cell>
          <cell r="L344">
            <v>3</v>
          </cell>
          <cell r="M344">
            <v>46003</v>
          </cell>
          <cell r="N344">
            <v>46006</v>
          </cell>
          <cell r="O344">
            <v>1</v>
          </cell>
          <cell r="P344">
            <v>46007</v>
          </cell>
          <cell r="Q344">
            <v>5</v>
          </cell>
          <cell r="R344" t="str">
            <v>NA</v>
          </cell>
          <cell r="S344">
            <v>5</v>
          </cell>
        </row>
        <row r="345">
          <cell r="B345" t="str">
            <v>EMMC</v>
          </cell>
          <cell r="C345" t="str">
            <v>HSLB11425</v>
          </cell>
          <cell r="D345">
            <v>110051</v>
          </cell>
          <cell r="E345" t="str">
            <v>Refrigerador Clínico 60 l</v>
          </cell>
          <cell r="F345" t="str">
            <v>NO</v>
          </cell>
          <cell r="G345" t="str">
            <v>NO</v>
          </cell>
          <cell r="H345" t="str">
            <v>AREA LIMPIA</v>
          </cell>
          <cell r="I345">
            <v>1</v>
          </cell>
          <cell r="J345" t="str">
            <v>C.3.7.13.1</v>
          </cell>
          <cell r="K345" t="str">
            <v>UTI</v>
          </cell>
          <cell r="L345">
            <v>3</v>
          </cell>
          <cell r="M345">
            <v>46042</v>
          </cell>
          <cell r="N345">
            <v>46043</v>
          </cell>
          <cell r="O345">
            <v>1</v>
          </cell>
          <cell r="P345">
            <v>46044</v>
          </cell>
          <cell r="Q345">
            <v>5</v>
          </cell>
          <cell r="R345" t="str">
            <v>NA</v>
          </cell>
          <cell r="S345">
            <v>5</v>
          </cell>
        </row>
        <row r="346">
          <cell r="B346" t="str">
            <v>EMMC</v>
          </cell>
          <cell r="C346" t="str">
            <v>HSLB11427</v>
          </cell>
          <cell r="D346">
            <v>110051</v>
          </cell>
          <cell r="E346" t="str">
            <v>Refrigerador Clínico 60 l</v>
          </cell>
          <cell r="F346" t="str">
            <v>NO</v>
          </cell>
          <cell r="G346" t="str">
            <v>NO</v>
          </cell>
          <cell r="H346" t="str">
            <v>AREA LIMPIA</v>
          </cell>
          <cell r="I346">
            <v>1</v>
          </cell>
          <cell r="J346" t="str">
            <v>C.5.6.3.19.1.1</v>
          </cell>
          <cell r="K346" t="str">
            <v>Pabellones</v>
          </cell>
          <cell r="L346">
            <v>3</v>
          </cell>
          <cell r="M346">
            <v>46039</v>
          </cell>
          <cell r="N346">
            <v>46041</v>
          </cell>
          <cell r="O346">
            <v>1</v>
          </cell>
          <cell r="P346">
            <v>46042</v>
          </cell>
          <cell r="Q346">
            <v>5</v>
          </cell>
          <cell r="R346" t="str">
            <v>NA</v>
          </cell>
          <cell r="S346">
            <v>5</v>
          </cell>
        </row>
        <row r="347">
          <cell r="B347" t="str">
            <v>EMMC</v>
          </cell>
          <cell r="C347" t="str">
            <v>HSLB11428</v>
          </cell>
          <cell r="D347">
            <v>110051</v>
          </cell>
          <cell r="E347" t="str">
            <v>Refrigerador Clínico 60 l</v>
          </cell>
          <cell r="F347" t="str">
            <v>NO</v>
          </cell>
          <cell r="G347" t="str">
            <v>NO</v>
          </cell>
          <cell r="H347" t="str">
            <v>AREA SUCIA</v>
          </cell>
          <cell r="I347">
            <v>1</v>
          </cell>
          <cell r="J347" t="str">
            <v>C.5.6.3.19.2.1</v>
          </cell>
          <cell r="K347" t="str">
            <v>Pabellones</v>
          </cell>
          <cell r="L347">
            <v>3</v>
          </cell>
          <cell r="M347">
            <v>46039</v>
          </cell>
          <cell r="N347">
            <v>46041</v>
          </cell>
          <cell r="O347">
            <v>1</v>
          </cell>
          <cell r="P347">
            <v>46042</v>
          </cell>
          <cell r="Q347">
            <v>5</v>
          </cell>
          <cell r="R347" t="str">
            <v>NA</v>
          </cell>
          <cell r="S347">
            <v>5</v>
          </cell>
        </row>
        <row r="348">
          <cell r="B348" t="str">
            <v>EMMC</v>
          </cell>
          <cell r="C348" t="str">
            <v>HSLB11429</v>
          </cell>
          <cell r="D348">
            <v>110051</v>
          </cell>
          <cell r="E348" t="str">
            <v>Refrigerador Clínico 60 l</v>
          </cell>
          <cell r="F348" t="str">
            <v>NO</v>
          </cell>
          <cell r="G348" t="str">
            <v>NO</v>
          </cell>
          <cell r="H348" t="str">
            <v>SALA DE BIOPSIA RÁPIDA</v>
          </cell>
          <cell r="I348">
            <v>1</v>
          </cell>
          <cell r="J348" t="str">
            <v>C.5.6.4.12</v>
          </cell>
          <cell r="K348" t="str">
            <v>Pabellones</v>
          </cell>
          <cell r="L348">
            <v>3</v>
          </cell>
          <cell r="M348">
            <v>46039</v>
          </cell>
          <cell r="N348">
            <v>46041</v>
          </cell>
          <cell r="O348">
            <v>1</v>
          </cell>
          <cell r="P348">
            <v>46042</v>
          </cell>
          <cell r="Q348">
            <v>5</v>
          </cell>
          <cell r="R348" t="str">
            <v>NA</v>
          </cell>
          <cell r="S348">
            <v>5</v>
          </cell>
        </row>
        <row r="349">
          <cell r="B349" t="str">
            <v>EMMC</v>
          </cell>
          <cell r="C349" t="str">
            <v>HSLB10396</v>
          </cell>
          <cell r="D349">
            <v>103048</v>
          </cell>
          <cell r="E349" t="str">
            <v>Refrigerador Doméstico</v>
          </cell>
          <cell r="F349" t="str">
            <v>NO</v>
          </cell>
          <cell r="G349" t="str">
            <v>NO</v>
          </cell>
          <cell r="H349" t="str">
            <v>KITCHENETTE</v>
          </cell>
          <cell r="I349">
            <v>1</v>
          </cell>
          <cell r="J349" t="str">
            <v>B.5.2</v>
          </cell>
          <cell r="K349" t="str">
            <v>Capacitación</v>
          </cell>
          <cell r="L349">
            <v>3</v>
          </cell>
          <cell r="M349">
            <v>46042</v>
          </cell>
          <cell r="N349">
            <v>46043</v>
          </cell>
          <cell r="O349">
            <v>1</v>
          </cell>
          <cell r="P349">
            <v>46044</v>
          </cell>
          <cell r="Q349">
            <v>5</v>
          </cell>
          <cell r="R349" t="str">
            <v>NA</v>
          </cell>
          <cell r="S349">
            <v>5</v>
          </cell>
        </row>
        <row r="350">
          <cell r="B350" t="str">
            <v>EMMC</v>
          </cell>
          <cell r="C350" t="str">
            <v>HSLB10408</v>
          </cell>
          <cell r="D350">
            <v>103048</v>
          </cell>
          <cell r="E350" t="str">
            <v>Refrigerador Doméstico</v>
          </cell>
          <cell r="F350" t="str">
            <v>NO</v>
          </cell>
          <cell r="G350" t="str">
            <v>NO</v>
          </cell>
          <cell r="H350" t="str">
            <v>ESTAR PERSONAL C/ KITCHENETTE</v>
          </cell>
          <cell r="I350">
            <v>1</v>
          </cell>
          <cell r="J350" t="str">
            <v>C.3.6.22.1</v>
          </cell>
          <cell r="K350" t="str">
            <v>Parto integral</v>
          </cell>
          <cell r="L350">
            <v>3</v>
          </cell>
          <cell r="M350">
            <v>46042</v>
          </cell>
          <cell r="N350">
            <v>46043</v>
          </cell>
          <cell r="O350">
            <v>1</v>
          </cell>
          <cell r="P350">
            <v>46044</v>
          </cell>
          <cell r="Q350">
            <v>5</v>
          </cell>
          <cell r="R350" t="str">
            <v>NA</v>
          </cell>
          <cell r="S350">
            <v>5</v>
          </cell>
        </row>
        <row r="351">
          <cell r="B351" t="str">
            <v>EMMC</v>
          </cell>
          <cell r="C351" t="str">
            <v>HSLB10409</v>
          </cell>
          <cell r="D351">
            <v>103048</v>
          </cell>
          <cell r="E351" t="str">
            <v>Refrigerador Doméstico</v>
          </cell>
          <cell r="F351" t="str">
            <v>NO</v>
          </cell>
          <cell r="G351" t="str">
            <v>NO</v>
          </cell>
          <cell r="H351" t="str">
            <v>ESTAR PERSONAL C/ KITCHENETTE</v>
          </cell>
          <cell r="I351">
            <v>1</v>
          </cell>
          <cell r="J351" t="str">
            <v>C.3.7.27.1</v>
          </cell>
          <cell r="K351" t="str">
            <v>UTI</v>
          </cell>
          <cell r="L351">
            <v>3</v>
          </cell>
          <cell r="M351">
            <v>46042</v>
          </cell>
          <cell r="N351">
            <v>46043</v>
          </cell>
          <cell r="O351">
            <v>1</v>
          </cell>
          <cell r="P351">
            <v>46044</v>
          </cell>
          <cell r="Q351">
            <v>5</v>
          </cell>
          <cell r="R351" t="str">
            <v>NA</v>
          </cell>
          <cell r="S351">
            <v>5</v>
          </cell>
        </row>
        <row r="352">
          <cell r="B352" t="str">
            <v>EMMC</v>
          </cell>
          <cell r="C352" t="str">
            <v>HSLB10410</v>
          </cell>
          <cell r="D352">
            <v>103048</v>
          </cell>
          <cell r="E352" t="str">
            <v>Refrigerador Doméstico</v>
          </cell>
          <cell r="F352" t="str">
            <v>NO</v>
          </cell>
          <cell r="G352" t="str">
            <v>NO</v>
          </cell>
          <cell r="H352" t="str">
            <v>ESTAR PERSONAL C/ KITCHENETTE</v>
          </cell>
          <cell r="I352">
            <v>1</v>
          </cell>
          <cell r="J352" t="str">
            <v>C.3.7.27.2</v>
          </cell>
          <cell r="K352" t="str">
            <v>UTI</v>
          </cell>
          <cell r="L352">
            <v>3</v>
          </cell>
          <cell r="M352">
            <v>46042</v>
          </cell>
          <cell r="N352">
            <v>46043</v>
          </cell>
          <cell r="O352">
            <v>1</v>
          </cell>
          <cell r="P352">
            <v>46044</v>
          </cell>
          <cell r="Q352">
            <v>5</v>
          </cell>
          <cell r="R352" t="str">
            <v>NA</v>
          </cell>
          <cell r="S352">
            <v>5</v>
          </cell>
        </row>
        <row r="353">
          <cell r="B353" t="str">
            <v>EMMC</v>
          </cell>
          <cell r="C353" t="str">
            <v>HSLB10412</v>
          </cell>
          <cell r="D353">
            <v>103048</v>
          </cell>
          <cell r="E353" t="str">
            <v>Refrigerador Doméstico</v>
          </cell>
          <cell r="F353" t="str">
            <v>NO</v>
          </cell>
          <cell r="G353" t="str">
            <v>NO</v>
          </cell>
          <cell r="H353" t="str">
            <v>ESTAR PERSONAL C/ KITCHENETTE</v>
          </cell>
          <cell r="I353">
            <v>1</v>
          </cell>
          <cell r="J353" t="str">
            <v>C.3.8.2.2</v>
          </cell>
          <cell r="K353" t="str">
            <v>Pabellones</v>
          </cell>
          <cell r="L353">
            <v>3</v>
          </cell>
          <cell r="M353">
            <v>46039</v>
          </cell>
          <cell r="N353">
            <v>46041</v>
          </cell>
          <cell r="O353">
            <v>1</v>
          </cell>
          <cell r="P353">
            <v>46042</v>
          </cell>
          <cell r="Q353">
            <v>5</v>
          </cell>
          <cell r="R353" t="str">
            <v>NA</v>
          </cell>
          <cell r="S353">
            <v>5</v>
          </cell>
        </row>
        <row r="354">
          <cell r="B354" t="str">
            <v>EMMC</v>
          </cell>
          <cell r="C354" t="str">
            <v>HSLB10421</v>
          </cell>
          <cell r="D354">
            <v>103048</v>
          </cell>
          <cell r="E354" t="str">
            <v>Refrigerador Doméstico</v>
          </cell>
          <cell r="F354" t="str">
            <v>NO</v>
          </cell>
          <cell r="G354" t="str">
            <v>NO</v>
          </cell>
          <cell r="H354" t="str">
            <v>ESTAR PERSONAL C/ KITCHENETTE</v>
          </cell>
          <cell r="I354">
            <v>1</v>
          </cell>
          <cell r="J354" t="str">
            <v>C.5.5.3</v>
          </cell>
          <cell r="K354" t="str">
            <v>Esterilización</v>
          </cell>
          <cell r="L354">
            <v>3</v>
          </cell>
          <cell r="M354">
            <v>46042</v>
          </cell>
          <cell r="N354">
            <v>46043</v>
          </cell>
          <cell r="O354">
            <v>1</v>
          </cell>
          <cell r="P354">
            <v>46044</v>
          </cell>
          <cell r="Q354">
            <v>5</v>
          </cell>
          <cell r="R354" t="str">
            <v>NA</v>
          </cell>
          <cell r="S354">
            <v>5</v>
          </cell>
        </row>
        <row r="355">
          <cell r="B355" t="str">
            <v>EMMC</v>
          </cell>
          <cell r="C355" t="str">
            <v>HSLB10422</v>
          </cell>
          <cell r="D355">
            <v>103048</v>
          </cell>
          <cell r="E355" t="str">
            <v>Refrigerador Doméstico</v>
          </cell>
          <cell r="F355" t="str">
            <v>NO</v>
          </cell>
          <cell r="G355" t="str">
            <v>NO</v>
          </cell>
          <cell r="H355" t="str">
            <v>ESTAR PERSONAL C/ KITCHENETTE</v>
          </cell>
          <cell r="I355">
            <v>1</v>
          </cell>
          <cell r="J355" t="str">
            <v>C.5.6.3.12</v>
          </cell>
          <cell r="K355" t="str">
            <v>Pabellones</v>
          </cell>
          <cell r="L355">
            <v>3</v>
          </cell>
          <cell r="M355">
            <v>46039</v>
          </cell>
          <cell r="N355">
            <v>46041</v>
          </cell>
          <cell r="O355">
            <v>1</v>
          </cell>
          <cell r="P355">
            <v>46042</v>
          </cell>
          <cell r="Q355">
            <v>5</v>
          </cell>
          <cell r="R355" t="str">
            <v>NA</v>
          </cell>
          <cell r="S355">
            <v>5</v>
          </cell>
        </row>
        <row r="356">
          <cell r="B356" t="str">
            <v>EMMC</v>
          </cell>
          <cell r="C356" t="str">
            <v>HSLB10429</v>
          </cell>
          <cell r="D356">
            <v>103048</v>
          </cell>
          <cell r="E356" t="str">
            <v>Refrigerador Doméstico</v>
          </cell>
          <cell r="F356" t="str">
            <v>NO</v>
          </cell>
          <cell r="G356" t="str">
            <v>NO</v>
          </cell>
          <cell r="H356" t="str">
            <v>ESTAR PERSONAL C/ KITCHENETTE</v>
          </cell>
          <cell r="I356">
            <v>1</v>
          </cell>
          <cell r="J356" t="str">
            <v>D.2.2.4.3</v>
          </cell>
          <cell r="K356" t="str">
            <v>Auditorio</v>
          </cell>
          <cell r="L356">
            <v>3</v>
          </cell>
          <cell r="M356">
            <v>46042</v>
          </cell>
          <cell r="N356">
            <v>46043</v>
          </cell>
          <cell r="O356">
            <v>1</v>
          </cell>
          <cell r="P356">
            <v>46044</v>
          </cell>
          <cell r="Q356">
            <v>5</v>
          </cell>
          <cell r="R356" t="str">
            <v>NA</v>
          </cell>
          <cell r="S356">
            <v>5</v>
          </cell>
        </row>
        <row r="357">
          <cell r="B357" t="str">
            <v>EMMC</v>
          </cell>
          <cell r="C357" t="str">
            <v>HSLB10432</v>
          </cell>
          <cell r="D357">
            <v>103048</v>
          </cell>
          <cell r="E357" t="str">
            <v>Refrigerador Doméstico</v>
          </cell>
          <cell r="F357" t="str">
            <v>NO</v>
          </cell>
          <cell r="G357" t="str">
            <v>NO</v>
          </cell>
          <cell r="H357" t="str">
            <v>KITCHENETTE</v>
          </cell>
          <cell r="I357">
            <v>1</v>
          </cell>
          <cell r="J357" t="str">
            <v>D.2.3.9</v>
          </cell>
          <cell r="K357" t="str">
            <v>Mantenimiento</v>
          </cell>
          <cell r="L357">
            <v>3</v>
          </cell>
          <cell r="M357">
            <v>46042</v>
          </cell>
          <cell r="N357">
            <v>46043</v>
          </cell>
          <cell r="O357">
            <v>1</v>
          </cell>
          <cell r="P357">
            <v>46044</v>
          </cell>
          <cell r="Q357">
            <v>5</v>
          </cell>
          <cell r="R357" t="str">
            <v>NA</v>
          </cell>
          <cell r="S357">
            <v>5</v>
          </cell>
        </row>
        <row r="358">
          <cell r="B358" t="str">
            <v>EMMC</v>
          </cell>
          <cell r="C358" t="str">
            <v>HSLB10435</v>
          </cell>
          <cell r="D358">
            <v>103048</v>
          </cell>
          <cell r="E358" t="str">
            <v>Refrigerador Doméstico</v>
          </cell>
          <cell r="F358" t="str">
            <v>NO</v>
          </cell>
          <cell r="G358" t="str">
            <v>NO</v>
          </cell>
          <cell r="H358" t="str">
            <v>KITCHENETTE</v>
          </cell>
          <cell r="I358">
            <v>1</v>
          </cell>
          <cell r="J358" t="str">
            <v>D.3.4.2.1</v>
          </cell>
          <cell r="K358" t="str">
            <v>Contabilidad</v>
          </cell>
          <cell r="L358">
            <v>3</v>
          </cell>
          <cell r="M358">
            <v>46042</v>
          </cell>
          <cell r="N358">
            <v>46043</v>
          </cell>
          <cell r="O358">
            <v>1</v>
          </cell>
          <cell r="P358">
            <v>46044</v>
          </cell>
          <cell r="Q358">
            <v>5</v>
          </cell>
          <cell r="R358" t="str">
            <v>NA</v>
          </cell>
          <cell r="S358">
            <v>5</v>
          </cell>
        </row>
        <row r="359">
          <cell r="B359" t="str">
            <v>EMMC</v>
          </cell>
          <cell r="C359" t="str">
            <v>HSLB10436</v>
          </cell>
          <cell r="D359">
            <v>103048</v>
          </cell>
          <cell r="E359" t="str">
            <v>Refrigerador Doméstico</v>
          </cell>
          <cell r="F359" t="str">
            <v>NO</v>
          </cell>
          <cell r="G359" t="str">
            <v>NO</v>
          </cell>
          <cell r="H359" t="str">
            <v>KITCHENETTE</v>
          </cell>
          <cell r="I359">
            <v>1</v>
          </cell>
          <cell r="J359" t="str">
            <v>D.4.5.5</v>
          </cell>
          <cell r="K359" t="str">
            <v>IF</v>
          </cell>
          <cell r="L359">
            <v>3</v>
          </cell>
          <cell r="M359">
            <v>46042</v>
          </cell>
          <cell r="N359">
            <v>46043</v>
          </cell>
          <cell r="O359">
            <v>1</v>
          </cell>
          <cell r="P359">
            <v>46044</v>
          </cell>
          <cell r="Q359">
            <v>5</v>
          </cell>
          <cell r="R359" t="str">
            <v>NA</v>
          </cell>
          <cell r="S359">
            <v>5</v>
          </cell>
        </row>
        <row r="360">
          <cell r="B360" t="str">
            <v>EMMC</v>
          </cell>
          <cell r="C360" t="str">
            <v>HSLB10437</v>
          </cell>
          <cell r="D360">
            <v>103048</v>
          </cell>
          <cell r="E360" t="str">
            <v>Refrigerador Doméstico</v>
          </cell>
          <cell r="F360" t="str">
            <v>NO</v>
          </cell>
          <cell r="G360" t="str">
            <v>NO</v>
          </cell>
          <cell r="H360" t="str">
            <v>KITCHENETTE</v>
          </cell>
          <cell r="I360">
            <v>1</v>
          </cell>
          <cell r="J360" t="str">
            <v>D.4.6.2</v>
          </cell>
          <cell r="K360" t="str">
            <v>Capacitación</v>
          </cell>
          <cell r="L360">
            <v>3</v>
          </cell>
          <cell r="M360">
            <v>46042</v>
          </cell>
          <cell r="N360">
            <v>46043</v>
          </cell>
          <cell r="O360">
            <v>1</v>
          </cell>
          <cell r="P360">
            <v>46044</v>
          </cell>
          <cell r="Q360">
            <v>5</v>
          </cell>
          <cell r="R360" t="str">
            <v>NA</v>
          </cell>
          <cell r="S360">
            <v>5</v>
          </cell>
        </row>
        <row r="361">
          <cell r="B361" t="str">
            <v>EMMC</v>
          </cell>
          <cell r="C361" t="str">
            <v>HSLB10438</v>
          </cell>
          <cell r="D361">
            <v>103048</v>
          </cell>
          <cell r="E361" t="str">
            <v>Refrigerador Doméstico</v>
          </cell>
          <cell r="F361" t="str">
            <v>NO</v>
          </cell>
          <cell r="G361" t="str">
            <v>NO</v>
          </cell>
          <cell r="H361" t="str">
            <v>COCINA CON REPOSTERO</v>
          </cell>
          <cell r="I361">
            <v>1</v>
          </cell>
          <cell r="J361" t="str">
            <v>E.1.6</v>
          </cell>
          <cell r="K361" t="str">
            <v>Auditorio</v>
          </cell>
          <cell r="L361">
            <v>3</v>
          </cell>
          <cell r="M361">
            <v>46042</v>
          </cell>
          <cell r="N361">
            <v>46043</v>
          </cell>
          <cell r="O361">
            <v>1</v>
          </cell>
          <cell r="P361">
            <v>46044</v>
          </cell>
          <cell r="Q361">
            <v>5</v>
          </cell>
          <cell r="R361" t="str">
            <v>NA</v>
          </cell>
          <cell r="S361">
            <v>5</v>
          </cell>
        </row>
        <row r="362">
          <cell r="B362" t="str">
            <v>EMMC</v>
          </cell>
          <cell r="C362" t="str">
            <v>HSLB10923</v>
          </cell>
          <cell r="D362">
            <v>106013</v>
          </cell>
          <cell r="E362" t="str">
            <v>Proyector</v>
          </cell>
          <cell r="F362" t="str">
            <v>NO</v>
          </cell>
          <cell r="G362" t="str">
            <v>NO</v>
          </cell>
          <cell r="H362" t="str">
            <v>AUDITORIO</v>
          </cell>
          <cell r="I362">
            <v>2</v>
          </cell>
          <cell r="J362" t="str">
            <v>E.1.2</v>
          </cell>
          <cell r="K362" t="str">
            <v>Auditorio</v>
          </cell>
          <cell r="L362">
            <v>3</v>
          </cell>
          <cell r="M362">
            <v>46042</v>
          </cell>
          <cell r="N362">
            <v>46043</v>
          </cell>
          <cell r="O362">
            <v>1</v>
          </cell>
          <cell r="P362">
            <v>46044</v>
          </cell>
          <cell r="Q362">
            <v>5</v>
          </cell>
          <cell r="R362" t="str">
            <v>NA</v>
          </cell>
          <cell r="S362">
            <v>5</v>
          </cell>
        </row>
        <row r="363">
          <cell r="B363" t="str">
            <v>EMMC</v>
          </cell>
          <cell r="C363" t="str">
            <v>HSLB10893</v>
          </cell>
          <cell r="D363">
            <v>106013</v>
          </cell>
          <cell r="E363" t="str">
            <v>Proyector</v>
          </cell>
          <cell r="F363" t="str">
            <v>NO</v>
          </cell>
          <cell r="G363" t="str">
            <v>NO</v>
          </cell>
          <cell r="H363" t="str">
            <v>SALA DE REUNIONES (25pp)</v>
          </cell>
          <cell r="I363">
            <v>1</v>
          </cell>
          <cell r="J363" t="str">
            <v>B.5.1</v>
          </cell>
          <cell r="K363" t="str">
            <v>Contabilidad</v>
          </cell>
          <cell r="L363">
            <v>3</v>
          </cell>
          <cell r="M363">
            <v>46042</v>
          </cell>
          <cell r="N363">
            <v>46043</v>
          </cell>
          <cell r="O363">
            <v>1</v>
          </cell>
          <cell r="P363">
            <v>46044</v>
          </cell>
          <cell r="Q363">
            <v>5</v>
          </cell>
          <cell r="R363" t="str">
            <v>NA</v>
          </cell>
          <cell r="S363">
            <v>5</v>
          </cell>
        </row>
        <row r="364">
          <cell r="B364" t="str">
            <v>EMMC</v>
          </cell>
          <cell r="C364" t="str">
            <v>HSLB10917</v>
          </cell>
          <cell r="D364">
            <v>106013</v>
          </cell>
          <cell r="E364" t="str">
            <v>Proyector</v>
          </cell>
          <cell r="F364" t="str">
            <v>NO</v>
          </cell>
          <cell r="G364" t="str">
            <v>NO</v>
          </cell>
          <cell r="H364" t="str">
            <v>SALA DE REUNIONES (20 pp)</v>
          </cell>
          <cell r="I364">
            <v>1</v>
          </cell>
          <cell r="J364" t="str">
            <v>D.2.5.1</v>
          </cell>
          <cell r="K364" t="str">
            <v>Auditorio</v>
          </cell>
          <cell r="L364">
            <v>3</v>
          </cell>
          <cell r="M364">
            <v>46042</v>
          </cell>
          <cell r="N364">
            <v>46043</v>
          </cell>
          <cell r="O364">
            <v>1</v>
          </cell>
          <cell r="P364">
            <v>46044</v>
          </cell>
          <cell r="Q364">
            <v>5</v>
          </cell>
          <cell r="R364" t="str">
            <v>NA</v>
          </cell>
          <cell r="S364">
            <v>5</v>
          </cell>
        </row>
        <row r="365">
          <cell r="B365" t="str">
            <v>EMMC</v>
          </cell>
          <cell r="C365" t="str">
            <v>HSLB10920</v>
          </cell>
          <cell r="D365">
            <v>106013</v>
          </cell>
          <cell r="E365" t="str">
            <v>Proyector</v>
          </cell>
          <cell r="F365" t="str">
            <v>NO</v>
          </cell>
          <cell r="G365" t="str">
            <v>NO</v>
          </cell>
          <cell r="H365" t="str">
            <v>SALA DE CAPACITACIÓN PERSONALIZADA</v>
          </cell>
          <cell r="I365">
            <v>1</v>
          </cell>
          <cell r="J365" t="str">
            <v>D.4.5.3</v>
          </cell>
          <cell r="K365" t="str">
            <v>Capacitación</v>
          </cell>
          <cell r="L365">
            <v>3</v>
          </cell>
          <cell r="M365">
            <v>46042</v>
          </cell>
          <cell r="N365">
            <v>46043</v>
          </cell>
          <cell r="O365">
            <v>1</v>
          </cell>
          <cell r="P365">
            <v>46044</v>
          </cell>
          <cell r="Q365">
            <v>5</v>
          </cell>
          <cell r="R365" t="str">
            <v>NA</v>
          </cell>
          <cell r="S365">
            <v>5</v>
          </cell>
        </row>
        <row r="366">
          <cell r="B366" t="str">
            <v>EMMC</v>
          </cell>
          <cell r="C366" t="str">
            <v>HSLB10921</v>
          </cell>
          <cell r="D366">
            <v>106013</v>
          </cell>
          <cell r="E366" t="str">
            <v>Proyector</v>
          </cell>
          <cell r="F366" t="str">
            <v>NO</v>
          </cell>
          <cell r="G366" t="str">
            <v>NO</v>
          </cell>
          <cell r="H366" t="str">
            <v>SALA DE CAPACITACIÓN MASIVA</v>
          </cell>
          <cell r="I366">
            <v>1</v>
          </cell>
          <cell r="J366" t="str">
            <v>D.4.5.4</v>
          </cell>
          <cell r="K366" t="str">
            <v>Capacitación</v>
          </cell>
          <cell r="L366">
            <v>3</v>
          </cell>
          <cell r="M366">
            <v>46042</v>
          </cell>
          <cell r="N366">
            <v>46043</v>
          </cell>
          <cell r="O366">
            <v>1</v>
          </cell>
          <cell r="P366">
            <v>46044</v>
          </cell>
          <cell r="Q366">
            <v>5</v>
          </cell>
          <cell r="R366" t="str">
            <v>NA</v>
          </cell>
          <cell r="S366">
            <v>5</v>
          </cell>
        </row>
        <row r="367">
          <cell r="B367" t="str">
            <v>EMMC</v>
          </cell>
          <cell r="C367" t="str">
            <v>HSLB10922</v>
          </cell>
          <cell r="D367">
            <v>106013</v>
          </cell>
          <cell r="E367" t="str">
            <v>Proyector</v>
          </cell>
          <cell r="F367" t="str">
            <v>NO</v>
          </cell>
          <cell r="G367" t="str">
            <v>NO</v>
          </cell>
          <cell r="H367" t="str">
            <v>SALA DE REUNIONES</v>
          </cell>
          <cell r="I367">
            <v>1</v>
          </cell>
          <cell r="J367" t="str">
            <v>D.4.6.1</v>
          </cell>
          <cell r="K367" t="str">
            <v>Capacitación</v>
          </cell>
          <cell r="L367">
            <v>3</v>
          </cell>
          <cell r="M367">
            <v>46042</v>
          </cell>
          <cell r="N367">
            <v>46043</v>
          </cell>
          <cell r="O367">
            <v>1</v>
          </cell>
          <cell r="P367">
            <v>46044</v>
          </cell>
          <cell r="Q367">
            <v>5</v>
          </cell>
          <cell r="R367" t="str">
            <v>NA</v>
          </cell>
          <cell r="S367">
            <v>5</v>
          </cell>
        </row>
        <row r="368">
          <cell r="B368" t="str">
            <v>EMMC</v>
          </cell>
          <cell r="C368" t="str">
            <v>HSLB10924</v>
          </cell>
          <cell r="D368">
            <v>106013</v>
          </cell>
          <cell r="E368" t="str">
            <v>Proyector</v>
          </cell>
          <cell r="F368" t="str">
            <v>NO</v>
          </cell>
          <cell r="G368" t="str">
            <v>NO</v>
          </cell>
          <cell r="H368" t="str">
            <v>AUDITORIO</v>
          </cell>
          <cell r="I368">
            <v>1</v>
          </cell>
          <cell r="J368" t="str">
            <v>E.1.3</v>
          </cell>
          <cell r="K368" t="str">
            <v>Auditorio</v>
          </cell>
          <cell r="L368">
            <v>3</v>
          </cell>
          <cell r="M368">
            <v>46042</v>
          </cell>
          <cell r="N368">
            <v>46043</v>
          </cell>
          <cell r="O368">
            <v>1</v>
          </cell>
          <cell r="P368">
            <v>46044</v>
          </cell>
          <cell r="Q368">
            <v>5</v>
          </cell>
          <cell r="R368" t="str">
            <v>NA</v>
          </cell>
          <cell r="S368">
            <v>5</v>
          </cell>
        </row>
        <row r="369">
          <cell r="B369" t="str">
            <v>EMMC</v>
          </cell>
          <cell r="C369" t="str">
            <v>HSLB10279</v>
          </cell>
          <cell r="D369">
            <v>102009</v>
          </cell>
          <cell r="E369" t="str">
            <v>Video broncoscopio</v>
          </cell>
          <cell r="F369" t="str">
            <v>NO</v>
          </cell>
          <cell r="G369" t="str">
            <v>SI</v>
          </cell>
          <cell r="H369" t="str">
            <v>BODEGA DE EQUIPOS</v>
          </cell>
          <cell r="I369">
            <v>1</v>
          </cell>
          <cell r="J369" t="str">
            <v>C.5.6.4.17</v>
          </cell>
          <cell r="K369" t="str">
            <v>Pabellones</v>
          </cell>
          <cell r="L369">
            <v>3</v>
          </cell>
          <cell r="M369">
            <v>46003</v>
          </cell>
          <cell r="N369">
            <v>46006</v>
          </cell>
          <cell r="O369">
            <v>1</v>
          </cell>
          <cell r="P369">
            <v>46007</v>
          </cell>
          <cell r="Q369">
            <v>5</v>
          </cell>
          <cell r="R369" t="str">
            <v>NA</v>
          </cell>
          <cell r="S369">
            <v>5</v>
          </cell>
        </row>
        <row r="370">
          <cell r="B370" t="str">
            <v>EMMC</v>
          </cell>
          <cell r="C370" t="str">
            <v>HSLB10282</v>
          </cell>
          <cell r="D370">
            <v>102012</v>
          </cell>
          <cell r="E370" t="str">
            <v>Videopanendoscopio adulto</v>
          </cell>
          <cell r="F370" t="str">
            <v>NO</v>
          </cell>
          <cell r="G370" t="str">
            <v>SI</v>
          </cell>
          <cell r="H370" t="str">
            <v>BODEGA DE EQUIPOS</v>
          </cell>
          <cell r="I370">
            <v>1</v>
          </cell>
          <cell r="J370" t="str">
            <v>C.5.6.4.17</v>
          </cell>
          <cell r="K370" t="str">
            <v>Pabellones</v>
          </cell>
          <cell r="L370">
            <v>3</v>
          </cell>
          <cell r="M370">
            <v>46003</v>
          </cell>
          <cell r="N370">
            <v>46006</v>
          </cell>
          <cell r="O370">
            <v>1</v>
          </cell>
          <cell r="P370">
            <v>46007</v>
          </cell>
          <cell r="Q370">
            <v>5</v>
          </cell>
          <cell r="R370" t="str">
            <v>NA</v>
          </cell>
          <cell r="S370">
            <v>5</v>
          </cell>
        </row>
        <row r="371">
          <cell r="B371" t="str">
            <v>EMMC</v>
          </cell>
          <cell r="C371" t="str">
            <v>HSLB11242</v>
          </cell>
          <cell r="D371">
            <v>109010</v>
          </cell>
          <cell r="E371" t="str">
            <v>Set Instrumental Curación</v>
          </cell>
          <cell r="F371" t="str">
            <v>NO</v>
          </cell>
          <cell r="G371" t="str">
            <v>NO</v>
          </cell>
          <cell r="H371" t="str">
            <v>SALA DE PROCEDIMIENTOS</v>
          </cell>
          <cell r="I371">
            <v>12</v>
          </cell>
          <cell r="J371" t="str">
            <v>C.3.7.18</v>
          </cell>
          <cell r="K371" t="str">
            <v>UTI</v>
          </cell>
          <cell r="L371">
            <v>3</v>
          </cell>
          <cell r="M371">
            <v>46042</v>
          </cell>
          <cell r="N371">
            <v>46043</v>
          </cell>
          <cell r="O371">
            <v>1</v>
          </cell>
          <cell r="P371">
            <v>46044</v>
          </cell>
          <cell r="Q371">
            <v>5</v>
          </cell>
          <cell r="R371" t="str">
            <v>NA</v>
          </cell>
          <cell r="S371">
            <v>5</v>
          </cell>
        </row>
        <row r="372">
          <cell r="B372" t="str">
            <v>EMMC</v>
          </cell>
          <cell r="C372" t="str">
            <v>HSLB11624</v>
          </cell>
          <cell r="D372">
            <v>112006</v>
          </cell>
          <cell r="E372" t="str">
            <v>Camilla de Recuperación</v>
          </cell>
          <cell r="F372" t="str">
            <v>NO</v>
          </cell>
          <cell r="G372" t="str">
            <v>NO</v>
          </cell>
          <cell r="H372" t="str">
            <v>SALA RECUPERACION ELECTIVA</v>
          </cell>
          <cell r="I372">
            <v>6</v>
          </cell>
          <cell r="J372" t="str">
            <v>C.5.6.3.13</v>
          </cell>
          <cell r="K372" t="str">
            <v>Pabellones</v>
          </cell>
          <cell r="L372">
            <v>3</v>
          </cell>
          <cell r="M372">
            <v>46039</v>
          </cell>
          <cell r="N372">
            <v>46041</v>
          </cell>
          <cell r="O372">
            <v>1</v>
          </cell>
          <cell r="P372">
            <v>46042</v>
          </cell>
          <cell r="Q372">
            <v>5</v>
          </cell>
          <cell r="R372" t="str">
            <v>NA</v>
          </cell>
          <cell r="S372">
            <v>5</v>
          </cell>
        </row>
        <row r="373">
          <cell r="B373" t="str">
            <v>EMMC</v>
          </cell>
          <cell r="C373" t="str">
            <v>HSLB11250</v>
          </cell>
          <cell r="D373">
            <v>109010</v>
          </cell>
          <cell r="E373" t="str">
            <v>Set Instrumental Curación</v>
          </cell>
          <cell r="F373" t="str">
            <v>NO</v>
          </cell>
          <cell r="G373" t="str">
            <v>NO</v>
          </cell>
          <cell r="H373" t="str">
            <v>ESTACIÓN DE ENFERMERÍA</v>
          </cell>
          <cell r="I373">
            <v>6</v>
          </cell>
          <cell r="J373" t="str">
            <v>C.5.6.3.18.1</v>
          </cell>
          <cell r="K373" t="str">
            <v>Pabellones</v>
          </cell>
          <cell r="L373">
            <v>3</v>
          </cell>
          <cell r="M373">
            <v>46039</v>
          </cell>
          <cell r="N373">
            <v>46041</v>
          </cell>
          <cell r="O373">
            <v>1</v>
          </cell>
          <cell r="P373">
            <v>46042</v>
          </cell>
          <cell r="Q373">
            <v>5</v>
          </cell>
          <cell r="R373" t="str">
            <v>NA</v>
          </cell>
          <cell r="S373">
            <v>5</v>
          </cell>
        </row>
        <row r="374">
          <cell r="B374" t="str">
            <v>EMMC</v>
          </cell>
          <cell r="C374" t="str">
            <v>HSLB11253</v>
          </cell>
          <cell r="D374">
            <v>109011</v>
          </cell>
          <cell r="E374" t="str">
            <v>Set Instrumental de Punción</v>
          </cell>
          <cell r="F374" t="str">
            <v>NO</v>
          </cell>
          <cell r="G374" t="str">
            <v>NO</v>
          </cell>
          <cell r="H374" t="str">
            <v>SALA DE PROCEDIMIENTOS</v>
          </cell>
          <cell r="I374">
            <v>6</v>
          </cell>
          <cell r="J374" t="str">
            <v>C.3.7.18</v>
          </cell>
          <cell r="K374" t="str">
            <v>UTI</v>
          </cell>
          <cell r="L374">
            <v>3</v>
          </cell>
          <cell r="M374">
            <v>46042</v>
          </cell>
          <cell r="N374">
            <v>46043</v>
          </cell>
          <cell r="O374">
            <v>1</v>
          </cell>
          <cell r="P374">
            <v>46044</v>
          </cell>
          <cell r="Q374">
            <v>5</v>
          </cell>
          <cell r="R374" t="str">
            <v>NA</v>
          </cell>
          <cell r="S374">
            <v>5</v>
          </cell>
        </row>
        <row r="375">
          <cell r="B375" t="str">
            <v>EMMC</v>
          </cell>
          <cell r="C375" t="str">
            <v>HSLB11301</v>
          </cell>
          <cell r="D375">
            <v>109021</v>
          </cell>
          <cell r="E375" t="str">
            <v>Set Instrumental Sutura</v>
          </cell>
          <cell r="F375" t="str">
            <v>NO</v>
          </cell>
          <cell r="G375" t="str">
            <v>NO</v>
          </cell>
          <cell r="H375" t="str">
            <v>SALA DE PROCEDIMIENTOS</v>
          </cell>
          <cell r="I375">
            <v>6</v>
          </cell>
          <cell r="J375" t="str">
            <v>C.3.7.18</v>
          </cell>
          <cell r="K375" t="str">
            <v>UTI</v>
          </cell>
          <cell r="L375">
            <v>3</v>
          </cell>
          <cell r="M375">
            <v>46042</v>
          </cell>
          <cell r="N375">
            <v>46043</v>
          </cell>
          <cell r="O375">
            <v>1</v>
          </cell>
          <cell r="P375">
            <v>46044</v>
          </cell>
          <cell r="Q375">
            <v>5</v>
          </cell>
          <cell r="R375" t="str">
            <v>NA</v>
          </cell>
          <cell r="S375">
            <v>5</v>
          </cell>
        </row>
        <row r="376">
          <cell r="B376" t="str">
            <v>EMMC</v>
          </cell>
          <cell r="C376" t="str">
            <v>HSLB10459</v>
          </cell>
          <cell r="D376">
            <v>104001</v>
          </cell>
          <cell r="E376" t="str">
            <v>BOMBA ASPIRACIÓN QUIRÚRGICA</v>
          </cell>
          <cell r="F376" t="str">
            <v>NO</v>
          </cell>
          <cell r="G376" t="str">
            <v>SI</v>
          </cell>
          <cell r="H376" t="str">
            <v>BODEGA DE EQUIPOS</v>
          </cell>
          <cell r="I376">
            <v>3</v>
          </cell>
          <cell r="J376" t="str">
            <v>C.5.6.4.17</v>
          </cell>
          <cell r="K376" t="str">
            <v>Pabellones</v>
          </cell>
          <cell r="L376">
            <v>3</v>
          </cell>
          <cell r="M376">
            <v>46003</v>
          </cell>
          <cell r="N376">
            <v>46006</v>
          </cell>
          <cell r="O376">
            <v>1</v>
          </cell>
          <cell r="P376">
            <v>46007</v>
          </cell>
          <cell r="Q376">
            <v>5</v>
          </cell>
          <cell r="R376" t="str">
            <v>NA</v>
          </cell>
          <cell r="S376">
            <v>5</v>
          </cell>
        </row>
        <row r="377">
          <cell r="B377" t="str">
            <v>EMMC</v>
          </cell>
          <cell r="C377" t="str">
            <v>HSLB10633</v>
          </cell>
          <cell r="D377">
            <v>105003</v>
          </cell>
          <cell r="E377" t="str">
            <v>Calentador de Fluidos</v>
          </cell>
          <cell r="F377" t="str">
            <v>NO</v>
          </cell>
          <cell r="G377" t="str">
            <v>SI</v>
          </cell>
          <cell r="H377" t="str">
            <v>BODEGA DE EQUIPOS</v>
          </cell>
          <cell r="I377">
            <v>3</v>
          </cell>
          <cell r="J377" t="str">
            <v>C.5.6.4.17</v>
          </cell>
          <cell r="K377" t="str">
            <v>Pabellones</v>
          </cell>
          <cell r="L377">
            <v>3</v>
          </cell>
          <cell r="M377">
            <v>46003</v>
          </cell>
          <cell r="N377">
            <v>46006</v>
          </cell>
          <cell r="O377">
            <v>1</v>
          </cell>
          <cell r="P377">
            <v>46007</v>
          </cell>
          <cell r="Q377">
            <v>5</v>
          </cell>
          <cell r="R377" t="str">
            <v>NA</v>
          </cell>
          <cell r="S377">
            <v>5</v>
          </cell>
        </row>
        <row r="378">
          <cell r="B378" t="str">
            <v>EMMC</v>
          </cell>
          <cell r="C378" t="str">
            <v>HSLB11251</v>
          </cell>
          <cell r="D378">
            <v>109010</v>
          </cell>
          <cell r="E378" t="str">
            <v>Set Instrumental Curación</v>
          </cell>
          <cell r="F378" t="str">
            <v>NO</v>
          </cell>
          <cell r="G378" t="str">
            <v>NO</v>
          </cell>
          <cell r="H378" t="str">
            <v>ESTACIÓN DE ENFERMERÍA</v>
          </cell>
          <cell r="I378">
            <v>3</v>
          </cell>
          <cell r="J378" t="str">
            <v>C.5.6.3.18.2</v>
          </cell>
          <cell r="K378" t="str">
            <v>Pabellones</v>
          </cell>
          <cell r="L378">
            <v>3</v>
          </cell>
          <cell r="M378">
            <v>46039</v>
          </cell>
          <cell r="N378">
            <v>46041</v>
          </cell>
          <cell r="O378">
            <v>1</v>
          </cell>
          <cell r="P378">
            <v>46042</v>
          </cell>
          <cell r="Q378">
            <v>5</v>
          </cell>
          <cell r="R378" t="str">
            <v>NA</v>
          </cell>
          <cell r="S378">
            <v>5</v>
          </cell>
        </row>
        <row r="379">
          <cell r="B379" t="str">
            <v>EMMC</v>
          </cell>
          <cell r="C379" t="str">
            <v>HSLB11278</v>
          </cell>
          <cell r="D379">
            <v>109014</v>
          </cell>
          <cell r="E379" t="str">
            <v>Set Instrumental Fórceps</v>
          </cell>
          <cell r="F379" t="str">
            <v>NO</v>
          </cell>
          <cell r="G379" t="str">
            <v>NO</v>
          </cell>
          <cell r="H379" t="str">
            <v>BODEGA INSUMOS</v>
          </cell>
          <cell r="I379">
            <v>3</v>
          </cell>
          <cell r="J379" t="str">
            <v>C.3.6.3.12</v>
          </cell>
          <cell r="K379" t="str">
            <v>Parto integral</v>
          </cell>
          <cell r="L379">
            <v>3</v>
          </cell>
          <cell r="M379">
            <v>46042</v>
          </cell>
          <cell r="N379">
            <v>46043</v>
          </cell>
          <cell r="O379">
            <v>1</v>
          </cell>
          <cell r="P379">
            <v>46044</v>
          </cell>
          <cell r="Q379">
            <v>5</v>
          </cell>
          <cell r="R379" t="str">
            <v>NA</v>
          </cell>
          <cell r="S379">
            <v>5</v>
          </cell>
        </row>
        <row r="380">
          <cell r="B380" t="str">
            <v>EMMC</v>
          </cell>
          <cell r="C380" t="str">
            <v>HSLB11293</v>
          </cell>
          <cell r="D380">
            <v>109020</v>
          </cell>
          <cell r="E380" t="str">
            <v>Set Instrumental Parto</v>
          </cell>
          <cell r="F380" t="str">
            <v>NO</v>
          </cell>
          <cell r="G380" t="str">
            <v>NO</v>
          </cell>
          <cell r="H380" t="str">
            <v>BODEGA INSUMOS</v>
          </cell>
          <cell r="I380">
            <v>3</v>
          </cell>
          <cell r="J380" t="str">
            <v>C.3.6.3.12</v>
          </cell>
          <cell r="K380" t="str">
            <v>Parto integral</v>
          </cell>
          <cell r="L380">
            <v>3</v>
          </cell>
          <cell r="M380">
            <v>46042</v>
          </cell>
          <cell r="N380">
            <v>46043</v>
          </cell>
          <cell r="O380">
            <v>1</v>
          </cell>
          <cell r="P380">
            <v>46044</v>
          </cell>
          <cell r="Q380">
            <v>5</v>
          </cell>
          <cell r="R380" t="str">
            <v>NA</v>
          </cell>
          <cell r="S380">
            <v>5</v>
          </cell>
        </row>
        <row r="381">
          <cell r="B381" t="str">
            <v>EMMC</v>
          </cell>
          <cell r="C381" t="str">
            <v>HSLB11300</v>
          </cell>
          <cell r="D381">
            <v>109021</v>
          </cell>
          <cell r="E381" t="str">
            <v>Set Instrumental Sutura</v>
          </cell>
          <cell r="F381" t="str">
            <v>NO</v>
          </cell>
          <cell r="G381" t="str">
            <v>NO</v>
          </cell>
          <cell r="H381" t="str">
            <v>BODEGA INSUMOS</v>
          </cell>
          <cell r="I381">
            <v>3</v>
          </cell>
          <cell r="J381" t="str">
            <v>C.3.6.3.12</v>
          </cell>
          <cell r="K381" t="str">
            <v>Parto integral</v>
          </cell>
          <cell r="L381">
            <v>3</v>
          </cell>
          <cell r="M381">
            <v>46042</v>
          </cell>
          <cell r="N381">
            <v>46043</v>
          </cell>
          <cell r="O381">
            <v>1</v>
          </cell>
          <cell r="P381">
            <v>46044</v>
          </cell>
          <cell r="Q381">
            <v>5</v>
          </cell>
          <cell r="R381" t="str">
            <v>NA</v>
          </cell>
          <cell r="S381">
            <v>5</v>
          </cell>
        </row>
        <row r="382">
          <cell r="B382" t="str">
            <v>EMMC</v>
          </cell>
          <cell r="C382" t="str">
            <v>HSLB11308</v>
          </cell>
          <cell r="D382">
            <v>109021</v>
          </cell>
          <cell r="E382" t="str">
            <v>Set Instrumental Sutura</v>
          </cell>
          <cell r="F382" t="str">
            <v>NO</v>
          </cell>
          <cell r="G382" t="str">
            <v>NO</v>
          </cell>
          <cell r="H382" t="str">
            <v>ESTACIÓN DE ENFERMERÍA</v>
          </cell>
          <cell r="I382">
            <v>3</v>
          </cell>
          <cell r="J382" t="str">
            <v>C.5.6.3.18.1</v>
          </cell>
          <cell r="K382" t="str">
            <v>Pabellones</v>
          </cell>
          <cell r="L382">
            <v>3</v>
          </cell>
          <cell r="M382">
            <v>46039</v>
          </cell>
          <cell r="N382">
            <v>46041</v>
          </cell>
          <cell r="O382">
            <v>1</v>
          </cell>
          <cell r="P382">
            <v>46042</v>
          </cell>
          <cell r="Q382">
            <v>5</v>
          </cell>
          <cell r="R382" t="str">
            <v>NA</v>
          </cell>
          <cell r="S382">
            <v>5</v>
          </cell>
        </row>
        <row r="383">
          <cell r="B383" t="str">
            <v>EMMC</v>
          </cell>
          <cell r="C383" t="str">
            <v>HSLB11627</v>
          </cell>
          <cell r="D383">
            <v>112007</v>
          </cell>
          <cell r="E383" t="str">
            <v>Camilla de Transferencia</v>
          </cell>
          <cell r="F383" t="str">
            <v>NO</v>
          </cell>
          <cell r="G383" t="str">
            <v>SI</v>
          </cell>
          <cell r="H383" t="str">
            <v>BODEGA DE EQUIPOS</v>
          </cell>
          <cell r="I383">
            <v>2</v>
          </cell>
          <cell r="J383" t="str">
            <v>C.5.6.4.17</v>
          </cell>
          <cell r="K383" t="str">
            <v>Pabellones</v>
          </cell>
          <cell r="L383">
            <v>3</v>
          </cell>
          <cell r="M383">
            <v>46003</v>
          </cell>
          <cell r="N383">
            <v>46006</v>
          </cell>
          <cell r="O383">
            <v>1</v>
          </cell>
          <cell r="P383">
            <v>46007</v>
          </cell>
          <cell r="Q383">
            <v>5</v>
          </cell>
          <cell r="R383" t="str">
            <v>NA</v>
          </cell>
          <cell r="S383">
            <v>5</v>
          </cell>
        </row>
        <row r="384">
          <cell r="B384" t="str">
            <v>EMMC</v>
          </cell>
          <cell r="C384" t="str">
            <v>HSLB11723</v>
          </cell>
          <cell r="D384">
            <v>112016</v>
          </cell>
          <cell r="E384" t="str">
            <v>Camilla Transporte Paciente</v>
          </cell>
          <cell r="F384" t="str">
            <v>NO</v>
          </cell>
          <cell r="G384" t="str">
            <v>NO</v>
          </cell>
          <cell r="H384" t="str">
            <v>ESTACIONAMIENTO SILLAS DE RUEDAS</v>
          </cell>
          <cell r="I384">
            <v>2</v>
          </cell>
          <cell r="J384" t="str">
            <v>C.3.7.26</v>
          </cell>
          <cell r="K384" t="str">
            <v>UTI</v>
          </cell>
          <cell r="L384">
            <v>3</v>
          </cell>
          <cell r="M384">
            <v>46042</v>
          </cell>
          <cell r="N384">
            <v>46043</v>
          </cell>
          <cell r="O384">
            <v>1</v>
          </cell>
          <cell r="P384">
            <v>46044</v>
          </cell>
          <cell r="Q384">
            <v>5</v>
          </cell>
          <cell r="R384" t="str">
            <v>NA</v>
          </cell>
          <cell r="S384">
            <v>5</v>
          </cell>
        </row>
        <row r="385">
          <cell r="B385" t="str">
            <v>EMMC</v>
          </cell>
          <cell r="C385" t="str">
            <v>HSLB11744</v>
          </cell>
          <cell r="D385">
            <v>112016</v>
          </cell>
          <cell r="E385" t="str">
            <v>Camilla Transporte Paciente</v>
          </cell>
          <cell r="F385" t="str">
            <v>NO</v>
          </cell>
          <cell r="G385" t="str">
            <v>NO</v>
          </cell>
          <cell r="H385" t="str">
            <v>ESTACIONAMIENTO SILLAS DE RUEDAS</v>
          </cell>
          <cell r="I385">
            <v>2</v>
          </cell>
          <cell r="J385" t="str">
            <v>C.5.3.26</v>
          </cell>
          <cell r="K385" t="str">
            <v>Pabellones</v>
          </cell>
          <cell r="L385">
            <v>3</v>
          </cell>
          <cell r="M385">
            <v>46039</v>
          </cell>
          <cell r="N385">
            <v>46041</v>
          </cell>
          <cell r="O385">
            <v>1</v>
          </cell>
          <cell r="P385">
            <v>46042</v>
          </cell>
          <cell r="Q385">
            <v>5</v>
          </cell>
          <cell r="R385" t="str">
            <v>NA</v>
          </cell>
          <cell r="S385">
            <v>5</v>
          </cell>
        </row>
        <row r="386">
          <cell r="B386" t="str">
            <v>EMMC</v>
          </cell>
          <cell r="C386" t="str">
            <v>HSLB12038</v>
          </cell>
          <cell r="D386">
            <v>112053</v>
          </cell>
          <cell r="E386" t="str">
            <v>Elevador de Paciente</v>
          </cell>
          <cell r="F386" t="str">
            <v>NO</v>
          </cell>
          <cell r="G386" t="str">
            <v>SI</v>
          </cell>
          <cell r="H386" t="str">
            <v>BODEGA DE EQUIPOS</v>
          </cell>
          <cell r="I386">
            <v>2</v>
          </cell>
          <cell r="J386" t="str">
            <v>C.5.6.4.17</v>
          </cell>
          <cell r="K386" t="str">
            <v>Pabellones</v>
          </cell>
          <cell r="L386">
            <v>3</v>
          </cell>
          <cell r="M386">
            <v>46003</v>
          </cell>
          <cell r="N386">
            <v>46006</v>
          </cell>
          <cell r="O386">
            <v>1</v>
          </cell>
          <cell r="P386">
            <v>46007</v>
          </cell>
          <cell r="Q386">
            <v>5</v>
          </cell>
          <cell r="R386" t="str">
            <v>NA</v>
          </cell>
          <cell r="S386">
            <v>5</v>
          </cell>
        </row>
        <row r="387">
          <cell r="B387" t="str">
            <v>EMMC</v>
          </cell>
          <cell r="C387" t="str">
            <v>HSLB10346</v>
          </cell>
          <cell r="D387">
            <v>103025</v>
          </cell>
          <cell r="E387" t="str">
            <v>Etiquetadora</v>
          </cell>
          <cell r="F387" t="str">
            <v>NO</v>
          </cell>
          <cell r="G387" t="str">
            <v>NO</v>
          </cell>
          <cell r="H387" t="str">
            <v>PREPARACIÓN Y EMPAQUE INSTRUMENTAL</v>
          </cell>
          <cell r="I387">
            <v>2</v>
          </cell>
          <cell r="J387" t="str">
            <v>C.5.5.23</v>
          </cell>
          <cell r="K387" t="str">
            <v>Esterilización</v>
          </cell>
          <cell r="L387">
            <v>3</v>
          </cell>
          <cell r="M387">
            <v>46042</v>
          </cell>
          <cell r="N387">
            <v>46043</v>
          </cell>
          <cell r="O387">
            <v>1</v>
          </cell>
          <cell r="P387">
            <v>46044</v>
          </cell>
          <cell r="Q387">
            <v>5</v>
          </cell>
          <cell r="R387" t="str">
            <v>NA</v>
          </cell>
          <cell r="S387">
            <v>5</v>
          </cell>
        </row>
        <row r="388">
          <cell r="B388" t="str">
            <v>EMMC</v>
          </cell>
          <cell r="C388" t="str">
            <v>HSLB10347</v>
          </cell>
          <cell r="D388">
            <v>103025</v>
          </cell>
          <cell r="E388" t="str">
            <v>Etiquetadora</v>
          </cell>
          <cell r="F388" t="str">
            <v>NO</v>
          </cell>
          <cell r="G388" t="str">
            <v>NO</v>
          </cell>
          <cell r="H388" t="str">
            <v>RECEPCIÓN ROPA PREPARADA</v>
          </cell>
          <cell r="I388">
            <v>2</v>
          </cell>
          <cell r="J388" t="str">
            <v>C.5.5.24</v>
          </cell>
          <cell r="K388" t="str">
            <v>Esterilización</v>
          </cell>
          <cell r="L388">
            <v>3</v>
          </cell>
          <cell r="M388">
            <v>46042</v>
          </cell>
          <cell r="N388">
            <v>46043</v>
          </cell>
          <cell r="O388">
            <v>1</v>
          </cell>
          <cell r="P388">
            <v>46044</v>
          </cell>
          <cell r="Q388">
            <v>5</v>
          </cell>
          <cell r="R388" t="str">
            <v>NA</v>
          </cell>
          <cell r="S388">
            <v>5</v>
          </cell>
        </row>
        <row r="389">
          <cell r="B389" t="str">
            <v>EMMC</v>
          </cell>
          <cell r="C389" t="str">
            <v>HSLB10678</v>
          </cell>
          <cell r="D389">
            <v>105017</v>
          </cell>
          <cell r="E389" t="str">
            <v>Reanimador Neonatal</v>
          </cell>
          <cell r="F389" t="str">
            <v>NO</v>
          </cell>
          <cell r="G389" t="str">
            <v>NO</v>
          </cell>
          <cell r="H389" t="str">
            <v>SALA TRANSICIÓN NEONATAL</v>
          </cell>
          <cell r="I389">
            <v>2</v>
          </cell>
          <cell r="J389" t="str">
            <v>C.3.6.3.11</v>
          </cell>
          <cell r="K389" t="str">
            <v>Parto integral</v>
          </cell>
          <cell r="L389">
            <v>3</v>
          </cell>
          <cell r="M389">
            <v>46042</v>
          </cell>
          <cell r="N389">
            <v>46043</v>
          </cell>
          <cell r="O389">
            <v>1</v>
          </cell>
          <cell r="P389">
            <v>46044</v>
          </cell>
          <cell r="Q389">
            <v>5</v>
          </cell>
          <cell r="R389" t="str">
            <v>NA</v>
          </cell>
          <cell r="S389">
            <v>5</v>
          </cell>
        </row>
        <row r="390">
          <cell r="B390" t="str">
            <v>EMMC</v>
          </cell>
          <cell r="C390" t="str">
            <v>HSLB11145</v>
          </cell>
          <cell r="D390">
            <v>107014</v>
          </cell>
          <cell r="E390" t="str">
            <v>Selladora</v>
          </cell>
          <cell r="F390" t="str">
            <v>NO</v>
          </cell>
          <cell r="G390" t="str">
            <v>NO</v>
          </cell>
          <cell r="H390" t="str">
            <v>PREPARACIÓN Y EMPAQUE INSTRUMENTAL</v>
          </cell>
          <cell r="I390">
            <v>2</v>
          </cell>
          <cell r="J390" t="str">
            <v>C.5.5.23</v>
          </cell>
          <cell r="K390" t="str">
            <v>Esterilización</v>
          </cell>
          <cell r="L390">
            <v>3</v>
          </cell>
          <cell r="M390">
            <v>46042</v>
          </cell>
          <cell r="N390">
            <v>46043</v>
          </cell>
          <cell r="O390">
            <v>1</v>
          </cell>
          <cell r="P390">
            <v>46044</v>
          </cell>
          <cell r="Q390">
            <v>5</v>
          </cell>
          <cell r="R390" t="str">
            <v>NA</v>
          </cell>
          <cell r="S390">
            <v>5</v>
          </cell>
        </row>
        <row r="391">
          <cell r="B391" t="str">
            <v>EMMC</v>
          </cell>
          <cell r="C391" t="str">
            <v>HSLB10268</v>
          </cell>
          <cell r="D391">
            <v>102004</v>
          </cell>
          <cell r="E391" t="str">
            <v>Set de Vía Aérea Difícil</v>
          </cell>
          <cell r="F391" t="str">
            <v>NO</v>
          </cell>
          <cell r="G391" t="str">
            <v>SI</v>
          </cell>
          <cell r="H391" t="str">
            <v>BODEGA DE EQUIPOS</v>
          </cell>
          <cell r="I391">
            <v>2</v>
          </cell>
          <cell r="J391" t="str">
            <v>C.5.6.4.17</v>
          </cell>
          <cell r="K391" t="str">
            <v>Pabellones</v>
          </cell>
          <cell r="L391">
            <v>3</v>
          </cell>
          <cell r="M391">
            <v>46003</v>
          </cell>
          <cell r="N391">
            <v>46006</v>
          </cell>
          <cell r="O391">
            <v>1</v>
          </cell>
          <cell r="P391">
            <v>46007</v>
          </cell>
          <cell r="Q391">
            <v>5</v>
          </cell>
          <cell r="R391" t="str">
            <v>NA</v>
          </cell>
          <cell r="S391">
            <v>5</v>
          </cell>
        </row>
        <row r="392">
          <cell r="B392" t="str">
            <v>EMMC</v>
          </cell>
          <cell r="C392" t="str">
            <v>HSLB12489</v>
          </cell>
          <cell r="D392">
            <v>112083</v>
          </cell>
          <cell r="E392" t="str">
            <v>Sillón Clínico tipo 2</v>
          </cell>
          <cell r="F392" t="str">
            <v>NO</v>
          </cell>
          <cell r="G392" t="str">
            <v>NO</v>
          </cell>
          <cell r="H392" t="str">
            <v>SALA RECUPERACION CIRUGIA MAYOR AMBULATORIA</v>
          </cell>
          <cell r="I392">
            <v>2</v>
          </cell>
          <cell r="J392" t="str">
            <v>C.5.6.3.14.4</v>
          </cell>
          <cell r="K392" t="str">
            <v>Pabellones</v>
          </cell>
          <cell r="L392">
            <v>3</v>
          </cell>
          <cell r="M392">
            <v>46039</v>
          </cell>
          <cell r="N392">
            <v>46041</v>
          </cell>
          <cell r="O392">
            <v>1</v>
          </cell>
          <cell r="P392">
            <v>46042</v>
          </cell>
          <cell r="Q392">
            <v>5</v>
          </cell>
          <cell r="R392" t="str">
            <v>NA</v>
          </cell>
          <cell r="S392">
            <v>5</v>
          </cell>
        </row>
        <row r="393">
          <cell r="B393" t="str">
            <v>EMMC</v>
          </cell>
          <cell r="C393" t="str">
            <v>HSLB10584</v>
          </cell>
          <cell r="D393">
            <v>104031</v>
          </cell>
          <cell r="E393" t="str">
            <v>Torniquete Arterial Neumático</v>
          </cell>
          <cell r="F393" t="str">
            <v>NO</v>
          </cell>
          <cell r="G393" t="str">
            <v>SI</v>
          </cell>
          <cell r="H393" t="str">
            <v>BODEGA DE EQUIPOS</v>
          </cell>
          <cell r="I393">
            <v>2</v>
          </cell>
          <cell r="J393" t="str">
            <v>C.5.6.4.17</v>
          </cell>
          <cell r="K393" t="str">
            <v>Pabellones</v>
          </cell>
          <cell r="L393">
            <v>3</v>
          </cell>
          <cell r="M393">
            <v>46003</v>
          </cell>
          <cell r="N393">
            <v>46006</v>
          </cell>
          <cell r="O393">
            <v>1</v>
          </cell>
          <cell r="P393">
            <v>46007</v>
          </cell>
          <cell r="Q393">
            <v>5</v>
          </cell>
          <cell r="R393" t="str">
            <v>NA</v>
          </cell>
          <cell r="S393">
            <v>5</v>
          </cell>
        </row>
        <row r="394">
          <cell r="B394" t="str">
            <v>EMMC</v>
          </cell>
          <cell r="C394" t="str">
            <v>HSLB10023</v>
          </cell>
          <cell r="D394">
            <v>101005</v>
          </cell>
          <cell r="E394" t="str">
            <v>Balanza Adulto con Tallímetro</v>
          </cell>
          <cell r="F394" t="str">
            <v>NO</v>
          </cell>
          <cell r="G394" t="str">
            <v>SI</v>
          </cell>
          <cell r="H394" t="str">
            <v>SALA MULTIUSO</v>
          </cell>
          <cell r="I394">
            <v>1</v>
          </cell>
          <cell r="J394" t="str">
            <v>C.3.6.3.5</v>
          </cell>
          <cell r="K394" t="str">
            <v>Parto integral</v>
          </cell>
          <cell r="L394">
            <v>3</v>
          </cell>
          <cell r="M394">
            <v>46003</v>
          </cell>
          <cell r="N394">
            <v>46006</v>
          </cell>
          <cell r="O394">
            <v>1</v>
          </cell>
          <cell r="P394">
            <v>46007</v>
          </cell>
          <cell r="Q394">
            <v>5</v>
          </cell>
          <cell r="R394" t="str">
            <v>NA</v>
          </cell>
          <cell r="S394">
            <v>5</v>
          </cell>
        </row>
        <row r="395">
          <cell r="B395" t="str">
            <v>EMMC</v>
          </cell>
          <cell r="C395" t="str">
            <v>HSLB10026</v>
          </cell>
          <cell r="D395">
            <v>101005</v>
          </cell>
          <cell r="E395" t="str">
            <v>Balanza Adulto con Tallímetro</v>
          </cell>
          <cell r="F395" t="str">
            <v>NO</v>
          </cell>
          <cell r="G395" t="str">
            <v>NO</v>
          </cell>
          <cell r="H395" t="str">
            <v>BOX INGRESO PREPARACIÓN DE PACIENTES</v>
          </cell>
          <cell r="I395">
            <v>1</v>
          </cell>
          <cell r="J395" t="str">
            <v>C.5.6.2.1</v>
          </cell>
          <cell r="K395" t="str">
            <v>Pabellones</v>
          </cell>
          <cell r="L395">
            <v>3</v>
          </cell>
          <cell r="M395">
            <v>46039</v>
          </cell>
          <cell r="N395">
            <v>46041</v>
          </cell>
          <cell r="O395">
            <v>1</v>
          </cell>
          <cell r="P395">
            <v>46042</v>
          </cell>
          <cell r="Q395">
            <v>5</v>
          </cell>
          <cell r="R395" t="str">
            <v>NA</v>
          </cell>
          <cell r="S395">
            <v>5</v>
          </cell>
        </row>
        <row r="396">
          <cell r="B396" t="str">
            <v>EMMC</v>
          </cell>
          <cell r="C396" t="str">
            <v>HSLB10027</v>
          </cell>
          <cell r="D396">
            <v>101005</v>
          </cell>
          <cell r="E396" t="str">
            <v>Balanza Adulto con Tallímetro</v>
          </cell>
          <cell r="F396" t="str">
            <v>NO</v>
          </cell>
          <cell r="G396" t="str">
            <v>NO</v>
          </cell>
          <cell r="H396" t="str">
            <v>SALA PREANESTECIA ADULTO</v>
          </cell>
          <cell r="I396">
            <v>1</v>
          </cell>
          <cell r="J396" t="str">
            <v>C.5.6.4.3.2</v>
          </cell>
          <cell r="K396" t="str">
            <v>Pabellones</v>
          </cell>
          <cell r="L396">
            <v>3</v>
          </cell>
          <cell r="M396">
            <v>46039</v>
          </cell>
          <cell r="N396">
            <v>46041</v>
          </cell>
          <cell r="O396">
            <v>1</v>
          </cell>
          <cell r="P396">
            <v>46042</v>
          </cell>
          <cell r="Q396">
            <v>5</v>
          </cell>
          <cell r="R396" t="str">
            <v>NA</v>
          </cell>
          <cell r="S396">
            <v>5</v>
          </cell>
        </row>
        <row r="397">
          <cell r="B397" t="str">
            <v>EMMC</v>
          </cell>
          <cell r="C397" t="str">
            <v>HSLB10031</v>
          </cell>
          <cell r="D397">
            <v>101005</v>
          </cell>
          <cell r="E397" t="str">
            <v>Balanza Adulto con Tallímetro</v>
          </cell>
          <cell r="F397" t="str">
            <v>NO</v>
          </cell>
          <cell r="G397" t="str">
            <v>SI</v>
          </cell>
          <cell r="H397" t="str">
            <v>BOX DE ATENCIÓN</v>
          </cell>
          <cell r="I397">
            <v>1</v>
          </cell>
          <cell r="J397" t="str">
            <v>D.4.4.1.3.1</v>
          </cell>
          <cell r="K397" t="str">
            <v>Consultas Ambulatorias</v>
          </cell>
          <cell r="L397">
            <v>3</v>
          </cell>
          <cell r="M397">
            <v>46003</v>
          </cell>
          <cell r="N397">
            <v>46006</v>
          </cell>
          <cell r="O397">
            <v>1</v>
          </cell>
          <cell r="P397">
            <v>46007</v>
          </cell>
          <cell r="Q397">
            <v>5</v>
          </cell>
          <cell r="R397" t="str">
            <v>NA</v>
          </cell>
          <cell r="S397">
            <v>5</v>
          </cell>
        </row>
        <row r="398">
          <cell r="B398" t="str">
            <v>EMMC</v>
          </cell>
          <cell r="C398" t="str">
            <v>HSLB10032</v>
          </cell>
          <cell r="D398">
            <v>101005</v>
          </cell>
          <cell r="E398" t="str">
            <v>Balanza Adulto con Tallímetro</v>
          </cell>
          <cell r="F398" t="str">
            <v>NO</v>
          </cell>
          <cell r="G398" t="str">
            <v>NO</v>
          </cell>
          <cell r="H398" t="str">
            <v>BOX DE ATENCIÓN</v>
          </cell>
          <cell r="I398">
            <v>1</v>
          </cell>
          <cell r="J398" t="str">
            <v>D.4.4.1.3.2</v>
          </cell>
          <cell r="K398" t="str">
            <v>Consultas Ambulatorias</v>
          </cell>
          <cell r="L398">
            <v>3</v>
          </cell>
          <cell r="M398">
            <v>46042</v>
          </cell>
          <cell r="N398">
            <v>46043</v>
          </cell>
          <cell r="O398">
            <v>1</v>
          </cell>
          <cell r="P398">
            <v>46044</v>
          </cell>
          <cell r="Q398">
            <v>5</v>
          </cell>
          <cell r="R398" t="str">
            <v>NA</v>
          </cell>
          <cell r="S398">
            <v>5</v>
          </cell>
        </row>
        <row r="399">
          <cell r="B399" t="str">
            <v>EMMC</v>
          </cell>
          <cell r="C399" t="str">
            <v>HSLB10033</v>
          </cell>
          <cell r="D399">
            <v>101005</v>
          </cell>
          <cell r="E399" t="str">
            <v>Balanza Adulto con Tallímetro</v>
          </cell>
          <cell r="F399" t="str">
            <v>NO</v>
          </cell>
          <cell r="G399" t="str">
            <v>NO</v>
          </cell>
          <cell r="H399" t="str">
            <v>BOX DE ATENCIÓN</v>
          </cell>
          <cell r="I399">
            <v>1</v>
          </cell>
          <cell r="J399" t="str">
            <v>D.4.4.1.3.3</v>
          </cell>
          <cell r="K399" t="str">
            <v>Consultas Ambulatorias</v>
          </cell>
          <cell r="L399">
            <v>3</v>
          </cell>
          <cell r="M399">
            <v>46042</v>
          </cell>
          <cell r="N399">
            <v>46043</v>
          </cell>
          <cell r="O399">
            <v>1</v>
          </cell>
          <cell r="P399">
            <v>46044</v>
          </cell>
          <cell r="Q399">
            <v>5</v>
          </cell>
          <cell r="R399" t="str">
            <v>NA</v>
          </cell>
          <cell r="S399">
            <v>5</v>
          </cell>
        </row>
        <row r="400">
          <cell r="B400" t="str">
            <v>EMMC</v>
          </cell>
          <cell r="C400" t="str">
            <v>HSLB10035</v>
          </cell>
          <cell r="D400">
            <v>101006</v>
          </cell>
          <cell r="E400" t="str">
            <v>Balanza Cama</v>
          </cell>
          <cell r="F400" t="str">
            <v>NO</v>
          </cell>
          <cell r="G400" t="str">
            <v>SI</v>
          </cell>
          <cell r="H400" t="str">
            <v>BODEGA DE EQUIPOS</v>
          </cell>
          <cell r="I400">
            <v>1</v>
          </cell>
          <cell r="J400" t="str">
            <v>C.3.7.20</v>
          </cell>
          <cell r="K400" t="str">
            <v>UTI</v>
          </cell>
          <cell r="L400">
            <v>3</v>
          </cell>
          <cell r="M400">
            <v>46003</v>
          </cell>
          <cell r="N400">
            <v>46006</v>
          </cell>
          <cell r="O400">
            <v>1</v>
          </cell>
          <cell r="P400">
            <v>46007</v>
          </cell>
          <cell r="Q400">
            <v>5</v>
          </cell>
          <cell r="R400" t="str">
            <v>NA</v>
          </cell>
          <cell r="S400">
            <v>5</v>
          </cell>
        </row>
        <row r="401">
          <cell r="B401" t="str">
            <v>EMMC</v>
          </cell>
          <cell r="C401" t="str">
            <v>HSLB10041</v>
          </cell>
          <cell r="D401">
            <v>101009</v>
          </cell>
          <cell r="E401" t="str">
            <v>Balanza Lactante con Cartabón</v>
          </cell>
          <cell r="F401" t="str">
            <v>NO</v>
          </cell>
          <cell r="G401" t="str">
            <v>NO</v>
          </cell>
          <cell r="H401" t="str">
            <v>SALA TRANSICIÓN NEONATAL</v>
          </cell>
          <cell r="I401">
            <v>1</v>
          </cell>
          <cell r="J401" t="str">
            <v>C.3.6.3.11</v>
          </cell>
          <cell r="K401" t="str">
            <v>Parto integral</v>
          </cell>
          <cell r="L401">
            <v>3</v>
          </cell>
          <cell r="M401">
            <v>46042</v>
          </cell>
          <cell r="N401">
            <v>46043</v>
          </cell>
          <cell r="O401">
            <v>1</v>
          </cell>
          <cell r="P401">
            <v>46044</v>
          </cell>
          <cell r="Q401">
            <v>5</v>
          </cell>
          <cell r="R401" t="str">
            <v>NA</v>
          </cell>
          <cell r="S401">
            <v>5</v>
          </cell>
        </row>
        <row r="402">
          <cell r="B402" t="str">
            <v>EMMC</v>
          </cell>
          <cell r="C402" t="str">
            <v>HSLB10042</v>
          </cell>
          <cell r="D402">
            <v>101009</v>
          </cell>
          <cell r="E402" t="str">
            <v>Balanza Lactante con Cartabón</v>
          </cell>
          <cell r="F402" t="str">
            <v>NO</v>
          </cell>
          <cell r="G402" t="str">
            <v>NO</v>
          </cell>
          <cell r="H402" t="str">
            <v>SALA PARTO INTEGRAL</v>
          </cell>
          <cell r="I402">
            <v>1</v>
          </cell>
          <cell r="J402" t="str">
            <v>C.3.6.3.6.1</v>
          </cell>
          <cell r="K402" t="str">
            <v>Parto integral</v>
          </cell>
          <cell r="L402">
            <v>3</v>
          </cell>
          <cell r="M402">
            <v>46042</v>
          </cell>
          <cell r="N402">
            <v>46043</v>
          </cell>
          <cell r="O402">
            <v>1</v>
          </cell>
          <cell r="P402">
            <v>46044</v>
          </cell>
          <cell r="Q402">
            <v>5</v>
          </cell>
          <cell r="R402" t="str">
            <v>NA</v>
          </cell>
          <cell r="S402">
            <v>5</v>
          </cell>
        </row>
        <row r="403">
          <cell r="B403" t="str">
            <v>EMMC</v>
          </cell>
          <cell r="C403" t="str">
            <v>HSLB10043</v>
          </cell>
          <cell r="D403">
            <v>101009</v>
          </cell>
          <cell r="E403" t="str">
            <v>Balanza Lactante con Cartabón</v>
          </cell>
          <cell r="F403" t="str">
            <v>NO</v>
          </cell>
          <cell r="G403" t="str">
            <v>NO</v>
          </cell>
          <cell r="H403" t="str">
            <v>SALA PARTO INTEGRAL</v>
          </cell>
          <cell r="I403">
            <v>1</v>
          </cell>
          <cell r="J403" t="str">
            <v>C.3.6.3.6.2</v>
          </cell>
          <cell r="K403" t="str">
            <v>Parto integral</v>
          </cell>
          <cell r="L403">
            <v>3</v>
          </cell>
          <cell r="M403">
            <v>46042</v>
          </cell>
          <cell r="N403">
            <v>46043</v>
          </cell>
          <cell r="O403">
            <v>1</v>
          </cell>
          <cell r="P403">
            <v>46044</v>
          </cell>
          <cell r="Q403">
            <v>5</v>
          </cell>
          <cell r="R403" t="str">
            <v>NA</v>
          </cell>
          <cell r="S403">
            <v>5</v>
          </cell>
        </row>
        <row r="404">
          <cell r="B404" t="str">
            <v>EMMC</v>
          </cell>
          <cell r="C404" t="str">
            <v>HSLB10044</v>
          </cell>
          <cell r="D404">
            <v>101009</v>
          </cell>
          <cell r="E404" t="str">
            <v>Balanza Lactante con Cartabón</v>
          </cell>
          <cell r="F404" t="str">
            <v>NO</v>
          </cell>
          <cell r="G404" t="str">
            <v>NO</v>
          </cell>
          <cell r="H404" t="str">
            <v>SALA PARTO INTEGRAL</v>
          </cell>
          <cell r="I404">
            <v>1</v>
          </cell>
          <cell r="J404" t="str">
            <v>C.3.6.3.6.3</v>
          </cell>
          <cell r="K404" t="str">
            <v>Parto integral</v>
          </cell>
          <cell r="L404">
            <v>3</v>
          </cell>
          <cell r="M404">
            <v>46042</v>
          </cell>
          <cell r="N404">
            <v>46043</v>
          </cell>
          <cell r="O404">
            <v>1</v>
          </cell>
          <cell r="P404">
            <v>46044</v>
          </cell>
          <cell r="Q404">
            <v>5</v>
          </cell>
          <cell r="R404" t="str">
            <v>NA</v>
          </cell>
          <cell r="S404">
            <v>5</v>
          </cell>
        </row>
        <row r="405">
          <cell r="B405" t="str">
            <v>EMMC</v>
          </cell>
          <cell r="C405" t="str">
            <v>HSLB10046</v>
          </cell>
          <cell r="D405">
            <v>101009</v>
          </cell>
          <cell r="E405" t="str">
            <v>Balanza Lactante con Cartabón</v>
          </cell>
          <cell r="F405" t="str">
            <v>NO</v>
          </cell>
          <cell r="G405" t="str">
            <v>NO</v>
          </cell>
          <cell r="H405" t="str">
            <v>SALA REANIMACIÓN NEONATAL</v>
          </cell>
          <cell r="I405">
            <v>1</v>
          </cell>
          <cell r="J405" t="str">
            <v>C.5.6.4.11</v>
          </cell>
          <cell r="K405" t="str">
            <v>Pabellones</v>
          </cell>
          <cell r="L405">
            <v>3</v>
          </cell>
          <cell r="M405">
            <v>46039</v>
          </cell>
          <cell r="N405">
            <v>46041</v>
          </cell>
          <cell r="O405">
            <v>1</v>
          </cell>
          <cell r="P405">
            <v>46042</v>
          </cell>
          <cell r="Q405">
            <v>5</v>
          </cell>
          <cell r="R405" t="str">
            <v>NA</v>
          </cell>
          <cell r="S405">
            <v>5</v>
          </cell>
        </row>
        <row r="406">
          <cell r="B406" t="str">
            <v>EMMC</v>
          </cell>
          <cell r="C406" t="str">
            <v>HSLB10050</v>
          </cell>
          <cell r="D406">
            <v>101010</v>
          </cell>
          <cell r="E406" t="str">
            <v>Balanza Lactante con Cartabón con Carro</v>
          </cell>
          <cell r="F406" t="str">
            <v>NO</v>
          </cell>
          <cell r="G406" t="str">
            <v>NO</v>
          </cell>
          <cell r="H406" t="str">
            <v>BOX INGRESO PREPARACIÓN DE PACIENTES</v>
          </cell>
          <cell r="I406">
            <v>1</v>
          </cell>
          <cell r="J406" t="str">
            <v>C.5.6.2.1</v>
          </cell>
          <cell r="K406" t="str">
            <v>Pabellones</v>
          </cell>
          <cell r="L406">
            <v>3</v>
          </cell>
          <cell r="M406">
            <v>46039</v>
          </cell>
          <cell r="N406">
            <v>46041</v>
          </cell>
          <cell r="O406">
            <v>1</v>
          </cell>
          <cell r="P406">
            <v>46042</v>
          </cell>
          <cell r="Q406">
            <v>5</v>
          </cell>
          <cell r="R406" t="str">
            <v>NA</v>
          </cell>
          <cell r="S406">
            <v>5</v>
          </cell>
        </row>
        <row r="407">
          <cell r="B407" t="str">
            <v>EMMC</v>
          </cell>
          <cell r="C407" t="str">
            <v>HSLB10051</v>
          </cell>
          <cell r="D407">
            <v>101010</v>
          </cell>
          <cell r="E407" t="str">
            <v>Balanza Lactante con Cartabón con Carro</v>
          </cell>
          <cell r="F407" t="str">
            <v>NO</v>
          </cell>
          <cell r="G407" t="str">
            <v>NO</v>
          </cell>
          <cell r="H407" t="str">
            <v>SALA PREANESTECIA INFANTIL</v>
          </cell>
          <cell r="I407">
            <v>1</v>
          </cell>
          <cell r="J407" t="str">
            <v>C.5.6.4.2</v>
          </cell>
          <cell r="K407" t="str">
            <v>Pabellones</v>
          </cell>
          <cell r="L407">
            <v>3</v>
          </cell>
          <cell r="M407">
            <v>46039</v>
          </cell>
          <cell r="N407">
            <v>46041</v>
          </cell>
          <cell r="O407">
            <v>1</v>
          </cell>
          <cell r="P407">
            <v>46042</v>
          </cell>
          <cell r="Q407">
            <v>5</v>
          </cell>
          <cell r="R407" t="str">
            <v>NA</v>
          </cell>
          <cell r="S407">
            <v>5</v>
          </cell>
        </row>
        <row r="408">
          <cell r="B408" t="str">
            <v>EMMC</v>
          </cell>
          <cell r="C408" t="str">
            <v>HSLB10456</v>
          </cell>
          <cell r="D408">
            <v>104001</v>
          </cell>
          <cell r="E408" t="str">
            <v>BOMBA ASPIRACIÓN QUIRÚRGICA</v>
          </cell>
          <cell r="F408" t="str">
            <v>NO</v>
          </cell>
          <cell r="G408" t="str">
            <v>NO</v>
          </cell>
          <cell r="H408" t="str">
            <v>SALA PREPARACIÓN PACIENTES</v>
          </cell>
          <cell r="I408">
            <v>1</v>
          </cell>
          <cell r="J408" t="str">
            <v>C.3.6.3.11.1</v>
          </cell>
          <cell r="K408" t="str">
            <v>Parto integral</v>
          </cell>
          <cell r="L408">
            <v>3</v>
          </cell>
          <cell r="M408">
            <v>46042</v>
          </cell>
          <cell r="N408">
            <v>46043</v>
          </cell>
          <cell r="O408">
            <v>1</v>
          </cell>
          <cell r="P408">
            <v>46044</v>
          </cell>
          <cell r="Q408">
            <v>5</v>
          </cell>
          <cell r="R408" t="str">
            <v>NA</v>
          </cell>
          <cell r="S408">
            <v>5</v>
          </cell>
        </row>
        <row r="409">
          <cell r="B409" t="str">
            <v>EMMC</v>
          </cell>
          <cell r="C409" t="str">
            <v>HSLB10460</v>
          </cell>
          <cell r="D409">
            <v>104001</v>
          </cell>
          <cell r="E409" t="str">
            <v>BOMBA ASPIRACIÓN QUIRÚRGICA</v>
          </cell>
          <cell r="F409" t="str">
            <v>NO</v>
          </cell>
          <cell r="G409" t="str">
            <v>NO</v>
          </cell>
          <cell r="H409" t="str">
            <v>PABELLON CIRUGIA MAYOR ELECTIVA</v>
          </cell>
          <cell r="I409">
            <v>1</v>
          </cell>
          <cell r="J409" t="str">
            <v>C.5.6.4.5.1</v>
          </cell>
          <cell r="K409" t="str">
            <v>Pabellones</v>
          </cell>
          <cell r="L409">
            <v>3</v>
          </cell>
          <cell r="M409">
            <v>46039</v>
          </cell>
          <cell r="N409">
            <v>46041</v>
          </cell>
          <cell r="O409">
            <v>1</v>
          </cell>
          <cell r="P409">
            <v>46042</v>
          </cell>
          <cell r="Q409">
            <v>5</v>
          </cell>
          <cell r="R409" t="str">
            <v>NA</v>
          </cell>
          <cell r="S409">
            <v>5</v>
          </cell>
        </row>
        <row r="410">
          <cell r="B410" t="str">
            <v>EMMC</v>
          </cell>
          <cell r="C410" t="str">
            <v>HSLB10461</v>
          </cell>
          <cell r="D410">
            <v>104001</v>
          </cell>
          <cell r="E410" t="str">
            <v>BOMBA ASPIRACIÓN QUIRÚRGICA</v>
          </cell>
          <cell r="F410" t="str">
            <v>NO</v>
          </cell>
          <cell r="G410" t="str">
            <v>NO</v>
          </cell>
          <cell r="H410" t="str">
            <v>PABELLON CIRUGIA MAYOR ELECTIVA</v>
          </cell>
          <cell r="I410">
            <v>1</v>
          </cell>
          <cell r="J410" t="str">
            <v>C.5.6.4.5.2</v>
          </cell>
          <cell r="K410" t="str">
            <v>Pabellones</v>
          </cell>
          <cell r="L410">
            <v>3</v>
          </cell>
          <cell r="M410">
            <v>46039</v>
          </cell>
          <cell r="N410">
            <v>46041</v>
          </cell>
          <cell r="O410">
            <v>1</v>
          </cell>
          <cell r="P410">
            <v>46042</v>
          </cell>
          <cell r="Q410">
            <v>5</v>
          </cell>
          <cell r="R410" t="str">
            <v>NA</v>
          </cell>
          <cell r="S410">
            <v>5</v>
          </cell>
        </row>
        <row r="411">
          <cell r="B411" t="str">
            <v>EMMC</v>
          </cell>
          <cell r="C411" t="str">
            <v>HSLB10462</v>
          </cell>
          <cell r="D411">
            <v>104001</v>
          </cell>
          <cell r="E411" t="str">
            <v>BOMBA ASPIRACIÓN QUIRÚRGICA</v>
          </cell>
          <cell r="F411" t="str">
            <v>NO</v>
          </cell>
          <cell r="G411" t="str">
            <v>NO</v>
          </cell>
          <cell r="H411" t="str">
            <v>PABELLON CIRUGIA MAYOR ELECTIVA</v>
          </cell>
          <cell r="I411">
            <v>1</v>
          </cell>
          <cell r="J411" t="str">
            <v>C.5.6.4.5.3</v>
          </cell>
          <cell r="K411" t="str">
            <v>Pabellones</v>
          </cell>
          <cell r="L411">
            <v>3</v>
          </cell>
          <cell r="M411">
            <v>46039</v>
          </cell>
          <cell r="N411">
            <v>46041</v>
          </cell>
          <cell r="O411">
            <v>1</v>
          </cell>
          <cell r="P411">
            <v>46042</v>
          </cell>
          <cell r="Q411">
            <v>5</v>
          </cell>
          <cell r="R411" t="str">
            <v>NA</v>
          </cell>
          <cell r="S411">
            <v>5</v>
          </cell>
        </row>
        <row r="412">
          <cell r="B412" t="str">
            <v>EMMC</v>
          </cell>
          <cell r="C412" t="str">
            <v>HSLB10463</v>
          </cell>
          <cell r="D412">
            <v>104001</v>
          </cell>
          <cell r="E412" t="str">
            <v>BOMBA ASPIRACIÓN QUIRÚRGICA</v>
          </cell>
          <cell r="F412" t="str">
            <v>NO</v>
          </cell>
          <cell r="G412" t="str">
            <v>NO</v>
          </cell>
          <cell r="H412" t="str">
            <v>PABELLON URGENCIAS</v>
          </cell>
          <cell r="I412">
            <v>1</v>
          </cell>
          <cell r="J412" t="str">
            <v>C.5.6.4.7</v>
          </cell>
          <cell r="K412" t="str">
            <v>Pabellones</v>
          </cell>
          <cell r="L412">
            <v>3</v>
          </cell>
          <cell r="M412">
            <v>46039</v>
          </cell>
          <cell r="N412">
            <v>46041</v>
          </cell>
          <cell r="O412">
            <v>1</v>
          </cell>
          <cell r="P412">
            <v>46042</v>
          </cell>
          <cell r="Q412">
            <v>5</v>
          </cell>
          <cell r="R412" t="str">
            <v>NA</v>
          </cell>
          <cell r="S412">
            <v>5</v>
          </cell>
        </row>
        <row r="413">
          <cell r="B413" t="str">
            <v>EMMC</v>
          </cell>
          <cell r="C413" t="str">
            <v>HSLB10479</v>
          </cell>
          <cell r="D413">
            <v>104002</v>
          </cell>
          <cell r="E413" t="str">
            <v>BOMBA ASPIRACIÓN UNIVERSAL</v>
          </cell>
          <cell r="F413" t="str">
            <v>NO</v>
          </cell>
          <cell r="G413" t="str">
            <v>NO</v>
          </cell>
          <cell r="H413" t="str">
            <v>ESTACIÓN DE ENFERMERÍA</v>
          </cell>
          <cell r="I413">
            <v>1</v>
          </cell>
          <cell r="J413" t="str">
            <v>C.3.7.12.1</v>
          </cell>
          <cell r="K413" t="str">
            <v>UTI</v>
          </cell>
          <cell r="L413">
            <v>3</v>
          </cell>
          <cell r="M413">
            <v>46042</v>
          </cell>
          <cell r="N413">
            <v>46043</v>
          </cell>
          <cell r="O413">
            <v>1</v>
          </cell>
          <cell r="P413">
            <v>46044</v>
          </cell>
          <cell r="Q413">
            <v>5</v>
          </cell>
          <cell r="R413" t="str">
            <v>NA</v>
          </cell>
          <cell r="S413">
            <v>5</v>
          </cell>
        </row>
        <row r="414">
          <cell r="B414" t="str">
            <v>EMMC</v>
          </cell>
          <cell r="C414" t="str">
            <v>HSLB10486</v>
          </cell>
          <cell r="D414">
            <v>104002</v>
          </cell>
          <cell r="E414" t="str">
            <v>BOMBA ASPIRACIÓN UNIVERSAL</v>
          </cell>
          <cell r="F414" t="str">
            <v>NO</v>
          </cell>
          <cell r="G414" t="str">
            <v>NO</v>
          </cell>
          <cell r="H414" t="str">
            <v>ESTACIÓN DE ENFERMERÍA</v>
          </cell>
          <cell r="I414">
            <v>1</v>
          </cell>
          <cell r="J414" t="str">
            <v>C.5.6.3.18.1</v>
          </cell>
          <cell r="K414" t="str">
            <v>Pabellones</v>
          </cell>
          <cell r="L414">
            <v>3</v>
          </cell>
          <cell r="M414">
            <v>46039</v>
          </cell>
          <cell r="N414">
            <v>46041</v>
          </cell>
          <cell r="O414">
            <v>1</v>
          </cell>
          <cell r="P414">
            <v>46042</v>
          </cell>
          <cell r="Q414">
            <v>5</v>
          </cell>
          <cell r="R414" t="str">
            <v>NA</v>
          </cell>
          <cell r="S414">
            <v>5</v>
          </cell>
        </row>
        <row r="415">
          <cell r="B415" t="str">
            <v>EMMC</v>
          </cell>
          <cell r="C415" t="str">
            <v>HSLB10632</v>
          </cell>
          <cell r="D415">
            <v>105003</v>
          </cell>
          <cell r="E415" t="str">
            <v>Calentador de Fluidos</v>
          </cell>
          <cell r="F415" t="str">
            <v>NO</v>
          </cell>
          <cell r="G415" t="str">
            <v>NO</v>
          </cell>
          <cell r="H415" t="str">
            <v>ESTACIÓN DE ENFERMERÍA</v>
          </cell>
          <cell r="I415">
            <v>1</v>
          </cell>
          <cell r="J415" t="str">
            <v>C.5.6.3.18.1</v>
          </cell>
          <cell r="K415" t="str">
            <v>Pabellones</v>
          </cell>
          <cell r="L415">
            <v>3</v>
          </cell>
          <cell r="M415">
            <v>46039</v>
          </cell>
          <cell r="N415">
            <v>46041</v>
          </cell>
          <cell r="O415">
            <v>1</v>
          </cell>
          <cell r="P415">
            <v>46042</v>
          </cell>
          <cell r="Q415">
            <v>5</v>
          </cell>
          <cell r="R415" t="str">
            <v>NA</v>
          </cell>
          <cell r="S415">
            <v>5</v>
          </cell>
        </row>
        <row r="416">
          <cell r="B416" t="str">
            <v>EMMC</v>
          </cell>
          <cell r="C416" t="str">
            <v>HSLB11625</v>
          </cell>
          <cell r="D416">
            <v>112006</v>
          </cell>
          <cell r="E416" t="str">
            <v>Camilla de Recuperación</v>
          </cell>
          <cell r="F416" t="str">
            <v>NO</v>
          </cell>
          <cell r="G416" t="str">
            <v>NO</v>
          </cell>
          <cell r="H416" t="str">
            <v>SALA RECUPERACION URGENCIAS</v>
          </cell>
          <cell r="I416">
            <v>1</v>
          </cell>
          <cell r="J416" t="str">
            <v>C.5.6.3.15.1</v>
          </cell>
          <cell r="K416" t="str">
            <v>Pabellones</v>
          </cell>
          <cell r="L416">
            <v>3</v>
          </cell>
          <cell r="M416">
            <v>46039</v>
          </cell>
          <cell r="N416">
            <v>46041</v>
          </cell>
          <cell r="O416">
            <v>1</v>
          </cell>
          <cell r="P416">
            <v>46042</v>
          </cell>
          <cell r="Q416">
            <v>5</v>
          </cell>
          <cell r="R416" t="str">
            <v>NA</v>
          </cell>
          <cell r="S416">
            <v>5</v>
          </cell>
        </row>
        <row r="417">
          <cell r="B417" t="str">
            <v>EMMC</v>
          </cell>
          <cell r="C417" t="str">
            <v>HSLB11626</v>
          </cell>
          <cell r="D417">
            <v>112006</v>
          </cell>
          <cell r="E417" t="str">
            <v>Camilla de Recuperación</v>
          </cell>
          <cell r="F417" t="str">
            <v>NO</v>
          </cell>
          <cell r="G417" t="str">
            <v>NO</v>
          </cell>
          <cell r="H417" t="str">
            <v>SALA RECUPERACION URGENCIAS</v>
          </cell>
          <cell r="I417">
            <v>1</v>
          </cell>
          <cell r="J417" t="str">
            <v>C.5.6.3.15.2</v>
          </cell>
          <cell r="K417" t="str">
            <v>Pabellones</v>
          </cell>
          <cell r="L417">
            <v>3</v>
          </cell>
          <cell r="M417">
            <v>46039</v>
          </cell>
          <cell r="N417">
            <v>46041</v>
          </cell>
          <cell r="O417">
            <v>1</v>
          </cell>
          <cell r="P417">
            <v>46042</v>
          </cell>
          <cell r="Q417">
            <v>5</v>
          </cell>
          <cell r="R417" t="str">
            <v>NA</v>
          </cell>
          <cell r="S417">
            <v>5</v>
          </cell>
        </row>
        <row r="418">
          <cell r="B418" t="str">
            <v>EMMC</v>
          </cell>
          <cell r="C418" t="str">
            <v>HSLB11684</v>
          </cell>
          <cell r="D418">
            <v>112011</v>
          </cell>
          <cell r="E418" t="str">
            <v>Camilla Ginecológica Convertible</v>
          </cell>
          <cell r="F418" t="str">
            <v>NO</v>
          </cell>
          <cell r="G418" t="str">
            <v>NO</v>
          </cell>
          <cell r="H418" t="str">
            <v>SALA PREPARACIÓN PACIENTES</v>
          </cell>
          <cell r="I418">
            <v>1</v>
          </cell>
          <cell r="J418" t="str">
            <v>C.3.6.3.11.1</v>
          </cell>
          <cell r="K418" t="str">
            <v>Parto integral</v>
          </cell>
          <cell r="L418">
            <v>3</v>
          </cell>
          <cell r="M418">
            <v>46042</v>
          </cell>
          <cell r="N418">
            <v>46043</v>
          </cell>
          <cell r="O418">
            <v>1</v>
          </cell>
          <cell r="P418">
            <v>46044</v>
          </cell>
          <cell r="Q418">
            <v>5</v>
          </cell>
          <cell r="R418" t="str">
            <v>NA</v>
          </cell>
          <cell r="S418">
            <v>5</v>
          </cell>
        </row>
        <row r="419">
          <cell r="B419" t="str">
            <v>EMMC</v>
          </cell>
          <cell r="C419" t="str">
            <v>HSLB11687</v>
          </cell>
          <cell r="D419">
            <v>112011</v>
          </cell>
          <cell r="E419" t="str">
            <v>Camilla Ginecológica Convertible</v>
          </cell>
          <cell r="F419" t="str">
            <v>NO</v>
          </cell>
          <cell r="G419" t="str">
            <v>SI</v>
          </cell>
          <cell r="H419" t="str">
            <v>BOX DE ATENCIÓN</v>
          </cell>
          <cell r="I419">
            <v>1</v>
          </cell>
          <cell r="J419" t="str">
            <v>D.4.4.1.3.1</v>
          </cell>
          <cell r="K419" t="str">
            <v>Consultas Ambulatorias</v>
          </cell>
          <cell r="L419">
            <v>3</v>
          </cell>
          <cell r="M419">
            <v>46003</v>
          </cell>
          <cell r="N419">
            <v>46006</v>
          </cell>
          <cell r="O419">
            <v>1</v>
          </cell>
          <cell r="P419">
            <v>46007</v>
          </cell>
          <cell r="Q419">
            <v>5</v>
          </cell>
          <cell r="R419" t="str">
            <v>NA</v>
          </cell>
          <cell r="S419">
            <v>5</v>
          </cell>
        </row>
        <row r="420">
          <cell r="B420" t="str">
            <v>EMMC</v>
          </cell>
          <cell r="C420" t="str">
            <v>HSLB11720</v>
          </cell>
          <cell r="D420">
            <v>112016</v>
          </cell>
          <cell r="E420" t="str">
            <v>Camilla Transporte Paciente</v>
          </cell>
          <cell r="F420" t="str">
            <v>NO</v>
          </cell>
          <cell r="G420" t="str">
            <v>NO</v>
          </cell>
          <cell r="H420" t="str">
            <v>ESTACIONAMIENTO CAMILLAS Y SILLAS DE RUEDAS</v>
          </cell>
          <cell r="I420">
            <v>1</v>
          </cell>
          <cell r="J420" t="str">
            <v>C.3.6.3.22</v>
          </cell>
          <cell r="K420" t="str">
            <v>Parto integral</v>
          </cell>
          <cell r="L420">
            <v>3</v>
          </cell>
          <cell r="M420">
            <v>46042</v>
          </cell>
          <cell r="N420">
            <v>46043</v>
          </cell>
          <cell r="O420">
            <v>1</v>
          </cell>
          <cell r="P420">
            <v>46044</v>
          </cell>
          <cell r="Q420">
            <v>5</v>
          </cell>
          <cell r="R420" t="str">
            <v>NA</v>
          </cell>
          <cell r="S420">
            <v>5</v>
          </cell>
        </row>
        <row r="421">
          <cell r="B421" t="str">
            <v>EMMC</v>
          </cell>
          <cell r="C421" t="str">
            <v>HSLB11721</v>
          </cell>
          <cell r="D421">
            <v>112016</v>
          </cell>
          <cell r="E421" t="str">
            <v>Camilla Transporte Paciente</v>
          </cell>
          <cell r="F421" t="str">
            <v>NO</v>
          </cell>
          <cell r="G421" t="str">
            <v>SI</v>
          </cell>
          <cell r="H421" t="str">
            <v>SALA MULTIUSO</v>
          </cell>
          <cell r="I421">
            <v>1</v>
          </cell>
          <cell r="J421" t="str">
            <v>C.3.6.3.5</v>
          </cell>
          <cell r="K421" t="str">
            <v>Parto integral</v>
          </cell>
          <cell r="L421">
            <v>3</v>
          </cell>
          <cell r="M421">
            <v>46003</v>
          </cell>
          <cell r="N421">
            <v>46006</v>
          </cell>
          <cell r="O421">
            <v>1</v>
          </cell>
          <cell r="P421">
            <v>46007</v>
          </cell>
          <cell r="Q421">
            <v>5</v>
          </cell>
          <cell r="R421" t="str">
            <v>NA</v>
          </cell>
          <cell r="S421">
            <v>5</v>
          </cell>
        </row>
        <row r="422">
          <cell r="B422" t="str">
            <v>EMMC</v>
          </cell>
          <cell r="C422" t="str">
            <v>HSLB11722</v>
          </cell>
          <cell r="D422">
            <v>112016</v>
          </cell>
          <cell r="E422" t="str">
            <v>Camilla Transporte Paciente</v>
          </cell>
          <cell r="F422" t="str">
            <v>NO</v>
          </cell>
          <cell r="G422" t="str">
            <v>NO</v>
          </cell>
          <cell r="H422" t="str">
            <v>SALA DE PROCEDIMIENTOS</v>
          </cell>
          <cell r="I422">
            <v>1</v>
          </cell>
          <cell r="J422" t="str">
            <v>C.3.7.18</v>
          </cell>
          <cell r="K422" t="str">
            <v>UTI</v>
          </cell>
          <cell r="L422">
            <v>3</v>
          </cell>
          <cell r="M422">
            <v>46042</v>
          </cell>
          <cell r="N422">
            <v>46043</v>
          </cell>
          <cell r="O422">
            <v>1</v>
          </cell>
          <cell r="P422">
            <v>46044</v>
          </cell>
          <cell r="Q422">
            <v>5</v>
          </cell>
          <cell r="R422" t="str">
            <v>NA</v>
          </cell>
          <cell r="S422">
            <v>5</v>
          </cell>
        </row>
        <row r="423">
          <cell r="B423" t="str">
            <v>EMMC</v>
          </cell>
          <cell r="C423" t="str">
            <v>HSLB11748</v>
          </cell>
          <cell r="D423">
            <v>112016</v>
          </cell>
          <cell r="E423" t="str">
            <v>Camilla Transporte Paciente</v>
          </cell>
          <cell r="F423" t="str">
            <v>NO</v>
          </cell>
          <cell r="G423" t="str">
            <v>NO</v>
          </cell>
          <cell r="H423" t="str">
            <v>SALA PREANESTECIA INFANTIL</v>
          </cell>
          <cell r="I423">
            <v>1</v>
          </cell>
          <cell r="J423" t="str">
            <v>C.5.6.4.2</v>
          </cell>
          <cell r="K423" t="str">
            <v>Pabellones</v>
          </cell>
          <cell r="L423">
            <v>3</v>
          </cell>
          <cell r="M423">
            <v>46039</v>
          </cell>
          <cell r="N423">
            <v>46041</v>
          </cell>
          <cell r="O423">
            <v>1</v>
          </cell>
          <cell r="P423">
            <v>46042</v>
          </cell>
          <cell r="Q423">
            <v>5</v>
          </cell>
          <cell r="R423" t="str">
            <v>NA</v>
          </cell>
          <cell r="S423">
            <v>5</v>
          </cell>
        </row>
        <row r="424">
          <cell r="B424" t="str">
            <v>EMMC</v>
          </cell>
          <cell r="C424" t="str">
            <v>HSLB11749</v>
          </cell>
          <cell r="D424">
            <v>112016</v>
          </cell>
          <cell r="E424" t="str">
            <v>Camilla Transporte Paciente</v>
          </cell>
          <cell r="F424" t="str">
            <v>NO</v>
          </cell>
          <cell r="G424" t="str">
            <v>NO</v>
          </cell>
          <cell r="H424" t="str">
            <v>SALA PREANESTESIA ADULTO</v>
          </cell>
          <cell r="I424">
            <v>1</v>
          </cell>
          <cell r="J424" t="str">
            <v>C.5.6.4.3.1</v>
          </cell>
          <cell r="K424" t="str">
            <v>Pabellones</v>
          </cell>
          <cell r="L424">
            <v>3</v>
          </cell>
          <cell r="M424">
            <v>46039</v>
          </cell>
          <cell r="N424">
            <v>46041</v>
          </cell>
          <cell r="O424">
            <v>1</v>
          </cell>
          <cell r="P424">
            <v>46042</v>
          </cell>
          <cell r="Q424">
            <v>5</v>
          </cell>
          <cell r="R424" t="str">
            <v>NA</v>
          </cell>
          <cell r="S424">
            <v>5</v>
          </cell>
        </row>
        <row r="425">
          <cell r="B425" t="str">
            <v>EMMC</v>
          </cell>
          <cell r="C425" t="str">
            <v>HSLB11750</v>
          </cell>
          <cell r="D425">
            <v>112016</v>
          </cell>
          <cell r="E425" t="str">
            <v>Camilla Transporte Paciente</v>
          </cell>
          <cell r="F425" t="str">
            <v>NO</v>
          </cell>
          <cell r="G425" t="str">
            <v>NO</v>
          </cell>
          <cell r="H425" t="str">
            <v>SALA PREANESTECIA ADULTO</v>
          </cell>
          <cell r="I425">
            <v>1</v>
          </cell>
          <cell r="J425" t="str">
            <v>C.5.6.4.3.2</v>
          </cell>
          <cell r="K425" t="str">
            <v>Pabellones</v>
          </cell>
          <cell r="L425">
            <v>3</v>
          </cell>
          <cell r="M425">
            <v>46039</v>
          </cell>
          <cell r="N425">
            <v>46041</v>
          </cell>
          <cell r="O425">
            <v>1</v>
          </cell>
          <cell r="P425">
            <v>46042</v>
          </cell>
          <cell r="Q425">
            <v>5</v>
          </cell>
          <cell r="R425" t="str">
            <v>NA</v>
          </cell>
          <cell r="S425">
            <v>5</v>
          </cell>
        </row>
        <row r="426">
          <cell r="B426" t="str">
            <v>EMMC</v>
          </cell>
          <cell r="C426" t="str">
            <v>HSLB12703</v>
          </cell>
          <cell r="D426">
            <v>113001</v>
          </cell>
          <cell r="E426" t="str">
            <v>Capnógrafo</v>
          </cell>
          <cell r="F426" t="str">
            <v>NO</v>
          </cell>
          <cell r="G426" t="str">
            <v>NO</v>
          </cell>
          <cell r="H426" t="str">
            <v>CENTRAL DE MONITOREO</v>
          </cell>
          <cell r="I426">
            <v>1</v>
          </cell>
          <cell r="J426" t="str">
            <v>C.3.7.10.1</v>
          </cell>
          <cell r="K426" t="str">
            <v>UTI</v>
          </cell>
          <cell r="L426">
            <v>3</v>
          </cell>
          <cell r="M426">
            <v>46042</v>
          </cell>
          <cell r="N426">
            <v>46043</v>
          </cell>
          <cell r="O426">
            <v>1</v>
          </cell>
          <cell r="P426">
            <v>46044</v>
          </cell>
          <cell r="Q426">
            <v>5</v>
          </cell>
          <cell r="R426" t="str">
            <v>NA</v>
          </cell>
          <cell r="S426">
            <v>5</v>
          </cell>
        </row>
        <row r="427">
          <cell r="B427" t="str">
            <v>EMMC</v>
          </cell>
          <cell r="C427" t="str">
            <v>HSLB11827</v>
          </cell>
          <cell r="D427">
            <v>112022</v>
          </cell>
          <cell r="E427" t="str">
            <v>Carro de Paro</v>
          </cell>
          <cell r="F427" t="str">
            <v>NO</v>
          </cell>
          <cell r="G427" t="str">
            <v>NO</v>
          </cell>
          <cell r="H427" t="str">
            <v>ESTACIÓN DE ENFERMERÍA</v>
          </cell>
          <cell r="I427">
            <v>1</v>
          </cell>
          <cell r="J427" t="str">
            <v>C.3.7.12.1</v>
          </cell>
          <cell r="K427" t="str">
            <v>UTI</v>
          </cell>
          <cell r="L427">
            <v>3</v>
          </cell>
          <cell r="M427">
            <v>46042</v>
          </cell>
          <cell r="N427">
            <v>46043</v>
          </cell>
          <cell r="O427">
            <v>1</v>
          </cell>
          <cell r="P427">
            <v>46044</v>
          </cell>
          <cell r="Q427">
            <v>5</v>
          </cell>
          <cell r="R427" t="str">
            <v>NA</v>
          </cell>
          <cell r="S427">
            <v>5</v>
          </cell>
        </row>
        <row r="428">
          <cell r="B428" t="str">
            <v>EMMC</v>
          </cell>
          <cell r="C428" t="str">
            <v>HSLB11833</v>
          </cell>
          <cell r="D428">
            <v>112022</v>
          </cell>
          <cell r="E428" t="str">
            <v>Carro de Paro</v>
          </cell>
          <cell r="F428" t="str">
            <v>NO</v>
          </cell>
          <cell r="G428" t="str">
            <v>NO</v>
          </cell>
          <cell r="H428" t="str">
            <v>ESTACIÓN DE ENFERMERÍA</v>
          </cell>
          <cell r="I428">
            <v>1</v>
          </cell>
          <cell r="J428" t="str">
            <v>C.5.6.3.18.1</v>
          </cell>
          <cell r="K428" t="str">
            <v>Pabellones</v>
          </cell>
          <cell r="L428">
            <v>3</v>
          </cell>
          <cell r="M428">
            <v>46039</v>
          </cell>
          <cell r="N428">
            <v>46041</v>
          </cell>
          <cell r="O428">
            <v>1</v>
          </cell>
          <cell r="P428">
            <v>46042</v>
          </cell>
          <cell r="Q428">
            <v>5</v>
          </cell>
          <cell r="R428" t="str">
            <v>NA</v>
          </cell>
          <cell r="S428">
            <v>5</v>
          </cell>
        </row>
        <row r="429">
          <cell r="B429" t="str">
            <v>EMMC</v>
          </cell>
          <cell r="C429" t="str">
            <v>HSLB10580</v>
          </cell>
          <cell r="D429">
            <v>104030</v>
          </cell>
          <cell r="E429" t="str">
            <v>Sistema de Columnas y Brazos</v>
          </cell>
          <cell r="F429" t="str">
            <v>SI</v>
          </cell>
          <cell r="G429" t="str">
            <v>NO</v>
          </cell>
          <cell r="H429" t="str">
            <v>PABELLON URGENCIAS</v>
          </cell>
          <cell r="I429">
            <v>1</v>
          </cell>
          <cell r="J429" t="str">
            <v>C.5.6.4.7</v>
          </cell>
          <cell r="K429" t="str">
            <v>Pabellones</v>
          </cell>
          <cell r="L429">
            <v>3</v>
          </cell>
          <cell r="M429">
            <v>46030</v>
          </cell>
          <cell r="N429">
            <v>46031</v>
          </cell>
          <cell r="O429">
            <v>15</v>
          </cell>
          <cell r="P429">
            <v>46052</v>
          </cell>
          <cell r="Q429">
            <v>5</v>
          </cell>
          <cell r="R429" t="str">
            <v>NA</v>
          </cell>
          <cell r="S429">
            <v>5</v>
          </cell>
        </row>
        <row r="430">
          <cell r="B430" t="str">
            <v>EMMC</v>
          </cell>
          <cell r="C430" t="str">
            <v>HSLB10495</v>
          </cell>
          <cell r="D430">
            <v>104005</v>
          </cell>
          <cell r="E430" t="str">
            <v>Criocoagulador de Nitrógeno Oftalmológico</v>
          </cell>
          <cell r="F430" t="str">
            <v>NO</v>
          </cell>
          <cell r="G430" t="str">
            <v>NO</v>
          </cell>
          <cell r="H430" t="str">
            <v>BODEGA DE EQUIPOS</v>
          </cell>
          <cell r="I430">
            <v>1</v>
          </cell>
          <cell r="J430" t="str">
            <v>C.5.6.4.17.1</v>
          </cell>
          <cell r="K430" t="str">
            <v>Pabellones</v>
          </cell>
          <cell r="L430">
            <v>3</v>
          </cell>
          <cell r="M430">
            <v>46039</v>
          </cell>
          <cell r="N430">
            <v>46041</v>
          </cell>
          <cell r="O430">
            <v>1</v>
          </cell>
          <cell r="P430">
            <v>46042</v>
          </cell>
          <cell r="Q430">
            <v>5</v>
          </cell>
          <cell r="R430" t="str">
            <v>NA</v>
          </cell>
          <cell r="S430">
            <v>5</v>
          </cell>
        </row>
        <row r="431">
          <cell r="B431" t="str">
            <v>EMMC</v>
          </cell>
          <cell r="C431" t="str">
            <v>HSLB10097</v>
          </cell>
          <cell r="D431">
            <v>101024</v>
          </cell>
          <cell r="E431" t="str">
            <v>Electrocardiógrafo</v>
          </cell>
          <cell r="F431" t="str">
            <v>NO</v>
          </cell>
          <cell r="G431" t="str">
            <v>NO</v>
          </cell>
          <cell r="H431" t="str">
            <v>ESTACIÓN DE ENFERMERÍA</v>
          </cell>
          <cell r="I431">
            <v>1</v>
          </cell>
          <cell r="J431" t="str">
            <v>C.3.7.12.2</v>
          </cell>
          <cell r="K431" t="str">
            <v>UTI</v>
          </cell>
          <cell r="L431">
            <v>3</v>
          </cell>
          <cell r="M431">
            <v>46042</v>
          </cell>
          <cell r="N431">
            <v>46043</v>
          </cell>
          <cell r="O431">
            <v>1</v>
          </cell>
          <cell r="P431">
            <v>46044</v>
          </cell>
          <cell r="Q431">
            <v>5</v>
          </cell>
          <cell r="R431" t="str">
            <v>NA</v>
          </cell>
          <cell r="S431">
            <v>5</v>
          </cell>
        </row>
        <row r="432">
          <cell r="B432" t="str">
            <v>EMMC</v>
          </cell>
          <cell r="C432" t="str">
            <v>HSLB10104</v>
          </cell>
          <cell r="D432">
            <v>101024</v>
          </cell>
          <cell r="E432" t="str">
            <v>Electrocardiógrafo</v>
          </cell>
          <cell r="F432" t="str">
            <v>NO</v>
          </cell>
          <cell r="G432" t="str">
            <v>NO</v>
          </cell>
          <cell r="H432" t="str">
            <v>ESTACIÓN DE ENFERMERÍA</v>
          </cell>
          <cell r="I432">
            <v>1</v>
          </cell>
          <cell r="J432" t="str">
            <v>C.5.6.3.18.1</v>
          </cell>
          <cell r="K432" t="str">
            <v>Pabellones</v>
          </cell>
          <cell r="L432">
            <v>3</v>
          </cell>
          <cell r="M432">
            <v>46039</v>
          </cell>
          <cell r="N432">
            <v>46041</v>
          </cell>
          <cell r="O432">
            <v>1</v>
          </cell>
          <cell r="P432">
            <v>46042</v>
          </cell>
          <cell r="Q432">
            <v>5</v>
          </cell>
          <cell r="R432" t="str">
            <v>NA</v>
          </cell>
          <cell r="S432">
            <v>5</v>
          </cell>
        </row>
        <row r="433">
          <cell r="B433" t="str">
            <v>EMMC</v>
          </cell>
          <cell r="C433" t="str">
            <v>HSLB12037</v>
          </cell>
          <cell r="D433">
            <v>112053</v>
          </cell>
          <cell r="E433" t="str">
            <v>Elevador de Paciente</v>
          </cell>
          <cell r="F433" t="str">
            <v>NO</v>
          </cell>
          <cell r="G433" t="str">
            <v>SI</v>
          </cell>
          <cell r="H433" t="str">
            <v>BODEGA DE EQUIPOS</v>
          </cell>
          <cell r="I433">
            <v>1</v>
          </cell>
          <cell r="J433" t="str">
            <v>C.3.7.20</v>
          </cell>
          <cell r="K433" t="str">
            <v>UTI</v>
          </cell>
          <cell r="L433">
            <v>3</v>
          </cell>
          <cell r="M433">
            <v>46003</v>
          </cell>
          <cell r="N433">
            <v>46006</v>
          </cell>
          <cell r="O433">
            <v>1</v>
          </cell>
          <cell r="P433">
            <v>46007</v>
          </cell>
          <cell r="Q433">
            <v>5</v>
          </cell>
          <cell r="R433" t="str">
            <v>NA</v>
          </cell>
          <cell r="S433">
            <v>5</v>
          </cell>
        </row>
        <row r="434">
          <cell r="B434" t="str">
            <v>EMMC</v>
          </cell>
          <cell r="C434" t="str">
            <v>HSLB10575</v>
          </cell>
          <cell r="D434">
            <v>104030</v>
          </cell>
          <cell r="E434" t="str">
            <v xml:space="preserve">Sistema de Columnas y Brazos </v>
          </cell>
          <cell r="F434" t="str">
            <v>SI</v>
          </cell>
          <cell r="G434" t="str">
            <v>NO</v>
          </cell>
          <cell r="H434" t="str">
            <v>PABELLON CIRUGIA MAYOR ELECTIVA</v>
          </cell>
          <cell r="I434">
            <v>1</v>
          </cell>
          <cell r="J434" t="str">
            <v>C.5.6.4.5.1</v>
          </cell>
          <cell r="K434" t="str">
            <v>Pabellones</v>
          </cell>
          <cell r="L434">
            <v>3</v>
          </cell>
          <cell r="M434">
            <v>46030</v>
          </cell>
          <cell r="N434">
            <v>46031</v>
          </cell>
          <cell r="O434">
            <v>15</v>
          </cell>
          <cell r="P434">
            <v>46052</v>
          </cell>
          <cell r="Q434">
            <v>5</v>
          </cell>
          <cell r="R434" t="str">
            <v>NA</v>
          </cell>
          <cell r="S434">
            <v>5</v>
          </cell>
        </row>
        <row r="435">
          <cell r="B435" t="str">
            <v>EMMC</v>
          </cell>
          <cell r="C435" t="str">
            <v>HSLB10121</v>
          </cell>
          <cell r="D435">
            <v>101033</v>
          </cell>
          <cell r="E435" t="str">
            <v>Facoemulsificador</v>
          </cell>
          <cell r="F435" t="str">
            <v>NO</v>
          </cell>
          <cell r="G435" t="str">
            <v>NO</v>
          </cell>
          <cell r="H435" t="str">
            <v>BODEGA DE EQUIPOS</v>
          </cell>
          <cell r="I435">
            <v>1</v>
          </cell>
          <cell r="J435" t="str">
            <v>C.5.6.4.17.1</v>
          </cell>
          <cell r="K435" t="str">
            <v>Pabellones</v>
          </cell>
          <cell r="L435">
            <v>3</v>
          </cell>
          <cell r="M435">
            <v>46039</v>
          </cell>
          <cell r="N435">
            <v>46041</v>
          </cell>
          <cell r="O435">
            <v>1</v>
          </cell>
          <cell r="P435">
            <v>46042</v>
          </cell>
          <cell r="Q435">
            <v>5</v>
          </cell>
          <cell r="R435" t="str">
            <v>NA</v>
          </cell>
          <cell r="S435">
            <v>5</v>
          </cell>
        </row>
        <row r="436">
          <cell r="B436" t="str">
            <v>EMMC</v>
          </cell>
          <cell r="C436" t="str">
            <v>HSLB10352</v>
          </cell>
          <cell r="D436">
            <v>103028</v>
          </cell>
          <cell r="E436" t="str">
            <v>Hervidor Eléctrico Mantenedor de Agua 45 l</v>
          </cell>
          <cell r="F436" t="str">
            <v>NO</v>
          </cell>
          <cell r="G436" t="str">
            <v>NO</v>
          </cell>
          <cell r="H436" t="str">
            <v>COCINA CON REPOSTERO</v>
          </cell>
          <cell r="I436">
            <v>1</v>
          </cell>
          <cell r="J436" t="str">
            <v>E.1.6</v>
          </cell>
          <cell r="K436" t="str">
            <v>Auditorio</v>
          </cell>
          <cell r="L436">
            <v>3</v>
          </cell>
          <cell r="M436">
            <v>46042</v>
          </cell>
          <cell r="N436">
            <v>46043</v>
          </cell>
          <cell r="O436">
            <v>1</v>
          </cell>
          <cell r="P436">
            <v>46044</v>
          </cell>
          <cell r="Q436">
            <v>5</v>
          </cell>
          <cell r="R436" t="str">
            <v>NA</v>
          </cell>
          <cell r="S436">
            <v>5</v>
          </cell>
        </row>
        <row r="437">
          <cell r="B437" t="str">
            <v>EMMC</v>
          </cell>
          <cell r="C437" t="str">
            <v>HSLB10155</v>
          </cell>
          <cell r="D437">
            <v>101037</v>
          </cell>
          <cell r="E437" t="str">
            <v>LÁMPARA DE EXAMEN RODABLE</v>
          </cell>
          <cell r="F437" t="str">
            <v>NO</v>
          </cell>
          <cell r="G437" t="str">
            <v>SI</v>
          </cell>
          <cell r="H437" t="str">
            <v>BODEGA DE EQUIPOS</v>
          </cell>
          <cell r="I437">
            <v>1</v>
          </cell>
          <cell r="J437" t="str">
            <v>C.3.7.20</v>
          </cell>
          <cell r="K437" t="str">
            <v>UTI</v>
          </cell>
          <cell r="L437">
            <v>3</v>
          </cell>
          <cell r="M437">
            <v>46003</v>
          </cell>
          <cell r="N437">
            <v>46006</v>
          </cell>
          <cell r="O437">
            <v>1</v>
          </cell>
          <cell r="P437">
            <v>46007</v>
          </cell>
          <cell r="Q437">
            <v>5</v>
          </cell>
          <cell r="R437" t="str">
            <v>NA</v>
          </cell>
          <cell r="S437">
            <v>5</v>
          </cell>
        </row>
        <row r="438">
          <cell r="B438" t="str">
            <v>EMMC</v>
          </cell>
          <cell r="C438" t="str">
            <v>HSLB10529</v>
          </cell>
          <cell r="D438">
            <v>104010</v>
          </cell>
          <cell r="E438" t="str">
            <v>Lámpara de Procedimientos Rodable</v>
          </cell>
          <cell r="F438" t="str">
            <v>NO</v>
          </cell>
          <cell r="G438" t="str">
            <v>NO</v>
          </cell>
          <cell r="H438" t="str">
            <v>SALA DE PROCEDIMIENTOS</v>
          </cell>
          <cell r="I438">
            <v>1</v>
          </cell>
          <cell r="J438" t="str">
            <v>C.3.7.18</v>
          </cell>
          <cell r="K438" t="str">
            <v>UTI</v>
          </cell>
          <cell r="L438">
            <v>3</v>
          </cell>
          <cell r="M438">
            <v>46042</v>
          </cell>
          <cell r="N438">
            <v>46043</v>
          </cell>
          <cell r="O438">
            <v>1</v>
          </cell>
          <cell r="P438">
            <v>46044</v>
          </cell>
          <cell r="Q438">
            <v>5</v>
          </cell>
          <cell r="R438" t="str">
            <v>NA</v>
          </cell>
          <cell r="S438">
            <v>5</v>
          </cell>
        </row>
        <row r="439">
          <cell r="B439" t="str">
            <v>EMMC</v>
          </cell>
          <cell r="C439" t="str">
            <v>HSLB10539</v>
          </cell>
          <cell r="D439">
            <v>104013</v>
          </cell>
          <cell r="E439" t="str">
            <v>LÁMPARA QUIRÚRGICA RODABLE</v>
          </cell>
          <cell r="F439" t="str">
            <v>NO</v>
          </cell>
          <cell r="G439" t="str">
            <v>NO</v>
          </cell>
          <cell r="H439" t="str">
            <v>BODEGA DE EQUIPOS</v>
          </cell>
          <cell r="I439">
            <v>1</v>
          </cell>
          <cell r="J439" t="str">
            <v>C.5.6.4.17.1</v>
          </cell>
          <cell r="K439" t="str">
            <v>Pabellones</v>
          </cell>
          <cell r="L439">
            <v>3</v>
          </cell>
          <cell r="M439">
            <v>46039</v>
          </cell>
          <cell r="N439">
            <v>46041</v>
          </cell>
          <cell r="O439">
            <v>1</v>
          </cell>
          <cell r="P439">
            <v>46042</v>
          </cell>
          <cell r="Q439">
            <v>5</v>
          </cell>
          <cell r="R439" t="str">
            <v>NA</v>
          </cell>
          <cell r="S439">
            <v>5</v>
          </cell>
        </row>
        <row r="440">
          <cell r="B440" t="str">
            <v>EMMC</v>
          </cell>
          <cell r="C440" t="str">
            <v>HSLB12332</v>
          </cell>
          <cell r="D440">
            <v>112064</v>
          </cell>
          <cell r="E440" t="str">
            <v>Mesa Mayo quirúrgica</v>
          </cell>
          <cell r="F440" t="str">
            <v>NO</v>
          </cell>
          <cell r="G440" t="str">
            <v>NO</v>
          </cell>
          <cell r="H440" t="str">
            <v>SALA PARTO INTEGRAL</v>
          </cell>
          <cell r="I440">
            <v>1</v>
          </cell>
          <cell r="J440" t="str">
            <v>C.3.6.3.6.1</v>
          </cell>
          <cell r="K440" t="str">
            <v>Parto integral</v>
          </cell>
          <cell r="L440">
            <v>3</v>
          </cell>
          <cell r="M440">
            <v>46042</v>
          </cell>
          <cell r="N440">
            <v>46043</v>
          </cell>
          <cell r="O440">
            <v>1</v>
          </cell>
          <cell r="P440">
            <v>46044</v>
          </cell>
          <cell r="Q440">
            <v>5</v>
          </cell>
          <cell r="R440" t="str">
            <v>NA</v>
          </cell>
          <cell r="S440">
            <v>5</v>
          </cell>
        </row>
        <row r="441">
          <cell r="B441" t="str">
            <v>EMMC</v>
          </cell>
          <cell r="C441" t="str">
            <v>HSLB12333</v>
          </cell>
          <cell r="D441">
            <v>112064</v>
          </cell>
          <cell r="E441" t="str">
            <v>Mesa Mayo quirúrgica</v>
          </cell>
          <cell r="F441" t="str">
            <v>NO</v>
          </cell>
          <cell r="G441" t="str">
            <v>NO</v>
          </cell>
          <cell r="H441" t="str">
            <v>SALA PARTO INTEGRAL</v>
          </cell>
          <cell r="I441">
            <v>1</v>
          </cell>
          <cell r="J441" t="str">
            <v>C.3.6.3.6.2</v>
          </cell>
          <cell r="K441" t="str">
            <v>Parto integral</v>
          </cell>
          <cell r="L441">
            <v>3</v>
          </cell>
          <cell r="M441">
            <v>46042</v>
          </cell>
          <cell r="N441">
            <v>46043</v>
          </cell>
          <cell r="O441">
            <v>1</v>
          </cell>
          <cell r="P441">
            <v>46044</v>
          </cell>
          <cell r="Q441">
            <v>5</v>
          </cell>
          <cell r="R441" t="str">
            <v>NA</v>
          </cell>
          <cell r="S441">
            <v>5</v>
          </cell>
        </row>
        <row r="442">
          <cell r="B442" t="str">
            <v>EMMC</v>
          </cell>
          <cell r="C442" t="str">
            <v>HSLB12334</v>
          </cell>
          <cell r="D442">
            <v>112064</v>
          </cell>
          <cell r="E442" t="str">
            <v>Mesa Mayo quirúrgica</v>
          </cell>
          <cell r="F442" t="str">
            <v>NO</v>
          </cell>
          <cell r="G442" t="str">
            <v>NO</v>
          </cell>
          <cell r="H442" t="str">
            <v>SALA PARTO INTEGRAL</v>
          </cell>
          <cell r="I442">
            <v>1</v>
          </cell>
          <cell r="J442" t="str">
            <v>C.3.6.3.6.3</v>
          </cell>
          <cell r="K442" t="str">
            <v>Parto integral</v>
          </cell>
          <cell r="L442">
            <v>3</v>
          </cell>
          <cell r="M442">
            <v>46042</v>
          </cell>
          <cell r="N442">
            <v>46043</v>
          </cell>
          <cell r="O442">
            <v>1</v>
          </cell>
          <cell r="P442">
            <v>46044</v>
          </cell>
          <cell r="Q442">
            <v>5</v>
          </cell>
          <cell r="R442" t="str">
            <v>NA</v>
          </cell>
          <cell r="S442">
            <v>5</v>
          </cell>
        </row>
        <row r="443">
          <cell r="B443" t="str">
            <v>EMMC</v>
          </cell>
          <cell r="C443" t="str">
            <v>HSLB12336</v>
          </cell>
          <cell r="D443">
            <v>112064</v>
          </cell>
          <cell r="E443" t="str">
            <v>Mesa Mayo quirúrgica</v>
          </cell>
          <cell r="F443" t="str">
            <v>NO</v>
          </cell>
          <cell r="G443" t="str">
            <v>NO</v>
          </cell>
          <cell r="H443" t="str">
            <v>PABELLON CIRUGIA MAYOR ELECTIVA</v>
          </cell>
          <cell r="I443">
            <v>1</v>
          </cell>
          <cell r="J443" t="str">
            <v>C.5.6.4.5.1</v>
          </cell>
          <cell r="K443" t="str">
            <v>Pabellones</v>
          </cell>
          <cell r="L443">
            <v>3</v>
          </cell>
          <cell r="M443">
            <v>46039</v>
          </cell>
          <cell r="N443">
            <v>46041</v>
          </cell>
          <cell r="O443">
            <v>1</v>
          </cell>
          <cell r="P443">
            <v>46042</v>
          </cell>
          <cell r="Q443">
            <v>5</v>
          </cell>
          <cell r="R443" t="str">
            <v>NA</v>
          </cell>
          <cell r="S443">
            <v>5</v>
          </cell>
        </row>
        <row r="444">
          <cell r="B444" t="str">
            <v>EMMC</v>
          </cell>
          <cell r="C444" t="str">
            <v>HSLB12337</v>
          </cell>
          <cell r="D444">
            <v>112064</v>
          </cell>
          <cell r="E444" t="str">
            <v>Mesa Mayo quirúrgica</v>
          </cell>
          <cell r="F444" t="str">
            <v>NO</v>
          </cell>
          <cell r="G444" t="str">
            <v>NO</v>
          </cell>
          <cell r="H444" t="str">
            <v>PABELLON CIRUGIA MAYOR ELECTIVA</v>
          </cell>
          <cell r="I444">
            <v>1</v>
          </cell>
          <cell r="J444" t="str">
            <v>C.5.6.4.5.2</v>
          </cell>
          <cell r="K444" t="str">
            <v>Pabellones</v>
          </cell>
          <cell r="L444">
            <v>3</v>
          </cell>
          <cell r="M444">
            <v>46039</v>
          </cell>
          <cell r="N444">
            <v>46041</v>
          </cell>
          <cell r="O444">
            <v>1</v>
          </cell>
          <cell r="P444">
            <v>46042</v>
          </cell>
          <cell r="Q444">
            <v>5</v>
          </cell>
          <cell r="R444" t="str">
            <v>NA</v>
          </cell>
          <cell r="S444">
            <v>5</v>
          </cell>
        </row>
        <row r="445">
          <cell r="B445" t="str">
            <v>EMMC</v>
          </cell>
          <cell r="C445" t="str">
            <v>HSLB12338</v>
          </cell>
          <cell r="D445">
            <v>112064</v>
          </cell>
          <cell r="E445" t="str">
            <v>Mesa Mayo quirúrgica</v>
          </cell>
          <cell r="F445" t="str">
            <v>NO</v>
          </cell>
          <cell r="G445" t="str">
            <v>NO</v>
          </cell>
          <cell r="H445" t="str">
            <v>PABELLON CIRUGIA MAYOR ELECTIVA</v>
          </cell>
          <cell r="I445">
            <v>1</v>
          </cell>
          <cell r="J445" t="str">
            <v>C.5.6.4.5.3</v>
          </cell>
          <cell r="K445" t="str">
            <v>Pabellones</v>
          </cell>
          <cell r="L445">
            <v>3</v>
          </cell>
          <cell r="M445">
            <v>46039</v>
          </cell>
          <cell r="N445">
            <v>46041</v>
          </cell>
          <cell r="O445">
            <v>1</v>
          </cell>
          <cell r="P445">
            <v>46042</v>
          </cell>
          <cell r="Q445">
            <v>5</v>
          </cell>
          <cell r="R445" t="str">
            <v>NA</v>
          </cell>
          <cell r="S445">
            <v>5</v>
          </cell>
        </row>
        <row r="446">
          <cell r="B446" t="str">
            <v>EMMC</v>
          </cell>
          <cell r="C446" t="str">
            <v>HSLB12339</v>
          </cell>
          <cell r="D446">
            <v>112064</v>
          </cell>
          <cell r="E446" t="str">
            <v>Mesa Mayo quirúrgica</v>
          </cell>
          <cell r="F446" t="str">
            <v>NO</v>
          </cell>
          <cell r="G446" t="str">
            <v>NO</v>
          </cell>
          <cell r="H446" t="str">
            <v>PABELLON CIRUGIA MAYOR AMBULATORIA</v>
          </cell>
          <cell r="I446">
            <v>1</v>
          </cell>
          <cell r="J446" t="str">
            <v>C.5.6.4.6.1</v>
          </cell>
          <cell r="K446" t="str">
            <v>Pabellones</v>
          </cell>
          <cell r="L446">
            <v>3</v>
          </cell>
          <cell r="M446">
            <v>46039</v>
          </cell>
          <cell r="N446">
            <v>46041</v>
          </cell>
          <cell r="O446">
            <v>1</v>
          </cell>
          <cell r="P446">
            <v>46042</v>
          </cell>
          <cell r="Q446">
            <v>5</v>
          </cell>
          <cell r="R446" t="str">
            <v>NA</v>
          </cell>
          <cell r="S446">
            <v>5</v>
          </cell>
        </row>
        <row r="447">
          <cell r="B447" t="str">
            <v>EMMC</v>
          </cell>
          <cell r="C447" t="str">
            <v>HSLB12340</v>
          </cell>
          <cell r="D447">
            <v>112064</v>
          </cell>
          <cell r="E447" t="str">
            <v>Mesa Mayo quirúrgica</v>
          </cell>
          <cell r="F447" t="str">
            <v>NO</v>
          </cell>
          <cell r="G447" t="str">
            <v>NO</v>
          </cell>
          <cell r="H447" t="str">
            <v>PABELLON CIRUGIA MAYOR AMBULATORIA</v>
          </cell>
          <cell r="I447">
            <v>1</v>
          </cell>
          <cell r="J447" t="str">
            <v>C.5.6.4.6.2</v>
          </cell>
          <cell r="K447" t="str">
            <v>Pabellones</v>
          </cell>
          <cell r="L447">
            <v>3</v>
          </cell>
          <cell r="M447">
            <v>46039</v>
          </cell>
          <cell r="N447">
            <v>46041</v>
          </cell>
          <cell r="O447">
            <v>1</v>
          </cell>
          <cell r="P447">
            <v>46042</v>
          </cell>
          <cell r="Q447">
            <v>5</v>
          </cell>
          <cell r="R447" t="str">
            <v>NA</v>
          </cell>
          <cell r="S447">
            <v>5</v>
          </cell>
        </row>
        <row r="448">
          <cell r="B448" t="str">
            <v>EMMC</v>
          </cell>
          <cell r="C448" t="str">
            <v>HSLB12341</v>
          </cell>
          <cell r="D448">
            <v>112064</v>
          </cell>
          <cell r="E448" t="str">
            <v>Mesa Mayo quirúrgica</v>
          </cell>
          <cell r="F448" t="str">
            <v>NO</v>
          </cell>
          <cell r="G448" t="str">
            <v>NO</v>
          </cell>
          <cell r="H448" t="str">
            <v>PABELLON URGENCIAS</v>
          </cell>
          <cell r="I448">
            <v>1</v>
          </cell>
          <cell r="J448" t="str">
            <v>C.5.6.4.7</v>
          </cell>
          <cell r="K448" t="str">
            <v>Pabellones</v>
          </cell>
          <cell r="L448">
            <v>3</v>
          </cell>
          <cell r="M448">
            <v>46039</v>
          </cell>
          <cell r="N448">
            <v>46041</v>
          </cell>
          <cell r="O448">
            <v>1</v>
          </cell>
          <cell r="P448">
            <v>46042</v>
          </cell>
          <cell r="Q448">
            <v>5</v>
          </cell>
          <cell r="R448" t="str">
            <v>NA</v>
          </cell>
          <cell r="S448">
            <v>5</v>
          </cell>
        </row>
        <row r="449">
          <cell r="B449" t="str">
            <v>EMMC</v>
          </cell>
          <cell r="C449" t="str">
            <v>HSLB10564</v>
          </cell>
          <cell r="D449">
            <v>104021</v>
          </cell>
          <cell r="E449" t="str">
            <v>Micromotor Otorrino</v>
          </cell>
          <cell r="F449" t="str">
            <v>NO</v>
          </cell>
          <cell r="G449" t="str">
            <v>SI</v>
          </cell>
          <cell r="H449" t="str">
            <v>BODEGA DE EQUIPOS</v>
          </cell>
          <cell r="I449">
            <v>1</v>
          </cell>
          <cell r="J449" t="str">
            <v>C.5.6.4.17</v>
          </cell>
          <cell r="K449" t="str">
            <v>Pabellones</v>
          </cell>
          <cell r="L449">
            <v>3</v>
          </cell>
          <cell r="M449">
            <v>46003</v>
          </cell>
          <cell r="N449">
            <v>46006</v>
          </cell>
          <cell r="O449">
            <v>1</v>
          </cell>
          <cell r="P449">
            <v>46007</v>
          </cell>
          <cell r="Q449">
            <v>5</v>
          </cell>
          <cell r="R449" t="str">
            <v>NA</v>
          </cell>
          <cell r="S449">
            <v>5</v>
          </cell>
        </row>
        <row r="450">
          <cell r="B450" t="str">
            <v>EMMC</v>
          </cell>
          <cell r="C450" t="str">
            <v>HSLB12835</v>
          </cell>
          <cell r="D450">
            <v>113011</v>
          </cell>
          <cell r="E450" t="str">
            <v>Monitor de Transporte alta complejidad</v>
          </cell>
          <cell r="F450" t="str">
            <v>NO</v>
          </cell>
          <cell r="G450" t="str">
            <v>NO</v>
          </cell>
          <cell r="H450" t="str">
            <v>CENTRAL DE MONITOREO</v>
          </cell>
          <cell r="I450">
            <v>1</v>
          </cell>
          <cell r="J450" t="str">
            <v>C.3.7.10.1</v>
          </cell>
          <cell r="K450" t="str">
            <v>UTI</v>
          </cell>
          <cell r="L450">
            <v>3</v>
          </cell>
          <cell r="M450">
            <v>46042</v>
          </cell>
          <cell r="N450">
            <v>46043</v>
          </cell>
          <cell r="O450">
            <v>1</v>
          </cell>
          <cell r="P450">
            <v>46044</v>
          </cell>
          <cell r="Q450">
            <v>5</v>
          </cell>
          <cell r="R450" t="str">
            <v>NA</v>
          </cell>
          <cell r="S450">
            <v>5</v>
          </cell>
        </row>
        <row r="451">
          <cell r="B451" t="str">
            <v>EMMC</v>
          </cell>
          <cell r="C451" t="str">
            <v>HSLB12860</v>
          </cell>
          <cell r="D451">
            <v>113013</v>
          </cell>
          <cell r="E451" t="str">
            <v>Monitor Desfibrilador</v>
          </cell>
          <cell r="F451" t="str">
            <v>NO</v>
          </cell>
          <cell r="G451" t="str">
            <v>NO</v>
          </cell>
          <cell r="H451" t="str">
            <v>ESTACIÓN DE ENFERMERÍA</v>
          </cell>
          <cell r="I451">
            <v>1</v>
          </cell>
          <cell r="J451" t="str">
            <v>C.3.7.12.1</v>
          </cell>
          <cell r="K451" t="str">
            <v>UTI</v>
          </cell>
          <cell r="L451">
            <v>3</v>
          </cell>
          <cell r="M451">
            <v>46042</v>
          </cell>
          <cell r="N451">
            <v>46043</v>
          </cell>
          <cell r="O451">
            <v>1</v>
          </cell>
          <cell r="P451">
            <v>46044</v>
          </cell>
          <cell r="Q451">
            <v>5</v>
          </cell>
          <cell r="R451" t="str">
            <v>NA</v>
          </cell>
          <cell r="S451">
            <v>5</v>
          </cell>
        </row>
        <row r="452">
          <cell r="B452" t="str">
            <v>EMMC</v>
          </cell>
          <cell r="C452" t="str">
            <v>HSLB10568</v>
          </cell>
          <cell r="D452">
            <v>104025</v>
          </cell>
          <cell r="E452" t="str">
            <v>Motor Quirúrgico Grandes Fragmentos</v>
          </cell>
          <cell r="F452" t="str">
            <v>NO</v>
          </cell>
          <cell r="G452" t="str">
            <v>SI</v>
          </cell>
          <cell r="H452" t="str">
            <v>BODEGA DE EQUIPOS</v>
          </cell>
          <cell r="I452">
            <v>1</v>
          </cell>
          <cell r="J452" t="str">
            <v>C.5.6.4.17</v>
          </cell>
          <cell r="K452" t="str">
            <v>Pabellones</v>
          </cell>
          <cell r="L452">
            <v>3</v>
          </cell>
          <cell r="M452">
            <v>46003</v>
          </cell>
          <cell r="N452">
            <v>46006</v>
          </cell>
          <cell r="O452">
            <v>1</v>
          </cell>
          <cell r="P452">
            <v>46007</v>
          </cell>
          <cell r="Q452">
            <v>5</v>
          </cell>
          <cell r="R452" t="str">
            <v>NA</v>
          </cell>
          <cell r="S452">
            <v>5</v>
          </cell>
        </row>
        <row r="453">
          <cell r="B453" t="str">
            <v>EMMC</v>
          </cell>
          <cell r="C453" t="str">
            <v>HSLB10569</v>
          </cell>
          <cell r="D453">
            <v>104026</v>
          </cell>
          <cell r="E453" t="str">
            <v>Motor Quirúrgico Pequeños Fragmentos</v>
          </cell>
          <cell r="F453" t="str">
            <v>NO</v>
          </cell>
          <cell r="G453" t="str">
            <v>SI</v>
          </cell>
          <cell r="H453" t="str">
            <v>BODEGA DE EQUIPOS</v>
          </cell>
          <cell r="I453">
            <v>1</v>
          </cell>
          <cell r="J453" t="str">
            <v>C.5.6.4.17</v>
          </cell>
          <cell r="K453" t="str">
            <v>Pabellones</v>
          </cell>
          <cell r="L453">
            <v>3</v>
          </cell>
          <cell r="M453">
            <v>46003</v>
          </cell>
          <cell r="N453">
            <v>46006</v>
          </cell>
          <cell r="O453">
            <v>1</v>
          </cell>
          <cell r="P453">
            <v>46007</v>
          </cell>
          <cell r="Q453">
            <v>5</v>
          </cell>
          <cell r="R453" t="str">
            <v>NA</v>
          </cell>
          <cell r="S453">
            <v>5</v>
          </cell>
        </row>
        <row r="454">
          <cell r="B454" t="str">
            <v>EMMC</v>
          </cell>
          <cell r="C454" t="str">
            <v>HSLB10570</v>
          </cell>
          <cell r="D454">
            <v>104027</v>
          </cell>
          <cell r="E454" t="str">
            <v>Motor Sierra</v>
          </cell>
          <cell r="F454" t="str">
            <v>NO</v>
          </cell>
          <cell r="G454" t="str">
            <v>SI</v>
          </cell>
          <cell r="H454" t="str">
            <v>BODEGA DE EQUIPOS</v>
          </cell>
          <cell r="I454">
            <v>1</v>
          </cell>
          <cell r="J454" t="str">
            <v>C.5.6.4.17</v>
          </cell>
          <cell r="K454" t="str">
            <v>Pabellones</v>
          </cell>
          <cell r="L454">
            <v>3</v>
          </cell>
          <cell r="M454">
            <v>46003</v>
          </cell>
          <cell r="N454">
            <v>46006</v>
          </cell>
          <cell r="O454">
            <v>1</v>
          </cell>
          <cell r="P454">
            <v>46007</v>
          </cell>
          <cell r="Q454">
            <v>5</v>
          </cell>
          <cell r="R454" t="str">
            <v>NA</v>
          </cell>
          <cell r="S454">
            <v>5</v>
          </cell>
        </row>
        <row r="455">
          <cell r="B455" t="str">
            <v>EMMC</v>
          </cell>
          <cell r="C455" t="str">
            <v>HSLB10679</v>
          </cell>
          <cell r="D455">
            <v>105017</v>
          </cell>
          <cell r="E455" t="str">
            <v>Reanimador Neonatal</v>
          </cell>
          <cell r="F455" t="str">
            <v>NO</v>
          </cell>
          <cell r="G455" t="str">
            <v>NO</v>
          </cell>
          <cell r="H455" t="str">
            <v>SALA REANIMACIÓN NEONATAL</v>
          </cell>
          <cell r="I455">
            <v>1</v>
          </cell>
          <cell r="J455" t="str">
            <v>C.5.6.4.11</v>
          </cell>
          <cell r="K455" t="str">
            <v>Pabellones</v>
          </cell>
          <cell r="L455">
            <v>3</v>
          </cell>
          <cell r="M455">
            <v>46039</v>
          </cell>
          <cell r="N455">
            <v>46041</v>
          </cell>
          <cell r="O455">
            <v>1</v>
          </cell>
          <cell r="P455">
            <v>46042</v>
          </cell>
          <cell r="Q455">
            <v>5</v>
          </cell>
          <cell r="R455" t="str">
            <v>NA</v>
          </cell>
          <cell r="S455">
            <v>5</v>
          </cell>
        </row>
        <row r="456">
          <cell r="B456" t="str">
            <v>EMMC</v>
          </cell>
          <cell r="C456" t="str">
            <v>HSLB10267</v>
          </cell>
          <cell r="D456">
            <v>102004</v>
          </cell>
          <cell r="E456" t="str">
            <v>Set de Vía Aérea Difícil</v>
          </cell>
          <cell r="F456" t="str">
            <v>NO</v>
          </cell>
          <cell r="G456" t="str">
            <v>NO</v>
          </cell>
          <cell r="H456" t="str">
            <v>ESTACIÓN DE ENFERMERÍA</v>
          </cell>
          <cell r="I456">
            <v>1</v>
          </cell>
          <cell r="J456" t="str">
            <v>C.5.6.3.18.1</v>
          </cell>
          <cell r="K456" t="str">
            <v>Pabellones</v>
          </cell>
          <cell r="L456">
            <v>3</v>
          </cell>
          <cell r="M456">
            <v>46039</v>
          </cell>
          <cell r="N456">
            <v>46041</v>
          </cell>
          <cell r="O456">
            <v>1</v>
          </cell>
          <cell r="P456">
            <v>46042</v>
          </cell>
          <cell r="Q456">
            <v>5</v>
          </cell>
          <cell r="R456" t="str">
            <v>NA</v>
          </cell>
          <cell r="S456">
            <v>5</v>
          </cell>
        </row>
        <row r="457">
          <cell r="B457" t="str">
            <v>EMMC</v>
          </cell>
          <cell r="C457" t="str">
            <v>HSLB11222</v>
          </cell>
          <cell r="D457">
            <v>109009</v>
          </cell>
          <cell r="E457" t="str">
            <v>Set Instrumental Cirugía Menor</v>
          </cell>
          <cell r="F457" t="str">
            <v>NO</v>
          </cell>
          <cell r="G457" t="str">
            <v>NO</v>
          </cell>
          <cell r="H457" t="str">
            <v>ESTACIÓN DE ENFERMERÍA</v>
          </cell>
          <cell r="I457">
            <v>1</v>
          </cell>
          <cell r="J457" t="str">
            <v>C.5.6.3.18.1</v>
          </cell>
          <cell r="K457" t="str">
            <v>Pabellones</v>
          </cell>
          <cell r="L457">
            <v>3</v>
          </cell>
          <cell r="M457">
            <v>46039</v>
          </cell>
          <cell r="N457">
            <v>46041</v>
          </cell>
          <cell r="O457">
            <v>1</v>
          </cell>
          <cell r="P457">
            <v>46042</v>
          </cell>
          <cell r="Q457">
            <v>5</v>
          </cell>
          <cell r="R457" t="str">
            <v>NA</v>
          </cell>
          <cell r="S457">
            <v>5</v>
          </cell>
        </row>
        <row r="458">
          <cell r="B458" t="str">
            <v>EMMC</v>
          </cell>
          <cell r="C458" t="str">
            <v>HSLB11223</v>
          </cell>
          <cell r="D458">
            <v>109009</v>
          </cell>
          <cell r="E458" t="str">
            <v>Set Instrumental Cirugía Menor</v>
          </cell>
          <cell r="F458" t="str">
            <v>NO</v>
          </cell>
          <cell r="G458" t="str">
            <v>NO</v>
          </cell>
          <cell r="H458" t="str">
            <v>ESTACIÓN DE ENFERMERÍA</v>
          </cell>
          <cell r="I458">
            <v>1</v>
          </cell>
          <cell r="J458" t="str">
            <v>C.5.6.3.18.2</v>
          </cell>
          <cell r="K458" t="str">
            <v>Pabellones</v>
          </cell>
          <cell r="L458">
            <v>3</v>
          </cell>
          <cell r="M458">
            <v>46039</v>
          </cell>
          <cell r="N458">
            <v>46041</v>
          </cell>
          <cell r="O458">
            <v>1</v>
          </cell>
          <cell r="P458">
            <v>46042</v>
          </cell>
          <cell r="Q458">
            <v>5</v>
          </cell>
          <cell r="R458" t="str">
            <v>NA</v>
          </cell>
          <cell r="S458">
            <v>5</v>
          </cell>
        </row>
        <row r="459">
          <cell r="B459" t="str">
            <v>EMMC</v>
          </cell>
          <cell r="C459" t="str">
            <v>HSLB11289</v>
          </cell>
          <cell r="D459">
            <v>109016</v>
          </cell>
          <cell r="E459" t="str">
            <v>Set Instrumental Laringoscopio</v>
          </cell>
          <cell r="F459" t="str">
            <v>NO</v>
          </cell>
          <cell r="G459" t="str">
            <v>NO</v>
          </cell>
          <cell r="H459" t="str">
            <v>PABELLON CIRUGIA MAYOR AMBULATORIA</v>
          </cell>
          <cell r="I459">
            <v>1</v>
          </cell>
          <cell r="J459" t="str">
            <v>C.5.6.4.6.1</v>
          </cell>
          <cell r="K459" t="str">
            <v>Pabellones</v>
          </cell>
          <cell r="L459">
            <v>3</v>
          </cell>
          <cell r="M459">
            <v>46039</v>
          </cell>
          <cell r="N459">
            <v>46041</v>
          </cell>
          <cell r="O459">
            <v>1</v>
          </cell>
          <cell r="P459">
            <v>46042</v>
          </cell>
          <cell r="Q459">
            <v>5</v>
          </cell>
          <cell r="R459" t="str">
            <v>NA</v>
          </cell>
          <cell r="S459">
            <v>5</v>
          </cell>
        </row>
        <row r="460">
          <cell r="B460" t="str">
            <v>EMMC</v>
          </cell>
          <cell r="C460" t="str">
            <v>HSLB11291</v>
          </cell>
          <cell r="D460" t="str">
            <v>109018A</v>
          </cell>
          <cell r="E460" t="str">
            <v>Cajas De Várices Tipo</v>
          </cell>
          <cell r="F460" t="str">
            <v>NO</v>
          </cell>
          <cell r="G460" t="str">
            <v>NO</v>
          </cell>
          <cell r="H460" t="str">
            <v>BODEGA MATERIAL ESTERIL</v>
          </cell>
          <cell r="I460">
            <v>3</v>
          </cell>
          <cell r="J460" t="str">
            <v>C.5.6.4.15</v>
          </cell>
          <cell r="K460" t="str">
            <v>Pabellones</v>
          </cell>
          <cell r="L460">
            <v>3</v>
          </cell>
          <cell r="M460">
            <v>46039</v>
          </cell>
          <cell r="N460">
            <v>46041</v>
          </cell>
          <cell r="O460">
            <v>1</v>
          </cell>
          <cell r="P460">
            <v>46042</v>
          </cell>
          <cell r="Q460">
            <v>5</v>
          </cell>
          <cell r="R460" t="str">
            <v>NA</v>
          </cell>
          <cell r="S460">
            <v>5</v>
          </cell>
        </row>
        <row r="461">
          <cell r="B461" t="str">
            <v>EMMC</v>
          </cell>
          <cell r="C461" t="str">
            <v>HSLB11291</v>
          </cell>
          <cell r="D461" t="str">
            <v>109018B</v>
          </cell>
          <cell r="E461" t="str">
            <v>Cajas De Hernia Fimosis</v>
          </cell>
          <cell r="F461" t="str">
            <v>NO</v>
          </cell>
          <cell r="G461" t="str">
            <v>NO</v>
          </cell>
          <cell r="H461" t="str">
            <v>BODEGA MATERIAL ESTERIL</v>
          </cell>
          <cell r="I461">
            <v>5</v>
          </cell>
          <cell r="J461" t="str">
            <v>C.5.6.4.15</v>
          </cell>
          <cell r="K461" t="str">
            <v>Pabellones</v>
          </cell>
          <cell r="L461">
            <v>3</v>
          </cell>
          <cell r="M461">
            <v>46039</v>
          </cell>
          <cell r="N461">
            <v>46041</v>
          </cell>
          <cell r="O461">
            <v>1</v>
          </cell>
          <cell r="P461">
            <v>46042</v>
          </cell>
          <cell r="Q461">
            <v>5</v>
          </cell>
          <cell r="R461" t="str">
            <v>NA</v>
          </cell>
          <cell r="S461">
            <v>5</v>
          </cell>
        </row>
        <row r="462">
          <cell r="B462" t="str">
            <v>EMMC</v>
          </cell>
          <cell r="C462" t="str">
            <v>HSLB11291</v>
          </cell>
          <cell r="D462" t="str">
            <v>109018C</v>
          </cell>
          <cell r="E462" t="str">
            <v>Cajas De Cirugía Infantil Tipo</v>
          </cell>
          <cell r="F462" t="str">
            <v>NO</v>
          </cell>
          <cell r="G462" t="str">
            <v>NO</v>
          </cell>
          <cell r="H462" t="str">
            <v>BODEGA MATERIAL ESTERIL</v>
          </cell>
          <cell r="I462">
            <v>5</v>
          </cell>
          <cell r="J462" t="str">
            <v>C.5.6.4.15</v>
          </cell>
          <cell r="K462" t="str">
            <v>Pabellones</v>
          </cell>
          <cell r="L462">
            <v>3</v>
          </cell>
          <cell r="M462">
            <v>46039</v>
          </cell>
          <cell r="N462">
            <v>46041</v>
          </cell>
          <cell r="O462">
            <v>1</v>
          </cell>
          <cell r="P462">
            <v>46042</v>
          </cell>
          <cell r="Q462">
            <v>5</v>
          </cell>
          <cell r="R462" t="str">
            <v>NA</v>
          </cell>
          <cell r="S462">
            <v>5</v>
          </cell>
        </row>
        <row r="463">
          <cell r="B463" t="str">
            <v>EMMC</v>
          </cell>
          <cell r="C463" t="str">
            <v>HSLB11291</v>
          </cell>
          <cell r="D463" t="str">
            <v>109018D</v>
          </cell>
          <cell r="E463" t="str">
            <v>Cajas De Cataratas Básica</v>
          </cell>
          <cell r="F463" t="str">
            <v>NO</v>
          </cell>
          <cell r="G463" t="str">
            <v>NO</v>
          </cell>
          <cell r="H463" t="str">
            <v>BODEGA MATERIAL ESTERIL</v>
          </cell>
          <cell r="I463">
            <v>2</v>
          </cell>
          <cell r="J463" t="str">
            <v>C.5.6.4.15</v>
          </cell>
          <cell r="K463" t="str">
            <v>Pabellones</v>
          </cell>
          <cell r="L463">
            <v>3</v>
          </cell>
          <cell r="M463">
            <v>46039</v>
          </cell>
          <cell r="N463">
            <v>46041</v>
          </cell>
          <cell r="O463">
            <v>1</v>
          </cell>
          <cell r="P463">
            <v>46042</v>
          </cell>
          <cell r="Q463">
            <v>5</v>
          </cell>
          <cell r="R463" t="str">
            <v>NA</v>
          </cell>
          <cell r="S463">
            <v>5</v>
          </cell>
        </row>
        <row r="464">
          <cell r="B464" t="str">
            <v>EMMC</v>
          </cell>
          <cell r="C464" t="str">
            <v>HSLB11291</v>
          </cell>
          <cell r="D464" t="str">
            <v>109018E</v>
          </cell>
          <cell r="E464" t="str">
            <v>Cajas De Cataratas Completa</v>
          </cell>
          <cell r="F464" t="str">
            <v>NO</v>
          </cell>
          <cell r="G464" t="str">
            <v>NO</v>
          </cell>
          <cell r="H464" t="str">
            <v>BODEGA MATERIAL ESTERIL</v>
          </cell>
          <cell r="I464">
            <v>4</v>
          </cell>
          <cell r="J464" t="str">
            <v>C.5.6.4.15</v>
          </cell>
          <cell r="K464" t="str">
            <v>Pabellones</v>
          </cell>
          <cell r="L464">
            <v>3</v>
          </cell>
          <cell r="M464">
            <v>46039</v>
          </cell>
          <cell r="N464">
            <v>46041</v>
          </cell>
          <cell r="O464">
            <v>1</v>
          </cell>
          <cell r="P464">
            <v>46042</v>
          </cell>
          <cell r="Q464">
            <v>5</v>
          </cell>
          <cell r="R464" t="str">
            <v>NA</v>
          </cell>
          <cell r="S464">
            <v>5</v>
          </cell>
        </row>
        <row r="465">
          <cell r="B465" t="str">
            <v>EMMC</v>
          </cell>
          <cell r="C465" t="str">
            <v>HSLB11291</v>
          </cell>
          <cell r="D465" t="str">
            <v>109018F</v>
          </cell>
          <cell r="E465" t="str">
            <v>Cajas De Chalazión Tipo</v>
          </cell>
          <cell r="F465" t="str">
            <v>NO</v>
          </cell>
          <cell r="G465" t="str">
            <v>NO</v>
          </cell>
          <cell r="H465" t="str">
            <v>BODEGA MATERIAL ESTERIL</v>
          </cell>
          <cell r="I465">
            <v>5</v>
          </cell>
          <cell r="J465" t="str">
            <v>C.5.6.4.15</v>
          </cell>
          <cell r="K465" t="str">
            <v>Pabellones</v>
          </cell>
          <cell r="L465">
            <v>3</v>
          </cell>
          <cell r="M465">
            <v>46039</v>
          </cell>
          <cell r="N465">
            <v>46041</v>
          </cell>
          <cell r="O465">
            <v>1</v>
          </cell>
          <cell r="P465">
            <v>46042</v>
          </cell>
          <cell r="Q465">
            <v>5</v>
          </cell>
          <cell r="R465" t="str">
            <v>NA</v>
          </cell>
          <cell r="S465">
            <v>5</v>
          </cell>
        </row>
        <row r="466">
          <cell r="B466" t="str">
            <v>EMMC</v>
          </cell>
          <cell r="C466" t="str">
            <v>HSLB11291</v>
          </cell>
          <cell r="D466" t="str">
            <v>109018G</v>
          </cell>
          <cell r="E466" t="str">
            <v>Cajas De Pterigión Tipo</v>
          </cell>
          <cell r="F466" t="str">
            <v>NO</v>
          </cell>
          <cell r="G466" t="str">
            <v>NO</v>
          </cell>
          <cell r="H466" t="str">
            <v>BODEGA MATERIAL ESTERIL</v>
          </cell>
          <cell r="I466">
            <v>5</v>
          </cell>
          <cell r="J466" t="str">
            <v>C.5.6.4.15</v>
          </cell>
          <cell r="K466" t="str">
            <v>Pabellones</v>
          </cell>
          <cell r="L466">
            <v>3</v>
          </cell>
          <cell r="M466">
            <v>46039</v>
          </cell>
          <cell r="N466">
            <v>46041</v>
          </cell>
          <cell r="O466">
            <v>1</v>
          </cell>
          <cell r="P466">
            <v>46042</v>
          </cell>
          <cell r="Q466">
            <v>5</v>
          </cell>
          <cell r="R466" t="str">
            <v>NA</v>
          </cell>
          <cell r="S466">
            <v>5</v>
          </cell>
        </row>
        <row r="467">
          <cell r="B467" t="str">
            <v>EMMC</v>
          </cell>
          <cell r="C467" t="str">
            <v>HSLB11291</v>
          </cell>
          <cell r="D467" t="str">
            <v>109018H</v>
          </cell>
          <cell r="E467" t="str">
            <v>Cajas De Amigdalectomía Tipo</v>
          </cell>
          <cell r="F467" t="str">
            <v>NO</v>
          </cell>
          <cell r="G467" t="str">
            <v>NO</v>
          </cell>
          <cell r="H467" t="str">
            <v>BODEGA MATERIAL ESTERIL</v>
          </cell>
          <cell r="I467">
            <v>5</v>
          </cell>
          <cell r="J467" t="str">
            <v>C.5.6.4.15</v>
          </cell>
          <cell r="K467" t="str">
            <v>Pabellones</v>
          </cell>
          <cell r="L467">
            <v>3</v>
          </cell>
          <cell r="M467">
            <v>46039</v>
          </cell>
          <cell r="N467">
            <v>46041</v>
          </cell>
          <cell r="O467">
            <v>1</v>
          </cell>
          <cell r="P467">
            <v>46042</v>
          </cell>
          <cell r="Q467">
            <v>5</v>
          </cell>
          <cell r="R467" t="str">
            <v>NA</v>
          </cell>
          <cell r="S467">
            <v>5</v>
          </cell>
        </row>
        <row r="468">
          <cell r="B468" t="str">
            <v>EMMC</v>
          </cell>
          <cell r="C468" t="str">
            <v>HSLB11291</v>
          </cell>
          <cell r="D468" t="str">
            <v>109018I</v>
          </cell>
          <cell r="E468" t="str">
            <v>Cajas De Amputación Tipo</v>
          </cell>
          <cell r="F468" t="str">
            <v>NO</v>
          </cell>
          <cell r="G468" t="str">
            <v>NO</v>
          </cell>
          <cell r="H468" t="str">
            <v>BODEGA MATERIAL ESTERIL</v>
          </cell>
          <cell r="I468">
            <v>3</v>
          </cell>
          <cell r="J468" t="str">
            <v>C.5.6.4.15</v>
          </cell>
          <cell r="K468" t="str">
            <v>Pabellones</v>
          </cell>
          <cell r="L468">
            <v>3</v>
          </cell>
          <cell r="M468">
            <v>46039</v>
          </cell>
          <cell r="N468">
            <v>46041</v>
          </cell>
          <cell r="O468">
            <v>1</v>
          </cell>
          <cell r="P468">
            <v>46042</v>
          </cell>
          <cell r="Q468">
            <v>5</v>
          </cell>
          <cell r="R468" t="str">
            <v>NA</v>
          </cell>
          <cell r="S468">
            <v>5</v>
          </cell>
        </row>
        <row r="469">
          <cell r="B469" t="str">
            <v>EMMC</v>
          </cell>
          <cell r="C469" t="str">
            <v>HSLB11291</v>
          </cell>
          <cell r="D469" t="str">
            <v>109018J</v>
          </cell>
          <cell r="E469" t="str">
            <v>Cajas De Vascular Tipo</v>
          </cell>
          <cell r="F469" t="str">
            <v>NO</v>
          </cell>
          <cell r="G469" t="str">
            <v>NO</v>
          </cell>
          <cell r="H469" t="str">
            <v>BODEGA MATERIAL ESTERIL</v>
          </cell>
          <cell r="I469">
            <v>3</v>
          </cell>
          <cell r="J469" t="str">
            <v>C.5.6.4.15</v>
          </cell>
          <cell r="K469" t="str">
            <v>Pabellones</v>
          </cell>
          <cell r="L469">
            <v>3</v>
          </cell>
          <cell r="M469">
            <v>46039</v>
          </cell>
          <cell r="N469">
            <v>46041</v>
          </cell>
          <cell r="O469">
            <v>1</v>
          </cell>
          <cell r="P469">
            <v>46042</v>
          </cell>
          <cell r="Q469">
            <v>5</v>
          </cell>
          <cell r="R469" t="str">
            <v>NA</v>
          </cell>
          <cell r="S469">
            <v>5</v>
          </cell>
        </row>
        <row r="470">
          <cell r="B470" t="str">
            <v>EMMC</v>
          </cell>
          <cell r="C470" t="str">
            <v>HSLB11291</v>
          </cell>
          <cell r="D470" t="str">
            <v>109018K</v>
          </cell>
          <cell r="E470" t="str">
            <v>Cajas De Cirugía Menor Tipo</v>
          </cell>
          <cell r="F470" t="str">
            <v>NO</v>
          </cell>
          <cell r="G470" t="str">
            <v>NO</v>
          </cell>
          <cell r="H470" t="str">
            <v>BODEGA MATERIAL ESTERIL</v>
          </cell>
          <cell r="I470">
            <v>2</v>
          </cell>
          <cell r="J470" t="str">
            <v>C.5.6.4.15</v>
          </cell>
          <cell r="K470" t="str">
            <v>Pabellones</v>
          </cell>
          <cell r="L470">
            <v>3</v>
          </cell>
          <cell r="M470">
            <v>46039</v>
          </cell>
          <cell r="N470">
            <v>46041</v>
          </cell>
          <cell r="O470">
            <v>1</v>
          </cell>
          <cell r="P470">
            <v>46042</v>
          </cell>
          <cell r="Q470">
            <v>5</v>
          </cell>
          <cell r="R470" t="str">
            <v>NA</v>
          </cell>
          <cell r="S470">
            <v>5</v>
          </cell>
        </row>
        <row r="471">
          <cell r="B471" t="str">
            <v>EMMC</v>
          </cell>
          <cell r="C471" t="str">
            <v>HSLB11291</v>
          </cell>
          <cell r="D471" t="str">
            <v>109018L</v>
          </cell>
          <cell r="E471" t="str">
            <v>Caja De Cirugía Menor Fina</v>
          </cell>
          <cell r="F471" t="str">
            <v>NO</v>
          </cell>
          <cell r="G471" t="str">
            <v>NO</v>
          </cell>
          <cell r="H471" t="str">
            <v>BODEGA MATERIAL ESTERIL</v>
          </cell>
          <cell r="I471">
            <v>1</v>
          </cell>
          <cell r="J471" t="str">
            <v>C.5.6.4.15</v>
          </cell>
          <cell r="K471" t="str">
            <v>Pabellones</v>
          </cell>
          <cell r="L471">
            <v>3</v>
          </cell>
          <cell r="M471">
            <v>46039</v>
          </cell>
          <cell r="N471">
            <v>46041</v>
          </cell>
          <cell r="O471">
            <v>1</v>
          </cell>
          <cell r="P471">
            <v>46042</v>
          </cell>
          <cell r="Q471">
            <v>5</v>
          </cell>
          <cell r="R471" t="str">
            <v>NA</v>
          </cell>
          <cell r="S471">
            <v>5</v>
          </cell>
        </row>
        <row r="472">
          <cell r="B472" t="str">
            <v>EMMC</v>
          </cell>
          <cell r="C472" t="str">
            <v>HSLB11291</v>
          </cell>
          <cell r="D472" t="str">
            <v>109018M</v>
          </cell>
          <cell r="E472" t="str">
            <v>Cajas De Cirugía Plástica Tipo</v>
          </cell>
          <cell r="F472" t="str">
            <v>NO</v>
          </cell>
          <cell r="G472" t="str">
            <v>NO</v>
          </cell>
          <cell r="H472" t="str">
            <v>BODEGA MATERIAL ESTERIL</v>
          </cell>
          <cell r="I472">
            <v>6</v>
          </cell>
          <cell r="J472" t="str">
            <v>C.5.6.4.15</v>
          </cell>
          <cell r="K472" t="str">
            <v>Pabellones</v>
          </cell>
          <cell r="L472">
            <v>3</v>
          </cell>
          <cell r="M472">
            <v>46039</v>
          </cell>
          <cell r="N472">
            <v>46041</v>
          </cell>
          <cell r="O472">
            <v>1</v>
          </cell>
          <cell r="P472">
            <v>46042</v>
          </cell>
          <cell r="Q472">
            <v>5</v>
          </cell>
          <cell r="R472" t="str">
            <v>NA</v>
          </cell>
          <cell r="S472">
            <v>5</v>
          </cell>
        </row>
        <row r="473">
          <cell r="B473" t="str">
            <v>EMMC</v>
          </cell>
          <cell r="C473" t="str">
            <v>HSLB11291</v>
          </cell>
          <cell r="D473" t="str">
            <v>109018N</v>
          </cell>
          <cell r="E473" t="str">
            <v>Cajas De Abceso Tipo</v>
          </cell>
          <cell r="F473" t="str">
            <v>NO</v>
          </cell>
          <cell r="G473" t="str">
            <v>NO</v>
          </cell>
          <cell r="H473" t="str">
            <v>BODEGA MATERIAL ESTERIL</v>
          </cell>
          <cell r="I473">
            <v>3</v>
          </cell>
          <cell r="J473" t="str">
            <v>C.5.6.4.15</v>
          </cell>
          <cell r="K473" t="str">
            <v>Pabellones</v>
          </cell>
          <cell r="L473">
            <v>3</v>
          </cell>
          <cell r="M473">
            <v>46039</v>
          </cell>
          <cell r="N473">
            <v>46041</v>
          </cell>
          <cell r="O473">
            <v>1</v>
          </cell>
          <cell r="P473">
            <v>46042</v>
          </cell>
          <cell r="Q473">
            <v>5</v>
          </cell>
          <cell r="R473" t="str">
            <v>NA</v>
          </cell>
          <cell r="S473">
            <v>5</v>
          </cell>
        </row>
        <row r="474">
          <cell r="B474" t="str">
            <v>EMMC</v>
          </cell>
          <cell r="C474" t="str">
            <v>HSLB11291</v>
          </cell>
          <cell r="D474" t="str">
            <v>109018O</v>
          </cell>
          <cell r="E474" t="str">
            <v>Cajas De Punción Pleural</v>
          </cell>
          <cell r="F474" t="str">
            <v>NO</v>
          </cell>
          <cell r="G474" t="str">
            <v>NO</v>
          </cell>
          <cell r="H474" t="str">
            <v>BODEGA MATERIAL ESTERIL</v>
          </cell>
          <cell r="I474">
            <v>3</v>
          </cell>
          <cell r="J474" t="str">
            <v>C.5.6.4.15</v>
          </cell>
          <cell r="K474" t="str">
            <v>Pabellones</v>
          </cell>
          <cell r="L474">
            <v>3</v>
          </cell>
          <cell r="M474">
            <v>46039</v>
          </cell>
          <cell r="N474">
            <v>46041</v>
          </cell>
          <cell r="O474">
            <v>1</v>
          </cell>
          <cell r="P474">
            <v>46042</v>
          </cell>
          <cell r="Q474">
            <v>5</v>
          </cell>
          <cell r="R474" t="str">
            <v>NA</v>
          </cell>
          <cell r="S474">
            <v>5</v>
          </cell>
        </row>
        <row r="475">
          <cell r="B475" t="str">
            <v>EMMC</v>
          </cell>
          <cell r="C475" t="str">
            <v>HSLB11291</v>
          </cell>
          <cell r="D475" t="str">
            <v>109018P</v>
          </cell>
          <cell r="E475" t="str">
            <v>Cajas De Tórax Tipo</v>
          </cell>
          <cell r="F475" t="str">
            <v>NO</v>
          </cell>
          <cell r="G475" t="str">
            <v>NO</v>
          </cell>
          <cell r="H475" t="str">
            <v>BODEGA MATERIAL ESTERIL</v>
          </cell>
          <cell r="I475">
            <v>3</v>
          </cell>
          <cell r="J475" t="str">
            <v>C.5.6.4.15</v>
          </cell>
          <cell r="K475" t="str">
            <v>Pabellones</v>
          </cell>
          <cell r="L475">
            <v>3</v>
          </cell>
          <cell r="M475">
            <v>46039</v>
          </cell>
          <cell r="N475">
            <v>46041</v>
          </cell>
          <cell r="O475">
            <v>1</v>
          </cell>
          <cell r="P475">
            <v>46042</v>
          </cell>
          <cell r="Q475">
            <v>5</v>
          </cell>
          <cell r="R475" t="str">
            <v>NA</v>
          </cell>
          <cell r="S475">
            <v>5</v>
          </cell>
        </row>
        <row r="476">
          <cell r="B476" t="str">
            <v>EMMC</v>
          </cell>
          <cell r="C476" t="str">
            <v>HSLB11291</v>
          </cell>
          <cell r="D476" t="str">
            <v>109018Q</v>
          </cell>
          <cell r="E476" t="str">
            <v>Cajas De Laparoscopía Urológica</v>
          </cell>
          <cell r="F476" t="str">
            <v>NO</v>
          </cell>
          <cell r="G476" t="str">
            <v>NO</v>
          </cell>
          <cell r="H476" t="str">
            <v>BODEGA MATERIAL ESTERIL</v>
          </cell>
          <cell r="I476">
            <v>3</v>
          </cell>
          <cell r="J476" t="str">
            <v>C.5.6.4.15</v>
          </cell>
          <cell r="K476" t="str">
            <v>Pabellones</v>
          </cell>
          <cell r="L476">
            <v>3</v>
          </cell>
          <cell r="M476">
            <v>46039</v>
          </cell>
          <cell r="N476">
            <v>46041</v>
          </cell>
          <cell r="O476">
            <v>1</v>
          </cell>
          <cell r="P476">
            <v>46042</v>
          </cell>
          <cell r="Q476">
            <v>5</v>
          </cell>
          <cell r="R476" t="str">
            <v>NA</v>
          </cell>
          <cell r="S476">
            <v>5</v>
          </cell>
        </row>
        <row r="477">
          <cell r="B477" t="str">
            <v>EMMC</v>
          </cell>
          <cell r="C477" t="str">
            <v>HSLB11291</v>
          </cell>
          <cell r="D477" t="str">
            <v>109018R</v>
          </cell>
          <cell r="E477" t="str">
            <v>Cajas De Laparoscopía(Colicestomía)</v>
          </cell>
          <cell r="F477" t="str">
            <v>NO</v>
          </cell>
          <cell r="G477" t="str">
            <v>NO</v>
          </cell>
          <cell r="H477" t="str">
            <v>BODEGA MATERIAL ESTERIL</v>
          </cell>
          <cell r="I477">
            <v>12</v>
          </cell>
          <cell r="J477" t="str">
            <v>C.5.6.4.15</v>
          </cell>
          <cell r="K477" t="str">
            <v>Pabellones</v>
          </cell>
          <cell r="L477">
            <v>3</v>
          </cell>
          <cell r="M477">
            <v>46039</v>
          </cell>
          <cell r="N477">
            <v>46041</v>
          </cell>
          <cell r="O477">
            <v>1</v>
          </cell>
          <cell r="P477">
            <v>46042</v>
          </cell>
          <cell r="Q477">
            <v>5</v>
          </cell>
          <cell r="R477" t="str">
            <v>NA</v>
          </cell>
          <cell r="S477">
            <v>5</v>
          </cell>
        </row>
        <row r="478">
          <cell r="B478" t="str">
            <v>EMMC</v>
          </cell>
          <cell r="C478" t="str">
            <v>HSLB11291</v>
          </cell>
          <cell r="D478" t="str">
            <v>109018S</v>
          </cell>
          <cell r="E478" t="str">
            <v>Cajas De Laparoscopía Ginecológica</v>
          </cell>
          <cell r="F478" t="str">
            <v>NO</v>
          </cell>
          <cell r="G478" t="str">
            <v>NO</v>
          </cell>
          <cell r="H478" t="str">
            <v>BODEGA MATERIAL ESTERIL</v>
          </cell>
          <cell r="I478">
            <v>7</v>
          </cell>
          <cell r="J478" t="str">
            <v>C.5.6.4.15</v>
          </cell>
          <cell r="K478" t="str">
            <v>Pabellones</v>
          </cell>
          <cell r="L478">
            <v>3</v>
          </cell>
          <cell r="M478">
            <v>46039</v>
          </cell>
          <cell r="N478">
            <v>46041</v>
          </cell>
          <cell r="O478">
            <v>1</v>
          </cell>
          <cell r="P478">
            <v>46042</v>
          </cell>
          <cell r="Q478">
            <v>5</v>
          </cell>
          <cell r="R478" t="str">
            <v>NA</v>
          </cell>
          <cell r="S478">
            <v>5</v>
          </cell>
        </row>
        <row r="479">
          <cell r="B479" t="str">
            <v>EMMC</v>
          </cell>
          <cell r="C479" t="str">
            <v>HSLB11291</v>
          </cell>
          <cell r="D479" t="str">
            <v>109018T</v>
          </cell>
          <cell r="E479" t="str">
            <v>Cajas Complemento Estándar Para Laparoscopía</v>
          </cell>
          <cell r="F479" t="str">
            <v>NO</v>
          </cell>
          <cell r="G479" t="str">
            <v>NO</v>
          </cell>
          <cell r="H479" t="str">
            <v>BODEGA MATERIAL ESTERIL</v>
          </cell>
          <cell r="I479">
            <v>12</v>
          </cell>
          <cell r="J479" t="str">
            <v>C.5.6.4.15</v>
          </cell>
          <cell r="K479" t="str">
            <v>Pabellones</v>
          </cell>
          <cell r="L479">
            <v>3</v>
          </cell>
          <cell r="M479">
            <v>46039</v>
          </cell>
          <cell r="N479">
            <v>46041</v>
          </cell>
          <cell r="O479">
            <v>1</v>
          </cell>
          <cell r="P479">
            <v>46042</v>
          </cell>
          <cell r="Q479">
            <v>5</v>
          </cell>
          <cell r="R479" t="str">
            <v>NA</v>
          </cell>
          <cell r="S479">
            <v>5</v>
          </cell>
        </row>
        <row r="480">
          <cell r="B480" t="str">
            <v>EMMC</v>
          </cell>
          <cell r="C480" t="str">
            <v>HSLB11291</v>
          </cell>
          <cell r="D480" t="str">
            <v>109018U</v>
          </cell>
          <cell r="E480" t="str">
            <v>Cajas De Abdomen Tipo</v>
          </cell>
          <cell r="F480" t="str">
            <v>NO</v>
          </cell>
          <cell r="G480" t="str">
            <v>NO</v>
          </cell>
          <cell r="H480" t="str">
            <v>BODEGA MATERIAL ESTERIL</v>
          </cell>
          <cell r="I480">
            <v>10</v>
          </cell>
          <cell r="J480" t="str">
            <v>C.5.6.4.15</v>
          </cell>
          <cell r="K480" t="str">
            <v>Pabellones</v>
          </cell>
          <cell r="L480">
            <v>3</v>
          </cell>
          <cell r="M480">
            <v>46039</v>
          </cell>
          <cell r="N480">
            <v>46041</v>
          </cell>
          <cell r="O480">
            <v>1</v>
          </cell>
          <cell r="P480">
            <v>46042</v>
          </cell>
          <cell r="Q480">
            <v>5</v>
          </cell>
          <cell r="R480" t="str">
            <v>NA</v>
          </cell>
          <cell r="S480">
            <v>5</v>
          </cell>
        </row>
        <row r="481">
          <cell r="B481" t="str">
            <v>EMMC</v>
          </cell>
          <cell r="C481" t="str">
            <v>HSLB11291</v>
          </cell>
          <cell r="D481" t="str">
            <v>109018V</v>
          </cell>
          <cell r="E481" t="str">
            <v>Cajas De Apendicectomía Tipo</v>
          </cell>
          <cell r="F481" t="str">
            <v>NO</v>
          </cell>
          <cell r="G481" t="str">
            <v>NO</v>
          </cell>
          <cell r="H481" t="str">
            <v>BODEGA MATERIAL ESTERIL</v>
          </cell>
          <cell r="I481">
            <v>7</v>
          </cell>
          <cell r="J481" t="str">
            <v>C.5.6.4.15</v>
          </cell>
          <cell r="K481" t="str">
            <v>Pabellones</v>
          </cell>
          <cell r="L481">
            <v>3</v>
          </cell>
          <cell r="M481">
            <v>46039</v>
          </cell>
          <cell r="N481">
            <v>46041</v>
          </cell>
          <cell r="O481">
            <v>1</v>
          </cell>
          <cell r="P481">
            <v>46042</v>
          </cell>
          <cell r="Q481">
            <v>5</v>
          </cell>
          <cell r="R481" t="str">
            <v>NA</v>
          </cell>
          <cell r="S481">
            <v>5</v>
          </cell>
        </row>
        <row r="482">
          <cell r="B482" t="str">
            <v>EMMC</v>
          </cell>
          <cell r="C482" t="str">
            <v>HSLB11291</v>
          </cell>
          <cell r="D482" t="str">
            <v>109018W</v>
          </cell>
          <cell r="E482" t="str">
            <v>Cajas De Apendicectomía Infantil</v>
          </cell>
          <cell r="F482" t="str">
            <v>NO</v>
          </cell>
          <cell r="G482" t="str">
            <v>NO</v>
          </cell>
          <cell r="H482" t="str">
            <v>BODEGA MATERIAL ESTERIL</v>
          </cell>
          <cell r="I482">
            <v>3</v>
          </cell>
          <cell r="J482" t="str">
            <v>C.5.6.4.15</v>
          </cell>
          <cell r="K482" t="str">
            <v>Pabellones</v>
          </cell>
          <cell r="L482">
            <v>3</v>
          </cell>
          <cell r="M482">
            <v>46039</v>
          </cell>
          <cell r="N482">
            <v>46041</v>
          </cell>
          <cell r="O482">
            <v>1</v>
          </cell>
          <cell r="P482">
            <v>46042</v>
          </cell>
          <cell r="Q482">
            <v>5</v>
          </cell>
          <cell r="R482" t="str">
            <v>NA</v>
          </cell>
          <cell r="S482">
            <v>5</v>
          </cell>
        </row>
        <row r="483">
          <cell r="B483" t="str">
            <v>EMMC</v>
          </cell>
          <cell r="C483" t="str">
            <v>HSLB11291</v>
          </cell>
          <cell r="D483" t="str">
            <v>109018X</v>
          </cell>
          <cell r="E483" t="str">
            <v>Cajas De Colecistectomía Abierta</v>
          </cell>
          <cell r="F483" t="str">
            <v>NO</v>
          </cell>
          <cell r="G483" t="str">
            <v>NO</v>
          </cell>
          <cell r="H483" t="str">
            <v>BODEGA MATERIAL ESTERIL</v>
          </cell>
          <cell r="I483">
            <v>6</v>
          </cell>
          <cell r="J483" t="str">
            <v>C.5.6.4.15</v>
          </cell>
          <cell r="K483" t="str">
            <v>Pabellones</v>
          </cell>
          <cell r="L483">
            <v>3</v>
          </cell>
          <cell r="M483">
            <v>46039</v>
          </cell>
          <cell r="N483">
            <v>46041</v>
          </cell>
          <cell r="O483">
            <v>1</v>
          </cell>
          <cell r="P483">
            <v>46042</v>
          </cell>
          <cell r="Q483">
            <v>5</v>
          </cell>
          <cell r="R483" t="str">
            <v>NA</v>
          </cell>
          <cell r="S483">
            <v>5</v>
          </cell>
        </row>
        <row r="484">
          <cell r="B484" t="str">
            <v>EMMC</v>
          </cell>
          <cell r="C484" t="str">
            <v>HSLB11291</v>
          </cell>
          <cell r="D484" t="str">
            <v>109018Y</v>
          </cell>
          <cell r="E484" t="str">
            <v>Cajas De Hernia Tipo</v>
          </cell>
          <cell r="F484" t="str">
            <v>NO</v>
          </cell>
          <cell r="G484" t="str">
            <v>NO</v>
          </cell>
          <cell r="H484" t="str">
            <v>BODEGA MATERIAL ESTERIL</v>
          </cell>
          <cell r="I484">
            <v>4</v>
          </cell>
          <cell r="J484" t="str">
            <v>C.5.6.4.15</v>
          </cell>
          <cell r="K484" t="str">
            <v>Pabellones</v>
          </cell>
          <cell r="L484">
            <v>3</v>
          </cell>
          <cell r="M484">
            <v>46039</v>
          </cell>
          <cell r="N484">
            <v>46041</v>
          </cell>
          <cell r="O484">
            <v>1</v>
          </cell>
          <cell r="P484">
            <v>46042</v>
          </cell>
          <cell r="Q484">
            <v>5</v>
          </cell>
          <cell r="R484" t="str">
            <v>NA</v>
          </cell>
          <cell r="S484">
            <v>5</v>
          </cell>
        </row>
        <row r="485">
          <cell r="B485" t="str">
            <v>EMMC</v>
          </cell>
          <cell r="C485" t="str">
            <v>HSLB11291</v>
          </cell>
          <cell r="D485" t="str">
            <v>109018Z</v>
          </cell>
          <cell r="E485" t="str">
            <v>Cajas De Fimosis Tipo</v>
          </cell>
          <cell r="F485" t="str">
            <v>NO</v>
          </cell>
          <cell r="G485" t="str">
            <v>NO</v>
          </cell>
          <cell r="H485" t="str">
            <v>BODEGA MATERIAL ESTERIL</v>
          </cell>
          <cell r="I485">
            <v>3</v>
          </cell>
          <cell r="J485" t="str">
            <v>C.5.6.4.15</v>
          </cell>
          <cell r="K485" t="str">
            <v>Pabellones</v>
          </cell>
          <cell r="L485">
            <v>3</v>
          </cell>
          <cell r="M485">
            <v>46039</v>
          </cell>
          <cell r="N485">
            <v>46041</v>
          </cell>
          <cell r="O485">
            <v>1</v>
          </cell>
          <cell r="P485">
            <v>46042</v>
          </cell>
          <cell r="Q485">
            <v>5</v>
          </cell>
          <cell r="R485" t="str">
            <v>NA</v>
          </cell>
          <cell r="S485">
            <v>5</v>
          </cell>
        </row>
        <row r="486">
          <cell r="B486" t="str">
            <v>EMMC</v>
          </cell>
          <cell r="C486" t="str">
            <v>HSLB11291</v>
          </cell>
          <cell r="D486" t="str">
            <v>109018AA</v>
          </cell>
          <cell r="E486" t="str">
            <v>Cajas De Coloproctología Tipo</v>
          </cell>
          <cell r="F486" t="str">
            <v>NO</v>
          </cell>
          <cell r="G486" t="str">
            <v>NO</v>
          </cell>
          <cell r="H486" t="str">
            <v>BODEGA MATERIAL ESTERIL</v>
          </cell>
          <cell r="I486">
            <v>3</v>
          </cell>
          <cell r="J486" t="str">
            <v>C.5.6.4.15</v>
          </cell>
          <cell r="K486" t="str">
            <v>Pabellones</v>
          </cell>
          <cell r="L486">
            <v>3</v>
          </cell>
          <cell r="M486">
            <v>46039</v>
          </cell>
          <cell r="N486">
            <v>46041</v>
          </cell>
          <cell r="O486">
            <v>1</v>
          </cell>
          <cell r="P486">
            <v>46042</v>
          </cell>
          <cell r="Q486">
            <v>5</v>
          </cell>
          <cell r="R486" t="str">
            <v>NA</v>
          </cell>
          <cell r="S486">
            <v>5</v>
          </cell>
        </row>
        <row r="487">
          <cell r="B487" t="str">
            <v>EMMC</v>
          </cell>
          <cell r="C487" t="str">
            <v>HSLB11291</v>
          </cell>
          <cell r="D487" t="str">
            <v>109018BB</v>
          </cell>
          <cell r="E487" t="str">
            <v>Cajas De Artroscopía Tipo</v>
          </cell>
          <cell r="F487" t="str">
            <v>NO</v>
          </cell>
          <cell r="G487" t="str">
            <v>NO</v>
          </cell>
          <cell r="H487" t="str">
            <v>BODEGA MATERIAL ESTERIL</v>
          </cell>
          <cell r="I487">
            <v>2</v>
          </cell>
          <cell r="J487" t="str">
            <v>C.5.6.4.15</v>
          </cell>
          <cell r="K487" t="str">
            <v>Pabellones</v>
          </cell>
          <cell r="L487">
            <v>3</v>
          </cell>
          <cell r="M487">
            <v>46039</v>
          </cell>
          <cell r="N487">
            <v>46041</v>
          </cell>
          <cell r="O487">
            <v>1</v>
          </cell>
          <cell r="P487">
            <v>46042</v>
          </cell>
          <cell r="Q487">
            <v>5</v>
          </cell>
          <cell r="R487" t="str">
            <v>NA</v>
          </cell>
          <cell r="S487">
            <v>5</v>
          </cell>
        </row>
        <row r="488">
          <cell r="B488" t="str">
            <v>EMMC</v>
          </cell>
          <cell r="C488" t="str">
            <v>HSLB11291</v>
          </cell>
          <cell r="D488" t="str">
            <v>109018CC</v>
          </cell>
          <cell r="E488" t="str">
            <v>Cajas Complemento De Artroscopía</v>
          </cell>
          <cell r="F488" t="str">
            <v>NO</v>
          </cell>
          <cell r="G488" t="str">
            <v>NO</v>
          </cell>
          <cell r="H488" t="str">
            <v>BODEGA MATERIAL ESTERIL</v>
          </cell>
          <cell r="I488">
            <v>2</v>
          </cell>
          <cell r="J488" t="str">
            <v>C.5.6.4.15</v>
          </cell>
          <cell r="K488" t="str">
            <v>Pabellones</v>
          </cell>
          <cell r="L488">
            <v>3</v>
          </cell>
          <cell r="M488">
            <v>46039</v>
          </cell>
          <cell r="N488">
            <v>46041</v>
          </cell>
          <cell r="O488">
            <v>1</v>
          </cell>
          <cell r="P488">
            <v>46042</v>
          </cell>
          <cell r="Q488">
            <v>5</v>
          </cell>
          <cell r="R488" t="str">
            <v>NA</v>
          </cell>
          <cell r="S488">
            <v>5</v>
          </cell>
        </row>
        <row r="489">
          <cell r="B489" t="str">
            <v>EMMC</v>
          </cell>
          <cell r="C489" t="str">
            <v>HSLB11291</v>
          </cell>
          <cell r="D489" t="str">
            <v>109018DD</v>
          </cell>
          <cell r="E489" t="str">
            <v>Cajas Fractura Simple</v>
          </cell>
          <cell r="F489" t="str">
            <v>NO</v>
          </cell>
          <cell r="G489" t="str">
            <v>NO</v>
          </cell>
          <cell r="H489" t="str">
            <v>BODEGA MATERIAL ESTERIL</v>
          </cell>
          <cell r="I489">
            <v>3</v>
          </cell>
          <cell r="J489" t="str">
            <v>C.5.6.4.15</v>
          </cell>
          <cell r="K489" t="str">
            <v>Pabellones</v>
          </cell>
          <cell r="L489">
            <v>3</v>
          </cell>
          <cell r="M489">
            <v>46039</v>
          </cell>
          <cell r="N489">
            <v>46041</v>
          </cell>
          <cell r="O489">
            <v>1</v>
          </cell>
          <cell r="P489">
            <v>46042</v>
          </cell>
          <cell r="Q489">
            <v>5</v>
          </cell>
          <cell r="R489" t="str">
            <v>NA</v>
          </cell>
          <cell r="S489">
            <v>5</v>
          </cell>
        </row>
        <row r="490">
          <cell r="B490" t="str">
            <v>EMMC</v>
          </cell>
          <cell r="C490" t="str">
            <v>HSLB11291</v>
          </cell>
          <cell r="D490" t="str">
            <v>109018EE</v>
          </cell>
          <cell r="E490" t="str">
            <v>Cajas De Extremidades Superiores Tipo (Traumatología)</v>
          </cell>
          <cell r="F490" t="str">
            <v>NO</v>
          </cell>
          <cell r="G490" t="str">
            <v>NO</v>
          </cell>
          <cell r="H490" t="str">
            <v>BODEGA MATERIAL ESTERIL</v>
          </cell>
          <cell r="I490">
            <v>3</v>
          </cell>
          <cell r="J490" t="str">
            <v>C.5.6.4.15</v>
          </cell>
          <cell r="K490" t="str">
            <v>Pabellones</v>
          </cell>
          <cell r="L490">
            <v>3</v>
          </cell>
          <cell r="M490">
            <v>46039</v>
          </cell>
          <cell r="N490">
            <v>46041</v>
          </cell>
          <cell r="O490">
            <v>1</v>
          </cell>
          <cell r="P490">
            <v>46042</v>
          </cell>
          <cell r="Q490">
            <v>5</v>
          </cell>
          <cell r="R490" t="str">
            <v>NA</v>
          </cell>
          <cell r="S490">
            <v>5</v>
          </cell>
        </row>
        <row r="491">
          <cell r="B491" t="str">
            <v>EMMC</v>
          </cell>
          <cell r="C491" t="str">
            <v>HSLB11291</v>
          </cell>
          <cell r="D491" t="str">
            <v>109018FF</v>
          </cell>
          <cell r="E491" t="str">
            <v>Cajas De Mano Fina Tipo</v>
          </cell>
          <cell r="F491" t="str">
            <v>NO</v>
          </cell>
          <cell r="G491" t="str">
            <v>NO</v>
          </cell>
          <cell r="H491" t="str">
            <v>BODEGA MATERIAL ESTERIL</v>
          </cell>
          <cell r="I491">
            <v>3</v>
          </cell>
          <cell r="J491" t="str">
            <v>C.5.6.4.15</v>
          </cell>
          <cell r="K491" t="str">
            <v>Pabellones</v>
          </cell>
          <cell r="L491">
            <v>3</v>
          </cell>
          <cell r="M491">
            <v>46039</v>
          </cell>
          <cell r="N491">
            <v>46041</v>
          </cell>
          <cell r="O491">
            <v>1</v>
          </cell>
          <cell r="P491">
            <v>46042</v>
          </cell>
          <cell r="Q491">
            <v>5</v>
          </cell>
          <cell r="R491" t="str">
            <v>NA</v>
          </cell>
          <cell r="S491">
            <v>5</v>
          </cell>
        </row>
        <row r="492">
          <cell r="B492" t="str">
            <v>EMMC</v>
          </cell>
          <cell r="C492" t="str">
            <v>HSLB11291</v>
          </cell>
          <cell r="D492" t="str">
            <v>109018GG</v>
          </cell>
          <cell r="E492" t="str">
            <v>Cajas Base De Cirugía Abdominal Ginecológica</v>
          </cell>
          <cell r="F492" t="str">
            <v>NO</v>
          </cell>
          <cell r="G492" t="str">
            <v>NO</v>
          </cell>
          <cell r="H492" t="str">
            <v>BODEGA MATERIAL ESTERIL</v>
          </cell>
          <cell r="I492">
            <v>3</v>
          </cell>
          <cell r="J492" t="str">
            <v>C.5.6.4.15</v>
          </cell>
          <cell r="K492" t="str">
            <v>Pabellones</v>
          </cell>
          <cell r="L492">
            <v>3</v>
          </cell>
          <cell r="M492">
            <v>46039</v>
          </cell>
          <cell r="N492">
            <v>46041</v>
          </cell>
          <cell r="O492">
            <v>1</v>
          </cell>
          <cell r="P492">
            <v>46042</v>
          </cell>
          <cell r="Q492">
            <v>5</v>
          </cell>
          <cell r="R492" t="str">
            <v>NA</v>
          </cell>
          <cell r="S492">
            <v>5</v>
          </cell>
        </row>
        <row r="493">
          <cell r="B493" t="str">
            <v>EMMC</v>
          </cell>
          <cell r="C493" t="str">
            <v>HSLB11291</v>
          </cell>
          <cell r="D493" t="str">
            <v>109018HH</v>
          </cell>
          <cell r="E493" t="str">
            <v>Cajas De Fístula Arteriovenosa</v>
          </cell>
          <cell r="F493" t="str">
            <v>NO</v>
          </cell>
          <cell r="G493" t="str">
            <v>NO</v>
          </cell>
          <cell r="H493" t="str">
            <v>BODEGA MATERIAL ESTERIL</v>
          </cell>
          <cell r="I493">
            <v>4</v>
          </cell>
          <cell r="J493" t="str">
            <v>C.5.6.4.15</v>
          </cell>
          <cell r="K493" t="str">
            <v>Pabellones</v>
          </cell>
          <cell r="L493">
            <v>3</v>
          </cell>
          <cell r="M493">
            <v>46039</v>
          </cell>
          <cell r="N493">
            <v>46041</v>
          </cell>
          <cell r="O493">
            <v>1</v>
          </cell>
          <cell r="P493">
            <v>46042</v>
          </cell>
          <cell r="Q493">
            <v>5</v>
          </cell>
          <cell r="R493" t="str">
            <v>NA</v>
          </cell>
          <cell r="S493">
            <v>5</v>
          </cell>
        </row>
        <row r="494">
          <cell r="B494" t="str">
            <v>EMMC</v>
          </cell>
          <cell r="C494" t="str">
            <v>HSLB11291</v>
          </cell>
          <cell r="D494" t="str">
            <v>109018II</v>
          </cell>
          <cell r="E494" t="str">
            <v>Caja De Rinoplastía Tipo</v>
          </cell>
          <cell r="F494" t="str">
            <v>NO</v>
          </cell>
          <cell r="G494" t="str">
            <v>NO</v>
          </cell>
          <cell r="H494" t="str">
            <v>BODEGA MATERIAL ESTERIL</v>
          </cell>
          <cell r="I494">
            <v>2</v>
          </cell>
          <cell r="J494" t="str">
            <v>C.5.6.4.15</v>
          </cell>
          <cell r="K494" t="str">
            <v>Pabellones</v>
          </cell>
          <cell r="L494">
            <v>3</v>
          </cell>
          <cell r="M494">
            <v>46039</v>
          </cell>
          <cell r="N494">
            <v>46041</v>
          </cell>
          <cell r="O494">
            <v>1</v>
          </cell>
          <cell r="P494">
            <v>46042</v>
          </cell>
          <cell r="Q494">
            <v>5</v>
          </cell>
          <cell r="R494" t="str">
            <v>NA</v>
          </cell>
          <cell r="S494">
            <v>5</v>
          </cell>
        </row>
        <row r="495">
          <cell r="B495" t="str">
            <v>EMMC</v>
          </cell>
          <cell r="C495" t="str">
            <v>HSLB11291</v>
          </cell>
          <cell r="D495" t="str">
            <v>109018JJ</v>
          </cell>
          <cell r="E495" t="str">
            <v>Cajas De Timpanoplastía Tipo</v>
          </cell>
          <cell r="F495" t="str">
            <v>NO</v>
          </cell>
          <cell r="G495" t="str">
            <v>NO</v>
          </cell>
          <cell r="H495" t="str">
            <v>BODEGA MATERIAL ESTERIL</v>
          </cell>
          <cell r="I495">
            <v>3</v>
          </cell>
          <cell r="J495" t="str">
            <v>C.5.6.4.15</v>
          </cell>
          <cell r="K495" t="str">
            <v>Pabellones</v>
          </cell>
          <cell r="L495">
            <v>3</v>
          </cell>
          <cell r="M495">
            <v>46039</v>
          </cell>
          <cell r="N495">
            <v>46041</v>
          </cell>
          <cell r="O495">
            <v>1</v>
          </cell>
          <cell r="P495">
            <v>46042</v>
          </cell>
          <cell r="Q495">
            <v>5</v>
          </cell>
          <cell r="R495" t="str">
            <v>NA</v>
          </cell>
          <cell r="S495">
            <v>5</v>
          </cell>
        </row>
        <row r="496">
          <cell r="B496" t="str">
            <v>EMMC</v>
          </cell>
          <cell r="C496" t="str">
            <v>HSLB11291</v>
          </cell>
          <cell r="D496" t="str">
            <v>109018KK</v>
          </cell>
          <cell r="E496" t="str">
            <v>Cajas Base De Urología</v>
          </cell>
          <cell r="F496" t="str">
            <v>NO</v>
          </cell>
          <cell r="G496" t="str">
            <v>NO</v>
          </cell>
          <cell r="H496" t="str">
            <v>BODEGA MATERIAL ESTERIL</v>
          </cell>
          <cell r="I496">
            <v>3</v>
          </cell>
          <cell r="J496" t="str">
            <v>C.5.6.4.15</v>
          </cell>
          <cell r="K496" t="str">
            <v>Pabellones</v>
          </cell>
          <cell r="L496">
            <v>3</v>
          </cell>
          <cell r="M496">
            <v>46039</v>
          </cell>
          <cell r="N496">
            <v>46041</v>
          </cell>
          <cell r="O496">
            <v>1</v>
          </cell>
          <cell r="P496">
            <v>46042</v>
          </cell>
          <cell r="Q496">
            <v>5</v>
          </cell>
          <cell r="R496" t="str">
            <v>NA</v>
          </cell>
          <cell r="S496">
            <v>5</v>
          </cell>
        </row>
        <row r="497">
          <cell r="B497" t="str">
            <v>EMMC</v>
          </cell>
          <cell r="C497" t="str">
            <v>HSLB11291</v>
          </cell>
          <cell r="D497" t="str">
            <v>109018LL</v>
          </cell>
          <cell r="E497" t="str">
            <v>Cajas De Cesárea</v>
          </cell>
          <cell r="F497" t="str">
            <v>NO</v>
          </cell>
          <cell r="G497" t="str">
            <v>NO</v>
          </cell>
          <cell r="H497" t="str">
            <v>BODEGA MATERIAL ESTERIL</v>
          </cell>
          <cell r="I497">
            <v>6</v>
          </cell>
          <cell r="J497" t="str">
            <v>C.5.6.4.15</v>
          </cell>
          <cell r="K497" t="str">
            <v>Pabellones</v>
          </cell>
          <cell r="L497">
            <v>3</v>
          </cell>
          <cell r="M497">
            <v>46039</v>
          </cell>
          <cell r="N497">
            <v>46041</v>
          </cell>
          <cell r="O497">
            <v>1</v>
          </cell>
          <cell r="P497">
            <v>46042</v>
          </cell>
          <cell r="Q497">
            <v>5</v>
          </cell>
          <cell r="R497" t="str">
            <v>NA</v>
          </cell>
          <cell r="S497">
            <v>5</v>
          </cell>
        </row>
        <row r="498">
          <cell r="B498" t="str">
            <v>EMMC</v>
          </cell>
          <cell r="C498" t="str">
            <v>HSLB11291</v>
          </cell>
          <cell r="D498" t="str">
            <v>109018MM</v>
          </cell>
          <cell r="E498" t="str">
            <v>Cajas De Conización</v>
          </cell>
          <cell r="F498" t="str">
            <v>NO</v>
          </cell>
          <cell r="G498" t="str">
            <v>NO</v>
          </cell>
          <cell r="H498" t="str">
            <v>BODEGA MATERIAL ESTERIL</v>
          </cell>
          <cell r="I498">
            <v>3</v>
          </cell>
          <cell r="J498" t="str">
            <v>C.5.6.4.15</v>
          </cell>
          <cell r="K498" t="str">
            <v>Pabellones</v>
          </cell>
          <cell r="L498">
            <v>3</v>
          </cell>
          <cell r="M498">
            <v>46039</v>
          </cell>
          <cell r="N498">
            <v>46041</v>
          </cell>
          <cell r="O498">
            <v>1</v>
          </cell>
          <cell r="P498">
            <v>46042</v>
          </cell>
          <cell r="Q498">
            <v>5</v>
          </cell>
          <cell r="R498" t="str">
            <v>NA</v>
          </cell>
          <cell r="S498">
            <v>5</v>
          </cell>
        </row>
        <row r="499">
          <cell r="B499" t="str">
            <v>EMMC</v>
          </cell>
          <cell r="C499" t="str">
            <v>HSLB11291</v>
          </cell>
          <cell r="D499" t="str">
            <v>109018NN</v>
          </cell>
          <cell r="E499" t="str">
            <v>Cajas De Dilatadores</v>
          </cell>
          <cell r="F499" t="str">
            <v>NO</v>
          </cell>
          <cell r="G499" t="str">
            <v>NO</v>
          </cell>
          <cell r="H499" t="str">
            <v>BODEGA MATERIAL ESTERIL</v>
          </cell>
          <cell r="I499">
            <v>3</v>
          </cell>
          <cell r="J499" t="str">
            <v>C.5.6.4.15</v>
          </cell>
          <cell r="K499" t="str">
            <v>Pabellones</v>
          </cell>
          <cell r="L499">
            <v>3</v>
          </cell>
          <cell r="M499">
            <v>46039</v>
          </cell>
          <cell r="N499">
            <v>46041</v>
          </cell>
          <cell r="O499">
            <v>1</v>
          </cell>
          <cell r="P499">
            <v>46042</v>
          </cell>
          <cell r="Q499">
            <v>5</v>
          </cell>
          <cell r="R499" t="str">
            <v>NA</v>
          </cell>
          <cell r="S499">
            <v>5</v>
          </cell>
        </row>
        <row r="500">
          <cell r="B500" t="str">
            <v>EMMC</v>
          </cell>
          <cell r="C500" t="str">
            <v>HSLB11291</v>
          </cell>
          <cell r="D500" t="str">
            <v>109018OO</v>
          </cell>
          <cell r="E500" t="str">
            <v>Cajas De Histerectomía Vaginal</v>
          </cell>
          <cell r="F500" t="str">
            <v>NO</v>
          </cell>
          <cell r="G500" t="str">
            <v>NO</v>
          </cell>
          <cell r="H500" t="str">
            <v>BODEGA MATERIAL ESTERIL</v>
          </cell>
          <cell r="I500">
            <v>2</v>
          </cell>
          <cell r="J500" t="str">
            <v>C.5.6.4.15</v>
          </cell>
          <cell r="K500" t="str">
            <v>Pabellones</v>
          </cell>
          <cell r="L500">
            <v>3</v>
          </cell>
          <cell r="M500">
            <v>46039</v>
          </cell>
          <cell r="N500">
            <v>46041</v>
          </cell>
          <cell r="O500">
            <v>1</v>
          </cell>
          <cell r="P500">
            <v>46042</v>
          </cell>
          <cell r="Q500">
            <v>5</v>
          </cell>
          <cell r="R500" t="str">
            <v>NA</v>
          </cell>
          <cell r="S500">
            <v>5</v>
          </cell>
        </row>
        <row r="501">
          <cell r="B501" t="str">
            <v>EMMC</v>
          </cell>
          <cell r="C501" t="str">
            <v>HSLB11291</v>
          </cell>
          <cell r="D501" t="str">
            <v>109018PP</v>
          </cell>
          <cell r="E501" t="str">
            <v>Cajas Ginecológica Básica</v>
          </cell>
          <cell r="F501" t="str">
            <v>NO</v>
          </cell>
          <cell r="G501" t="str">
            <v>NO</v>
          </cell>
          <cell r="H501" t="str">
            <v>BODEGA MATERIAL ESTERIL</v>
          </cell>
          <cell r="I501">
            <v>10</v>
          </cell>
          <cell r="J501" t="str">
            <v>C.5.6.4.15</v>
          </cell>
          <cell r="K501" t="str">
            <v>Pabellones</v>
          </cell>
          <cell r="L501">
            <v>3</v>
          </cell>
          <cell r="M501">
            <v>46039</v>
          </cell>
          <cell r="N501">
            <v>46041</v>
          </cell>
          <cell r="O501">
            <v>1</v>
          </cell>
          <cell r="P501">
            <v>46042</v>
          </cell>
          <cell r="Q501">
            <v>5</v>
          </cell>
          <cell r="R501" t="str">
            <v>NA</v>
          </cell>
          <cell r="S501">
            <v>5</v>
          </cell>
        </row>
        <row r="502">
          <cell r="B502" t="str">
            <v>EMMC</v>
          </cell>
          <cell r="C502" t="str">
            <v>HSLB11291</v>
          </cell>
          <cell r="D502" t="str">
            <v>109018QQ</v>
          </cell>
          <cell r="E502" t="str">
            <v>Cajas Ginecológica Tot</v>
          </cell>
          <cell r="F502" t="str">
            <v>NO</v>
          </cell>
          <cell r="G502" t="str">
            <v>NO</v>
          </cell>
          <cell r="H502" t="str">
            <v>BODEGA MATERIAL ESTERIL</v>
          </cell>
          <cell r="I502">
            <v>4</v>
          </cell>
          <cell r="J502" t="str">
            <v>C.5.6.4.15</v>
          </cell>
          <cell r="K502" t="str">
            <v>Pabellones</v>
          </cell>
          <cell r="L502">
            <v>3</v>
          </cell>
          <cell r="M502">
            <v>46039</v>
          </cell>
          <cell r="N502">
            <v>46041</v>
          </cell>
          <cell r="O502">
            <v>1</v>
          </cell>
          <cell r="P502">
            <v>46042</v>
          </cell>
          <cell r="Q502">
            <v>5</v>
          </cell>
          <cell r="R502" t="str">
            <v>NA</v>
          </cell>
          <cell r="S502">
            <v>5</v>
          </cell>
        </row>
        <row r="503">
          <cell r="B503" t="str">
            <v>EMMC</v>
          </cell>
          <cell r="C503" t="str">
            <v>HSLB11291</v>
          </cell>
          <cell r="D503" t="str">
            <v>109018RR</v>
          </cell>
          <cell r="E503" t="str">
            <v>Cajas De Revisión Ginecológica</v>
          </cell>
          <cell r="F503" t="str">
            <v>NO</v>
          </cell>
          <cell r="G503" t="str">
            <v>NO</v>
          </cell>
          <cell r="H503" t="str">
            <v>BODEGA MATERIAL ESTERIL</v>
          </cell>
          <cell r="I503">
            <v>4</v>
          </cell>
          <cell r="J503" t="str">
            <v>C.5.6.4.15</v>
          </cell>
          <cell r="K503" t="str">
            <v>Pabellones</v>
          </cell>
          <cell r="L503">
            <v>3</v>
          </cell>
          <cell r="M503">
            <v>46039</v>
          </cell>
          <cell r="N503">
            <v>46041</v>
          </cell>
          <cell r="O503">
            <v>1</v>
          </cell>
          <cell r="P503">
            <v>46042</v>
          </cell>
          <cell r="Q503">
            <v>5</v>
          </cell>
          <cell r="R503" t="str">
            <v>NA</v>
          </cell>
          <cell r="S503">
            <v>5</v>
          </cell>
        </row>
        <row r="504">
          <cell r="B504" t="str">
            <v>EMMC</v>
          </cell>
          <cell r="C504" t="str">
            <v>HSLB11291</v>
          </cell>
          <cell r="D504" t="str">
            <v>109018SS</v>
          </cell>
          <cell r="E504" t="str">
            <v>Cajas Cistoscopia</v>
          </cell>
          <cell r="F504" t="str">
            <v>NO</v>
          </cell>
          <cell r="G504" t="str">
            <v>NO</v>
          </cell>
          <cell r="H504" t="str">
            <v>BODEGA MATERIAL ESTERIL</v>
          </cell>
          <cell r="I504">
            <v>3</v>
          </cell>
          <cell r="J504" t="str">
            <v>C.5.6.4.15</v>
          </cell>
          <cell r="K504" t="str">
            <v>Pabellones</v>
          </cell>
          <cell r="L504">
            <v>3</v>
          </cell>
          <cell r="M504">
            <v>46039</v>
          </cell>
          <cell r="N504">
            <v>46041</v>
          </cell>
          <cell r="O504">
            <v>1</v>
          </cell>
          <cell r="P504">
            <v>46042</v>
          </cell>
          <cell r="Q504">
            <v>5</v>
          </cell>
          <cell r="R504" t="str">
            <v>NA</v>
          </cell>
          <cell r="S504">
            <v>5</v>
          </cell>
        </row>
        <row r="505">
          <cell r="B505" t="str">
            <v>EMMC</v>
          </cell>
          <cell r="C505" t="str">
            <v>HSLB11291</v>
          </cell>
          <cell r="D505" t="str">
            <v>109018TT</v>
          </cell>
          <cell r="E505" t="str">
            <v>Cajas Cirugía Tumor Benigno Y Quiste Mama</v>
          </cell>
          <cell r="F505" t="str">
            <v>NO</v>
          </cell>
          <cell r="G505" t="str">
            <v>NO</v>
          </cell>
          <cell r="H505" t="str">
            <v>BODEGA MATERIAL ESTERIL</v>
          </cell>
          <cell r="I505">
            <v>3</v>
          </cell>
          <cell r="J505" t="str">
            <v>C.5.6.4.15</v>
          </cell>
          <cell r="K505" t="str">
            <v>Pabellones</v>
          </cell>
          <cell r="L505">
            <v>3</v>
          </cell>
          <cell r="M505">
            <v>46039</v>
          </cell>
          <cell r="N505">
            <v>46041</v>
          </cell>
          <cell r="O505">
            <v>1</v>
          </cell>
          <cell r="P505">
            <v>46042</v>
          </cell>
          <cell r="Q505">
            <v>5</v>
          </cell>
          <cell r="R505" t="str">
            <v>NA</v>
          </cell>
          <cell r="S505">
            <v>5</v>
          </cell>
        </row>
        <row r="506">
          <cell r="B506" t="str">
            <v>EMMC</v>
          </cell>
          <cell r="C506" t="str">
            <v>HSLB11291</v>
          </cell>
          <cell r="D506" t="str">
            <v>109018UU</v>
          </cell>
          <cell r="E506" t="str">
            <v>Caja De Forceps</v>
          </cell>
          <cell r="F506" t="str">
            <v>NO</v>
          </cell>
          <cell r="G506" t="str">
            <v>NO</v>
          </cell>
          <cell r="H506" t="str">
            <v>BODEGA MATERIAL ESTERIL</v>
          </cell>
          <cell r="I506">
            <v>2</v>
          </cell>
          <cell r="J506" t="str">
            <v>C.5.6.4.15</v>
          </cell>
          <cell r="K506" t="str">
            <v>Pabellones</v>
          </cell>
          <cell r="L506">
            <v>3</v>
          </cell>
          <cell r="M506">
            <v>46039</v>
          </cell>
          <cell r="N506">
            <v>46041</v>
          </cell>
          <cell r="O506">
            <v>1</v>
          </cell>
          <cell r="P506">
            <v>46042</v>
          </cell>
          <cell r="Q506">
            <v>5</v>
          </cell>
          <cell r="R506" t="str">
            <v>NA</v>
          </cell>
          <cell r="S506">
            <v>5</v>
          </cell>
        </row>
        <row r="507">
          <cell r="B507" t="str">
            <v>EMMC</v>
          </cell>
          <cell r="C507" t="str">
            <v>HSLB11291</v>
          </cell>
          <cell r="D507" t="str">
            <v>109018VV</v>
          </cell>
          <cell r="E507" t="str">
            <v>Cajas De Retiro De Ots (Osteosíntesis)</v>
          </cell>
          <cell r="F507" t="str">
            <v>NO</v>
          </cell>
          <cell r="G507" t="str">
            <v>NO</v>
          </cell>
          <cell r="H507" t="str">
            <v>BODEGA MATERIAL ESTERIL</v>
          </cell>
          <cell r="I507">
            <v>2</v>
          </cell>
          <cell r="J507" t="str">
            <v>C.5.6.4.15</v>
          </cell>
          <cell r="K507" t="str">
            <v>Pabellones</v>
          </cell>
          <cell r="L507">
            <v>3</v>
          </cell>
          <cell r="M507">
            <v>46039</v>
          </cell>
          <cell r="N507">
            <v>46041</v>
          </cell>
          <cell r="O507">
            <v>1</v>
          </cell>
          <cell r="P507">
            <v>46042</v>
          </cell>
          <cell r="Q507">
            <v>5</v>
          </cell>
          <cell r="R507" t="str">
            <v>NA</v>
          </cell>
          <cell r="S507">
            <v>5</v>
          </cell>
        </row>
        <row r="508">
          <cell r="B508" t="str">
            <v>EMMC</v>
          </cell>
          <cell r="C508" t="str">
            <v>HSLB11291</v>
          </cell>
          <cell r="D508" t="str">
            <v>109018WW</v>
          </cell>
          <cell r="E508" t="str">
            <v>Caja De Cerclaje</v>
          </cell>
          <cell r="F508" t="str">
            <v>NO</v>
          </cell>
          <cell r="G508" t="str">
            <v>NO</v>
          </cell>
          <cell r="H508" t="str">
            <v>BODEGA MATERIAL ESTERIL</v>
          </cell>
          <cell r="I508">
            <v>1</v>
          </cell>
          <cell r="J508" t="str">
            <v>C.5.6.4.15</v>
          </cell>
          <cell r="K508" t="str">
            <v>Pabellones</v>
          </cell>
          <cell r="L508">
            <v>3</v>
          </cell>
          <cell r="M508">
            <v>46039</v>
          </cell>
          <cell r="N508">
            <v>46041</v>
          </cell>
          <cell r="O508">
            <v>1</v>
          </cell>
          <cell r="P508">
            <v>46042</v>
          </cell>
          <cell r="Q508">
            <v>5</v>
          </cell>
          <cell r="R508" t="str">
            <v>NA</v>
          </cell>
          <cell r="S508">
            <v>5</v>
          </cell>
        </row>
        <row r="509">
          <cell r="B509" t="str">
            <v>EMMC</v>
          </cell>
          <cell r="C509" t="str">
            <v>HSLB11291</v>
          </cell>
          <cell r="D509" t="str">
            <v>109018XX</v>
          </cell>
          <cell r="E509" t="str">
            <v>Cajas Fractura Nasal</v>
          </cell>
          <cell r="F509" t="str">
            <v>NO</v>
          </cell>
          <cell r="G509" t="str">
            <v>NO</v>
          </cell>
          <cell r="H509" t="str">
            <v>BODEGA MATERIAL ESTERIL</v>
          </cell>
          <cell r="I509">
            <v>2</v>
          </cell>
          <cell r="J509" t="str">
            <v>C.5.6.4.15</v>
          </cell>
          <cell r="K509" t="str">
            <v>Pabellones</v>
          </cell>
          <cell r="L509">
            <v>3</v>
          </cell>
          <cell r="M509">
            <v>46039</v>
          </cell>
          <cell r="N509">
            <v>46041</v>
          </cell>
          <cell r="O509">
            <v>1</v>
          </cell>
          <cell r="P509">
            <v>46042</v>
          </cell>
          <cell r="Q509">
            <v>5</v>
          </cell>
          <cell r="R509" t="str">
            <v>NA</v>
          </cell>
          <cell r="S509">
            <v>5</v>
          </cell>
        </row>
        <row r="510">
          <cell r="B510" t="str">
            <v>EMMC</v>
          </cell>
          <cell r="C510" t="str">
            <v>HSLB11291</v>
          </cell>
          <cell r="D510" t="str">
            <v>109018YY</v>
          </cell>
          <cell r="E510" t="str">
            <v>Cajas De Legrado</v>
          </cell>
          <cell r="F510" t="str">
            <v>NO</v>
          </cell>
          <cell r="G510" t="str">
            <v>NO</v>
          </cell>
          <cell r="H510" t="str">
            <v>BODEGA MATERIAL ESTERIL</v>
          </cell>
          <cell r="I510">
            <v>3</v>
          </cell>
          <cell r="J510" t="str">
            <v>C.5.6.4.15</v>
          </cell>
          <cell r="K510" t="str">
            <v>Pabellones</v>
          </cell>
          <cell r="L510">
            <v>3</v>
          </cell>
          <cell r="M510">
            <v>46039</v>
          </cell>
          <cell r="N510">
            <v>46041</v>
          </cell>
          <cell r="O510">
            <v>1</v>
          </cell>
          <cell r="P510">
            <v>46042</v>
          </cell>
          <cell r="Q510">
            <v>5</v>
          </cell>
          <cell r="R510" t="str">
            <v>NA</v>
          </cell>
          <cell r="S510">
            <v>5</v>
          </cell>
        </row>
        <row r="511">
          <cell r="B511" t="str">
            <v>EMMC</v>
          </cell>
          <cell r="C511" t="str">
            <v>HSLB11291</v>
          </cell>
          <cell r="D511" t="str">
            <v>109018ZZ</v>
          </cell>
          <cell r="E511" t="str">
            <v>Caja Aseo Quirúrgico Quemados Tipo</v>
          </cell>
          <cell r="F511" t="str">
            <v>NO</v>
          </cell>
          <cell r="G511" t="str">
            <v>NO</v>
          </cell>
          <cell r="H511" t="str">
            <v>BODEGA MATERIAL ESTERIL</v>
          </cell>
          <cell r="I511">
            <v>3</v>
          </cell>
          <cell r="J511" t="str">
            <v>C.5.6.4.15</v>
          </cell>
          <cell r="K511" t="str">
            <v>Pabellones</v>
          </cell>
          <cell r="L511">
            <v>3</v>
          </cell>
          <cell r="M511">
            <v>46039</v>
          </cell>
          <cell r="N511">
            <v>46041</v>
          </cell>
          <cell r="O511">
            <v>1</v>
          </cell>
          <cell r="P511">
            <v>46042</v>
          </cell>
          <cell r="Q511">
            <v>5</v>
          </cell>
          <cell r="R511" t="str">
            <v>NA</v>
          </cell>
          <cell r="S511">
            <v>5</v>
          </cell>
        </row>
        <row r="512">
          <cell r="B512" t="str">
            <v>EMMC</v>
          </cell>
          <cell r="C512" t="str">
            <v>HSLB11309</v>
          </cell>
          <cell r="D512">
            <v>109021</v>
          </cell>
          <cell r="E512" t="str">
            <v>Set Instrumental Sutura</v>
          </cell>
          <cell r="F512" t="str">
            <v>NO</v>
          </cell>
          <cell r="G512" t="str">
            <v>NO</v>
          </cell>
          <cell r="H512" t="str">
            <v>ESTACIÓN DE ENFERMERÍA</v>
          </cell>
          <cell r="I512">
            <v>1</v>
          </cell>
          <cell r="J512" t="str">
            <v>C.5.6.3.18.2</v>
          </cell>
          <cell r="K512" t="str">
            <v>Pabellones</v>
          </cell>
          <cell r="L512">
            <v>3</v>
          </cell>
          <cell r="M512">
            <v>46039</v>
          </cell>
          <cell r="N512">
            <v>46041</v>
          </cell>
          <cell r="O512">
            <v>1</v>
          </cell>
          <cell r="P512">
            <v>46042</v>
          </cell>
          <cell r="Q512">
            <v>5</v>
          </cell>
          <cell r="R512" t="str">
            <v>NA</v>
          </cell>
          <cell r="S512">
            <v>5</v>
          </cell>
        </row>
        <row r="513">
          <cell r="B513" t="str">
            <v>EMMC</v>
          </cell>
          <cell r="C513" t="str">
            <v>HSLB10737</v>
          </cell>
          <cell r="D513">
            <v>106002</v>
          </cell>
          <cell r="E513" t="str">
            <v>Chatas</v>
          </cell>
          <cell r="F513" t="str">
            <v>NO</v>
          </cell>
          <cell r="G513" t="str">
            <v>NO</v>
          </cell>
          <cell r="H513" t="str">
            <v>LAVACHATA AUTOMATICO</v>
          </cell>
          <cell r="I513">
            <v>12</v>
          </cell>
          <cell r="J513" t="str">
            <v>C.3.7.23</v>
          </cell>
          <cell r="K513" t="str">
            <v>UTI</v>
          </cell>
          <cell r="L513">
            <v>3</v>
          </cell>
          <cell r="M513">
            <v>46042</v>
          </cell>
          <cell r="N513">
            <v>46043</v>
          </cell>
          <cell r="O513">
            <v>1</v>
          </cell>
          <cell r="P513">
            <v>46044</v>
          </cell>
          <cell r="Q513">
            <v>5</v>
          </cell>
          <cell r="R513" t="str">
            <v>NA</v>
          </cell>
          <cell r="S513">
            <v>5</v>
          </cell>
        </row>
        <row r="514">
          <cell r="B514" t="str">
            <v>EMMC</v>
          </cell>
          <cell r="C514" t="str">
            <v>HSLB12486</v>
          </cell>
          <cell r="D514">
            <v>112083</v>
          </cell>
          <cell r="E514" t="str">
            <v>Sillón Clínico tipo 2</v>
          </cell>
          <cell r="F514" t="str">
            <v>NO</v>
          </cell>
          <cell r="G514" t="str">
            <v>NO</v>
          </cell>
          <cell r="H514" t="str">
            <v>SALA RECUPERACION CIRUGIA MAYOR AMBULATORIA</v>
          </cell>
          <cell r="I514">
            <v>1</v>
          </cell>
          <cell r="J514" t="str">
            <v>C.5.6.3.14.1</v>
          </cell>
          <cell r="K514" t="str">
            <v>Pabellones</v>
          </cell>
          <cell r="L514">
            <v>3</v>
          </cell>
          <cell r="M514">
            <v>46039</v>
          </cell>
          <cell r="N514">
            <v>46041</v>
          </cell>
          <cell r="O514">
            <v>1</v>
          </cell>
          <cell r="P514">
            <v>46042</v>
          </cell>
          <cell r="Q514">
            <v>5</v>
          </cell>
          <cell r="R514" t="str">
            <v>NA</v>
          </cell>
          <cell r="S514">
            <v>5</v>
          </cell>
        </row>
        <row r="515">
          <cell r="B515" t="str">
            <v>EMMC</v>
          </cell>
          <cell r="C515" t="str">
            <v>HSLB12487</v>
          </cell>
          <cell r="D515">
            <v>112083</v>
          </cell>
          <cell r="E515" t="str">
            <v>Sillón Clínico tipo 2</v>
          </cell>
          <cell r="F515" t="str">
            <v>NO</v>
          </cell>
          <cell r="G515" t="str">
            <v>NO</v>
          </cell>
          <cell r="H515" t="str">
            <v>SALA RECUPERACION CIRUGIA MAYOR AMBULATORIA</v>
          </cell>
          <cell r="I515">
            <v>1</v>
          </cell>
          <cell r="J515" t="str">
            <v>C.5.6.3.14.2</v>
          </cell>
          <cell r="K515" t="str">
            <v>Pabellones</v>
          </cell>
          <cell r="L515">
            <v>3</v>
          </cell>
          <cell r="M515">
            <v>46039</v>
          </cell>
          <cell r="N515">
            <v>46041</v>
          </cell>
          <cell r="O515">
            <v>1</v>
          </cell>
          <cell r="P515">
            <v>46042</v>
          </cell>
          <cell r="Q515">
            <v>5</v>
          </cell>
          <cell r="R515" t="str">
            <v>NA</v>
          </cell>
          <cell r="S515">
            <v>5</v>
          </cell>
        </row>
        <row r="516">
          <cell r="B516" t="str">
            <v>EMMC</v>
          </cell>
          <cell r="C516" t="str">
            <v>HSLB12488</v>
          </cell>
          <cell r="D516">
            <v>112083</v>
          </cell>
          <cell r="E516" t="str">
            <v>Sillón Clínico tipo 2</v>
          </cell>
          <cell r="F516" t="str">
            <v>NO</v>
          </cell>
          <cell r="G516" t="str">
            <v>NO</v>
          </cell>
          <cell r="H516" t="str">
            <v>SALA RECUPERACION CIRUGIA MAYOR AMBULATORIA</v>
          </cell>
          <cell r="I516">
            <v>1</v>
          </cell>
          <cell r="J516" t="str">
            <v>C.5.6.3.14.3</v>
          </cell>
          <cell r="K516" t="str">
            <v>Pabellones</v>
          </cell>
          <cell r="L516">
            <v>3</v>
          </cell>
          <cell r="M516">
            <v>46039</v>
          </cell>
          <cell r="N516">
            <v>46041</v>
          </cell>
          <cell r="O516">
            <v>1</v>
          </cell>
          <cell r="P516">
            <v>46042</v>
          </cell>
          <cell r="Q516">
            <v>5</v>
          </cell>
          <cell r="R516" t="str">
            <v>NA</v>
          </cell>
          <cell r="S516">
            <v>5</v>
          </cell>
        </row>
        <row r="517">
          <cell r="B517" t="str">
            <v>EMMC</v>
          </cell>
          <cell r="C517" t="str">
            <v>HSLB11127</v>
          </cell>
          <cell r="D517">
            <v>106023</v>
          </cell>
          <cell r="E517" t="str">
            <v>Urinarios</v>
          </cell>
          <cell r="F517" t="str">
            <v>NO</v>
          </cell>
          <cell r="G517" t="str">
            <v>NO</v>
          </cell>
          <cell r="H517" t="str">
            <v>LAVACHATA AUTOMATICO</v>
          </cell>
          <cell r="I517">
            <v>12</v>
          </cell>
          <cell r="J517" t="str">
            <v>C.3.7.23</v>
          </cell>
          <cell r="K517" t="str">
            <v>UTI</v>
          </cell>
          <cell r="L517">
            <v>3</v>
          </cell>
          <cell r="M517">
            <v>46042</v>
          </cell>
          <cell r="N517">
            <v>46043</v>
          </cell>
          <cell r="O517">
            <v>1</v>
          </cell>
          <cell r="P517">
            <v>46044</v>
          </cell>
          <cell r="Q517">
            <v>5</v>
          </cell>
          <cell r="R517" t="str">
            <v>NA</v>
          </cell>
          <cell r="S517">
            <v>5</v>
          </cell>
        </row>
        <row r="518">
          <cell r="B518" t="str">
            <v>EMMC</v>
          </cell>
          <cell r="C518" t="str">
            <v>HSLB10740</v>
          </cell>
          <cell r="D518">
            <v>106002</v>
          </cell>
          <cell r="E518" t="str">
            <v>Chatas</v>
          </cell>
          <cell r="F518" t="str">
            <v>NO</v>
          </cell>
          <cell r="G518" t="str">
            <v>NO</v>
          </cell>
          <cell r="H518" t="str">
            <v>LAVACHATA AUTOMATICO</v>
          </cell>
          <cell r="I518">
            <v>10</v>
          </cell>
          <cell r="J518" t="str">
            <v>C.5.6.3.22</v>
          </cell>
          <cell r="K518" t="str">
            <v>Pabellones</v>
          </cell>
          <cell r="L518">
            <v>3</v>
          </cell>
          <cell r="M518">
            <v>46039</v>
          </cell>
          <cell r="N518">
            <v>46041</v>
          </cell>
          <cell r="O518">
            <v>1</v>
          </cell>
          <cell r="P518">
            <v>46042</v>
          </cell>
          <cell r="Q518">
            <v>5</v>
          </cell>
          <cell r="R518" t="str">
            <v>NA</v>
          </cell>
          <cell r="S518">
            <v>5</v>
          </cell>
        </row>
        <row r="519">
          <cell r="B519" t="str">
            <v>EMMC</v>
          </cell>
          <cell r="C519" t="str">
            <v>HSLB11130</v>
          </cell>
          <cell r="D519">
            <v>106023</v>
          </cell>
          <cell r="E519" t="str">
            <v>Urinarios</v>
          </cell>
          <cell r="F519" t="str">
            <v>NO</v>
          </cell>
          <cell r="G519" t="str">
            <v>NO</v>
          </cell>
          <cell r="H519" t="str">
            <v>LAVACHATA AUTOMATICO</v>
          </cell>
          <cell r="I519">
            <v>10</v>
          </cell>
          <cell r="J519" t="str">
            <v>C.5.6.3.22</v>
          </cell>
          <cell r="K519" t="str">
            <v>Pabellones</v>
          </cell>
          <cell r="L519">
            <v>3</v>
          </cell>
          <cell r="M519">
            <v>46039</v>
          </cell>
          <cell r="N519">
            <v>46041</v>
          </cell>
          <cell r="O519">
            <v>1</v>
          </cell>
          <cell r="P519">
            <v>46042</v>
          </cell>
          <cell r="Q519">
            <v>5</v>
          </cell>
          <cell r="R519" t="str">
            <v>NA</v>
          </cell>
          <cell r="S519">
            <v>5</v>
          </cell>
        </row>
        <row r="520">
          <cell r="B520" t="str">
            <v>EMMC</v>
          </cell>
          <cell r="C520" t="str">
            <v>HSLB10645</v>
          </cell>
          <cell r="D520">
            <v>105004</v>
          </cell>
          <cell r="E520" t="str">
            <v>Calentador de Paciente</v>
          </cell>
          <cell r="F520" t="str">
            <v>NO</v>
          </cell>
          <cell r="G520" t="str">
            <v>NO</v>
          </cell>
          <cell r="H520" t="str">
            <v>SALA RECUPERACION ELECTIVA</v>
          </cell>
          <cell r="I520">
            <v>6</v>
          </cell>
          <cell r="J520" t="str">
            <v>C.5.6.3.13</v>
          </cell>
          <cell r="K520" t="str">
            <v>Pabellones</v>
          </cell>
          <cell r="L520">
            <v>3</v>
          </cell>
          <cell r="M520">
            <v>46039</v>
          </cell>
          <cell r="N520">
            <v>46041</v>
          </cell>
          <cell r="O520">
            <v>1</v>
          </cell>
          <cell r="P520">
            <v>46042</v>
          </cell>
          <cell r="Q520">
            <v>5</v>
          </cell>
          <cell r="R520" t="str">
            <v>NA</v>
          </cell>
          <cell r="S520">
            <v>5</v>
          </cell>
        </row>
        <row r="521">
          <cell r="B521" t="str">
            <v>EMMC</v>
          </cell>
          <cell r="C521" t="str">
            <v>HSLB10736</v>
          </cell>
          <cell r="D521">
            <v>106002</v>
          </cell>
          <cell r="E521" t="str">
            <v>Chatas</v>
          </cell>
          <cell r="F521" t="str">
            <v>NO</v>
          </cell>
          <cell r="G521" t="str">
            <v>NO</v>
          </cell>
          <cell r="H521" t="str">
            <v>LAVACHATA AUTOMATICO</v>
          </cell>
          <cell r="I521">
            <v>6</v>
          </cell>
          <cell r="J521" t="str">
            <v>C.3.6.3.16</v>
          </cell>
          <cell r="K521" t="str">
            <v>Parto integral</v>
          </cell>
          <cell r="L521">
            <v>3</v>
          </cell>
          <cell r="M521">
            <v>46042</v>
          </cell>
          <cell r="N521">
            <v>46043</v>
          </cell>
          <cell r="O521">
            <v>1</v>
          </cell>
          <cell r="P521">
            <v>46044</v>
          </cell>
          <cell r="Q521">
            <v>5</v>
          </cell>
          <cell r="R521" t="str">
            <v>NA</v>
          </cell>
          <cell r="S521">
            <v>5</v>
          </cell>
        </row>
        <row r="522">
          <cell r="B522" t="str">
            <v>EMMC</v>
          </cell>
          <cell r="C522" t="str">
            <v>HSLB12593</v>
          </cell>
          <cell r="D522">
            <v>112089</v>
          </cell>
          <cell r="E522" t="str">
            <v>Soporte Universal</v>
          </cell>
          <cell r="F522" t="str">
            <v>NO</v>
          </cell>
          <cell r="G522" t="str">
            <v>NO</v>
          </cell>
          <cell r="H522" t="str">
            <v>SALA RECUPERACION ELECTIVA</v>
          </cell>
          <cell r="I522">
            <v>6</v>
          </cell>
          <cell r="J522" t="str">
            <v>C.5.6.3.13</v>
          </cell>
          <cell r="K522" t="str">
            <v>Pabellones</v>
          </cell>
          <cell r="L522">
            <v>3</v>
          </cell>
          <cell r="M522">
            <v>46039</v>
          </cell>
          <cell r="N522">
            <v>46041</v>
          </cell>
          <cell r="O522">
            <v>1</v>
          </cell>
          <cell r="P522">
            <v>46042</v>
          </cell>
          <cell r="Q522">
            <v>5</v>
          </cell>
          <cell r="R522" t="str">
            <v>NA</v>
          </cell>
          <cell r="S522">
            <v>5</v>
          </cell>
        </row>
        <row r="523">
          <cell r="B523" t="str">
            <v>EMMC</v>
          </cell>
          <cell r="C523" t="str">
            <v>HSLB10302</v>
          </cell>
          <cell r="D523">
            <v>103011</v>
          </cell>
          <cell r="E523" t="str">
            <v>Cámara Fotográfica Digital</v>
          </cell>
          <cell r="F523" t="str">
            <v>NO</v>
          </cell>
          <cell r="G523" t="str">
            <v>NO</v>
          </cell>
          <cell r="H523" t="str">
            <v>TALLER DE MANTENIMIENTO EQUIP. MÉDICOS</v>
          </cell>
          <cell r="I523">
            <v>5</v>
          </cell>
          <cell r="J523" t="str">
            <v>D.2.3.4</v>
          </cell>
          <cell r="K523" t="str">
            <v>Mantenimiento</v>
          </cell>
          <cell r="L523">
            <v>3</v>
          </cell>
          <cell r="M523">
            <v>46042</v>
          </cell>
          <cell r="N523">
            <v>46043</v>
          </cell>
          <cell r="O523">
            <v>1</v>
          </cell>
          <cell r="P523">
            <v>46044</v>
          </cell>
          <cell r="Q523">
            <v>5</v>
          </cell>
          <cell r="R523" t="str">
            <v>NA</v>
          </cell>
          <cell r="S523">
            <v>5</v>
          </cell>
        </row>
        <row r="524">
          <cell r="B524" t="str">
            <v>EMMC</v>
          </cell>
          <cell r="C524" t="str">
            <v>HSLB12467</v>
          </cell>
          <cell r="D524">
            <v>112077</v>
          </cell>
          <cell r="E524" t="str">
            <v>Silla de Ruedas</v>
          </cell>
          <cell r="F524" t="str">
            <v>NO</v>
          </cell>
          <cell r="G524" t="str">
            <v>NO</v>
          </cell>
          <cell r="H524" t="str">
            <v>ESTACIONAMIENTO SILLAS DE RUEDAS</v>
          </cell>
          <cell r="I524">
            <v>4</v>
          </cell>
          <cell r="J524" t="str">
            <v>C.5.6.2.6.1</v>
          </cell>
          <cell r="K524" t="str">
            <v>Pabellones</v>
          </cell>
          <cell r="L524">
            <v>3</v>
          </cell>
          <cell r="M524">
            <v>46039</v>
          </cell>
          <cell r="N524">
            <v>46041</v>
          </cell>
          <cell r="O524">
            <v>1</v>
          </cell>
          <cell r="P524">
            <v>46042</v>
          </cell>
          <cell r="Q524">
            <v>5</v>
          </cell>
          <cell r="R524" t="str">
            <v>NA</v>
          </cell>
          <cell r="S524">
            <v>5</v>
          </cell>
        </row>
        <row r="525">
          <cell r="B525" t="str">
            <v>EMMC</v>
          </cell>
          <cell r="C525" t="str">
            <v>HSLB10640</v>
          </cell>
          <cell r="D525">
            <v>105004</v>
          </cell>
          <cell r="E525" t="str">
            <v>Calentador de Paciente</v>
          </cell>
          <cell r="F525" t="str">
            <v>NO</v>
          </cell>
          <cell r="G525" t="str">
            <v>SI</v>
          </cell>
          <cell r="H525" t="str">
            <v>BODEGA DE EQUIPOS</v>
          </cell>
          <cell r="I525">
            <v>3</v>
          </cell>
          <cell r="J525" t="str">
            <v>C.3.7.20</v>
          </cell>
          <cell r="K525" t="str">
            <v>UTI</v>
          </cell>
          <cell r="L525">
            <v>3</v>
          </cell>
          <cell r="M525">
            <v>46003</v>
          </cell>
          <cell r="N525">
            <v>46006</v>
          </cell>
          <cell r="O525">
            <v>1</v>
          </cell>
          <cell r="P525">
            <v>46007</v>
          </cell>
          <cell r="Q525">
            <v>5</v>
          </cell>
          <cell r="R525" t="str">
            <v>NA</v>
          </cell>
          <cell r="S525">
            <v>5</v>
          </cell>
        </row>
        <row r="526">
          <cell r="B526" t="str">
            <v>EMMC</v>
          </cell>
          <cell r="C526" t="str">
            <v>HSLB11142</v>
          </cell>
          <cell r="D526">
            <v>107011</v>
          </cell>
          <cell r="E526" t="str">
            <v>Lupa Iluminada Esterilización</v>
          </cell>
          <cell r="F526" t="str">
            <v>NO</v>
          </cell>
          <cell r="G526" t="str">
            <v>NO</v>
          </cell>
          <cell r="H526" t="str">
            <v>PREPARACIÓN Y EMPAQUE INSTRUMENTAL</v>
          </cell>
          <cell r="I526">
            <v>3</v>
          </cell>
          <cell r="J526" t="str">
            <v>C.5.5.23</v>
          </cell>
          <cell r="K526" t="str">
            <v>Esterilización</v>
          </cell>
          <cell r="L526">
            <v>3</v>
          </cell>
          <cell r="M526">
            <v>46042</v>
          </cell>
          <cell r="N526">
            <v>46043</v>
          </cell>
          <cell r="O526">
            <v>1</v>
          </cell>
          <cell r="P526">
            <v>46044</v>
          </cell>
          <cell r="Q526">
            <v>5</v>
          </cell>
          <cell r="R526" t="str">
            <v>NA</v>
          </cell>
          <cell r="S526">
            <v>5</v>
          </cell>
        </row>
        <row r="527">
          <cell r="B527" t="str">
            <v>EMMC</v>
          </cell>
          <cell r="C527" t="str">
            <v>HSLB10178</v>
          </cell>
          <cell r="D527">
            <v>101045</v>
          </cell>
          <cell r="E527" t="str">
            <v>Luz Frontal</v>
          </cell>
          <cell r="F527" t="str">
            <v>NO</v>
          </cell>
          <cell r="G527" t="str">
            <v>SI</v>
          </cell>
          <cell r="H527" t="str">
            <v>BODEGA DE EQUIPOS</v>
          </cell>
          <cell r="I527">
            <v>3</v>
          </cell>
          <cell r="J527" t="str">
            <v>C.5.6.4.17</v>
          </cell>
          <cell r="K527" t="str">
            <v>Pabellones</v>
          </cell>
          <cell r="L527">
            <v>3</v>
          </cell>
          <cell r="M527">
            <v>46003</v>
          </cell>
          <cell r="N527">
            <v>46006</v>
          </cell>
          <cell r="O527">
            <v>1</v>
          </cell>
          <cell r="P527">
            <v>46007</v>
          </cell>
          <cell r="Q527">
            <v>5</v>
          </cell>
          <cell r="R527" t="str">
            <v>NA</v>
          </cell>
          <cell r="S527">
            <v>5</v>
          </cell>
        </row>
        <row r="528">
          <cell r="B528" t="str">
            <v>EMMC</v>
          </cell>
          <cell r="C528" t="str">
            <v>HSLB12413</v>
          </cell>
          <cell r="D528">
            <v>112068</v>
          </cell>
          <cell r="E528" t="str">
            <v>Piso Taburete Clínico</v>
          </cell>
          <cell r="F528" t="str">
            <v>NO</v>
          </cell>
          <cell r="G528" t="str">
            <v>NO</v>
          </cell>
          <cell r="H528" t="str">
            <v>PABELLON URGENCIAS</v>
          </cell>
          <cell r="I528">
            <v>3</v>
          </cell>
          <cell r="J528" t="str">
            <v>C.5.6.4.7</v>
          </cell>
          <cell r="K528" t="str">
            <v>Pabellones</v>
          </cell>
          <cell r="L528">
            <v>3</v>
          </cell>
          <cell r="M528">
            <v>46039</v>
          </cell>
          <cell r="N528">
            <v>46041</v>
          </cell>
          <cell r="O528">
            <v>1</v>
          </cell>
          <cell r="P528">
            <v>46042</v>
          </cell>
          <cell r="Q528">
            <v>5</v>
          </cell>
          <cell r="R528" t="str">
            <v>NA</v>
          </cell>
          <cell r="S528">
            <v>5</v>
          </cell>
        </row>
        <row r="529">
          <cell r="B529" t="str">
            <v>EMMC</v>
          </cell>
          <cell r="C529" t="str">
            <v>HSLB12466</v>
          </cell>
          <cell r="D529">
            <v>112077</v>
          </cell>
          <cell r="E529" t="str">
            <v>Silla de Ruedas</v>
          </cell>
          <cell r="F529" t="str">
            <v>NO</v>
          </cell>
          <cell r="G529" t="str">
            <v>NO</v>
          </cell>
          <cell r="H529" t="str">
            <v>ESTACIONAMIENTO SILLAS DE RUEDAS</v>
          </cell>
          <cell r="I529">
            <v>3</v>
          </cell>
          <cell r="J529" t="str">
            <v>C.5.3.26</v>
          </cell>
          <cell r="K529" t="str">
            <v>Pabellones</v>
          </cell>
          <cell r="L529">
            <v>3</v>
          </cell>
          <cell r="M529">
            <v>46039</v>
          </cell>
          <cell r="N529">
            <v>46041</v>
          </cell>
          <cell r="O529">
            <v>1</v>
          </cell>
          <cell r="P529">
            <v>46042</v>
          </cell>
          <cell r="Q529">
            <v>5</v>
          </cell>
          <cell r="R529" t="str">
            <v>NA</v>
          </cell>
          <cell r="S529">
            <v>5</v>
          </cell>
        </row>
        <row r="530">
          <cell r="B530" t="str">
            <v>EMMC</v>
          </cell>
          <cell r="C530" t="str">
            <v>HSLB11657</v>
          </cell>
          <cell r="D530">
            <v>112008</v>
          </cell>
          <cell r="E530" t="str">
            <v>Camilla Examen</v>
          </cell>
          <cell r="F530" t="str">
            <v>NO</v>
          </cell>
          <cell r="G530" t="str">
            <v>NO</v>
          </cell>
          <cell r="H530" t="str">
            <v>BOX INGRESO PREPARACIÓN DE PACIENTES</v>
          </cell>
          <cell r="I530">
            <v>2</v>
          </cell>
          <cell r="J530" t="str">
            <v>C.5.6.2.1</v>
          </cell>
          <cell r="K530" t="str">
            <v>Pabellones</v>
          </cell>
          <cell r="L530">
            <v>3</v>
          </cell>
          <cell r="M530">
            <v>46039</v>
          </cell>
          <cell r="N530">
            <v>46041</v>
          </cell>
          <cell r="O530">
            <v>1</v>
          </cell>
          <cell r="P530">
            <v>46042</v>
          </cell>
          <cell r="Q530">
            <v>5</v>
          </cell>
          <cell r="R530" t="str">
            <v>NA</v>
          </cell>
          <cell r="S530">
            <v>5</v>
          </cell>
        </row>
        <row r="531">
          <cell r="B531" t="str">
            <v>EMMC</v>
          </cell>
          <cell r="C531" t="str">
            <v>HSLB12191</v>
          </cell>
          <cell r="D531">
            <v>112058</v>
          </cell>
          <cell r="E531" t="str">
            <v>Kit Protección Radiológica Pabellón</v>
          </cell>
          <cell r="F531" t="str">
            <v>NO</v>
          </cell>
          <cell r="G531" t="str">
            <v>SI</v>
          </cell>
          <cell r="H531" t="str">
            <v>BODEGA DE EQUIPOS</v>
          </cell>
          <cell r="I531">
            <v>2</v>
          </cell>
          <cell r="J531" t="str">
            <v>C.5.6.4.17</v>
          </cell>
          <cell r="K531" t="str">
            <v>Pabellones</v>
          </cell>
          <cell r="L531">
            <v>3</v>
          </cell>
          <cell r="M531">
            <v>46003</v>
          </cell>
          <cell r="N531">
            <v>46006</v>
          </cell>
          <cell r="O531">
            <v>1</v>
          </cell>
          <cell r="P531">
            <v>46007</v>
          </cell>
          <cell r="Q531">
            <v>5</v>
          </cell>
          <cell r="R531" t="str">
            <v>NA</v>
          </cell>
          <cell r="S531">
            <v>5</v>
          </cell>
        </row>
        <row r="532">
          <cell r="B532" t="str">
            <v>EMMC</v>
          </cell>
          <cell r="C532" t="str">
            <v>HSLB12192</v>
          </cell>
          <cell r="D532">
            <v>112059</v>
          </cell>
          <cell r="E532" t="str">
            <v>Mesa Arsenalera</v>
          </cell>
          <cell r="F532" t="str">
            <v>NO</v>
          </cell>
          <cell r="G532" t="str">
            <v>NO</v>
          </cell>
          <cell r="H532" t="str">
            <v>PABELLON CIRUGIA MAYOR ELECTIVA</v>
          </cell>
          <cell r="I532">
            <v>2</v>
          </cell>
          <cell r="J532" t="str">
            <v>C.5.6.4.5.1</v>
          </cell>
          <cell r="K532" t="str">
            <v>Pabellones</v>
          </cell>
          <cell r="L532">
            <v>3</v>
          </cell>
          <cell r="M532">
            <v>46039</v>
          </cell>
          <cell r="N532">
            <v>46041</v>
          </cell>
          <cell r="O532">
            <v>1</v>
          </cell>
          <cell r="P532">
            <v>46042</v>
          </cell>
          <cell r="Q532">
            <v>5</v>
          </cell>
          <cell r="R532" t="str">
            <v>NA</v>
          </cell>
          <cell r="S532">
            <v>5</v>
          </cell>
        </row>
        <row r="533">
          <cell r="B533" t="str">
            <v>EMMC</v>
          </cell>
          <cell r="C533" t="str">
            <v>HSLB12193</v>
          </cell>
          <cell r="D533">
            <v>112059</v>
          </cell>
          <cell r="E533" t="str">
            <v>Mesa Arsenalera</v>
          </cell>
          <cell r="F533" t="str">
            <v>NO</v>
          </cell>
          <cell r="G533" t="str">
            <v>NO</v>
          </cell>
          <cell r="H533" t="str">
            <v>PABELLON CIRUGIA MAYOR ELECTIVA</v>
          </cell>
          <cell r="I533">
            <v>2</v>
          </cell>
          <cell r="J533" t="str">
            <v>C.5.6.4.5.2</v>
          </cell>
          <cell r="K533" t="str">
            <v>Pabellones</v>
          </cell>
          <cell r="L533">
            <v>3</v>
          </cell>
          <cell r="M533">
            <v>46039</v>
          </cell>
          <cell r="N533">
            <v>46041</v>
          </cell>
          <cell r="O533">
            <v>1</v>
          </cell>
          <cell r="P533">
            <v>46042</v>
          </cell>
          <cell r="Q533">
            <v>5</v>
          </cell>
          <cell r="R533" t="str">
            <v>NA</v>
          </cell>
          <cell r="S533">
            <v>5</v>
          </cell>
        </row>
        <row r="534">
          <cell r="B534" t="str">
            <v>EMMC</v>
          </cell>
          <cell r="C534" t="str">
            <v>HSLB12194</v>
          </cell>
          <cell r="D534">
            <v>112059</v>
          </cell>
          <cell r="E534" t="str">
            <v>Mesa Arsenalera</v>
          </cell>
          <cell r="F534" t="str">
            <v>NO</v>
          </cell>
          <cell r="G534" t="str">
            <v>NO</v>
          </cell>
          <cell r="H534" t="str">
            <v>PABELLON CIRUGIA MAYOR ELECTIVA</v>
          </cell>
          <cell r="I534">
            <v>2</v>
          </cell>
          <cell r="J534" t="str">
            <v>C.5.6.4.5.3</v>
          </cell>
          <cell r="K534" t="str">
            <v>Pabellones</v>
          </cell>
          <cell r="L534">
            <v>3</v>
          </cell>
          <cell r="M534">
            <v>46039</v>
          </cell>
          <cell r="N534">
            <v>46041</v>
          </cell>
          <cell r="O534">
            <v>1</v>
          </cell>
          <cell r="P534">
            <v>46042</v>
          </cell>
          <cell r="Q534">
            <v>5</v>
          </cell>
          <cell r="R534" t="str">
            <v>NA</v>
          </cell>
          <cell r="S534">
            <v>5</v>
          </cell>
        </row>
        <row r="535">
          <cell r="B535" t="str">
            <v>EMMC</v>
          </cell>
          <cell r="C535" t="str">
            <v>HSLB12386</v>
          </cell>
          <cell r="D535">
            <v>112068</v>
          </cell>
          <cell r="E535" t="str">
            <v>Piso Taburete Clínico</v>
          </cell>
          <cell r="F535" t="str">
            <v>NO</v>
          </cell>
          <cell r="G535" t="str">
            <v>SI</v>
          </cell>
          <cell r="H535" t="str">
            <v>SALA MULTIUSO</v>
          </cell>
          <cell r="I535">
            <v>2</v>
          </cell>
          <cell r="J535" t="str">
            <v>C.3.6.3.5</v>
          </cell>
          <cell r="K535" t="str">
            <v>Parto integral</v>
          </cell>
          <cell r="L535">
            <v>3</v>
          </cell>
          <cell r="M535">
            <v>46003</v>
          </cell>
          <cell r="N535">
            <v>46006</v>
          </cell>
          <cell r="O535">
            <v>1</v>
          </cell>
          <cell r="P535">
            <v>46007</v>
          </cell>
          <cell r="Q535">
            <v>5</v>
          </cell>
          <cell r="R535" t="str">
            <v>NA</v>
          </cell>
          <cell r="S535">
            <v>5</v>
          </cell>
        </row>
        <row r="536">
          <cell r="B536" t="str">
            <v>EMMC</v>
          </cell>
          <cell r="C536" t="str">
            <v>HSLB12427</v>
          </cell>
          <cell r="D536">
            <v>112069</v>
          </cell>
          <cell r="E536" t="str">
            <v>Piso Taburete Clínico con Respaldo</v>
          </cell>
          <cell r="F536" t="str">
            <v>NO</v>
          </cell>
          <cell r="G536" t="str">
            <v>NO</v>
          </cell>
          <cell r="H536" t="str">
            <v>PREPARACIÓN Y EMPAQUE INSTRUMENTAL</v>
          </cell>
          <cell r="I536">
            <v>2</v>
          </cell>
          <cell r="J536" t="str">
            <v>C.5.5.23</v>
          </cell>
          <cell r="K536" t="str">
            <v>Esterilización</v>
          </cell>
          <cell r="L536">
            <v>3</v>
          </cell>
          <cell r="M536">
            <v>46042</v>
          </cell>
          <cell r="N536">
            <v>46043</v>
          </cell>
          <cell r="O536">
            <v>1</v>
          </cell>
          <cell r="P536">
            <v>46044</v>
          </cell>
          <cell r="Q536">
            <v>5</v>
          </cell>
          <cell r="R536" t="str">
            <v>NA</v>
          </cell>
          <cell r="S536">
            <v>5</v>
          </cell>
        </row>
        <row r="537">
          <cell r="B537" t="str">
            <v>EMMC</v>
          </cell>
          <cell r="C537" t="str">
            <v>HSLB12429</v>
          </cell>
          <cell r="D537">
            <v>112069</v>
          </cell>
          <cell r="E537" t="str">
            <v>Piso Taburete Clínico con Respaldo</v>
          </cell>
          <cell r="F537" t="str">
            <v>NO</v>
          </cell>
          <cell r="G537" t="str">
            <v>NO</v>
          </cell>
          <cell r="H537" t="str">
            <v>PABELLON CIRUGIA MAYOR ELECTIVA</v>
          </cell>
          <cell r="I537">
            <v>2</v>
          </cell>
          <cell r="J537" t="str">
            <v>C.5.6.4.5.1</v>
          </cell>
          <cell r="K537" t="str">
            <v>Pabellones</v>
          </cell>
          <cell r="L537">
            <v>3</v>
          </cell>
          <cell r="M537">
            <v>46039</v>
          </cell>
          <cell r="N537">
            <v>46041</v>
          </cell>
          <cell r="O537">
            <v>1</v>
          </cell>
          <cell r="P537">
            <v>46042</v>
          </cell>
          <cell r="Q537">
            <v>5</v>
          </cell>
          <cell r="R537" t="str">
            <v>NA</v>
          </cell>
          <cell r="S537">
            <v>5</v>
          </cell>
        </row>
        <row r="538">
          <cell r="B538" t="str">
            <v>EMMC</v>
          </cell>
          <cell r="C538" t="str">
            <v>HSLB12430</v>
          </cell>
          <cell r="D538">
            <v>112069</v>
          </cell>
          <cell r="E538" t="str">
            <v>Piso Taburete Clínico con Respaldo</v>
          </cell>
          <cell r="F538" t="str">
            <v>NO</v>
          </cell>
          <cell r="G538" t="str">
            <v>NO</v>
          </cell>
          <cell r="H538" t="str">
            <v>PABELLON CIRUGIA MAYOR ELECTIVA</v>
          </cell>
          <cell r="I538">
            <v>2</v>
          </cell>
          <cell r="J538" t="str">
            <v>C.5.6.4.5.2</v>
          </cell>
          <cell r="K538" t="str">
            <v>Pabellones</v>
          </cell>
          <cell r="L538">
            <v>3</v>
          </cell>
          <cell r="M538">
            <v>46039</v>
          </cell>
          <cell r="N538">
            <v>46041</v>
          </cell>
          <cell r="O538">
            <v>1</v>
          </cell>
          <cell r="P538">
            <v>46042</v>
          </cell>
          <cell r="Q538">
            <v>5</v>
          </cell>
          <cell r="R538" t="str">
            <v>NA</v>
          </cell>
          <cell r="S538">
            <v>5</v>
          </cell>
        </row>
        <row r="539">
          <cell r="B539" t="str">
            <v>EMMC</v>
          </cell>
          <cell r="C539" t="str">
            <v>HSLB12431</v>
          </cell>
          <cell r="D539">
            <v>112069</v>
          </cell>
          <cell r="E539" t="str">
            <v>Piso Taburete Clínico con Respaldo</v>
          </cell>
          <cell r="F539" t="str">
            <v>NO</v>
          </cell>
          <cell r="G539" t="str">
            <v>NO</v>
          </cell>
          <cell r="H539" t="str">
            <v>PABELLON CIRUGIA MAYOR ELECTIVA</v>
          </cell>
          <cell r="I539">
            <v>2</v>
          </cell>
          <cell r="J539" t="str">
            <v>C.5.6.4.5.3</v>
          </cell>
          <cell r="K539" t="str">
            <v>Pabellones</v>
          </cell>
          <cell r="L539">
            <v>3</v>
          </cell>
          <cell r="M539">
            <v>46039</v>
          </cell>
          <cell r="N539">
            <v>46041</v>
          </cell>
          <cell r="O539">
            <v>1</v>
          </cell>
          <cell r="P539">
            <v>46042</v>
          </cell>
          <cell r="Q539">
            <v>5</v>
          </cell>
          <cell r="R539" t="str">
            <v>NA</v>
          </cell>
          <cell r="S539">
            <v>5</v>
          </cell>
        </row>
        <row r="540">
          <cell r="B540" t="str">
            <v>EMMC</v>
          </cell>
          <cell r="C540" t="str">
            <v>HSLB12432</v>
          </cell>
          <cell r="D540">
            <v>112069</v>
          </cell>
          <cell r="E540" t="str">
            <v>Piso Taburete Clínico con Respaldo</v>
          </cell>
          <cell r="F540" t="str">
            <v>NO</v>
          </cell>
          <cell r="G540" t="str">
            <v>NO</v>
          </cell>
          <cell r="H540" t="str">
            <v>PABELLON CIRUGIA MAYOR AMBULATORIA</v>
          </cell>
          <cell r="I540">
            <v>2</v>
          </cell>
          <cell r="J540" t="str">
            <v>C.5.6.4.6.1</v>
          </cell>
          <cell r="K540" t="str">
            <v>Pabellones</v>
          </cell>
          <cell r="L540">
            <v>3</v>
          </cell>
          <cell r="M540">
            <v>46039</v>
          </cell>
          <cell r="N540">
            <v>46041</v>
          </cell>
          <cell r="O540">
            <v>1</v>
          </cell>
          <cell r="P540">
            <v>46042</v>
          </cell>
          <cell r="Q540">
            <v>5</v>
          </cell>
          <cell r="R540" t="str">
            <v>NA</v>
          </cell>
          <cell r="S540">
            <v>5</v>
          </cell>
        </row>
        <row r="541">
          <cell r="B541" t="str">
            <v>EMMC</v>
          </cell>
          <cell r="C541" t="str">
            <v>HSLB12433</v>
          </cell>
          <cell r="D541">
            <v>112069</v>
          </cell>
          <cell r="E541" t="str">
            <v>Piso Taburete Clínico con Respaldo</v>
          </cell>
          <cell r="F541" t="str">
            <v>NO</v>
          </cell>
          <cell r="G541" t="str">
            <v>NO</v>
          </cell>
          <cell r="H541" t="str">
            <v>PABELLON CIRUGIA MAYOR AMBULATORIA</v>
          </cell>
          <cell r="I541">
            <v>2</v>
          </cell>
          <cell r="J541" t="str">
            <v>C.5.6.4.6.2</v>
          </cell>
          <cell r="K541" t="str">
            <v>Pabellones</v>
          </cell>
          <cell r="L541">
            <v>3</v>
          </cell>
          <cell r="M541">
            <v>46039</v>
          </cell>
          <cell r="N541">
            <v>46041</v>
          </cell>
          <cell r="O541">
            <v>1</v>
          </cell>
          <cell r="P541">
            <v>46042</v>
          </cell>
          <cell r="Q541">
            <v>5</v>
          </cell>
          <cell r="R541" t="str">
            <v>NA</v>
          </cell>
          <cell r="S541">
            <v>5</v>
          </cell>
        </row>
        <row r="542">
          <cell r="B542" t="str">
            <v>EMMC</v>
          </cell>
          <cell r="C542" t="str">
            <v>HSLB12439</v>
          </cell>
          <cell r="D542">
            <v>112071</v>
          </cell>
          <cell r="E542" t="str">
            <v>Rodillo Transferencia</v>
          </cell>
          <cell r="F542" t="str">
            <v>NO</v>
          </cell>
          <cell r="G542" t="str">
            <v>NO</v>
          </cell>
          <cell r="H542" t="str">
            <v>ESTACIÓN DE ENFERMERÍA</v>
          </cell>
          <cell r="I542">
            <v>2</v>
          </cell>
          <cell r="J542" t="str">
            <v>C.5.6.3.18.1</v>
          </cell>
          <cell r="K542" t="str">
            <v>Pabellones</v>
          </cell>
          <cell r="L542">
            <v>3</v>
          </cell>
          <cell r="M542">
            <v>46039</v>
          </cell>
          <cell r="N542">
            <v>46041</v>
          </cell>
          <cell r="O542">
            <v>1</v>
          </cell>
          <cell r="P542">
            <v>46042</v>
          </cell>
          <cell r="Q542">
            <v>5</v>
          </cell>
          <cell r="R542" t="str">
            <v>NA</v>
          </cell>
          <cell r="S542">
            <v>5</v>
          </cell>
        </row>
        <row r="543">
          <cell r="B543" t="str">
            <v>EMMC</v>
          </cell>
          <cell r="C543" t="str">
            <v>HSLB12461</v>
          </cell>
          <cell r="D543">
            <v>112077</v>
          </cell>
          <cell r="E543" t="str">
            <v>Silla de Ruedas</v>
          </cell>
          <cell r="F543" t="str">
            <v>NO</v>
          </cell>
          <cell r="G543" t="str">
            <v>NO</v>
          </cell>
          <cell r="H543" t="str">
            <v>ESTACIONAMIENTO CAMILLAS Y SILLAS DE RUEDAS</v>
          </cell>
          <cell r="I543">
            <v>2</v>
          </cell>
          <cell r="J543" t="str">
            <v>C.3.6.3.22</v>
          </cell>
          <cell r="K543" t="str">
            <v>Parto integral</v>
          </cell>
          <cell r="L543">
            <v>3</v>
          </cell>
          <cell r="M543">
            <v>46042</v>
          </cell>
          <cell r="N543">
            <v>46043</v>
          </cell>
          <cell r="O543">
            <v>1</v>
          </cell>
          <cell r="P543">
            <v>46044</v>
          </cell>
          <cell r="Q543">
            <v>5</v>
          </cell>
          <cell r="R543" t="str">
            <v>NA</v>
          </cell>
          <cell r="S543">
            <v>5</v>
          </cell>
        </row>
        <row r="544">
          <cell r="B544" t="str">
            <v>EMMC</v>
          </cell>
          <cell r="C544" t="str">
            <v>HSLB12462</v>
          </cell>
          <cell r="D544">
            <v>112077</v>
          </cell>
          <cell r="E544" t="str">
            <v>Silla de Ruedas</v>
          </cell>
          <cell r="F544" t="str">
            <v>NO</v>
          </cell>
          <cell r="G544" t="str">
            <v>NO</v>
          </cell>
          <cell r="H544" t="str">
            <v>ESTACIONAMIENTO SILLAS DE RUEDAS</v>
          </cell>
          <cell r="I544">
            <v>2</v>
          </cell>
          <cell r="J544" t="str">
            <v>C.3.7.26</v>
          </cell>
          <cell r="K544" t="str">
            <v>UTI</v>
          </cell>
          <cell r="L544">
            <v>3</v>
          </cell>
          <cell r="M544">
            <v>46042</v>
          </cell>
          <cell r="N544">
            <v>46043</v>
          </cell>
          <cell r="O544">
            <v>1</v>
          </cell>
          <cell r="P544">
            <v>46044</v>
          </cell>
          <cell r="Q544">
            <v>5</v>
          </cell>
          <cell r="R544" t="str">
            <v>NA</v>
          </cell>
          <cell r="S544">
            <v>5</v>
          </cell>
        </row>
        <row r="545">
          <cell r="B545" t="str">
            <v>EMMC</v>
          </cell>
          <cell r="C545" t="str">
            <v>HSLB12586</v>
          </cell>
          <cell r="D545">
            <v>112089</v>
          </cell>
          <cell r="E545" t="str">
            <v>Soporte Universal</v>
          </cell>
          <cell r="F545" t="str">
            <v>NO</v>
          </cell>
          <cell r="G545" t="str">
            <v>NO</v>
          </cell>
          <cell r="H545" t="str">
            <v>SALA TRANSICIÓN NEONATAL</v>
          </cell>
          <cell r="I545">
            <v>2</v>
          </cell>
          <cell r="J545" t="str">
            <v>C.3.6.3.11</v>
          </cell>
          <cell r="K545" t="str">
            <v>Parto integral</v>
          </cell>
          <cell r="L545">
            <v>3</v>
          </cell>
          <cell r="M545">
            <v>46042</v>
          </cell>
          <cell r="N545">
            <v>46043</v>
          </cell>
          <cell r="O545">
            <v>1</v>
          </cell>
          <cell r="P545">
            <v>46044</v>
          </cell>
          <cell r="Q545">
            <v>5</v>
          </cell>
          <cell r="R545" t="str">
            <v>NA</v>
          </cell>
          <cell r="S545">
            <v>5</v>
          </cell>
        </row>
        <row r="546">
          <cell r="B546" t="str">
            <v>EMMC</v>
          </cell>
          <cell r="C546" t="str">
            <v>HSLB12597</v>
          </cell>
          <cell r="D546">
            <v>112089</v>
          </cell>
          <cell r="E546" t="str">
            <v>Soporte Universal</v>
          </cell>
          <cell r="F546" t="str">
            <v>NO</v>
          </cell>
          <cell r="G546" t="str">
            <v>NO</v>
          </cell>
          <cell r="H546" t="str">
            <v>SALA RECUPERACION CIRUGIA MAYOR AMBULATORIA</v>
          </cell>
          <cell r="I546">
            <v>2</v>
          </cell>
          <cell r="J546" t="str">
            <v>C.5.6.3.14.4</v>
          </cell>
          <cell r="K546" t="str">
            <v>Pabellones</v>
          </cell>
          <cell r="L546">
            <v>3</v>
          </cell>
          <cell r="M546">
            <v>46039</v>
          </cell>
          <cell r="N546">
            <v>46041</v>
          </cell>
          <cell r="O546">
            <v>1</v>
          </cell>
          <cell r="P546">
            <v>46042</v>
          </cell>
          <cell r="Q546">
            <v>5</v>
          </cell>
          <cell r="R546" t="str">
            <v>NA</v>
          </cell>
          <cell r="S546">
            <v>5</v>
          </cell>
        </row>
        <row r="547">
          <cell r="B547" t="str">
            <v>EMMC</v>
          </cell>
          <cell r="C547" t="str">
            <v>HSLB11618</v>
          </cell>
          <cell r="D547">
            <v>112002</v>
          </cell>
          <cell r="E547" t="str">
            <v>Biombo Clínico 2 Cuerpos</v>
          </cell>
          <cell r="F547" t="str">
            <v>NO</v>
          </cell>
          <cell r="G547" t="str">
            <v>NO</v>
          </cell>
          <cell r="H547" t="str">
            <v>BOX INGRESO PREPARACIÓN DE PACIENTES</v>
          </cell>
          <cell r="I547">
            <v>1</v>
          </cell>
          <cell r="J547" t="str">
            <v>C.5.6.2.1</v>
          </cell>
          <cell r="K547" t="str">
            <v>Pabellones</v>
          </cell>
          <cell r="L547">
            <v>3</v>
          </cell>
          <cell r="M547">
            <v>46039</v>
          </cell>
          <cell r="N547">
            <v>46041</v>
          </cell>
          <cell r="O547">
            <v>1</v>
          </cell>
          <cell r="P547">
            <v>46042</v>
          </cell>
          <cell r="Q547">
            <v>5</v>
          </cell>
          <cell r="R547" t="str">
            <v>NA</v>
          </cell>
          <cell r="S547">
            <v>5</v>
          </cell>
        </row>
        <row r="548">
          <cell r="B548" t="str">
            <v>EMMC</v>
          </cell>
          <cell r="C548" t="str">
            <v>HSLB10646</v>
          </cell>
          <cell r="D548">
            <v>105004</v>
          </cell>
          <cell r="E548" t="str">
            <v>Calentador de Paciente</v>
          </cell>
          <cell r="F548" t="str">
            <v>NO</v>
          </cell>
          <cell r="G548" t="str">
            <v>NO</v>
          </cell>
          <cell r="H548" t="str">
            <v>SALA RECUPERACION URGENCIAS</v>
          </cell>
          <cell r="I548">
            <v>1</v>
          </cell>
          <cell r="J548" t="str">
            <v>C.5.6.3.15.1</v>
          </cell>
          <cell r="K548" t="str">
            <v>Pabellones</v>
          </cell>
          <cell r="L548">
            <v>3</v>
          </cell>
          <cell r="M548">
            <v>46039</v>
          </cell>
          <cell r="N548">
            <v>46041</v>
          </cell>
          <cell r="O548">
            <v>1</v>
          </cell>
          <cell r="P548">
            <v>46042</v>
          </cell>
          <cell r="Q548">
            <v>5</v>
          </cell>
          <cell r="R548" t="str">
            <v>NA</v>
          </cell>
          <cell r="S548">
            <v>5</v>
          </cell>
        </row>
        <row r="549">
          <cell r="B549" t="str">
            <v>EMMC</v>
          </cell>
          <cell r="C549" t="str">
            <v>HSLB10647</v>
          </cell>
          <cell r="D549">
            <v>105004</v>
          </cell>
          <cell r="E549" t="str">
            <v>Calentador de Paciente</v>
          </cell>
          <cell r="F549" t="str">
            <v>NO</v>
          </cell>
          <cell r="G549" t="str">
            <v>NO</v>
          </cell>
          <cell r="H549" t="str">
            <v>SALA RECUPERACION URGENCIAS</v>
          </cell>
          <cell r="I549">
            <v>1</v>
          </cell>
          <cell r="J549" t="str">
            <v>C.5.6.3.15.2</v>
          </cell>
          <cell r="K549" t="str">
            <v>Pabellones</v>
          </cell>
          <cell r="L549">
            <v>3</v>
          </cell>
          <cell r="M549">
            <v>46039</v>
          </cell>
          <cell r="N549">
            <v>46041</v>
          </cell>
          <cell r="O549">
            <v>1</v>
          </cell>
          <cell r="P549">
            <v>46042</v>
          </cell>
          <cell r="Q549">
            <v>5</v>
          </cell>
          <cell r="R549" t="str">
            <v>NA</v>
          </cell>
          <cell r="S549">
            <v>5</v>
          </cell>
        </row>
        <row r="550">
          <cell r="B550" t="str">
            <v>EMMC</v>
          </cell>
          <cell r="C550" t="str">
            <v>HSLB10648</v>
          </cell>
          <cell r="D550">
            <v>105004</v>
          </cell>
          <cell r="E550" t="str">
            <v>Calentador de Paciente</v>
          </cell>
          <cell r="F550" t="str">
            <v>NO</v>
          </cell>
          <cell r="G550" t="str">
            <v>NO</v>
          </cell>
          <cell r="H550" t="str">
            <v>PABELLON CIRUGIA MAYOR ELECTIVA</v>
          </cell>
          <cell r="I550">
            <v>1</v>
          </cell>
          <cell r="J550" t="str">
            <v>C.5.6.4.5.1</v>
          </cell>
          <cell r="K550" t="str">
            <v>Pabellones</v>
          </cell>
          <cell r="L550">
            <v>3</v>
          </cell>
          <cell r="M550">
            <v>46039</v>
          </cell>
          <cell r="N550">
            <v>46041</v>
          </cell>
          <cell r="O550">
            <v>1</v>
          </cell>
          <cell r="P550">
            <v>46042</v>
          </cell>
          <cell r="Q550">
            <v>5</v>
          </cell>
          <cell r="R550" t="str">
            <v>NA</v>
          </cell>
          <cell r="S550">
            <v>5</v>
          </cell>
        </row>
        <row r="551">
          <cell r="B551" t="str">
            <v>EMMC</v>
          </cell>
          <cell r="C551" t="str">
            <v>HSLB10649</v>
          </cell>
          <cell r="D551">
            <v>105004</v>
          </cell>
          <cell r="E551" t="str">
            <v>Calentador de Paciente</v>
          </cell>
          <cell r="F551" t="str">
            <v>NO</v>
          </cell>
          <cell r="G551" t="str">
            <v>NO</v>
          </cell>
          <cell r="H551" t="str">
            <v>PABELLON CIRUGIA MAYOR ELECTIVA</v>
          </cell>
          <cell r="I551">
            <v>1</v>
          </cell>
          <cell r="J551" t="str">
            <v>C.5.6.4.5.2</v>
          </cell>
          <cell r="K551" t="str">
            <v>Pabellones</v>
          </cell>
          <cell r="L551">
            <v>3</v>
          </cell>
          <cell r="M551">
            <v>46039</v>
          </cell>
          <cell r="N551">
            <v>46041</v>
          </cell>
          <cell r="O551">
            <v>1</v>
          </cell>
          <cell r="P551">
            <v>46042</v>
          </cell>
          <cell r="Q551">
            <v>5</v>
          </cell>
          <cell r="R551" t="str">
            <v>NA</v>
          </cell>
          <cell r="S551">
            <v>5</v>
          </cell>
        </row>
        <row r="552">
          <cell r="B552" t="str">
            <v>EMMC</v>
          </cell>
          <cell r="C552" t="str">
            <v>HSLB10650</v>
          </cell>
          <cell r="D552">
            <v>105004</v>
          </cell>
          <cell r="E552" t="str">
            <v>Calentador de Paciente</v>
          </cell>
          <cell r="F552" t="str">
            <v>NO</v>
          </cell>
          <cell r="G552" t="str">
            <v>NO</v>
          </cell>
          <cell r="H552" t="str">
            <v>PABELLON CIRUGIA MAYOR ELECTIVA</v>
          </cell>
          <cell r="I552">
            <v>1</v>
          </cell>
          <cell r="J552" t="str">
            <v>C.5.6.4.5.3</v>
          </cell>
          <cell r="K552" t="str">
            <v>Pabellones</v>
          </cell>
          <cell r="L552">
            <v>3</v>
          </cell>
          <cell r="M552">
            <v>46039</v>
          </cell>
          <cell r="N552">
            <v>46041</v>
          </cell>
          <cell r="O552">
            <v>1</v>
          </cell>
          <cell r="P552">
            <v>46042</v>
          </cell>
          <cell r="Q552">
            <v>5</v>
          </cell>
          <cell r="R552" t="str">
            <v>NA</v>
          </cell>
          <cell r="S552">
            <v>5</v>
          </cell>
        </row>
        <row r="553">
          <cell r="B553" t="str">
            <v>EMMC</v>
          </cell>
          <cell r="C553" t="str">
            <v>HSLB10651</v>
          </cell>
          <cell r="D553">
            <v>105004</v>
          </cell>
          <cell r="E553" t="str">
            <v>Calentador de Paciente</v>
          </cell>
          <cell r="F553" t="str">
            <v>NO</v>
          </cell>
          <cell r="G553" t="str">
            <v>NO</v>
          </cell>
          <cell r="H553" t="str">
            <v>PABELLON CIRUGIA MAYOR AMBULATORIA</v>
          </cell>
          <cell r="I553">
            <v>1</v>
          </cell>
          <cell r="J553" t="str">
            <v>C.5.6.4.6.1</v>
          </cell>
          <cell r="K553" t="str">
            <v>Pabellones</v>
          </cell>
          <cell r="L553">
            <v>3</v>
          </cell>
          <cell r="M553">
            <v>46039</v>
          </cell>
          <cell r="N553">
            <v>46041</v>
          </cell>
          <cell r="O553">
            <v>1</v>
          </cell>
          <cell r="P553">
            <v>46042</v>
          </cell>
          <cell r="Q553">
            <v>5</v>
          </cell>
          <cell r="R553" t="str">
            <v>NA</v>
          </cell>
          <cell r="S553">
            <v>5</v>
          </cell>
        </row>
        <row r="554">
          <cell r="B554" t="str">
            <v>EMMC</v>
          </cell>
          <cell r="C554" t="str">
            <v>HSLB10652</v>
          </cell>
          <cell r="D554">
            <v>105004</v>
          </cell>
          <cell r="E554" t="str">
            <v>Calentador de Paciente</v>
          </cell>
          <cell r="F554" t="str">
            <v>NO</v>
          </cell>
          <cell r="G554" t="str">
            <v>NO</v>
          </cell>
          <cell r="H554" t="str">
            <v>PABELLON CIRUGIA MAYOR AMBULATORIA</v>
          </cell>
          <cell r="I554">
            <v>1</v>
          </cell>
          <cell r="J554" t="str">
            <v>C.5.6.4.6.2</v>
          </cell>
          <cell r="K554" t="str">
            <v>Pabellones</v>
          </cell>
          <cell r="L554">
            <v>3</v>
          </cell>
          <cell r="M554">
            <v>46039</v>
          </cell>
          <cell r="N554">
            <v>46041</v>
          </cell>
          <cell r="O554">
            <v>1</v>
          </cell>
          <cell r="P554">
            <v>46042</v>
          </cell>
          <cell r="Q554">
            <v>5</v>
          </cell>
          <cell r="R554" t="str">
            <v>NA</v>
          </cell>
          <cell r="S554">
            <v>5</v>
          </cell>
        </row>
        <row r="555">
          <cell r="B555" t="str">
            <v>EMMC</v>
          </cell>
          <cell r="C555" t="str">
            <v>HSLB10653</v>
          </cell>
          <cell r="D555">
            <v>105004</v>
          </cell>
          <cell r="E555" t="str">
            <v>Calentador de Paciente</v>
          </cell>
          <cell r="F555" t="str">
            <v>NO</v>
          </cell>
          <cell r="G555" t="str">
            <v>NO</v>
          </cell>
          <cell r="H555" t="str">
            <v>PABELLON URGENCIAS</v>
          </cell>
          <cell r="I555">
            <v>1</v>
          </cell>
          <cell r="J555" t="str">
            <v>C.5.6.4.7</v>
          </cell>
          <cell r="K555" t="str">
            <v>Pabellones</v>
          </cell>
          <cell r="L555">
            <v>3</v>
          </cell>
          <cell r="M555">
            <v>46039</v>
          </cell>
          <cell r="N555">
            <v>46041</v>
          </cell>
          <cell r="O555">
            <v>1</v>
          </cell>
          <cell r="P555">
            <v>46042</v>
          </cell>
          <cell r="Q555">
            <v>5</v>
          </cell>
          <cell r="R555" t="str">
            <v>NA</v>
          </cell>
          <cell r="S555">
            <v>5</v>
          </cell>
        </row>
        <row r="556">
          <cell r="B556" t="str">
            <v>EMMC</v>
          </cell>
          <cell r="C556" t="str">
            <v>HSLB11658</v>
          </cell>
          <cell r="D556">
            <v>112008</v>
          </cell>
          <cell r="E556" t="str">
            <v>Camilla Examen</v>
          </cell>
          <cell r="F556" t="str">
            <v>NO</v>
          </cell>
          <cell r="G556" t="str">
            <v>NO</v>
          </cell>
          <cell r="H556" t="str">
            <v>BOX DE ATENCIÓN</v>
          </cell>
          <cell r="I556">
            <v>1</v>
          </cell>
          <cell r="J556" t="str">
            <v>D.4.4.1.3.2</v>
          </cell>
          <cell r="K556" t="str">
            <v>Consultas Ambulatorias</v>
          </cell>
          <cell r="L556">
            <v>3</v>
          </cell>
          <cell r="M556">
            <v>46042</v>
          </cell>
          <cell r="N556">
            <v>46043</v>
          </cell>
          <cell r="O556">
            <v>1</v>
          </cell>
          <cell r="P556">
            <v>46044</v>
          </cell>
          <cell r="Q556">
            <v>5</v>
          </cell>
          <cell r="R556" t="str">
            <v>NA</v>
          </cell>
          <cell r="S556">
            <v>5</v>
          </cell>
        </row>
        <row r="557">
          <cell r="B557" t="str">
            <v>EMMC</v>
          </cell>
          <cell r="C557" t="str">
            <v>HSLB11659</v>
          </cell>
          <cell r="D557">
            <v>112008</v>
          </cell>
          <cell r="E557" t="str">
            <v>Camilla Examen</v>
          </cell>
          <cell r="F557" t="str">
            <v>NO</v>
          </cell>
          <cell r="G557" t="str">
            <v>NO</v>
          </cell>
          <cell r="H557" t="str">
            <v>BOX DE ATENCIÓN</v>
          </cell>
          <cell r="I557">
            <v>1</v>
          </cell>
          <cell r="J557" t="str">
            <v>D.4.4.1.3.3</v>
          </cell>
          <cell r="K557" t="str">
            <v>Consultas Ambulatorias</v>
          </cell>
          <cell r="L557">
            <v>3</v>
          </cell>
          <cell r="M557">
            <v>46042</v>
          </cell>
          <cell r="N557">
            <v>46043</v>
          </cell>
          <cell r="O557">
            <v>1</v>
          </cell>
          <cell r="P557">
            <v>46044</v>
          </cell>
          <cell r="Q557">
            <v>5</v>
          </cell>
          <cell r="R557" t="str">
            <v>NA</v>
          </cell>
          <cell r="S557">
            <v>5</v>
          </cell>
        </row>
        <row r="558">
          <cell r="B558" t="str">
            <v>EMMC</v>
          </cell>
          <cell r="C558" t="str">
            <v>HSLB11753</v>
          </cell>
          <cell r="D558">
            <v>112017</v>
          </cell>
          <cell r="E558" t="str">
            <v>Carro Anestesia</v>
          </cell>
          <cell r="F558" t="str">
            <v>NO</v>
          </cell>
          <cell r="G558" t="str">
            <v>NO</v>
          </cell>
          <cell r="H558" t="str">
            <v>PABELLON CIRUGIA MAYOR ELECTIVA</v>
          </cell>
          <cell r="I558">
            <v>1</v>
          </cell>
          <cell r="J558" t="str">
            <v>C.5.6.4.5.1</v>
          </cell>
          <cell r="K558" t="str">
            <v>Pabellones</v>
          </cell>
          <cell r="L558">
            <v>3</v>
          </cell>
          <cell r="M558">
            <v>46039</v>
          </cell>
          <cell r="N558">
            <v>46041</v>
          </cell>
          <cell r="O558">
            <v>1</v>
          </cell>
          <cell r="P558">
            <v>46042</v>
          </cell>
          <cell r="Q558">
            <v>5</v>
          </cell>
          <cell r="R558" t="str">
            <v>NA</v>
          </cell>
          <cell r="S558">
            <v>5</v>
          </cell>
        </row>
        <row r="559">
          <cell r="B559" t="str">
            <v>EMMC</v>
          </cell>
          <cell r="C559" t="str">
            <v>HSLB11754</v>
          </cell>
          <cell r="D559">
            <v>112017</v>
          </cell>
          <cell r="E559" t="str">
            <v>Carro Anestesia</v>
          </cell>
          <cell r="F559" t="str">
            <v>NO</v>
          </cell>
          <cell r="G559" t="str">
            <v>NO</v>
          </cell>
          <cell r="H559" t="str">
            <v>PABELLON CIRUGIA MAYOR ELECTIVA</v>
          </cell>
          <cell r="I559">
            <v>1</v>
          </cell>
          <cell r="J559" t="str">
            <v>C.5.6.4.5.2</v>
          </cell>
          <cell r="K559" t="str">
            <v>Pabellones</v>
          </cell>
          <cell r="L559">
            <v>3</v>
          </cell>
          <cell r="M559">
            <v>46039</v>
          </cell>
          <cell r="N559">
            <v>46041</v>
          </cell>
          <cell r="O559">
            <v>1</v>
          </cell>
          <cell r="P559">
            <v>46042</v>
          </cell>
          <cell r="Q559">
            <v>5</v>
          </cell>
          <cell r="R559" t="str">
            <v>NA</v>
          </cell>
          <cell r="S559">
            <v>5</v>
          </cell>
        </row>
        <row r="560">
          <cell r="B560" t="str">
            <v>EMMC</v>
          </cell>
          <cell r="C560" t="str">
            <v>HSLB11755</v>
          </cell>
          <cell r="D560">
            <v>112017</v>
          </cell>
          <cell r="E560" t="str">
            <v>Carro Anestesia</v>
          </cell>
          <cell r="F560" t="str">
            <v>NO</v>
          </cell>
          <cell r="G560" t="str">
            <v>NO</v>
          </cell>
          <cell r="H560" t="str">
            <v>PABELLON CIRUGIA MAYOR ELECTIVA</v>
          </cell>
          <cell r="I560">
            <v>1</v>
          </cell>
          <cell r="J560" t="str">
            <v>C.5.6.4.5.3</v>
          </cell>
          <cell r="K560" t="str">
            <v>Pabellones</v>
          </cell>
          <cell r="L560">
            <v>3</v>
          </cell>
          <cell r="M560">
            <v>46039</v>
          </cell>
          <cell r="N560">
            <v>46041</v>
          </cell>
          <cell r="O560">
            <v>1</v>
          </cell>
          <cell r="P560">
            <v>46042</v>
          </cell>
          <cell r="Q560">
            <v>5</v>
          </cell>
          <cell r="R560" t="str">
            <v>NA</v>
          </cell>
          <cell r="S560">
            <v>5</v>
          </cell>
        </row>
        <row r="561">
          <cell r="B561" t="str">
            <v>EMMC</v>
          </cell>
          <cell r="C561" t="str">
            <v>HSLB11756</v>
          </cell>
          <cell r="D561">
            <v>112017</v>
          </cell>
          <cell r="E561" t="str">
            <v>Carro Anestesia</v>
          </cell>
          <cell r="F561" t="str">
            <v>NO</v>
          </cell>
          <cell r="G561" t="str">
            <v>NO</v>
          </cell>
          <cell r="H561" t="str">
            <v>PABELLON CIRUGIA MAYOR AMBULATORIA</v>
          </cell>
          <cell r="I561">
            <v>1</v>
          </cell>
          <cell r="J561" t="str">
            <v>C.5.6.4.6.1</v>
          </cell>
          <cell r="K561" t="str">
            <v>Pabellones</v>
          </cell>
          <cell r="L561">
            <v>3</v>
          </cell>
          <cell r="M561">
            <v>46039</v>
          </cell>
          <cell r="N561">
            <v>46041</v>
          </cell>
          <cell r="O561">
            <v>1</v>
          </cell>
          <cell r="P561">
            <v>46042</v>
          </cell>
          <cell r="Q561">
            <v>5</v>
          </cell>
          <cell r="R561" t="str">
            <v>NA</v>
          </cell>
          <cell r="S561">
            <v>5</v>
          </cell>
        </row>
        <row r="562">
          <cell r="B562" t="str">
            <v>EMMC</v>
          </cell>
          <cell r="C562" t="str">
            <v>HSLB11757</v>
          </cell>
          <cell r="D562">
            <v>112017</v>
          </cell>
          <cell r="E562" t="str">
            <v>Carro Anestesia</v>
          </cell>
          <cell r="F562" t="str">
            <v>NO</v>
          </cell>
          <cell r="G562" t="str">
            <v>NO</v>
          </cell>
          <cell r="H562" t="str">
            <v>PABELLON CIRUGIA MAYOR AMBULATORIA</v>
          </cell>
          <cell r="I562">
            <v>1</v>
          </cell>
          <cell r="J562" t="str">
            <v>C.5.6.4.6.2</v>
          </cell>
          <cell r="K562" t="str">
            <v>Pabellones</v>
          </cell>
          <cell r="L562">
            <v>3</v>
          </cell>
          <cell r="M562">
            <v>46039</v>
          </cell>
          <cell r="N562">
            <v>46041</v>
          </cell>
          <cell r="O562">
            <v>1</v>
          </cell>
          <cell r="P562">
            <v>46042</v>
          </cell>
          <cell r="Q562">
            <v>5</v>
          </cell>
          <cell r="R562" t="str">
            <v>NA</v>
          </cell>
          <cell r="S562">
            <v>5</v>
          </cell>
        </row>
        <row r="563">
          <cell r="B563" t="str">
            <v>EMMC</v>
          </cell>
          <cell r="C563" t="str">
            <v>HSLB11758</v>
          </cell>
          <cell r="D563">
            <v>112017</v>
          </cell>
          <cell r="E563" t="str">
            <v>Carro Anestesia</v>
          </cell>
          <cell r="F563" t="str">
            <v>NO</v>
          </cell>
          <cell r="G563" t="str">
            <v>NO</v>
          </cell>
          <cell r="H563" t="str">
            <v>PABELLON URGENCIAS</v>
          </cell>
          <cell r="I563">
            <v>1</v>
          </cell>
          <cell r="J563" t="str">
            <v>C.5.6.4.7</v>
          </cell>
          <cell r="K563" t="str">
            <v>Pabellones</v>
          </cell>
          <cell r="L563">
            <v>3</v>
          </cell>
          <cell r="M563">
            <v>46039</v>
          </cell>
          <cell r="N563">
            <v>46041</v>
          </cell>
          <cell r="O563">
            <v>1</v>
          </cell>
          <cell r="P563">
            <v>46042</v>
          </cell>
          <cell r="Q563">
            <v>5</v>
          </cell>
          <cell r="R563" t="str">
            <v>NA</v>
          </cell>
          <cell r="S563">
            <v>5</v>
          </cell>
        </row>
        <row r="564">
          <cell r="B564" t="str">
            <v>EMMC</v>
          </cell>
          <cell r="C564" t="str">
            <v>HSLB12036</v>
          </cell>
          <cell r="D564">
            <v>112052</v>
          </cell>
          <cell r="E564" t="str">
            <v>Cuna Recién Nacido</v>
          </cell>
          <cell r="F564" t="str">
            <v>NO</v>
          </cell>
          <cell r="G564" t="str">
            <v>NO</v>
          </cell>
          <cell r="H564" t="str">
            <v>BODEGA DE EQUIPOS</v>
          </cell>
          <cell r="I564">
            <v>1</v>
          </cell>
          <cell r="J564" t="str">
            <v>C.3.6.3.13</v>
          </cell>
          <cell r="K564" t="str">
            <v>Parto integral</v>
          </cell>
          <cell r="L564">
            <v>3</v>
          </cell>
          <cell r="M564">
            <v>46042</v>
          </cell>
          <cell r="N564">
            <v>46043</v>
          </cell>
          <cell r="O564">
            <v>1</v>
          </cell>
          <cell r="P564">
            <v>46044</v>
          </cell>
          <cell r="Q564">
            <v>5</v>
          </cell>
          <cell r="R564" t="str">
            <v>NA</v>
          </cell>
          <cell r="S564">
            <v>5</v>
          </cell>
        </row>
        <row r="565">
          <cell r="B565" t="str">
            <v>EMMC</v>
          </cell>
          <cell r="C565" t="str">
            <v>HSLB10760</v>
          </cell>
          <cell r="D565">
            <v>106003</v>
          </cell>
          <cell r="E565" t="str">
            <v>Equipo de Música</v>
          </cell>
          <cell r="F565" t="str">
            <v>NO</v>
          </cell>
          <cell r="G565" t="str">
            <v>NO</v>
          </cell>
          <cell r="H565" t="str">
            <v>SALA PARTO INTEGRAL</v>
          </cell>
          <cell r="I565">
            <v>1</v>
          </cell>
          <cell r="J565" t="str">
            <v>C.3.6.3.6.1</v>
          </cell>
          <cell r="K565" t="str">
            <v>Parto integral</v>
          </cell>
          <cell r="L565">
            <v>3</v>
          </cell>
          <cell r="M565">
            <v>46042</v>
          </cell>
          <cell r="N565">
            <v>46043</v>
          </cell>
          <cell r="O565">
            <v>1</v>
          </cell>
          <cell r="P565">
            <v>46044</v>
          </cell>
          <cell r="Q565">
            <v>5</v>
          </cell>
          <cell r="R565" t="str">
            <v>NA</v>
          </cell>
          <cell r="S565">
            <v>5</v>
          </cell>
        </row>
        <row r="566">
          <cell r="B566" t="str">
            <v>EMMC</v>
          </cell>
          <cell r="C566" t="str">
            <v>HSLB10761</v>
          </cell>
          <cell r="D566">
            <v>106003</v>
          </cell>
          <cell r="E566" t="str">
            <v>Equipo de Música</v>
          </cell>
          <cell r="F566" t="str">
            <v>NO</v>
          </cell>
          <cell r="G566" t="str">
            <v>NO</v>
          </cell>
          <cell r="H566" t="str">
            <v>SALA PARTO INTEGRAL</v>
          </cell>
          <cell r="I566">
            <v>1</v>
          </cell>
          <cell r="J566" t="str">
            <v>C.3.6.3.6.2</v>
          </cell>
          <cell r="K566" t="str">
            <v>Parto integral</v>
          </cell>
          <cell r="L566">
            <v>3</v>
          </cell>
          <cell r="M566">
            <v>46042</v>
          </cell>
          <cell r="N566">
            <v>46043</v>
          </cell>
          <cell r="O566">
            <v>1</v>
          </cell>
          <cell r="P566">
            <v>46044</v>
          </cell>
          <cell r="Q566">
            <v>5</v>
          </cell>
          <cell r="R566" t="str">
            <v>NA</v>
          </cell>
          <cell r="S566">
            <v>5</v>
          </cell>
        </row>
        <row r="567">
          <cell r="B567" t="str">
            <v>EMMC</v>
          </cell>
          <cell r="C567" t="str">
            <v>HSLB10762</v>
          </cell>
          <cell r="D567">
            <v>106003</v>
          </cell>
          <cell r="E567" t="str">
            <v>Equipo de Música</v>
          </cell>
          <cell r="F567" t="str">
            <v>NO</v>
          </cell>
          <cell r="G567" t="str">
            <v>NO</v>
          </cell>
          <cell r="H567" t="str">
            <v>SALA PARTO INTEGRAL</v>
          </cell>
          <cell r="I567">
            <v>1</v>
          </cell>
          <cell r="J567" t="str">
            <v>C.3.6.3.6.3</v>
          </cell>
          <cell r="K567" t="str">
            <v>Parto integral</v>
          </cell>
          <cell r="L567">
            <v>3</v>
          </cell>
          <cell r="M567">
            <v>46042</v>
          </cell>
          <cell r="N567">
            <v>46043</v>
          </cell>
          <cell r="O567">
            <v>1</v>
          </cell>
          <cell r="P567">
            <v>46044</v>
          </cell>
          <cell r="Q567">
            <v>5</v>
          </cell>
          <cell r="R567" t="str">
            <v>NA</v>
          </cell>
          <cell r="S567">
            <v>5</v>
          </cell>
        </row>
        <row r="568">
          <cell r="B568" t="str">
            <v>EMMC</v>
          </cell>
          <cell r="C568" t="str">
            <v>HSLB12152</v>
          </cell>
          <cell r="D568">
            <v>112054</v>
          </cell>
          <cell r="E568" t="str">
            <v>Escabel</v>
          </cell>
          <cell r="F568" t="str">
            <v>NO</v>
          </cell>
          <cell r="G568" t="str">
            <v>NO</v>
          </cell>
          <cell r="H568" t="str">
            <v>SALA PREPARACIÓN PACIENTES</v>
          </cell>
          <cell r="I568">
            <v>1</v>
          </cell>
          <cell r="J568" t="str">
            <v>C.3.6.3.11.1</v>
          </cell>
          <cell r="K568" t="str">
            <v>Parto integral</v>
          </cell>
          <cell r="L568">
            <v>3</v>
          </cell>
          <cell r="M568">
            <v>46042</v>
          </cell>
          <cell r="N568">
            <v>46043</v>
          </cell>
          <cell r="O568">
            <v>1</v>
          </cell>
          <cell r="P568">
            <v>46044</v>
          </cell>
          <cell r="Q568">
            <v>5</v>
          </cell>
          <cell r="R568" t="str">
            <v>NA</v>
          </cell>
          <cell r="S568">
            <v>5</v>
          </cell>
        </row>
        <row r="569">
          <cell r="B569" t="str">
            <v>EMMC</v>
          </cell>
          <cell r="C569" t="str">
            <v>HSLB12153</v>
          </cell>
          <cell r="D569">
            <v>112054</v>
          </cell>
          <cell r="E569" t="str">
            <v>Escabel</v>
          </cell>
          <cell r="F569" t="str">
            <v>NO</v>
          </cell>
          <cell r="G569" t="str">
            <v>NO</v>
          </cell>
          <cell r="H569" t="str">
            <v>SALA PARTO INTEGRAL</v>
          </cell>
          <cell r="I569">
            <v>1</v>
          </cell>
          <cell r="J569" t="str">
            <v>C.3.6.3.6.1</v>
          </cell>
          <cell r="K569" t="str">
            <v>Parto integral</v>
          </cell>
          <cell r="L569">
            <v>3</v>
          </cell>
          <cell r="M569">
            <v>46042</v>
          </cell>
          <cell r="N569">
            <v>46043</v>
          </cell>
          <cell r="O569">
            <v>1</v>
          </cell>
          <cell r="P569">
            <v>46044</v>
          </cell>
          <cell r="Q569">
            <v>5</v>
          </cell>
          <cell r="R569" t="str">
            <v>NA</v>
          </cell>
          <cell r="S569">
            <v>5</v>
          </cell>
        </row>
        <row r="570">
          <cell r="B570" t="str">
            <v>EMMC</v>
          </cell>
          <cell r="C570" t="str">
            <v>HSLB12154</v>
          </cell>
          <cell r="D570">
            <v>112054</v>
          </cell>
          <cell r="E570" t="str">
            <v>Escabel</v>
          </cell>
          <cell r="F570" t="str">
            <v>NO</v>
          </cell>
          <cell r="G570" t="str">
            <v>NO</v>
          </cell>
          <cell r="H570" t="str">
            <v>SALA PARTO INTEGRAL</v>
          </cell>
          <cell r="I570">
            <v>1</v>
          </cell>
          <cell r="J570" t="str">
            <v>C.3.6.3.6.2</v>
          </cell>
          <cell r="K570" t="str">
            <v>Parto integral</v>
          </cell>
          <cell r="L570">
            <v>3</v>
          </cell>
          <cell r="M570">
            <v>46042</v>
          </cell>
          <cell r="N570">
            <v>46043</v>
          </cell>
          <cell r="O570">
            <v>1</v>
          </cell>
          <cell r="P570">
            <v>46044</v>
          </cell>
          <cell r="Q570">
            <v>5</v>
          </cell>
          <cell r="R570" t="str">
            <v>NA</v>
          </cell>
          <cell r="S570">
            <v>5</v>
          </cell>
        </row>
        <row r="571">
          <cell r="B571" t="str">
            <v>EMMC</v>
          </cell>
          <cell r="C571" t="str">
            <v>HSLB12155</v>
          </cell>
          <cell r="D571">
            <v>112054</v>
          </cell>
          <cell r="E571" t="str">
            <v>Escabel</v>
          </cell>
          <cell r="F571" t="str">
            <v>NO</v>
          </cell>
          <cell r="G571" t="str">
            <v>NO</v>
          </cell>
          <cell r="H571" t="str">
            <v>SALA PARTO INTEGRAL</v>
          </cell>
          <cell r="I571">
            <v>1</v>
          </cell>
          <cell r="J571" t="str">
            <v>C.3.6.3.6.3</v>
          </cell>
          <cell r="K571" t="str">
            <v>Parto integral</v>
          </cell>
          <cell r="L571">
            <v>3</v>
          </cell>
          <cell r="M571">
            <v>46042</v>
          </cell>
          <cell r="N571">
            <v>46043</v>
          </cell>
          <cell r="O571">
            <v>1</v>
          </cell>
          <cell r="P571">
            <v>46044</v>
          </cell>
          <cell r="Q571">
            <v>5</v>
          </cell>
          <cell r="R571" t="str">
            <v>NA</v>
          </cell>
          <cell r="S571">
            <v>5</v>
          </cell>
        </row>
        <row r="572">
          <cell r="B572" t="str">
            <v>EMMC</v>
          </cell>
          <cell r="C572" t="str">
            <v>HSLB12156</v>
          </cell>
          <cell r="D572">
            <v>112054</v>
          </cell>
          <cell r="E572" t="str">
            <v>Escabel</v>
          </cell>
          <cell r="F572" t="str">
            <v>NO</v>
          </cell>
          <cell r="G572" t="str">
            <v>NO</v>
          </cell>
          <cell r="H572" t="str">
            <v>SALA DE PROCEDIMIENTOS</v>
          </cell>
          <cell r="I572">
            <v>1</v>
          </cell>
          <cell r="J572" t="str">
            <v>C.3.7.18</v>
          </cell>
          <cell r="K572" t="str">
            <v>UTI</v>
          </cell>
          <cell r="L572">
            <v>3</v>
          </cell>
          <cell r="M572">
            <v>46042</v>
          </cell>
          <cell r="N572">
            <v>46043</v>
          </cell>
          <cell r="O572">
            <v>1</v>
          </cell>
          <cell r="P572">
            <v>46044</v>
          </cell>
          <cell r="Q572">
            <v>5</v>
          </cell>
          <cell r="R572" t="str">
            <v>NA</v>
          </cell>
          <cell r="S572">
            <v>5</v>
          </cell>
        </row>
        <row r="573">
          <cell r="B573" t="str">
            <v>EMMC</v>
          </cell>
          <cell r="C573" t="str">
            <v>HSLB12175</v>
          </cell>
          <cell r="D573">
            <v>112054</v>
          </cell>
          <cell r="E573" t="str">
            <v>Escabel</v>
          </cell>
          <cell r="F573" t="str">
            <v>NO</v>
          </cell>
          <cell r="G573" t="str">
            <v>NO</v>
          </cell>
          <cell r="H573" t="str">
            <v>BOX INGRESO PREPARACIÓN DE PACIENTES</v>
          </cell>
          <cell r="I573">
            <v>1</v>
          </cell>
          <cell r="J573" t="str">
            <v>C.5.6.2.1</v>
          </cell>
          <cell r="K573" t="str">
            <v>Pabellones</v>
          </cell>
          <cell r="L573">
            <v>3</v>
          </cell>
          <cell r="M573">
            <v>46039</v>
          </cell>
          <cell r="N573">
            <v>46041</v>
          </cell>
          <cell r="O573">
            <v>1</v>
          </cell>
          <cell r="P573">
            <v>46042</v>
          </cell>
          <cell r="Q573">
            <v>5</v>
          </cell>
          <cell r="R573" t="str">
            <v>NA</v>
          </cell>
          <cell r="S573">
            <v>5</v>
          </cell>
        </row>
        <row r="574">
          <cell r="B574" t="str">
            <v>EMMC</v>
          </cell>
          <cell r="C574" t="str">
            <v>HSLB12179</v>
          </cell>
          <cell r="D574">
            <v>112054</v>
          </cell>
          <cell r="E574" t="str">
            <v>Escabel</v>
          </cell>
          <cell r="F574" t="str">
            <v>NO</v>
          </cell>
          <cell r="G574" t="str">
            <v>SI</v>
          </cell>
          <cell r="H574" t="str">
            <v>BOX DE ATENCIÓN</v>
          </cell>
          <cell r="I574">
            <v>1</v>
          </cell>
          <cell r="J574" t="str">
            <v>D.4.4.1.3.1</v>
          </cell>
          <cell r="K574" t="str">
            <v>Consultas Ambulatorias</v>
          </cell>
          <cell r="L574">
            <v>3</v>
          </cell>
          <cell r="M574">
            <v>46003</v>
          </cell>
          <cell r="N574">
            <v>46006</v>
          </cell>
          <cell r="O574">
            <v>1</v>
          </cell>
          <cell r="P574">
            <v>46007</v>
          </cell>
          <cell r="Q574">
            <v>5</v>
          </cell>
          <cell r="R574" t="str">
            <v>NA</v>
          </cell>
          <cell r="S574">
            <v>5</v>
          </cell>
        </row>
        <row r="575">
          <cell r="B575" t="str">
            <v>EMMC</v>
          </cell>
          <cell r="C575" t="str">
            <v>HSLB12180</v>
          </cell>
          <cell r="D575">
            <v>112054</v>
          </cell>
          <cell r="E575" t="str">
            <v>Escabel</v>
          </cell>
          <cell r="F575" t="str">
            <v>NO</v>
          </cell>
          <cell r="G575" t="str">
            <v>NO</v>
          </cell>
          <cell r="H575" t="str">
            <v>BOX DE ATENCIÓN</v>
          </cell>
          <cell r="I575">
            <v>1</v>
          </cell>
          <cell r="J575" t="str">
            <v>D.4.4.1.3.2</v>
          </cell>
          <cell r="K575" t="str">
            <v>Consultas Ambulatorias</v>
          </cell>
          <cell r="L575">
            <v>3</v>
          </cell>
          <cell r="M575">
            <v>46042</v>
          </cell>
          <cell r="N575">
            <v>46043</v>
          </cell>
          <cell r="O575">
            <v>1</v>
          </cell>
          <cell r="P575">
            <v>46044</v>
          </cell>
          <cell r="Q575">
            <v>5</v>
          </cell>
          <cell r="R575" t="str">
            <v>NA</v>
          </cell>
          <cell r="S575">
            <v>5</v>
          </cell>
        </row>
        <row r="576">
          <cell r="B576" t="str">
            <v>EMMC</v>
          </cell>
          <cell r="C576" t="str">
            <v>HSLB12181</v>
          </cell>
          <cell r="D576">
            <v>112054</v>
          </cell>
          <cell r="E576" t="str">
            <v>Escabel</v>
          </cell>
          <cell r="F576" t="str">
            <v>NO</v>
          </cell>
          <cell r="G576" t="str">
            <v>NO</v>
          </cell>
          <cell r="H576" t="str">
            <v>BOX DE ATENCIÓN</v>
          </cell>
          <cell r="I576">
            <v>1</v>
          </cell>
          <cell r="J576" t="str">
            <v>D.4.4.1.3.3</v>
          </cell>
          <cell r="K576" t="str">
            <v>Consultas Ambulatorias</v>
          </cell>
          <cell r="L576">
            <v>3</v>
          </cell>
          <cell r="M576">
            <v>46042</v>
          </cell>
          <cell r="N576">
            <v>46043</v>
          </cell>
          <cell r="O576">
            <v>1</v>
          </cell>
          <cell r="P576">
            <v>46044</v>
          </cell>
          <cell r="Q576">
            <v>5</v>
          </cell>
          <cell r="R576" t="str">
            <v>NA</v>
          </cell>
          <cell r="S576">
            <v>5</v>
          </cell>
        </row>
        <row r="577">
          <cell r="B577" t="str">
            <v>EMMC</v>
          </cell>
          <cell r="C577" t="str">
            <v>HSLB10775</v>
          </cell>
          <cell r="D577">
            <v>106007</v>
          </cell>
          <cell r="E577" t="str">
            <v>Hervidor Eléctrico</v>
          </cell>
          <cell r="F577" t="str">
            <v>NO</v>
          </cell>
          <cell r="G577" t="str">
            <v>NO</v>
          </cell>
          <cell r="H577" t="str">
            <v>KITCHENETTE</v>
          </cell>
          <cell r="I577">
            <v>1</v>
          </cell>
          <cell r="J577" t="str">
            <v>B.5.2</v>
          </cell>
          <cell r="K577" t="str">
            <v>Capacitación</v>
          </cell>
          <cell r="L577">
            <v>3</v>
          </cell>
          <cell r="M577">
            <v>46042</v>
          </cell>
          <cell r="N577">
            <v>46043</v>
          </cell>
          <cell r="O577">
            <v>1</v>
          </cell>
          <cell r="P577">
            <v>46044</v>
          </cell>
          <cell r="Q577">
            <v>5</v>
          </cell>
          <cell r="R577" t="str">
            <v>NA</v>
          </cell>
          <cell r="S577">
            <v>5</v>
          </cell>
        </row>
        <row r="578">
          <cell r="B578" t="str">
            <v>EMMC</v>
          </cell>
          <cell r="C578" t="str">
            <v>HSLB10794</v>
          </cell>
          <cell r="D578">
            <v>106007</v>
          </cell>
          <cell r="E578" t="str">
            <v>Hervidor Eléctrico</v>
          </cell>
          <cell r="F578" t="str">
            <v>NO</v>
          </cell>
          <cell r="G578" t="str">
            <v>NO</v>
          </cell>
          <cell r="H578" t="str">
            <v>ESTAR PERSONAL C/ KITCHENETTE</v>
          </cell>
          <cell r="I578">
            <v>1</v>
          </cell>
          <cell r="J578" t="str">
            <v>C.3.6.22.1</v>
          </cell>
          <cell r="K578" t="str">
            <v>Parto integral</v>
          </cell>
          <cell r="L578">
            <v>3</v>
          </cell>
          <cell r="M578">
            <v>46042</v>
          </cell>
          <cell r="N578">
            <v>46043</v>
          </cell>
          <cell r="O578">
            <v>1</v>
          </cell>
          <cell r="P578">
            <v>46044</v>
          </cell>
          <cell r="Q578">
            <v>5</v>
          </cell>
          <cell r="R578" t="str">
            <v>NA</v>
          </cell>
          <cell r="S578">
            <v>5</v>
          </cell>
        </row>
        <row r="579">
          <cell r="B579" t="str">
            <v>EMMC</v>
          </cell>
          <cell r="C579" t="str">
            <v>HSLB10795</v>
          </cell>
          <cell r="D579">
            <v>106007</v>
          </cell>
          <cell r="E579" t="str">
            <v>Hervidor Eléctrico</v>
          </cell>
          <cell r="F579" t="str">
            <v>NO</v>
          </cell>
          <cell r="G579" t="str">
            <v>NO</v>
          </cell>
          <cell r="H579" t="str">
            <v>ESTAR PERSONAL C/ KITCHENETTE</v>
          </cell>
          <cell r="I579">
            <v>1</v>
          </cell>
          <cell r="J579" t="str">
            <v>C.3.7.27.1</v>
          </cell>
          <cell r="K579" t="str">
            <v>UTI</v>
          </cell>
          <cell r="L579">
            <v>3</v>
          </cell>
          <cell r="M579">
            <v>46042</v>
          </cell>
          <cell r="N579">
            <v>46043</v>
          </cell>
          <cell r="O579">
            <v>1</v>
          </cell>
          <cell r="P579">
            <v>46044</v>
          </cell>
          <cell r="Q579">
            <v>5</v>
          </cell>
          <cell r="R579" t="str">
            <v>NA</v>
          </cell>
          <cell r="S579">
            <v>5</v>
          </cell>
        </row>
        <row r="580">
          <cell r="B580" t="str">
            <v>EMMC</v>
          </cell>
          <cell r="C580" t="str">
            <v>HSLB10796</v>
          </cell>
          <cell r="D580">
            <v>106007</v>
          </cell>
          <cell r="E580" t="str">
            <v>Hervidor Eléctrico</v>
          </cell>
          <cell r="F580" t="str">
            <v>NO</v>
          </cell>
          <cell r="G580" t="str">
            <v>NO</v>
          </cell>
          <cell r="H580" t="str">
            <v>ESTAR PERSONAL C/ KITCHENETTE</v>
          </cell>
          <cell r="I580">
            <v>1</v>
          </cell>
          <cell r="J580" t="str">
            <v>C.3.7.27.2</v>
          </cell>
          <cell r="K580" t="str">
            <v>UTI</v>
          </cell>
          <cell r="L580">
            <v>3</v>
          </cell>
          <cell r="M580">
            <v>46042</v>
          </cell>
          <cell r="N580">
            <v>46043</v>
          </cell>
          <cell r="O580">
            <v>1</v>
          </cell>
          <cell r="P580">
            <v>46044</v>
          </cell>
          <cell r="Q580">
            <v>5</v>
          </cell>
          <cell r="R580" t="str">
            <v>NA</v>
          </cell>
          <cell r="S580">
            <v>5</v>
          </cell>
        </row>
        <row r="581">
          <cell r="B581" t="str">
            <v>EMMC</v>
          </cell>
          <cell r="C581" t="str">
            <v>HSLB10797</v>
          </cell>
          <cell r="D581">
            <v>106007</v>
          </cell>
          <cell r="E581" t="str">
            <v>Hervidor Eléctrico</v>
          </cell>
          <cell r="F581" t="str">
            <v>NO</v>
          </cell>
          <cell r="G581" t="str">
            <v>NO</v>
          </cell>
          <cell r="H581" t="str">
            <v>SALA DE ESTAR FAMILIARES</v>
          </cell>
          <cell r="I581">
            <v>1</v>
          </cell>
          <cell r="J581" t="str">
            <v>C.3.7.7</v>
          </cell>
          <cell r="K581" t="str">
            <v>UTI</v>
          </cell>
          <cell r="L581">
            <v>3</v>
          </cell>
          <cell r="M581">
            <v>46042</v>
          </cell>
          <cell r="N581">
            <v>46043</v>
          </cell>
          <cell r="O581">
            <v>1</v>
          </cell>
          <cell r="P581">
            <v>46044</v>
          </cell>
          <cell r="Q581">
            <v>5</v>
          </cell>
          <cell r="R581" t="str">
            <v>NA</v>
          </cell>
          <cell r="S581">
            <v>5</v>
          </cell>
        </row>
        <row r="582">
          <cell r="B582" t="str">
            <v>EMMC</v>
          </cell>
          <cell r="C582" t="str">
            <v>HSLB10799</v>
          </cell>
          <cell r="D582">
            <v>106007</v>
          </cell>
          <cell r="E582" t="str">
            <v>Hervidor Eléctrico</v>
          </cell>
          <cell r="F582" t="str">
            <v>NO</v>
          </cell>
          <cell r="G582" t="str">
            <v>NO</v>
          </cell>
          <cell r="H582" t="str">
            <v>ESTAR PERSONAL C/ KITCHENETTE</v>
          </cell>
          <cell r="I582">
            <v>1</v>
          </cell>
          <cell r="J582" t="str">
            <v>C.3.8.2.2</v>
          </cell>
          <cell r="K582" t="str">
            <v>Pabellones</v>
          </cell>
          <cell r="L582">
            <v>3</v>
          </cell>
          <cell r="M582">
            <v>46039</v>
          </cell>
          <cell r="N582">
            <v>46041</v>
          </cell>
          <cell r="O582">
            <v>1</v>
          </cell>
          <cell r="P582">
            <v>46042</v>
          </cell>
          <cell r="Q582">
            <v>5</v>
          </cell>
          <cell r="R582" t="str">
            <v>NA</v>
          </cell>
          <cell r="S582">
            <v>5</v>
          </cell>
        </row>
        <row r="583">
          <cell r="B583" t="str">
            <v>EMMC</v>
          </cell>
          <cell r="C583" t="str">
            <v>HSLB10808</v>
          </cell>
          <cell r="D583">
            <v>106007</v>
          </cell>
          <cell r="E583" t="str">
            <v>Hervidor Eléctrico</v>
          </cell>
          <cell r="F583" t="str">
            <v>NO</v>
          </cell>
          <cell r="G583" t="str">
            <v>NO</v>
          </cell>
          <cell r="H583" t="str">
            <v>ESTAR PERSONAL C/ KITCHENETTE</v>
          </cell>
          <cell r="I583">
            <v>1</v>
          </cell>
          <cell r="J583" t="str">
            <v>C.5.5.3</v>
          </cell>
          <cell r="K583" t="str">
            <v>Esterilización</v>
          </cell>
          <cell r="L583">
            <v>3</v>
          </cell>
          <cell r="M583">
            <v>46042</v>
          </cell>
          <cell r="N583">
            <v>46043</v>
          </cell>
          <cell r="O583">
            <v>1</v>
          </cell>
          <cell r="P583">
            <v>46044</v>
          </cell>
          <cell r="Q583">
            <v>5</v>
          </cell>
          <cell r="R583" t="str">
            <v>NA</v>
          </cell>
          <cell r="S583">
            <v>5</v>
          </cell>
        </row>
        <row r="584">
          <cell r="B584" t="str">
            <v>EMMC</v>
          </cell>
          <cell r="C584" t="str">
            <v>HSLB10809</v>
          </cell>
          <cell r="D584">
            <v>106007</v>
          </cell>
          <cell r="E584" t="str">
            <v>Hervidor Eléctrico</v>
          </cell>
          <cell r="F584" t="str">
            <v>NO</v>
          </cell>
          <cell r="G584" t="str">
            <v>NO</v>
          </cell>
          <cell r="H584" t="str">
            <v>ESTAR PERSONAL C/ KITCHENETTE</v>
          </cell>
          <cell r="I584">
            <v>1</v>
          </cell>
          <cell r="J584" t="str">
            <v>C.5.6.3.12</v>
          </cell>
          <cell r="K584" t="str">
            <v>Pabellones</v>
          </cell>
          <cell r="L584">
            <v>3</v>
          </cell>
          <cell r="M584">
            <v>46039</v>
          </cell>
          <cell r="N584">
            <v>46041</v>
          </cell>
          <cell r="O584">
            <v>1</v>
          </cell>
          <cell r="P584">
            <v>46042</v>
          </cell>
          <cell r="Q584">
            <v>5</v>
          </cell>
          <cell r="R584" t="str">
            <v>NA</v>
          </cell>
          <cell r="S584">
            <v>5</v>
          </cell>
        </row>
        <row r="585">
          <cell r="B585" t="str">
            <v>EMMC</v>
          </cell>
          <cell r="C585" t="str">
            <v>HSLB10816</v>
          </cell>
          <cell r="D585">
            <v>106007</v>
          </cell>
          <cell r="E585" t="str">
            <v>Hervidor Eléctrico</v>
          </cell>
          <cell r="F585" t="str">
            <v>NO</v>
          </cell>
          <cell r="G585" t="str">
            <v>NO</v>
          </cell>
          <cell r="H585" t="str">
            <v>ESTAR PERSONAL C/ KITCHENETTE</v>
          </cell>
          <cell r="I585">
            <v>1</v>
          </cell>
          <cell r="J585" t="str">
            <v>D.2.2.4.3</v>
          </cell>
          <cell r="K585" t="str">
            <v>Auditorio</v>
          </cell>
          <cell r="L585">
            <v>3</v>
          </cell>
          <cell r="M585">
            <v>46042</v>
          </cell>
          <cell r="N585">
            <v>46043</v>
          </cell>
          <cell r="O585">
            <v>1</v>
          </cell>
          <cell r="P585">
            <v>46044</v>
          </cell>
          <cell r="Q585">
            <v>5</v>
          </cell>
          <cell r="R585" t="str">
            <v>NA</v>
          </cell>
          <cell r="S585">
            <v>5</v>
          </cell>
        </row>
        <row r="586">
          <cell r="B586" t="str">
            <v>EMMC</v>
          </cell>
          <cell r="C586" t="str">
            <v>HSLB10819</v>
          </cell>
          <cell r="D586">
            <v>106007</v>
          </cell>
          <cell r="E586" t="str">
            <v>Hervidor Eléctrico</v>
          </cell>
          <cell r="F586" t="str">
            <v>NO</v>
          </cell>
          <cell r="G586" t="str">
            <v>NO</v>
          </cell>
          <cell r="H586" t="str">
            <v>KITCHENETTE</v>
          </cell>
          <cell r="I586">
            <v>1</v>
          </cell>
          <cell r="J586" t="str">
            <v>D.2.3.9</v>
          </cell>
          <cell r="K586" t="str">
            <v>Mantenimiento</v>
          </cell>
          <cell r="L586">
            <v>3</v>
          </cell>
          <cell r="M586">
            <v>46042</v>
          </cell>
          <cell r="N586">
            <v>46043</v>
          </cell>
          <cell r="O586">
            <v>1</v>
          </cell>
          <cell r="P586">
            <v>46044</v>
          </cell>
          <cell r="Q586">
            <v>5</v>
          </cell>
          <cell r="R586" t="str">
            <v>NA</v>
          </cell>
          <cell r="S586">
            <v>5</v>
          </cell>
        </row>
        <row r="587">
          <cell r="B587" t="str">
            <v>EMMC</v>
          </cell>
          <cell r="C587" t="str">
            <v>HSLB10822</v>
          </cell>
          <cell r="D587">
            <v>106007</v>
          </cell>
          <cell r="E587" t="str">
            <v>Hervidor Eléctrico</v>
          </cell>
          <cell r="F587" t="str">
            <v>NO</v>
          </cell>
          <cell r="G587" t="str">
            <v>NO</v>
          </cell>
          <cell r="H587" t="str">
            <v>KITCHENETTE</v>
          </cell>
          <cell r="I587">
            <v>1</v>
          </cell>
          <cell r="J587" t="str">
            <v>D.3.4.2.2</v>
          </cell>
          <cell r="K587" t="str">
            <v>Contabilidad</v>
          </cell>
          <cell r="L587">
            <v>3</v>
          </cell>
          <cell r="M587">
            <v>46042</v>
          </cell>
          <cell r="N587">
            <v>46043</v>
          </cell>
          <cell r="O587">
            <v>1</v>
          </cell>
          <cell r="P587">
            <v>46044</v>
          </cell>
          <cell r="Q587">
            <v>5</v>
          </cell>
          <cell r="R587" t="str">
            <v>NA</v>
          </cell>
          <cell r="S587">
            <v>5</v>
          </cell>
        </row>
        <row r="588">
          <cell r="B588" t="str">
            <v>EMMC</v>
          </cell>
          <cell r="C588" t="str">
            <v>HSLB10823</v>
          </cell>
          <cell r="D588">
            <v>106007</v>
          </cell>
          <cell r="E588" t="str">
            <v>Hervidor Eléctrico</v>
          </cell>
          <cell r="F588" t="str">
            <v>NO</v>
          </cell>
          <cell r="G588" t="str">
            <v>NO</v>
          </cell>
          <cell r="H588" t="str">
            <v>KITCHENETTE</v>
          </cell>
          <cell r="I588">
            <v>1</v>
          </cell>
          <cell r="J588" t="str">
            <v>D.4.5.5</v>
          </cell>
          <cell r="K588" t="str">
            <v>IF</v>
          </cell>
          <cell r="L588">
            <v>3</v>
          </cell>
          <cell r="M588">
            <v>46042</v>
          </cell>
          <cell r="N588">
            <v>46043</v>
          </cell>
          <cell r="O588">
            <v>1</v>
          </cell>
          <cell r="P588">
            <v>46044</v>
          </cell>
          <cell r="Q588">
            <v>5</v>
          </cell>
          <cell r="R588" t="str">
            <v>NA</v>
          </cell>
          <cell r="S588">
            <v>5</v>
          </cell>
        </row>
        <row r="589">
          <cell r="B589" t="str">
            <v>EMMC</v>
          </cell>
          <cell r="C589" t="str">
            <v>HSLB10824</v>
          </cell>
          <cell r="D589">
            <v>106007</v>
          </cell>
          <cell r="E589" t="str">
            <v>Hervidor Eléctrico</v>
          </cell>
          <cell r="F589" t="str">
            <v>NO</v>
          </cell>
          <cell r="G589" t="str">
            <v>NO</v>
          </cell>
          <cell r="H589" t="str">
            <v>KITCHENETTE</v>
          </cell>
          <cell r="I589">
            <v>1</v>
          </cell>
          <cell r="J589" t="str">
            <v>D.4.6.2</v>
          </cell>
          <cell r="K589" t="str">
            <v>Capacitación</v>
          </cell>
          <cell r="L589">
            <v>3</v>
          </cell>
          <cell r="M589">
            <v>46042</v>
          </cell>
          <cell r="N589">
            <v>46043</v>
          </cell>
          <cell r="O589">
            <v>1</v>
          </cell>
          <cell r="P589">
            <v>46044</v>
          </cell>
          <cell r="Q589">
            <v>5</v>
          </cell>
          <cell r="R589" t="str">
            <v>NA</v>
          </cell>
          <cell r="S589">
            <v>5</v>
          </cell>
        </row>
        <row r="590">
          <cell r="B590" t="str">
            <v>EMMC</v>
          </cell>
          <cell r="C590" t="str">
            <v>HSLB10169</v>
          </cell>
          <cell r="D590">
            <v>101039</v>
          </cell>
          <cell r="E590" t="str">
            <v>Laringoscopio con Visor</v>
          </cell>
          <cell r="F590" t="str">
            <v>NO</v>
          </cell>
          <cell r="G590" t="str">
            <v>SI</v>
          </cell>
          <cell r="H590" t="str">
            <v>BODEGA DE EQUIPOS</v>
          </cell>
          <cell r="I590">
            <v>1</v>
          </cell>
          <cell r="J590" t="str">
            <v>C.5.6.4.17</v>
          </cell>
          <cell r="K590" t="str">
            <v>Pabellones</v>
          </cell>
          <cell r="L590">
            <v>3</v>
          </cell>
          <cell r="M590">
            <v>46003</v>
          </cell>
          <cell r="N590">
            <v>46006</v>
          </cell>
          <cell r="O590">
            <v>1</v>
          </cell>
          <cell r="P590">
            <v>46007</v>
          </cell>
          <cell r="Q590">
            <v>5</v>
          </cell>
          <cell r="R590" t="str">
            <v>NA</v>
          </cell>
          <cell r="S590">
            <v>5</v>
          </cell>
        </row>
        <row r="591">
          <cell r="B591" t="str">
            <v>EMMC</v>
          </cell>
          <cell r="C591" t="str">
            <v>HSLB10170</v>
          </cell>
          <cell r="D591">
            <v>101040</v>
          </cell>
          <cell r="E591" t="str">
            <v>Laringoscopio Neonatal</v>
          </cell>
          <cell r="F591" t="str">
            <v>NO</v>
          </cell>
          <cell r="G591" t="str">
            <v>NO</v>
          </cell>
          <cell r="H591" t="str">
            <v>SALA TRANSICIÓN NEONATAL</v>
          </cell>
          <cell r="I591">
            <v>1</v>
          </cell>
          <cell r="J591" t="str">
            <v>C.3.6.3.11</v>
          </cell>
          <cell r="K591" t="str">
            <v>Parto integral</v>
          </cell>
          <cell r="L591">
            <v>3</v>
          </cell>
          <cell r="M591">
            <v>46042</v>
          </cell>
          <cell r="N591">
            <v>46043</v>
          </cell>
          <cell r="O591">
            <v>1</v>
          </cell>
          <cell r="P591">
            <v>46044</v>
          </cell>
          <cell r="Q591">
            <v>5</v>
          </cell>
          <cell r="R591" t="str">
            <v>NA</v>
          </cell>
          <cell r="S591">
            <v>5</v>
          </cell>
        </row>
        <row r="592">
          <cell r="B592" t="str">
            <v>EMMC</v>
          </cell>
          <cell r="C592" t="str">
            <v>HSLB10171</v>
          </cell>
          <cell r="D592">
            <v>101040</v>
          </cell>
          <cell r="E592" t="str">
            <v>Laringoscopio Neonatal</v>
          </cell>
          <cell r="F592" t="str">
            <v>NO</v>
          </cell>
          <cell r="G592" t="str">
            <v>NO</v>
          </cell>
          <cell r="H592" t="str">
            <v>SALA REANIMACIÓN NEONATAL</v>
          </cell>
          <cell r="I592">
            <v>1</v>
          </cell>
          <cell r="J592" t="str">
            <v>C.5.6.4.11</v>
          </cell>
          <cell r="K592" t="str">
            <v>Pabellones</v>
          </cell>
          <cell r="L592">
            <v>3</v>
          </cell>
          <cell r="M592">
            <v>46039</v>
          </cell>
          <cell r="N592">
            <v>46041</v>
          </cell>
          <cell r="O592">
            <v>1</v>
          </cell>
          <cell r="P592">
            <v>46042</v>
          </cell>
          <cell r="Q592">
            <v>5</v>
          </cell>
          <cell r="R592" t="str">
            <v>NA</v>
          </cell>
          <cell r="S592">
            <v>5</v>
          </cell>
        </row>
        <row r="593">
          <cell r="B593" t="str">
            <v>EMMC</v>
          </cell>
          <cell r="C593" t="str">
            <v>HSLB10540</v>
          </cell>
          <cell r="D593">
            <v>104014</v>
          </cell>
          <cell r="E593" t="str">
            <v>Lupa Quirúrgica</v>
          </cell>
          <cell r="F593" t="str">
            <v>NO</v>
          </cell>
          <cell r="G593" t="str">
            <v>SI</v>
          </cell>
          <cell r="H593" t="str">
            <v>BODEGA DE EQUIPOS</v>
          </cell>
          <cell r="I593">
            <v>1</v>
          </cell>
          <cell r="J593" t="str">
            <v>C.5.6.4.17</v>
          </cell>
          <cell r="K593" t="str">
            <v>Pabellones</v>
          </cell>
          <cell r="L593">
            <v>3</v>
          </cell>
          <cell r="M593">
            <v>46003</v>
          </cell>
          <cell r="N593">
            <v>46006</v>
          </cell>
          <cell r="O593">
            <v>1</v>
          </cell>
          <cell r="P593">
            <v>46007</v>
          </cell>
          <cell r="Q593">
            <v>5</v>
          </cell>
          <cell r="R593" t="str">
            <v>NA</v>
          </cell>
          <cell r="S593">
            <v>5</v>
          </cell>
        </row>
        <row r="594">
          <cell r="B594" t="str">
            <v>EMMC</v>
          </cell>
          <cell r="C594" t="str">
            <v>HSLB10541</v>
          </cell>
          <cell r="D594">
            <v>104014</v>
          </cell>
          <cell r="E594" t="str">
            <v>Lupa Quirúrgica</v>
          </cell>
          <cell r="F594" t="str">
            <v>NO</v>
          </cell>
          <cell r="G594" t="str">
            <v>NO</v>
          </cell>
          <cell r="H594" t="str">
            <v>PABELLON CIRUGIA MAYOR ELECTIVA</v>
          </cell>
          <cell r="I594">
            <v>1</v>
          </cell>
          <cell r="J594" t="str">
            <v>C.5.6.4.5.1</v>
          </cell>
          <cell r="K594" t="str">
            <v>Pabellones</v>
          </cell>
          <cell r="L594">
            <v>3</v>
          </cell>
          <cell r="M594">
            <v>46039</v>
          </cell>
          <cell r="N594">
            <v>46041</v>
          </cell>
          <cell r="O594">
            <v>1</v>
          </cell>
          <cell r="P594">
            <v>46042</v>
          </cell>
          <cell r="Q594">
            <v>5</v>
          </cell>
          <cell r="R594" t="str">
            <v>NA</v>
          </cell>
          <cell r="S594">
            <v>5</v>
          </cell>
        </row>
        <row r="595">
          <cell r="B595" t="str">
            <v>EMMC</v>
          </cell>
          <cell r="C595" t="str">
            <v>HSLB10542</v>
          </cell>
          <cell r="D595">
            <v>104014</v>
          </cell>
          <cell r="E595" t="str">
            <v>Lupa Quirúrgica</v>
          </cell>
          <cell r="F595" t="str">
            <v>NO</v>
          </cell>
          <cell r="G595" t="str">
            <v>NO</v>
          </cell>
          <cell r="H595" t="str">
            <v>PABELLON CIRUGIA MAYOR ELECTIVA</v>
          </cell>
          <cell r="I595">
            <v>1</v>
          </cell>
          <cell r="J595" t="str">
            <v>C.5.6.4.5.2</v>
          </cell>
          <cell r="K595" t="str">
            <v>Pabellones</v>
          </cell>
          <cell r="L595">
            <v>3</v>
          </cell>
          <cell r="M595">
            <v>46039</v>
          </cell>
          <cell r="N595">
            <v>46041</v>
          </cell>
          <cell r="O595">
            <v>1</v>
          </cell>
          <cell r="P595">
            <v>46042</v>
          </cell>
          <cell r="Q595">
            <v>5</v>
          </cell>
          <cell r="R595" t="str">
            <v>NA</v>
          </cell>
          <cell r="S595">
            <v>5</v>
          </cell>
        </row>
        <row r="596">
          <cell r="B596" t="str">
            <v>EMMC</v>
          </cell>
          <cell r="C596" t="str">
            <v>HSLB10543</v>
          </cell>
          <cell r="D596">
            <v>104014</v>
          </cell>
          <cell r="E596" t="str">
            <v>Lupa Quirúrgica</v>
          </cell>
          <cell r="F596" t="str">
            <v>NO</v>
          </cell>
          <cell r="G596" t="str">
            <v>NO</v>
          </cell>
          <cell r="H596" t="str">
            <v>PABELLON CIRUGIA MAYOR ELECTIVA</v>
          </cell>
          <cell r="I596">
            <v>1</v>
          </cell>
          <cell r="J596" t="str">
            <v>C.5.6.4.5.3</v>
          </cell>
          <cell r="K596" t="str">
            <v>Pabellones</v>
          </cell>
          <cell r="L596">
            <v>3</v>
          </cell>
          <cell r="M596">
            <v>46039</v>
          </cell>
          <cell r="N596">
            <v>46041</v>
          </cell>
          <cell r="O596">
            <v>1</v>
          </cell>
          <cell r="P596">
            <v>46042</v>
          </cell>
          <cell r="Q596">
            <v>5</v>
          </cell>
          <cell r="R596" t="str">
            <v>NA</v>
          </cell>
          <cell r="S596">
            <v>5</v>
          </cell>
        </row>
        <row r="597">
          <cell r="B597" t="str">
            <v>EMMC</v>
          </cell>
          <cell r="C597" t="str">
            <v>HSLB10544</v>
          </cell>
          <cell r="D597">
            <v>104014</v>
          </cell>
          <cell r="E597" t="str">
            <v>Lupa Quirúrgica</v>
          </cell>
          <cell r="F597" t="str">
            <v>NO</v>
          </cell>
          <cell r="G597" t="str">
            <v>NO</v>
          </cell>
          <cell r="H597" t="str">
            <v>PABELLON CIRUGIA MAYOR AMBULATORIA</v>
          </cell>
          <cell r="I597">
            <v>1</v>
          </cell>
          <cell r="J597" t="str">
            <v>C.5.6.4.6.1</v>
          </cell>
          <cell r="K597" t="str">
            <v>Pabellones</v>
          </cell>
          <cell r="L597">
            <v>3</v>
          </cell>
          <cell r="M597">
            <v>46039</v>
          </cell>
          <cell r="N597">
            <v>46041</v>
          </cell>
          <cell r="O597">
            <v>1</v>
          </cell>
          <cell r="P597">
            <v>46042</v>
          </cell>
          <cell r="Q597">
            <v>5</v>
          </cell>
          <cell r="R597" t="str">
            <v>NA</v>
          </cell>
          <cell r="S597">
            <v>5</v>
          </cell>
        </row>
        <row r="598">
          <cell r="B598" t="str">
            <v>EMMC</v>
          </cell>
          <cell r="C598" t="str">
            <v>HSLB10545</v>
          </cell>
          <cell r="D598">
            <v>104014</v>
          </cell>
          <cell r="E598" t="str">
            <v>Lupa Quirúrgica</v>
          </cell>
          <cell r="F598" t="str">
            <v>NO</v>
          </cell>
          <cell r="G598" t="str">
            <v>NO</v>
          </cell>
          <cell r="H598" t="str">
            <v>PABELLON CIRUGIA MAYOR AMBULATORIA</v>
          </cell>
          <cell r="I598">
            <v>1</v>
          </cell>
          <cell r="J598" t="str">
            <v>C.5.6.4.6.2</v>
          </cell>
          <cell r="K598" t="str">
            <v>Pabellones</v>
          </cell>
          <cell r="L598">
            <v>3</v>
          </cell>
          <cell r="M598">
            <v>46039</v>
          </cell>
          <cell r="N598">
            <v>46041</v>
          </cell>
          <cell r="O598">
            <v>1</v>
          </cell>
          <cell r="P598">
            <v>46042</v>
          </cell>
          <cell r="Q598">
            <v>5</v>
          </cell>
          <cell r="R598" t="str">
            <v>NA</v>
          </cell>
          <cell r="S598">
            <v>5</v>
          </cell>
        </row>
        <row r="599">
          <cell r="B599" t="str">
            <v>EMMC</v>
          </cell>
          <cell r="C599" t="str">
            <v>HSLB10546</v>
          </cell>
          <cell r="D599">
            <v>104014</v>
          </cell>
          <cell r="E599" t="str">
            <v>Lupa Quirúrgica</v>
          </cell>
          <cell r="F599" t="str">
            <v>NO</v>
          </cell>
          <cell r="G599" t="str">
            <v>NO</v>
          </cell>
          <cell r="H599" t="str">
            <v>PABELLON URGENCIAS</v>
          </cell>
          <cell r="I599">
            <v>1</v>
          </cell>
          <cell r="J599" t="str">
            <v>C.5.6.4.7</v>
          </cell>
          <cell r="K599" t="str">
            <v>Pabellones</v>
          </cell>
          <cell r="L599">
            <v>3</v>
          </cell>
          <cell r="M599">
            <v>46039</v>
          </cell>
          <cell r="N599">
            <v>46041</v>
          </cell>
          <cell r="O599">
            <v>1</v>
          </cell>
          <cell r="P599">
            <v>46042</v>
          </cell>
          <cell r="Q599">
            <v>5</v>
          </cell>
          <cell r="R599" t="str">
            <v>NA</v>
          </cell>
          <cell r="S599">
            <v>5</v>
          </cell>
        </row>
        <row r="600">
          <cell r="B600" t="str">
            <v>EMMC</v>
          </cell>
          <cell r="C600" t="str">
            <v>HSLB12195</v>
          </cell>
          <cell r="D600">
            <v>112059</v>
          </cell>
          <cell r="E600" t="str">
            <v>Mesa Arsenalera</v>
          </cell>
          <cell r="F600" t="str">
            <v>NO</v>
          </cell>
          <cell r="G600" t="str">
            <v>NO</v>
          </cell>
          <cell r="H600" t="str">
            <v>PABELLON CIRUGIA MAYOR AMBULATORIA</v>
          </cell>
          <cell r="I600">
            <v>1</v>
          </cell>
          <cell r="J600" t="str">
            <v>C.5.6.4.6.1</v>
          </cell>
          <cell r="K600" t="str">
            <v>Pabellones</v>
          </cell>
          <cell r="L600">
            <v>3</v>
          </cell>
          <cell r="M600">
            <v>46039</v>
          </cell>
          <cell r="N600">
            <v>46041</v>
          </cell>
          <cell r="O600">
            <v>1</v>
          </cell>
          <cell r="P600">
            <v>46042</v>
          </cell>
          <cell r="Q600">
            <v>5</v>
          </cell>
          <cell r="R600" t="str">
            <v>NA</v>
          </cell>
          <cell r="S600">
            <v>5</v>
          </cell>
        </row>
        <row r="601">
          <cell r="B601" t="str">
            <v>EMMC</v>
          </cell>
          <cell r="C601" t="str">
            <v>HSLB12196</v>
          </cell>
          <cell r="D601">
            <v>112059</v>
          </cell>
          <cell r="E601" t="str">
            <v>Mesa Arsenalera</v>
          </cell>
          <cell r="F601" t="str">
            <v>NO</v>
          </cell>
          <cell r="G601" t="str">
            <v>NO</v>
          </cell>
          <cell r="H601" t="str">
            <v>PABELLON CIRUGIA MAYOR AMBULATORIA</v>
          </cell>
          <cell r="I601">
            <v>1</v>
          </cell>
          <cell r="J601" t="str">
            <v>C.5.6.4.6.2</v>
          </cell>
          <cell r="K601" t="str">
            <v>Pabellones</v>
          </cell>
          <cell r="L601">
            <v>3</v>
          </cell>
          <cell r="M601">
            <v>46039</v>
          </cell>
          <cell r="N601">
            <v>46041</v>
          </cell>
          <cell r="O601">
            <v>1</v>
          </cell>
          <cell r="P601">
            <v>46042</v>
          </cell>
          <cell r="Q601">
            <v>5</v>
          </cell>
          <cell r="R601" t="str">
            <v>NA</v>
          </cell>
          <cell r="S601">
            <v>5</v>
          </cell>
        </row>
        <row r="602">
          <cell r="B602" t="str">
            <v>EMMC</v>
          </cell>
          <cell r="C602" t="str">
            <v>HSLB12197</v>
          </cell>
          <cell r="D602">
            <v>112059</v>
          </cell>
          <cell r="E602" t="str">
            <v>Mesa Arsenalera</v>
          </cell>
          <cell r="F602" t="str">
            <v>NO</v>
          </cell>
          <cell r="G602" t="str">
            <v>NO</v>
          </cell>
          <cell r="H602" t="str">
            <v>PABELLON URGENCIAS</v>
          </cell>
          <cell r="I602">
            <v>1</v>
          </cell>
          <cell r="J602" t="str">
            <v>C.5.6.4.7</v>
          </cell>
          <cell r="K602" t="str">
            <v>Pabellones</v>
          </cell>
          <cell r="L602">
            <v>3</v>
          </cell>
          <cell r="M602">
            <v>46039</v>
          </cell>
          <cell r="N602">
            <v>46041</v>
          </cell>
          <cell r="O602">
            <v>1</v>
          </cell>
          <cell r="P602">
            <v>46042</v>
          </cell>
          <cell r="Q602">
            <v>5</v>
          </cell>
          <cell r="R602" t="str">
            <v>NA</v>
          </cell>
          <cell r="S602">
            <v>5</v>
          </cell>
        </row>
        <row r="603">
          <cell r="B603" t="str">
            <v>EMMC</v>
          </cell>
          <cell r="C603" t="str">
            <v>HSLB12321</v>
          </cell>
          <cell r="D603">
            <v>112063</v>
          </cell>
          <cell r="E603" t="str">
            <v>Mesa Mayo</v>
          </cell>
          <cell r="F603" t="str">
            <v>NO</v>
          </cell>
          <cell r="G603" t="str">
            <v>NO</v>
          </cell>
          <cell r="H603" t="str">
            <v>SALA PREPARACIÓN PACIENTES</v>
          </cell>
          <cell r="I603">
            <v>1</v>
          </cell>
          <cell r="J603" t="str">
            <v>C.3.6.3.11.1</v>
          </cell>
          <cell r="K603" t="str">
            <v>Parto integral</v>
          </cell>
          <cell r="L603">
            <v>3</v>
          </cell>
          <cell r="M603">
            <v>46042</v>
          </cell>
          <cell r="N603">
            <v>46043</v>
          </cell>
          <cell r="O603">
            <v>1</v>
          </cell>
          <cell r="P603">
            <v>46044</v>
          </cell>
          <cell r="Q603">
            <v>5</v>
          </cell>
          <cell r="R603" t="str">
            <v>NA</v>
          </cell>
          <cell r="S603">
            <v>5</v>
          </cell>
        </row>
        <row r="604">
          <cell r="B604" t="str">
            <v>EMMC</v>
          </cell>
          <cell r="C604" t="str">
            <v>HSLB12322</v>
          </cell>
          <cell r="D604">
            <v>112063</v>
          </cell>
          <cell r="E604" t="str">
            <v>Mesa Mayo</v>
          </cell>
          <cell r="F604" t="str">
            <v>NO</v>
          </cell>
          <cell r="G604" t="str">
            <v>NO</v>
          </cell>
          <cell r="H604" t="str">
            <v>SALA DE PROCEDIMIENTOS</v>
          </cell>
          <cell r="I604">
            <v>1</v>
          </cell>
          <cell r="J604" t="str">
            <v>C.3.7.18</v>
          </cell>
          <cell r="K604" t="str">
            <v>UTI</v>
          </cell>
          <cell r="L604">
            <v>3</v>
          </cell>
          <cell r="M604">
            <v>46042</v>
          </cell>
          <cell r="N604">
            <v>46043</v>
          </cell>
          <cell r="O604">
            <v>1</v>
          </cell>
          <cell r="P604">
            <v>46044</v>
          </cell>
          <cell r="Q604">
            <v>5</v>
          </cell>
          <cell r="R604" t="str">
            <v>NA</v>
          </cell>
          <cell r="S604">
            <v>5</v>
          </cell>
        </row>
        <row r="605">
          <cell r="B605" t="str">
            <v>EMMC</v>
          </cell>
          <cell r="C605" t="str">
            <v>HSLB12331</v>
          </cell>
          <cell r="D605">
            <v>112063</v>
          </cell>
          <cell r="E605" t="str">
            <v>Mesa Mayo</v>
          </cell>
          <cell r="F605" t="str">
            <v>NO</v>
          </cell>
          <cell r="G605" t="str">
            <v>NO</v>
          </cell>
          <cell r="H605" t="str">
            <v>SALA PREANESTECIA INFANTIL</v>
          </cell>
          <cell r="I605">
            <v>1</v>
          </cell>
          <cell r="J605" t="str">
            <v>C.5.6.4.2</v>
          </cell>
          <cell r="K605" t="str">
            <v>Pabellones</v>
          </cell>
          <cell r="L605">
            <v>3</v>
          </cell>
          <cell r="M605">
            <v>46039</v>
          </cell>
          <cell r="N605">
            <v>46041</v>
          </cell>
          <cell r="O605">
            <v>1</v>
          </cell>
          <cell r="P605">
            <v>46042</v>
          </cell>
          <cell r="Q605">
            <v>5</v>
          </cell>
          <cell r="R605" t="str">
            <v>NA</v>
          </cell>
          <cell r="S605">
            <v>5</v>
          </cell>
        </row>
        <row r="606">
          <cell r="B606" t="str">
            <v>EMMC</v>
          </cell>
          <cell r="C606" t="str">
            <v>HSLB10836</v>
          </cell>
          <cell r="D606">
            <v>106010</v>
          </cell>
          <cell r="E606" t="str">
            <v>Microondas</v>
          </cell>
          <cell r="F606" t="str">
            <v>NO</v>
          </cell>
          <cell r="G606" t="str">
            <v>NO</v>
          </cell>
          <cell r="H606" t="str">
            <v>KITCHENETTE</v>
          </cell>
          <cell r="I606">
            <v>1</v>
          </cell>
          <cell r="J606" t="str">
            <v>B.5.2</v>
          </cell>
          <cell r="K606" t="str">
            <v>Capacitación</v>
          </cell>
          <cell r="L606">
            <v>3</v>
          </cell>
          <cell r="M606">
            <v>46042</v>
          </cell>
          <cell r="N606">
            <v>46043</v>
          </cell>
          <cell r="O606">
            <v>1</v>
          </cell>
          <cell r="P606">
            <v>46044</v>
          </cell>
          <cell r="Q606">
            <v>5</v>
          </cell>
          <cell r="R606" t="str">
            <v>NA</v>
          </cell>
          <cell r="S606">
            <v>5</v>
          </cell>
        </row>
        <row r="607">
          <cell r="B607" t="str">
            <v>EMMC</v>
          </cell>
          <cell r="C607" t="str">
            <v>HSLB10848</v>
          </cell>
          <cell r="D607">
            <v>106010</v>
          </cell>
          <cell r="E607" t="str">
            <v>Microondas</v>
          </cell>
          <cell r="F607" t="str">
            <v>NO</v>
          </cell>
          <cell r="G607" t="str">
            <v>NO</v>
          </cell>
          <cell r="H607" t="str">
            <v>ESTAR PERSONAL C/ KITCHENETTE</v>
          </cell>
          <cell r="I607">
            <v>1</v>
          </cell>
          <cell r="J607" t="str">
            <v>C.3.6.22.1</v>
          </cell>
          <cell r="K607" t="str">
            <v>Parto integral</v>
          </cell>
          <cell r="L607">
            <v>3</v>
          </cell>
          <cell r="M607">
            <v>46042</v>
          </cell>
          <cell r="N607">
            <v>46043</v>
          </cell>
          <cell r="O607">
            <v>1</v>
          </cell>
          <cell r="P607">
            <v>46044</v>
          </cell>
          <cell r="Q607">
            <v>5</v>
          </cell>
          <cell r="R607" t="str">
            <v>NA</v>
          </cell>
          <cell r="S607">
            <v>5</v>
          </cell>
        </row>
        <row r="608">
          <cell r="B608" t="str">
            <v>EMMC</v>
          </cell>
          <cell r="C608" t="str">
            <v>HSLB10849</v>
          </cell>
          <cell r="D608">
            <v>106010</v>
          </cell>
          <cell r="E608" t="str">
            <v>Microondas</v>
          </cell>
          <cell r="F608" t="str">
            <v>NO</v>
          </cell>
          <cell r="G608" t="str">
            <v>NO</v>
          </cell>
          <cell r="H608" t="str">
            <v>ESTAR PERSONAL C/ KITCHENETTE</v>
          </cell>
          <cell r="I608">
            <v>1</v>
          </cell>
          <cell r="J608" t="str">
            <v>C.3.7.27.1</v>
          </cell>
          <cell r="K608" t="str">
            <v>UTI</v>
          </cell>
          <cell r="L608">
            <v>3</v>
          </cell>
          <cell r="M608">
            <v>46042</v>
          </cell>
          <cell r="N608">
            <v>46043</v>
          </cell>
          <cell r="O608">
            <v>1</v>
          </cell>
          <cell r="P608">
            <v>46044</v>
          </cell>
          <cell r="Q608">
            <v>5</v>
          </cell>
          <cell r="R608" t="str">
            <v>NA</v>
          </cell>
          <cell r="S608">
            <v>5</v>
          </cell>
        </row>
        <row r="609">
          <cell r="B609" t="str">
            <v>EMMC</v>
          </cell>
          <cell r="C609" t="str">
            <v>HSLB10850</v>
          </cell>
          <cell r="D609">
            <v>106010</v>
          </cell>
          <cell r="E609" t="str">
            <v>Microondas</v>
          </cell>
          <cell r="F609" t="str">
            <v>NO</v>
          </cell>
          <cell r="G609" t="str">
            <v>NO</v>
          </cell>
          <cell r="H609" t="str">
            <v>ESTAR PERSONAL C/ KITCHENETTE</v>
          </cell>
          <cell r="I609">
            <v>1</v>
          </cell>
          <cell r="J609" t="str">
            <v>C.3.7.27.2</v>
          </cell>
          <cell r="K609" t="str">
            <v>UTI</v>
          </cell>
          <cell r="L609">
            <v>3</v>
          </cell>
          <cell r="M609">
            <v>46042</v>
          </cell>
          <cell r="N609">
            <v>46043</v>
          </cell>
          <cell r="O609">
            <v>1</v>
          </cell>
          <cell r="P609">
            <v>46044</v>
          </cell>
          <cell r="Q609">
            <v>5</v>
          </cell>
          <cell r="R609" t="str">
            <v>NA</v>
          </cell>
          <cell r="S609">
            <v>5</v>
          </cell>
        </row>
        <row r="610">
          <cell r="B610" t="str">
            <v>EMMC</v>
          </cell>
          <cell r="C610" t="str">
            <v>HSLB10852</v>
          </cell>
          <cell r="D610">
            <v>106010</v>
          </cell>
          <cell r="E610" t="str">
            <v>Microondas</v>
          </cell>
          <cell r="F610" t="str">
            <v>NO</v>
          </cell>
          <cell r="G610" t="str">
            <v>NO</v>
          </cell>
          <cell r="H610" t="str">
            <v>ESTAR PERSONAL C/ KITCHENETTE</v>
          </cell>
          <cell r="I610">
            <v>1</v>
          </cell>
          <cell r="J610" t="str">
            <v>C.3.8.2.2</v>
          </cell>
          <cell r="K610" t="str">
            <v>Pabellones</v>
          </cell>
          <cell r="L610">
            <v>3</v>
          </cell>
          <cell r="M610">
            <v>46039</v>
          </cell>
          <cell r="N610">
            <v>46041</v>
          </cell>
          <cell r="O610">
            <v>1</v>
          </cell>
          <cell r="P610">
            <v>46042</v>
          </cell>
          <cell r="Q610">
            <v>5</v>
          </cell>
          <cell r="R610" t="str">
            <v>NA</v>
          </cell>
          <cell r="S610">
            <v>5</v>
          </cell>
        </row>
        <row r="611">
          <cell r="B611" t="str">
            <v>EMMC</v>
          </cell>
          <cell r="C611" t="str">
            <v>HSLB10861</v>
          </cell>
          <cell r="D611">
            <v>106010</v>
          </cell>
          <cell r="E611" t="str">
            <v>Microondas</v>
          </cell>
          <cell r="F611" t="str">
            <v>NO</v>
          </cell>
          <cell r="G611" t="str">
            <v>NO</v>
          </cell>
          <cell r="H611" t="str">
            <v>ESTAR PERSONAL C/ KITCHENETTE</v>
          </cell>
          <cell r="I611">
            <v>1</v>
          </cell>
          <cell r="J611" t="str">
            <v>C.5.5.3</v>
          </cell>
          <cell r="K611" t="str">
            <v>Esterilización</v>
          </cell>
          <cell r="L611">
            <v>3</v>
          </cell>
          <cell r="M611">
            <v>46042</v>
          </cell>
          <cell r="N611">
            <v>46043</v>
          </cell>
          <cell r="O611">
            <v>1</v>
          </cell>
          <cell r="P611">
            <v>46044</v>
          </cell>
          <cell r="Q611">
            <v>5</v>
          </cell>
          <cell r="R611" t="str">
            <v>NA</v>
          </cell>
          <cell r="S611">
            <v>5</v>
          </cell>
        </row>
        <row r="612">
          <cell r="B612" t="str">
            <v>EMMC</v>
          </cell>
          <cell r="C612" t="str">
            <v>HSLB10862</v>
          </cell>
          <cell r="D612">
            <v>106010</v>
          </cell>
          <cell r="E612" t="str">
            <v>Microondas</v>
          </cell>
          <cell r="F612" t="str">
            <v>NO</v>
          </cell>
          <cell r="G612" t="str">
            <v>NO</v>
          </cell>
          <cell r="H612" t="str">
            <v>ESTAR PERSONAL C/ KITCHENETTE</v>
          </cell>
          <cell r="I612">
            <v>1</v>
          </cell>
          <cell r="J612" t="str">
            <v>C.5.6.3.12</v>
          </cell>
          <cell r="K612" t="str">
            <v>Pabellones</v>
          </cell>
          <cell r="L612">
            <v>3</v>
          </cell>
          <cell r="M612">
            <v>46039</v>
          </cell>
          <cell r="N612">
            <v>46041</v>
          </cell>
          <cell r="O612">
            <v>1</v>
          </cell>
          <cell r="P612">
            <v>46042</v>
          </cell>
          <cell r="Q612">
            <v>5</v>
          </cell>
          <cell r="R612" t="str">
            <v>NA</v>
          </cell>
          <cell r="S612">
            <v>5</v>
          </cell>
        </row>
        <row r="613">
          <cell r="B613" t="str">
            <v>EMMC</v>
          </cell>
          <cell r="C613" t="str">
            <v>HSLB10869</v>
          </cell>
          <cell r="D613">
            <v>106010</v>
          </cell>
          <cell r="E613" t="str">
            <v>Microondas</v>
          </cell>
          <cell r="F613" t="str">
            <v>NO</v>
          </cell>
          <cell r="G613" t="str">
            <v>NO</v>
          </cell>
          <cell r="H613" t="str">
            <v>ESTAR PERSONAL C/ KITCHENETTE</v>
          </cell>
          <cell r="I613">
            <v>1</v>
          </cell>
          <cell r="J613" t="str">
            <v>D.2.2.4.3</v>
          </cell>
          <cell r="K613" t="str">
            <v>Auditorio</v>
          </cell>
          <cell r="L613">
            <v>3</v>
          </cell>
          <cell r="M613">
            <v>46042</v>
          </cell>
          <cell r="N613">
            <v>46043</v>
          </cell>
          <cell r="O613">
            <v>1</v>
          </cell>
          <cell r="P613">
            <v>46044</v>
          </cell>
          <cell r="Q613">
            <v>5</v>
          </cell>
          <cell r="R613" t="str">
            <v>NA</v>
          </cell>
          <cell r="S613">
            <v>5</v>
          </cell>
        </row>
        <row r="614">
          <cell r="B614" t="str">
            <v>EMMC</v>
          </cell>
          <cell r="C614" t="str">
            <v>HSLB10872</v>
          </cell>
          <cell r="D614">
            <v>106010</v>
          </cell>
          <cell r="E614" t="str">
            <v>Microondas</v>
          </cell>
          <cell r="F614" t="str">
            <v>NO</v>
          </cell>
          <cell r="G614" t="str">
            <v>NO</v>
          </cell>
          <cell r="H614" t="str">
            <v>KITCHENETTE</v>
          </cell>
          <cell r="I614">
            <v>1</v>
          </cell>
          <cell r="J614" t="str">
            <v>D.2.3.9</v>
          </cell>
          <cell r="K614" t="str">
            <v>Mantenimiento</v>
          </cell>
          <cell r="L614">
            <v>3</v>
          </cell>
          <cell r="M614">
            <v>46042</v>
          </cell>
          <cell r="N614">
            <v>46043</v>
          </cell>
          <cell r="O614">
            <v>1</v>
          </cell>
          <cell r="P614">
            <v>46044</v>
          </cell>
          <cell r="Q614">
            <v>5</v>
          </cell>
          <cell r="R614" t="str">
            <v>NA</v>
          </cell>
          <cell r="S614">
            <v>5</v>
          </cell>
        </row>
        <row r="615">
          <cell r="B615" t="str">
            <v>EMMC</v>
          </cell>
          <cell r="C615" t="str">
            <v>HSLB10875</v>
          </cell>
          <cell r="D615">
            <v>106010</v>
          </cell>
          <cell r="E615" t="str">
            <v>Microondas</v>
          </cell>
          <cell r="F615" t="str">
            <v>NO</v>
          </cell>
          <cell r="G615" t="str">
            <v>NO</v>
          </cell>
          <cell r="H615" t="str">
            <v>KITCHENETTE</v>
          </cell>
          <cell r="I615">
            <v>1</v>
          </cell>
          <cell r="J615" t="str">
            <v>D.3.4.2.2</v>
          </cell>
          <cell r="K615" t="str">
            <v>Contabilidad</v>
          </cell>
          <cell r="L615">
            <v>3</v>
          </cell>
          <cell r="M615">
            <v>46042</v>
          </cell>
          <cell r="N615">
            <v>46043</v>
          </cell>
          <cell r="O615">
            <v>1</v>
          </cell>
          <cell r="P615">
            <v>46044</v>
          </cell>
          <cell r="Q615">
            <v>5</v>
          </cell>
          <cell r="R615" t="str">
            <v>NA</v>
          </cell>
          <cell r="S615">
            <v>5</v>
          </cell>
        </row>
        <row r="616">
          <cell r="B616" t="str">
            <v>EMMC</v>
          </cell>
          <cell r="C616" t="str">
            <v>HSLB10876</v>
          </cell>
          <cell r="D616">
            <v>106010</v>
          </cell>
          <cell r="E616" t="str">
            <v>Microondas</v>
          </cell>
          <cell r="F616" t="str">
            <v>NO</v>
          </cell>
          <cell r="G616" t="str">
            <v>NO</v>
          </cell>
          <cell r="H616" t="str">
            <v>KITCHENETTE</v>
          </cell>
          <cell r="I616">
            <v>1</v>
          </cell>
          <cell r="J616" t="str">
            <v>D.4.5.5</v>
          </cell>
          <cell r="K616" t="str">
            <v>IF</v>
          </cell>
          <cell r="L616">
            <v>3</v>
          </cell>
          <cell r="M616">
            <v>46042</v>
          </cell>
          <cell r="N616">
            <v>46043</v>
          </cell>
          <cell r="O616">
            <v>1</v>
          </cell>
          <cell r="P616">
            <v>46044</v>
          </cell>
          <cell r="Q616">
            <v>5</v>
          </cell>
          <cell r="R616" t="str">
            <v>NA</v>
          </cell>
          <cell r="S616">
            <v>5</v>
          </cell>
        </row>
        <row r="617">
          <cell r="B617" t="str">
            <v>EMMC</v>
          </cell>
          <cell r="C617" t="str">
            <v>HSLB10877</v>
          </cell>
          <cell r="D617">
            <v>106010</v>
          </cell>
          <cell r="E617" t="str">
            <v>Microondas</v>
          </cell>
          <cell r="F617" t="str">
            <v>NO</v>
          </cell>
          <cell r="G617" t="str">
            <v>NO</v>
          </cell>
          <cell r="H617" t="str">
            <v>KITCHENETTE</v>
          </cell>
          <cell r="I617">
            <v>1</v>
          </cell>
          <cell r="J617" t="str">
            <v>D.4.6.2</v>
          </cell>
          <cell r="K617" t="str">
            <v>Capacitación</v>
          </cell>
          <cell r="L617">
            <v>3</v>
          </cell>
          <cell r="M617">
            <v>46042</v>
          </cell>
          <cell r="N617">
            <v>46043</v>
          </cell>
          <cell r="O617">
            <v>1</v>
          </cell>
          <cell r="P617">
            <v>46044</v>
          </cell>
          <cell r="Q617">
            <v>5</v>
          </cell>
          <cell r="R617" t="str">
            <v>NA</v>
          </cell>
          <cell r="S617">
            <v>5</v>
          </cell>
        </row>
        <row r="618">
          <cell r="B618" t="str">
            <v>EMMC</v>
          </cell>
          <cell r="C618" t="str">
            <v>HSLB10878</v>
          </cell>
          <cell r="D618">
            <v>106010</v>
          </cell>
          <cell r="E618" t="str">
            <v>Microondas</v>
          </cell>
          <cell r="F618" t="str">
            <v>NO</v>
          </cell>
          <cell r="G618" t="str">
            <v>NO</v>
          </cell>
          <cell r="H618" t="str">
            <v>COCINA CON REPOSTERO</v>
          </cell>
          <cell r="I618">
            <v>1</v>
          </cell>
          <cell r="J618" t="str">
            <v>E.1.6</v>
          </cell>
          <cell r="K618" t="str">
            <v>Auditorio</v>
          </cell>
          <cell r="L618">
            <v>3</v>
          </cell>
          <cell r="M618">
            <v>46042</v>
          </cell>
          <cell r="N618">
            <v>46043</v>
          </cell>
          <cell r="O618">
            <v>1</v>
          </cell>
          <cell r="P618">
            <v>46044</v>
          </cell>
          <cell r="Q618">
            <v>5</v>
          </cell>
          <cell r="R618" t="str">
            <v>NA</v>
          </cell>
          <cell r="S618">
            <v>5</v>
          </cell>
        </row>
        <row r="619">
          <cell r="B619" t="str">
            <v>EMMC</v>
          </cell>
          <cell r="C619" t="str">
            <v>HSLB10884</v>
          </cell>
          <cell r="D619">
            <v>106010</v>
          </cell>
          <cell r="E619" t="str">
            <v>Microondas</v>
          </cell>
          <cell r="F619" t="str">
            <v>NO</v>
          </cell>
          <cell r="G619" t="str">
            <v>SI</v>
          </cell>
          <cell r="H619" t="str">
            <v>SALA MULTIUSO</v>
          </cell>
          <cell r="I619">
            <v>1</v>
          </cell>
          <cell r="J619" t="str">
            <v>C.3.6.3.5</v>
          </cell>
          <cell r="K619" t="str">
            <v>Parto integral</v>
          </cell>
          <cell r="L619">
            <v>3</v>
          </cell>
          <cell r="M619">
            <v>46003</v>
          </cell>
          <cell r="N619">
            <v>46006</v>
          </cell>
          <cell r="O619">
            <v>1</v>
          </cell>
          <cell r="P619">
            <v>46007</v>
          </cell>
          <cell r="Q619">
            <v>5</v>
          </cell>
          <cell r="R619" t="str">
            <v>NA</v>
          </cell>
          <cell r="S619">
            <v>5</v>
          </cell>
        </row>
        <row r="620">
          <cell r="B620" t="str">
            <v>EMMC</v>
          </cell>
          <cell r="C620" t="str">
            <v>HSLB10192</v>
          </cell>
          <cell r="D620">
            <v>101049</v>
          </cell>
          <cell r="E620" t="str">
            <v>Negatoscopio</v>
          </cell>
          <cell r="F620" t="str">
            <v>NO</v>
          </cell>
          <cell r="G620" t="str">
            <v>NO</v>
          </cell>
          <cell r="H620" t="str">
            <v>ESTACIÓN DE ENFERMERÍA</v>
          </cell>
          <cell r="I620">
            <v>1</v>
          </cell>
          <cell r="J620" t="str">
            <v>C.3.7.12.2</v>
          </cell>
          <cell r="K620" t="str">
            <v>UTI</v>
          </cell>
          <cell r="L620">
            <v>3</v>
          </cell>
          <cell r="M620">
            <v>46042</v>
          </cell>
          <cell r="N620">
            <v>46043</v>
          </cell>
          <cell r="O620">
            <v>1</v>
          </cell>
          <cell r="P620">
            <v>46044</v>
          </cell>
          <cell r="Q620">
            <v>5</v>
          </cell>
          <cell r="R620" t="str">
            <v>NA</v>
          </cell>
          <cell r="S620">
            <v>5</v>
          </cell>
        </row>
        <row r="621">
          <cell r="B621" t="str">
            <v>EMMC</v>
          </cell>
          <cell r="C621" t="str">
            <v>HSLB10194</v>
          </cell>
          <cell r="D621">
            <v>101049</v>
          </cell>
          <cell r="E621" t="str">
            <v>Negatoscopio</v>
          </cell>
          <cell r="F621" t="str">
            <v>NO</v>
          </cell>
          <cell r="G621" t="str">
            <v>SI</v>
          </cell>
          <cell r="H621" t="str">
            <v>BOX DE ATENCIÓN</v>
          </cell>
          <cell r="I621">
            <v>1</v>
          </cell>
          <cell r="J621" t="str">
            <v>D.4.4.1.3.1</v>
          </cell>
          <cell r="K621" t="str">
            <v>Consultas Ambulatorias</v>
          </cell>
          <cell r="L621">
            <v>3</v>
          </cell>
          <cell r="M621">
            <v>46003</v>
          </cell>
          <cell r="N621">
            <v>46006</v>
          </cell>
          <cell r="O621">
            <v>1</v>
          </cell>
          <cell r="P621">
            <v>46007</v>
          </cell>
          <cell r="Q621">
            <v>5</v>
          </cell>
          <cell r="R621" t="str">
            <v>NA</v>
          </cell>
          <cell r="S621">
            <v>5</v>
          </cell>
        </row>
        <row r="622">
          <cell r="B622" t="str">
            <v>EMMC</v>
          </cell>
          <cell r="C622" t="str">
            <v>HSLB10198</v>
          </cell>
          <cell r="D622">
            <v>101052</v>
          </cell>
          <cell r="E622" t="str">
            <v>Oftalmoscopio Indirecto</v>
          </cell>
          <cell r="F622" t="str">
            <v>NO</v>
          </cell>
          <cell r="G622" t="str">
            <v>SI</v>
          </cell>
          <cell r="H622" t="str">
            <v>BODEGA DE EQUIPOS</v>
          </cell>
          <cell r="I622">
            <v>1</v>
          </cell>
          <cell r="J622" t="str">
            <v>C.5.6.4.17</v>
          </cell>
          <cell r="K622" t="str">
            <v>Pabellones</v>
          </cell>
          <cell r="L622">
            <v>3</v>
          </cell>
          <cell r="M622">
            <v>46003</v>
          </cell>
          <cell r="N622">
            <v>46006</v>
          </cell>
          <cell r="O622">
            <v>1</v>
          </cell>
          <cell r="P622">
            <v>46007</v>
          </cell>
          <cell r="Q622">
            <v>5</v>
          </cell>
          <cell r="R622" t="str">
            <v>NA</v>
          </cell>
          <cell r="S622">
            <v>5</v>
          </cell>
        </row>
        <row r="623">
          <cell r="B623" t="str">
            <v>EMMC</v>
          </cell>
          <cell r="C623" t="str">
            <v>HSLB10230</v>
          </cell>
          <cell r="D623">
            <v>101054</v>
          </cell>
          <cell r="E623" t="str">
            <v>Otooftalmoscopio Portátil</v>
          </cell>
          <cell r="F623" t="str">
            <v>NO</v>
          </cell>
          <cell r="G623" t="str">
            <v>NO</v>
          </cell>
          <cell r="H623" t="str">
            <v>ESTACIÓN DE ENFERMERÍA</v>
          </cell>
          <cell r="I623">
            <v>1</v>
          </cell>
          <cell r="J623" t="str">
            <v>C.3.6.3.7</v>
          </cell>
          <cell r="K623" t="str">
            <v>Parto integral</v>
          </cell>
          <cell r="L623">
            <v>3</v>
          </cell>
          <cell r="M623">
            <v>46042</v>
          </cell>
          <cell r="N623">
            <v>46043</v>
          </cell>
          <cell r="O623">
            <v>1</v>
          </cell>
          <cell r="P623">
            <v>46044</v>
          </cell>
          <cell r="Q623">
            <v>5</v>
          </cell>
          <cell r="R623" t="str">
            <v>NA</v>
          </cell>
          <cell r="S623">
            <v>5</v>
          </cell>
        </row>
        <row r="624">
          <cell r="B624" t="str">
            <v>EMMC</v>
          </cell>
          <cell r="C624" t="str">
            <v>HSLB10231</v>
          </cell>
          <cell r="D624">
            <v>101054</v>
          </cell>
          <cell r="E624" t="str">
            <v>Otooftalmoscopio Portátil</v>
          </cell>
          <cell r="F624" t="str">
            <v>NO</v>
          </cell>
          <cell r="G624" t="str">
            <v>NO</v>
          </cell>
          <cell r="H624" t="str">
            <v>ESTACIÓN DE ENFERMERÍA</v>
          </cell>
          <cell r="I624">
            <v>1</v>
          </cell>
          <cell r="J624" t="str">
            <v>C.3.7.12.2</v>
          </cell>
          <cell r="K624" t="str">
            <v>UTI</v>
          </cell>
          <cell r="L624">
            <v>3</v>
          </cell>
          <cell r="M624">
            <v>46042</v>
          </cell>
          <cell r="N624">
            <v>46043</v>
          </cell>
          <cell r="O624">
            <v>1</v>
          </cell>
          <cell r="P624">
            <v>46044</v>
          </cell>
          <cell r="Q624">
            <v>5</v>
          </cell>
          <cell r="R624" t="str">
            <v>NA</v>
          </cell>
          <cell r="S624">
            <v>5</v>
          </cell>
        </row>
        <row r="625">
          <cell r="B625" t="str">
            <v>EMMC</v>
          </cell>
          <cell r="C625" t="str">
            <v>HSLB10234</v>
          </cell>
          <cell r="D625">
            <v>101054</v>
          </cell>
          <cell r="E625" t="str">
            <v>Otooftalmoscopio Portátil</v>
          </cell>
          <cell r="F625" t="str">
            <v>NO</v>
          </cell>
          <cell r="G625" t="str">
            <v>NO</v>
          </cell>
          <cell r="H625" t="str">
            <v>ESTACIÓN DE ENFERMERÍA</v>
          </cell>
          <cell r="I625">
            <v>1</v>
          </cell>
          <cell r="J625" t="str">
            <v>C.5.6.3.18.1</v>
          </cell>
          <cell r="K625" t="str">
            <v>Pabellones</v>
          </cell>
          <cell r="L625">
            <v>3</v>
          </cell>
          <cell r="M625">
            <v>46039</v>
          </cell>
          <cell r="N625">
            <v>46041</v>
          </cell>
          <cell r="O625">
            <v>1</v>
          </cell>
          <cell r="P625">
            <v>46042</v>
          </cell>
          <cell r="Q625">
            <v>5</v>
          </cell>
          <cell r="R625" t="str">
            <v>NA</v>
          </cell>
          <cell r="S625">
            <v>5</v>
          </cell>
        </row>
        <row r="626">
          <cell r="B626" t="str">
            <v>EMMC</v>
          </cell>
          <cell r="C626" t="str">
            <v>HSLB12387</v>
          </cell>
          <cell r="D626">
            <v>112068</v>
          </cell>
          <cell r="E626" t="str">
            <v>Piso Taburete Clínico</v>
          </cell>
          <cell r="F626" t="str">
            <v>NO</v>
          </cell>
          <cell r="G626" t="str">
            <v>NO</v>
          </cell>
          <cell r="H626" t="str">
            <v>SALA PARTO INTEGRAL</v>
          </cell>
          <cell r="I626">
            <v>1</v>
          </cell>
          <cell r="J626" t="str">
            <v>C.3.6.3.6.1</v>
          </cell>
          <cell r="K626" t="str">
            <v>Parto integral</v>
          </cell>
          <cell r="L626">
            <v>3</v>
          </cell>
          <cell r="M626">
            <v>46042</v>
          </cell>
          <cell r="N626">
            <v>46043</v>
          </cell>
          <cell r="O626">
            <v>1</v>
          </cell>
          <cell r="P626">
            <v>46044</v>
          </cell>
          <cell r="Q626">
            <v>5</v>
          </cell>
          <cell r="R626" t="str">
            <v>NA</v>
          </cell>
          <cell r="S626">
            <v>5</v>
          </cell>
        </row>
        <row r="627">
          <cell r="B627" t="str">
            <v>EMMC</v>
          </cell>
          <cell r="C627" t="str">
            <v>HSLB12388</v>
          </cell>
          <cell r="D627">
            <v>112068</v>
          </cell>
          <cell r="E627" t="str">
            <v>Piso Taburete Clínico</v>
          </cell>
          <cell r="F627" t="str">
            <v>NO</v>
          </cell>
          <cell r="G627" t="str">
            <v>NO</v>
          </cell>
          <cell r="H627" t="str">
            <v>SALA PARTO INTEGRAL</v>
          </cell>
          <cell r="I627">
            <v>1</v>
          </cell>
          <cell r="J627" t="str">
            <v>C.3.6.3.6.2</v>
          </cell>
          <cell r="K627" t="str">
            <v>Parto integral</v>
          </cell>
          <cell r="L627">
            <v>3</v>
          </cell>
          <cell r="M627">
            <v>46042</v>
          </cell>
          <cell r="N627">
            <v>46043</v>
          </cell>
          <cell r="O627">
            <v>1</v>
          </cell>
          <cell r="P627">
            <v>46044</v>
          </cell>
          <cell r="Q627">
            <v>5</v>
          </cell>
          <cell r="R627" t="str">
            <v>NA</v>
          </cell>
          <cell r="S627">
            <v>5</v>
          </cell>
        </row>
        <row r="628">
          <cell r="B628" t="str">
            <v>EMMC</v>
          </cell>
          <cell r="C628" t="str">
            <v>HSLB12389</v>
          </cell>
          <cell r="D628">
            <v>112068</v>
          </cell>
          <cell r="E628" t="str">
            <v>Piso Taburete Clínico</v>
          </cell>
          <cell r="F628" t="str">
            <v>NO</v>
          </cell>
          <cell r="G628" t="str">
            <v>NO</v>
          </cell>
          <cell r="H628" t="str">
            <v>SALA PARTO INTEGRAL</v>
          </cell>
          <cell r="I628">
            <v>1</v>
          </cell>
          <cell r="J628" t="str">
            <v>C.3.6.3.6.3</v>
          </cell>
          <cell r="K628" t="str">
            <v>Parto integral</v>
          </cell>
          <cell r="L628">
            <v>3</v>
          </cell>
          <cell r="M628">
            <v>46042</v>
          </cell>
          <cell r="N628">
            <v>46043</v>
          </cell>
          <cell r="O628">
            <v>1</v>
          </cell>
          <cell r="P628">
            <v>46044</v>
          </cell>
          <cell r="Q628">
            <v>5</v>
          </cell>
          <cell r="R628" t="str">
            <v>NA</v>
          </cell>
          <cell r="S628">
            <v>5</v>
          </cell>
        </row>
        <row r="629">
          <cell r="B629" t="str">
            <v>EMMC</v>
          </cell>
          <cell r="C629" t="str">
            <v>HSLB12390</v>
          </cell>
          <cell r="D629">
            <v>112068</v>
          </cell>
          <cell r="E629" t="str">
            <v>Piso Taburete Clínico</v>
          </cell>
          <cell r="F629" t="str">
            <v>NO</v>
          </cell>
          <cell r="G629" t="str">
            <v>NO</v>
          </cell>
          <cell r="H629" t="str">
            <v>SALA DE PROCEDIMIENTOS</v>
          </cell>
          <cell r="I629">
            <v>1</v>
          </cell>
          <cell r="J629" t="str">
            <v>C.3.7.18</v>
          </cell>
          <cell r="K629" t="str">
            <v>UTI</v>
          </cell>
          <cell r="L629">
            <v>3</v>
          </cell>
          <cell r="M629">
            <v>46042</v>
          </cell>
          <cell r="N629">
            <v>46043</v>
          </cell>
          <cell r="O629">
            <v>1</v>
          </cell>
          <cell r="P629">
            <v>46044</v>
          </cell>
          <cell r="Q629">
            <v>5</v>
          </cell>
          <cell r="R629" t="str">
            <v>NA</v>
          </cell>
          <cell r="S629">
            <v>5</v>
          </cell>
        </row>
        <row r="630">
          <cell r="B630" t="str">
            <v>EMMC</v>
          </cell>
          <cell r="C630" t="str">
            <v>HSLB12409</v>
          </cell>
          <cell r="D630">
            <v>112068</v>
          </cell>
          <cell r="E630" t="str">
            <v>Piso Taburete Clínico</v>
          </cell>
          <cell r="F630" t="str">
            <v>NO</v>
          </cell>
          <cell r="G630" t="str">
            <v>NO</v>
          </cell>
          <cell r="H630" t="str">
            <v>SALA DE BIOPSIA RÁPIDA</v>
          </cell>
          <cell r="I630">
            <v>1</v>
          </cell>
          <cell r="J630" t="str">
            <v>C.5.6.4.12</v>
          </cell>
          <cell r="K630" t="str">
            <v>Pabellones</v>
          </cell>
          <cell r="L630">
            <v>3</v>
          </cell>
          <cell r="M630">
            <v>46039</v>
          </cell>
          <cell r="N630">
            <v>46041</v>
          </cell>
          <cell r="O630">
            <v>1</v>
          </cell>
          <cell r="P630">
            <v>46042</v>
          </cell>
          <cell r="Q630">
            <v>5</v>
          </cell>
          <cell r="R630" t="str">
            <v>NA</v>
          </cell>
          <cell r="S630">
            <v>5</v>
          </cell>
        </row>
        <row r="631">
          <cell r="B631" t="str">
            <v>EMMC</v>
          </cell>
          <cell r="C631" t="str">
            <v>HSLB12410</v>
          </cell>
          <cell r="D631">
            <v>112068</v>
          </cell>
          <cell r="E631" t="str">
            <v>Piso Taburete Clínico</v>
          </cell>
          <cell r="F631" t="str">
            <v>NO</v>
          </cell>
          <cell r="G631" t="str">
            <v>NO</v>
          </cell>
          <cell r="H631" t="str">
            <v>PABELLON CIRUGIA MAYOR ELECTIVA</v>
          </cell>
          <cell r="I631">
            <v>1</v>
          </cell>
          <cell r="J631" t="str">
            <v>C.5.6.4.5.1</v>
          </cell>
          <cell r="K631" t="str">
            <v>Pabellones</v>
          </cell>
          <cell r="L631">
            <v>3</v>
          </cell>
          <cell r="M631">
            <v>46039</v>
          </cell>
          <cell r="N631">
            <v>46041</v>
          </cell>
          <cell r="O631">
            <v>1</v>
          </cell>
          <cell r="P631">
            <v>46042</v>
          </cell>
          <cell r="Q631">
            <v>5</v>
          </cell>
          <cell r="R631" t="str">
            <v>NA</v>
          </cell>
          <cell r="S631">
            <v>5</v>
          </cell>
        </row>
        <row r="632">
          <cell r="B632" t="str">
            <v>EMMC</v>
          </cell>
          <cell r="C632" t="str">
            <v>HSLB12411</v>
          </cell>
          <cell r="D632">
            <v>112068</v>
          </cell>
          <cell r="E632" t="str">
            <v>Piso Taburete Clínico</v>
          </cell>
          <cell r="F632" t="str">
            <v>NO</v>
          </cell>
          <cell r="G632" t="str">
            <v>NO</v>
          </cell>
          <cell r="H632" t="str">
            <v>PABELLON CIRUGIA MAYOR ELECTIVA</v>
          </cell>
          <cell r="I632">
            <v>1</v>
          </cell>
          <cell r="J632" t="str">
            <v>C.5.6.4.5.2</v>
          </cell>
          <cell r="K632" t="str">
            <v>Pabellones</v>
          </cell>
          <cell r="L632">
            <v>3</v>
          </cell>
          <cell r="M632">
            <v>46039</v>
          </cell>
          <cell r="N632">
            <v>46041</v>
          </cell>
          <cell r="O632">
            <v>1</v>
          </cell>
          <cell r="P632">
            <v>46042</v>
          </cell>
          <cell r="Q632">
            <v>5</v>
          </cell>
          <cell r="R632" t="str">
            <v>NA</v>
          </cell>
          <cell r="S632">
            <v>5</v>
          </cell>
        </row>
        <row r="633">
          <cell r="B633" t="str">
            <v>EMMC</v>
          </cell>
          <cell r="C633" t="str">
            <v>HSLB12412</v>
          </cell>
          <cell r="D633">
            <v>112068</v>
          </cell>
          <cell r="E633" t="str">
            <v>Piso Taburete Clínico</v>
          </cell>
          <cell r="F633" t="str">
            <v>NO</v>
          </cell>
          <cell r="G633" t="str">
            <v>NO</v>
          </cell>
          <cell r="H633" t="str">
            <v>PABELLON CIRUGIA MAYOR ELECTIVA</v>
          </cell>
          <cell r="I633">
            <v>1</v>
          </cell>
          <cell r="J633" t="str">
            <v>C.5.6.4.5.3</v>
          </cell>
          <cell r="K633" t="str">
            <v>Pabellones</v>
          </cell>
          <cell r="L633">
            <v>3</v>
          </cell>
          <cell r="M633">
            <v>46039</v>
          </cell>
          <cell r="N633">
            <v>46041</v>
          </cell>
          <cell r="O633">
            <v>1</v>
          </cell>
          <cell r="P633">
            <v>46042</v>
          </cell>
          <cell r="Q633">
            <v>5</v>
          </cell>
          <cell r="R633" t="str">
            <v>NA</v>
          </cell>
          <cell r="S633">
            <v>5</v>
          </cell>
        </row>
        <row r="634">
          <cell r="B634" t="str">
            <v>EMMC</v>
          </cell>
          <cell r="C634" t="str">
            <v>HSLB12424</v>
          </cell>
          <cell r="D634">
            <v>112069</v>
          </cell>
          <cell r="E634" t="str">
            <v>Piso Taburete Clínico con Respaldo</v>
          </cell>
          <cell r="F634" t="str">
            <v>NO</v>
          </cell>
          <cell r="G634" t="str">
            <v>NO</v>
          </cell>
          <cell r="H634" t="str">
            <v>SALA PARTO INTEGRAL</v>
          </cell>
          <cell r="I634">
            <v>1</v>
          </cell>
          <cell r="J634" t="str">
            <v>C.3.6.3.6.1</v>
          </cell>
          <cell r="K634" t="str">
            <v>Parto integral</v>
          </cell>
          <cell r="L634">
            <v>3</v>
          </cell>
          <cell r="M634">
            <v>46042</v>
          </cell>
          <cell r="N634">
            <v>46043</v>
          </cell>
          <cell r="O634">
            <v>1</v>
          </cell>
          <cell r="P634">
            <v>46044</v>
          </cell>
          <cell r="Q634">
            <v>5</v>
          </cell>
          <cell r="R634" t="str">
            <v>NA</v>
          </cell>
          <cell r="S634">
            <v>5</v>
          </cell>
        </row>
        <row r="635">
          <cell r="B635" t="str">
            <v>EMMC</v>
          </cell>
          <cell r="C635" t="str">
            <v>HSLB12425</v>
          </cell>
          <cell r="D635">
            <v>112069</v>
          </cell>
          <cell r="E635" t="str">
            <v>Piso Taburete Clínico con Respaldo</v>
          </cell>
          <cell r="F635" t="str">
            <v>NO</v>
          </cell>
          <cell r="G635" t="str">
            <v>NO</v>
          </cell>
          <cell r="H635" t="str">
            <v>SALA PARTO INTEGRAL</v>
          </cell>
          <cell r="I635">
            <v>1</v>
          </cell>
          <cell r="J635" t="str">
            <v>C.3.6.3.6.2</v>
          </cell>
          <cell r="K635" t="str">
            <v>Parto integral</v>
          </cell>
          <cell r="L635">
            <v>3</v>
          </cell>
          <cell r="M635">
            <v>46042</v>
          </cell>
          <cell r="N635">
            <v>46043</v>
          </cell>
          <cell r="O635">
            <v>1</v>
          </cell>
          <cell r="P635">
            <v>46044</v>
          </cell>
          <cell r="Q635">
            <v>5</v>
          </cell>
          <cell r="R635" t="str">
            <v>NA</v>
          </cell>
          <cell r="S635">
            <v>5</v>
          </cell>
        </row>
        <row r="636">
          <cell r="B636" t="str">
            <v>EMMC</v>
          </cell>
          <cell r="C636" t="str">
            <v>HSLB12426</v>
          </cell>
          <cell r="D636">
            <v>112069</v>
          </cell>
          <cell r="E636" t="str">
            <v>Piso Taburete Clínico con Respaldo</v>
          </cell>
          <cell r="F636" t="str">
            <v>NO</v>
          </cell>
          <cell r="G636" t="str">
            <v>NO</v>
          </cell>
          <cell r="H636" t="str">
            <v>SALA PARTO INTEGRAL</v>
          </cell>
          <cell r="I636">
            <v>1</v>
          </cell>
          <cell r="J636" t="str">
            <v>C.3.6.3.6.3</v>
          </cell>
          <cell r="K636" t="str">
            <v>Parto integral</v>
          </cell>
          <cell r="L636">
            <v>3</v>
          </cell>
          <cell r="M636">
            <v>46042</v>
          </cell>
          <cell r="N636">
            <v>46043</v>
          </cell>
          <cell r="O636">
            <v>1</v>
          </cell>
          <cell r="P636">
            <v>46044</v>
          </cell>
          <cell r="Q636">
            <v>5</v>
          </cell>
          <cell r="R636" t="str">
            <v>NA</v>
          </cell>
          <cell r="S636">
            <v>5</v>
          </cell>
        </row>
        <row r="637">
          <cell r="B637" t="str">
            <v>EMMC</v>
          </cell>
          <cell r="C637" t="str">
            <v>HSLB10392</v>
          </cell>
          <cell r="D637">
            <v>103045</v>
          </cell>
          <cell r="E637" t="str">
            <v>Pistola de Secado</v>
          </cell>
          <cell r="F637" t="str">
            <v>NO</v>
          </cell>
          <cell r="G637" t="str">
            <v>NO</v>
          </cell>
          <cell r="H637" t="str">
            <v>LAVADORA ULTRASONICA</v>
          </cell>
          <cell r="I637">
            <v>1</v>
          </cell>
          <cell r="J637" t="str">
            <v>C.5.5.16</v>
          </cell>
          <cell r="K637" t="str">
            <v>Esterilización</v>
          </cell>
          <cell r="L637">
            <v>3</v>
          </cell>
          <cell r="M637">
            <v>46042</v>
          </cell>
          <cell r="N637">
            <v>46043</v>
          </cell>
          <cell r="O637">
            <v>1</v>
          </cell>
          <cell r="P637">
            <v>46044</v>
          </cell>
          <cell r="Q637">
            <v>5</v>
          </cell>
          <cell r="R637" t="str">
            <v>NA</v>
          </cell>
          <cell r="S637">
            <v>5</v>
          </cell>
        </row>
        <row r="638">
          <cell r="B638" t="str">
            <v>EMMC</v>
          </cell>
          <cell r="C638" t="str">
            <v>HSLB10393</v>
          </cell>
          <cell r="D638">
            <v>103045</v>
          </cell>
          <cell r="E638" t="str">
            <v>Pistola de Secado</v>
          </cell>
          <cell r="F638" t="str">
            <v>NO</v>
          </cell>
          <cell r="G638" t="str">
            <v>NO</v>
          </cell>
          <cell r="H638" t="str">
            <v>PREPARACIÓN Y EMPAQUE INSTRUMENTAL</v>
          </cell>
          <cell r="I638">
            <v>1</v>
          </cell>
          <cell r="J638" t="str">
            <v>C.5.5.23</v>
          </cell>
          <cell r="K638" t="str">
            <v>Esterilización</v>
          </cell>
          <cell r="L638">
            <v>3</v>
          </cell>
          <cell r="M638">
            <v>46042</v>
          </cell>
          <cell r="N638">
            <v>46043</v>
          </cell>
          <cell r="O638">
            <v>1</v>
          </cell>
          <cell r="P638">
            <v>46044</v>
          </cell>
          <cell r="Q638">
            <v>5</v>
          </cell>
          <cell r="R638" t="str">
            <v>NA</v>
          </cell>
          <cell r="S638">
            <v>5</v>
          </cell>
        </row>
        <row r="639">
          <cell r="B639" t="str">
            <v>EMMC</v>
          </cell>
          <cell r="C639" t="str">
            <v>HSLB10939</v>
          </cell>
          <cell r="D639">
            <v>106018</v>
          </cell>
          <cell r="E639" t="str">
            <v>Set Terapéutico Parto integral</v>
          </cell>
          <cell r="F639" t="str">
            <v>NO</v>
          </cell>
          <cell r="G639" t="str">
            <v>NO</v>
          </cell>
          <cell r="H639" t="str">
            <v>BODEGA DE EQUIPOS</v>
          </cell>
          <cell r="I639">
            <v>1</v>
          </cell>
          <cell r="J639" t="str">
            <v>C.3.6.3.13</v>
          </cell>
          <cell r="K639" t="str">
            <v>Parto integral</v>
          </cell>
          <cell r="L639">
            <v>3</v>
          </cell>
          <cell r="M639">
            <v>46042</v>
          </cell>
          <cell r="N639">
            <v>46043</v>
          </cell>
          <cell r="O639">
            <v>1</v>
          </cell>
          <cell r="P639">
            <v>46044</v>
          </cell>
          <cell r="Q639">
            <v>5</v>
          </cell>
          <cell r="R639" t="str">
            <v>NA</v>
          </cell>
          <cell r="S639">
            <v>5</v>
          </cell>
        </row>
        <row r="640">
          <cell r="B640" t="str">
            <v>EMMC</v>
          </cell>
          <cell r="C640" t="str">
            <v>HSLB11443</v>
          </cell>
          <cell r="D640">
            <v>110059</v>
          </cell>
          <cell r="E640" t="str">
            <v>Sistema de Transporte Refrigerado para Medicamentos 8 L</v>
          </cell>
          <cell r="F640" t="str">
            <v>NO</v>
          </cell>
          <cell r="G640" t="str">
            <v>NO</v>
          </cell>
          <cell r="H640" t="str">
            <v>AREA LIMPIA</v>
          </cell>
          <cell r="I640">
            <v>1</v>
          </cell>
          <cell r="J640" t="str">
            <v>C.3.6.3.8.1</v>
          </cell>
          <cell r="K640" t="str">
            <v>Parto integral</v>
          </cell>
          <cell r="L640">
            <v>3</v>
          </cell>
          <cell r="M640">
            <v>46042</v>
          </cell>
          <cell r="N640">
            <v>46043</v>
          </cell>
          <cell r="O640">
            <v>1</v>
          </cell>
          <cell r="P640">
            <v>46044</v>
          </cell>
          <cell r="Q640">
            <v>5</v>
          </cell>
          <cell r="R640" t="str">
            <v>NA</v>
          </cell>
          <cell r="S640">
            <v>5</v>
          </cell>
        </row>
        <row r="641">
          <cell r="B641" t="str">
            <v>EMMC</v>
          </cell>
          <cell r="C641" t="str">
            <v>HSLB12587</v>
          </cell>
          <cell r="D641">
            <v>112089</v>
          </cell>
          <cell r="E641" t="str">
            <v>Soporte Universal</v>
          </cell>
          <cell r="F641" t="str">
            <v>NO</v>
          </cell>
          <cell r="G641" t="str">
            <v>NO</v>
          </cell>
          <cell r="H641" t="str">
            <v>SALA PARTO INTEGRAL</v>
          </cell>
          <cell r="I641">
            <v>1</v>
          </cell>
          <cell r="J641" t="str">
            <v>C.3.6.3.6.1</v>
          </cell>
          <cell r="K641" t="str">
            <v>Parto integral</v>
          </cell>
          <cell r="L641">
            <v>3</v>
          </cell>
          <cell r="M641">
            <v>46042</v>
          </cell>
          <cell r="N641">
            <v>46043</v>
          </cell>
          <cell r="O641">
            <v>1</v>
          </cell>
          <cell r="P641">
            <v>46044</v>
          </cell>
          <cell r="Q641">
            <v>5</v>
          </cell>
          <cell r="R641" t="str">
            <v>NA</v>
          </cell>
          <cell r="S641">
            <v>5</v>
          </cell>
        </row>
        <row r="642">
          <cell r="B642" t="str">
            <v>EMMC</v>
          </cell>
          <cell r="C642" t="str">
            <v>HSLB12588</v>
          </cell>
          <cell r="D642">
            <v>112089</v>
          </cell>
          <cell r="E642" t="str">
            <v>Soporte Universal</v>
          </cell>
          <cell r="F642" t="str">
            <v>NO</v>
          </cell>
          <cell r="G642" t="str">
            <v>NO</v>
          </cell>
          <cell r="H642" t="str">
            <v>SALA PARTO INTEGRAL</v>
          </cell>
          <cell r="I642">
            <v>1</v>
          </cell>
          <cell r="J642" t="str">
            <v>C.3.6.3.6.2</v>
          </cell>
          <cell r="K642" t="str">
            <v>Parto integral</v>
          </cell>
          <cell r="L642">
            <v>3</v>
          </cell>
          <cell r="M642">
            <v>46042</v>
          </cell>
          <cell r="N642">
            <v>46043</v>
          </cell>
          <cell r="O642">
            <v>1</v>
          </cell>
          <cell r="P642">
            <v>46044</v>
          </cell>
          <cell r="Q642">
            <v>5</v>
          </cell>
          <cell r="R642" t="str">
            <v>NA</v>
          </cell>
          <cell r="S642">
            <v>5</v>
          </cell>
        </row>
        <row r="643">
          <cell r="B643" t="str">
            <v>EMMC</v>
          </cell>
          <cell r="C643" t="str">
            <v>HSLB12589</v>
          </cell>
          <cell r="D643">
            <v>112089</v>
          </cell>
          <cell r="E643" t="str">
            <v>Soporte Universal</v>
          </cell>
          <cell r="F643" t="str">
            <v>NO</v>
          </cell>
          <cell r="G643" t="str">
            <v>NO</v>
          </cell>
          <cell r="H643" t="str">
            <v>SALA PARTO INTEGRAL</v>
          </cell>
          <cell r="I643">
            <v>1</v>
          </cell>
          <cell r="J643" t="str">
            <v>C.3.6.3.6.3</v>
          </cell>
          <cell r="K643" t="str">
            <v>Parto integral</v>
          </cell>
          <cell r="L643">
            <v>3</v>
          </cell>
          <cell r="M643">
            <v>46042</v>
          </cell>
          <cell r="N643">
            <v>46043</v>
          </cell>
          <cell r="O643">
            <v>1</v>
          </cell>
          <cell r="P643">
            <v>46044</v>
          </cell>
          <cell r="Q643">
            <v>5</v>
          </cell>
          <cell r="R643" t="str">
            <v>NA</v>
          </cell>
          <cell r="S643">
            <v>5</v>
          </cell>
        </row>
        <row r="644">
          <cell r="B644" t="str">
            <v>EMMC</v>
          </cell>
          <cell r="C644" t="str">
            <v>HSLB12592</v>
          </cell>
          <cell r="D644">
            <v>112089</v>
          </cell>
          <cell r="E644" t="str">
            <v>Soporte Universal</v>
          </cell>
          <cell r="F644" t="str">
            <v>NO</v>
          </cell>
          <cell r="G644" t="str">
            <v>NO</v>
          </cell>
          <cell r="H644" t="str">
            <v>BOX INGRESO PREPARACIÓN DE PACIENTES</v>
          </cell>
          <cell r="I644">
            <v>1</v>
          </cell>
          <cell r="J644" t="str">
            <v>C.5.6.2.1</v>
          </cell>
          <cell r="K644" t="str">
            <v>Pabellones</v>
          </cell>
          <cell r="L644">
            <v>3</v>
          </cell>
          <cell r="M644">
            <v>46039</v>
          </cell>
          <cell r="N644">
            <v>46041</v>
          </cell>
          <cell r="O644">
            <v>1</v>
          </cell>
          <cell r="P644">
            <v>46042</v>
          </cell>
          <cell r="Q644">
            <v>5</v>
          </cell>
          <cell r="R644" t="str">
            <v>NA</v>
          </cell>
          <cell r="S644">
            <v>5</v>
          </cell>
        </row>
        <row r="645">
          <cell r="B645" t="str">
            <v>EMMC</v>
          </cell>
          <cell r="C645" t="str">
            <v>HSLB12594</v>
          </cell>
          <cell r="D645">
            <v>112089</v>
          </cell>
          <cell r="E645" t="str">
            <v>Soporte Universal</v>
          </cell>
          <cell r="F645" t="str">
            <v>NO</v>
          </cell>
          <cell r="G645" t="str">
            <v>NO</v>
          </cell>
          <cell r="H645" t="str">
            <v>SALA RECUPERACION CIRUGIA MAYOR AMBULATORIA</v>
          </cell>
          <cell r="I645">
            <v>1</v>
          </cell>
          <cell r="J645" t="str">
            <v>C.5.6.3.14.1</v>
          </cell>
          <cell r="K645" t="str">
            <v>Pabellones</v>
          </cell>
          <cell r="L645">
            <v>3</v>
          </cell>
          <cell r="M645">
            <v>46039</v>
          </cell>
          <cell r="N645">
            <v>46041</v>
          </cell>
          <cell r="O645">
            <v>1</v>
          </cell>
          <cell r="P645">
            <v>46042</v>
          </cell>
          <cell r="Q645">
            <v>5</v>
          </cell>
          <cell r="R645" t="str">
            <v>NA</v>
          </cell>
          <cell r="S645">
            <v>5</v>
          </cell>
        </row>
        <row r="646">
          <cell r="B646" t="str">
            <v>EMMC</v>
          </cell>
          <cell r="C646" t="str">
            <v>HSLB12595</v>
          </cell>
          <cell r="D646">
            <v>112089</v>
          </cell>
          <cell r="E646" t="str">
            <v>Soporte Universal</v>
          </cell>
          <cell r="F646" t="str">
            <v>NO</v>
          </cell>
          <cell r="G646" t="str">
            <v>NO</v>
          </cell>
          <cell r="H646" t="str">
            <v>SALA RECUPERACION CIRUGIA MAYOR AMBULATORIA</v>
          </cell>
          <cell r="I646">
            <v>1</v>
          </cell>
          <cell r="J646" t="str">
            <v>C.5.6.3.14.2</v>
          </cell>
          <cell r="K646" t="str">
            <v>Pabellones</v>
          </cell>
          <cell r="L646">
            <v>3</v>
          </cell>
          <cell r="M646">
            <v>46039</v>
          </cell>
          <cell r="N646">
            <v>46041</v>
          </cell>
          <cell r="O646">
            <v>1</v>
          </cell>
          <cell r="P646">
            <v>46042</v>
          </cell>
          <cell r="Q646">
            <v>5</v>
          </cell>
          <cell r="R646" t="str">
            <v>NA</v>
          </cell>
          <cell r="S646">
            <v>5</v>
          </cell>
        </row>
        <row r="647">
          <cell r="B647" t="str">
            <v>EMMC</v>
          </cell>
          <cell r="C647" t="str">
            <v>HSLB12596</v>
          </cell>
          <cell r="D647">
            <v>112089</v>
          </cell>
          <cell r="E647" t="str">
            <v>Soporte Universal</v>
          </cell>
          <cell r="F647" t="str">
            <v>NO</v>
          </cell>
          <cell r="G647" t="str">
            <v>NO</v>
          </cell>
          <cell r="H647" t="str">
            <v>SALA RECUPERACION CIRUGIA MAYOR AMBULATORIA</v>
          </cell>
          <cell r="I647">
            <v>1</v>
          </cell>
          <cell r="J647" t="str">
            <v>C.5.6.3.14.3</v>
          </cell>
          <cell r="K647" t="str">
            <v>Pabellones</v>
          </cell>
          <cell r="L647">
            <v>3</v>
          </cell>
          <cell r="M647">
            <v>46039</v>
          </cell>
          <cell r="N647">
            <v>46041</v>
          </cell>
          <cell r="O647">
            <v>1</v>
          </cell>
          <cell r="P647">
            <v>46042</v>
          </cell>
          <cell r="Q647">
            <v>5</v>
          </cell>
          <cell r="R647" t="str">
            <v>NA</v>
          </cell>
          <cell r="S647">
            <v>5</v>
          </cell>
        </row>
        <row r="648">
          <cell r="B648" t="str">
            <v>EMMC</v>
          </cell>
          <cell r="C648" t="str">
            <v>HSLB12598</v>
          </cell>
          <cell r="D648">
            <v>112089</v>
          </cell>
          <cell r="E648" t="str">
            <v>Soporte Universal</v>
          </cell>
          <cell r="F648" t="str">
            <v>NO</v>
          </cell>
          <cell r="G648" t="str">
            <v>NO</v>
          </cell>
          <cell r="H648" t="str">
            <v>SALA RECUPERACION URGENCIAS</v>
          </cell>
          <cell r="I648">
            <v>1</v>
          </cell>
          <cell r="J648" t="str">
            <v>C.5.6.3.15.1</v>
          </cell>
          <cell r="K648" t="str">
            <v>Pabellones</v>
          </cell>
          <cell r="L648">
            <v>3</v>
          </cell>
          <cell r="M648">
            <v>46039</v>
          </cell>
          <cell r="N648">
            <v>46041</v>
          </cell>
          <cell r="O648">
            <v>1</v>
          </cell>
          <cell r="P648">
            <v>46042</v>
          </cell>
          <cell r="Q648">
            <v>5</v>
          </cell>
          <cell r="R648" t="str">
            <v>NA</v>
          </cell>
          <cell r="S648">
            <v>5</v>
          </cell>
        </row>
        <row r="649">
          <cell r="B649" t="str">
            <v>EMMC</v>
          </cell>
          <cell r="C649" t="str">
            <v>HSLB12599</v>
          </cell>
          <cell r="D649">
            <v>112089</v>
          </cell>
          <cell r="E649" t="str">
            <v>Soporte Universal</v>
          </cell>
          <cell r="F649" t="str">
            <v>NO</v>
          </cell>
          <cell r="G649" t="str">
            <v>NO</v>
          </cell>
          <cell r="H649" t="str">
            <v>SALA RECUPERACION URGENCIAS</v>
          </cell>
          <cell r="I649">
            <v>1</v>
          </cell>
          <cell r="J649" t="str">
            <v>C.5.6.3.15.2</v>
          </cell>
          <cell r="K649" t="str">
            <v>Pabellones</v>
          </cell>
          <cell r="L649">
            <v>3</v>
          </cell>
          <cell r="M649">
            <v>46039</v>
          </cell>
          <cell r="N649">
            <v>46041</v>
          </cell>
          <cell r="O649">
            <v>1</v>
          </cell>
          <cell r="P649">
            <v>46042</v>
          </cell>
          <cell r="Q649">
            <v>5</v>
          </cell>
          <cell r="R649" t="str">
            <v>NA</v>
          </cell>
          <cell r="S649">
            <v>5</v>
          </cell>
        </row>
        <row r="650">
          <cell r="B650" t="str">
            <v>EMMC</v>
          </cell>
          <cell r="C650" t="str">
            <v>HSLB12601</v>
          </cell>
          <cell r="D650">
            <v>112089</v>
          </cell>
          <cell r="E650" t="str">
            <v>Soporte Universal</v>
          </cell>
          <cell r="F650" t="str">
            <v>NO</v>
          </cell>
          <cell r="G650" t="str">
            <v>NO</v>
          </cell>
          <cell r="H650" t="str">
            <v>SALA REANIMACIÓN NEONATAL</v>
          </cell>
          <cell r="I650">
            <v>1</v>
          </cell>
          <cell r="J650" t="str">
            <v>C.5.6.4.11</v>
          </cell>
          <cell r="K650" t="str">
            <v>Pabellones</v>
          </cell>
          <cell r="L650">
            <v>3</v>
          </cell>
          <cell r="M650">
            <v>46039</v>
          </cell>
          <cell r="N650">
            <v>46041</v>
          </cell>
          <cell r="O650">
            <v>1</v>
          </cell>
          <cell r="P650">
            <v>46042</v>
          </cell>
          <cell r="Q650">
            <v>5</v>
          </cell>
          <cell r="R650" t="str">
            <v>NA</v>
          </cell>
          <cell r="S650">
            <v>5</v>
          </cell>
        </row>
        <row r="651">
          <cell r="B651" t="str">
            <v>EMMC</v>
          </cell>
          <cell r="C651" t="str">
            <v>HSLB12602</v>
          </cell>
          <cell r="D651">
            <v>112089</v>
          </cell>
          <cell r="E651" t="str">
            <v>Soporte Universal</v>
          </cell>
          <cell r="F651" t="str">
            <v>NO</v>
          </cell>
          <cell r="G651" t="str">
            <v>NO</v>
          </cell>
          <cell r="H651" t="str">
            <v>SALA PREANESTECIA INFANTIL</v>
          </cell>
          <cell r="I651">
            <v>1</v>
          </cell>
          <cell r="J651" t="str">
            <v>C.5.6.4.2</v>
          </cell>
          <cell r="K651" t="str">
            <v>Pabellones</v>
          </cell>
          <cell r="L651">
            <v>3</v>
          </cell>
          <cell r="M651">
            <v>46039</v>
          </cell>
          <cell r="N651">
            <v>46041</v>
          </cell>
          <cell r="O651">
            <v>1</v>
          </cell>
          <cell r="P651">
            <v>46042</v>
          </cell>
          <cell r="Q651">
            <v>5</v>
          </cell>
          <cell r="R651" t="str">
            <v>NA</v>
          </cell>
          <cell r="S651">
            <v>5</v>
          </cell>
        </row>
        <row r="652">
          <cell r="B652" t="str">
            <v>EMMC</v>
          </cell>
          <cell r="C652" t="str">
            <v>HSLB12603</v>
          </cell>
          <cell r="D652">
            <v>112089</v>
          </cell>
          <cell r="E652" t="str">
            <v>Soporte Universal</v>
          </cell>
          <cell r="F652" t="str">
            <v>NO</v>
          </cell>
          <cell r="G652" t="str">
            <v>NO</v>
          </cell>
          <cell r="H652" t="str">
            <v>SALA PREANESTESIA ADULTO</v>
          </cell>
          <cell r="I652">
            <v>1</v>
          </cell>
          <cell r="J652" t="str">
            <v>C.5.6.4.3.1</v>
          </cell>
          <cell r="K652" t="str">
            <v>Pabellones</v>
          </cell>
          <cell r="L652">
            <v>3</v>
          </cell>
          <cell r="M652">
            <v>46039</v>
          </cell>
          <cell r="N652">
            <v>46041</v>
          </cell>
          <cell r="O652">
            <v>1</v>
          </cell>
          <cell r="P652">
            <v>46042</v>
          </cell>
          <cell r="Q652">
            <v>5</v>
          </cell>
          <cell r="R652" t="str">
            <v>NA</v>
          </cell>
          <cell r="S652">
            <v>5</v>
          </cell>
        </row>
        <row r="653">
          <cell r="B653" t="str">
            <v>EMMC</v>
          </cell>
          <cell r="C653" t="str">
            <v>HSLB12604</v>
          </cell>
          <cell r="D653">
            <v>112089</v>
          </cell>
          <cell r="E653" t="str">
            <v>Soporte Universal</v>
          </cell>
          <cell r="F653" t="str">
            <v>NO</v>
          </cell>
          <cell r="G653" t="str">
            <v>NO</v>
          </cell>
          <cell r="H653" t="str">
            <v>SALA PREANESTECIA ADULTO</v>
          </cell>
          <cell r="I653">
            <v>1</v>
          </cell>
          <cell r="J653" t="str">
            <v>C.5.6.4.3.2</v>
          </cell>
          <cell r="K653" t="str">
            <v>Pabellones</v>
          </cell>
          <cell r="L653">
            <v>3</v>
          </cell>
          <cell r="M653">
            <v>46039</v>
          </cell>
          <cell r="N653">
            <v>46041</v>
          </cell>
          <cell r="O653">
            <v>1</v>
          </cell>
          <cell r="P653">
            <v>46042</v>
          </cell>
          <cell r="Q653">
            <v>5</v>
          </cell>
          <cell r="R653" t="str">
            <v>NA</v>
          </cell>
          <cell r="S653">
            <v>5</v>
          </cell>
        </row>
        <row r="654">
          <cell r="B654" t="str">
            <v>EMMC</v>
          </cell>
          <cell r="C654" t="str">
            <v>HSLB12605</v>
          </cell>
          <cell r="D654">
            <v>112089</v>
          </cell>
          <cell r="E654" t="str">
            <v>Soporte Universal</v>
          </cell>
          <cell r="F654" t="str">
            <v>NO</v>
          </cell>
          <cell r="G654" t="str">
            <v>NO</v>
          </cell>
          <cell r="H654" t="str">
            <v>PABELLON CIRUGIA MAYOR ELECTIVA</v>
          </cell>
          <cell r="I654">
            <v>1</v>
          </cell>
          <cell r="J654" t="str">
            <v>C.5.6.4.5.1</v>
          </cell>
          <cell r="K654" t="str">
            <v>Pabellones</v>
          </cell>
          <cell r="L654">
            <v>3</v>
          </cell>
          <cell r="M654">
            <v>46039</v>
          </cell>
          <cell r="N654">
            <v>46041</v>
          </cell>
          <cell r="O654">
            <v>1</v>
          </cell>
          <cell r="P654">
            <v>46042</v>
          </cell>
          <cell r="Q654">
            <v>5</v>
          </cell>
          <cell r="R654" t="str">
            <v>NA</v>
          </cell>
          <cell r="S654">
            <v>5</v>
          </cell>
        </row>
        <row r="655">
          <cell r="B655" t="str">
            <v>EMMC</v>
          </cell>
          <cell r="C655" t="str">
            <v>HSLB12606</v>
          </cell>
          <cell r="D655">
            <v>112089</v>
          </cell>
          <cell r="E655" t="str">
            <v>Soporte Universal</v>
          </cell>
          <cell r="F655" t="str">
            <v>NO</v>
          </cell>
          <cell r="G655" t="str">
            <v>NO</v>
          </cell>
          <cell r="H655" t="str">
            <v>PABELLON CIRUGIA MAYOR ELECTIVA</v>
          </cell>
          <cell r="I655">
            <v>1</v>
          </cell>
          <cell r="J655" t="str">
            <v>C.5.6.4.5.2</v>
          </cell>
          <cell r="K655" t="str">
            <v>Pabellones</v>
          </cell>
          <cell r="L655">
            <v>3</v>
          </cell>
          <cell r="M655">
            <v>46039</v>
          </cell>
          <cell r="N655">
            <v>46041</v>
          </cell>
          <cell r="O655">
            <v>1</v>
          </cell>
          <cell r="P655">
            <v>46042</v>
          </cell>
          <cell r="Q655">
            <v>5</v>
          </cell>
          <cell r="R655" t="str">
            <v>NA</v>
          </cell>
          <cell r="S655">
            <v>5</v>
          </cell>
        </row>
        <row r="656">
          <cell r="B656" t="str">
            <v>EMMC</v>
          </cell>
          <cell r="C656" t="str">
            <v>HSLB12607</v>
          </cell>
          <cell r="D656">
            <v>112089</v>
          </cell>
          <cell r="E656" t="str">
            <v>Soporte Universal</v>
          </cell>
          <cell r="F656" t="str">
            <v>NO</v>
          </cell>
          <cell r="G656" t="str">
            <v>NO</v>
          </cell>
          <cell r="H656" t="str">
            <v>PABELLON CIRUGIA MAYOR ELECTIVA</v>
          </cell>
          <cell r="I656">
            <v>1</v>
          </cell>
          <cell r="J656" t="str">
            <v>C.5.6.4.5.3</v>
          </cell>
          <cell r="K656" t="str">
            <v>Pabellones</v>
          </cell>
          <cell r="L656">
            <v>3</v>
          </cell>
          <cell r="M656">
            <v>46039</v>
          </cell>
          <cell r="N656">
            <v>46041</v>
          </cell>
          <cell r="O656">
            <v>1</v>
          </cell>
          <cell r="P656">
            <v>46042</v>
          </cell>
          <cell r="Q656">
            <v>5</v>
          </cell>
          <cell r="R656" t="str">
            <v>NA</v>
          </cell>
          <cell r="S656">
            <v>5</v>
          </cell>
        </row>
        <row r="657">
          <cell r="B657" t="str">
            <v>EMMC</v>
          </cell>
          <cell r="C657" t="str">
            <v>HSLB12608</v>
          </cell>
          <cell r="D657">
            <v>112089</v>
          </cell>
          <cell r="E657" t="str">
            <v>Soporte Universal</v>
          </cell>
          <cell r="F657" t="str">
            <v>NO</v>
          </cell>
          <cell r="G657" t="str">
            <v>NO</v>
          </cell>
          <cell r="H657" t="str">
            <v>PABELLON CIRUGIA MAYOR AMBULATORIA</v>
          </cell>
          <cell r="I657">
            <v>1</v>
          </cell>
          <cell r="J657" t="str">
            <v>C.5.6.4.6.1</v>
          </cell>
          <cell r="K657" t="str">
            <v>Pabellones</v>
          </cell>
          <cell r="L657">
            <v>3</v>
          </cell>
          <cell r="M657">
            <v>46039</v>
          </cell>
          <cell r="N657">
            <v>46041</v>
          </cell>
          <cell r="O657">
            <v>1</v>
          </cell>
          <cell r="P657">
            <v>46042</v>
          </cell>
          <cell r="Q657">
            <v>5</v>
          </cell>
          <cell r="R657" t="str">
            <v>NA</v>
          </cell>
          <cell r="S657">
            <v>5</v>
          </cell>
        </row>
        <row r="658">
          <cell r="B658" t="str">
            <v>EMMC</v>
          </cell>
          <cell r="C658" t="str">
            <v>HSLB12609</v>
          </cell>
          <cell r="D658">
            <v>112089</v>
          </cell>
          <cell r="E658" t="str">
            <v>Soporte Universal</v>
          </cell>
          <cell r="F658" t="str">
            <v>NO</v>
          </cell>
          <cell r="G658" t="str">
            <v>NO</v>
          </cell>
          <cell r="H658" t="str">
            <v>PABELLON CIRUGIA MAYOR AMBULATORIA</v>
          </cell>
          <cell r="I658">
            <v>1</v>
          </cell>
          <cell r="J658" t="str">
            <v>C.5.6.4.6.2</v>
          </cell>
          <cell r="K658" t="str">
            <v>Pabellones</v>
          </cell>
          <cell r="L658">
            <v>3</v>
          </cell>
          <cell r="M658">
            <v>46039</v>
          </cell>
          <cell r="N658">
            <v>46041</v>
          </cell>
          <cell r="O658">
            <v>1</v>
          </cell>
          <cell r="P658">
            <v>46042</v>
          </cell>
          <cell r="Q658">
            <v>5</v>
          </cell>
          <cell r="R658" t="str">
            <v>NA</v>
          </cell>
          <cell r="S658">
            <v>5</v>
          </cell>
        </row>
        <row r="659">
          <cell r="B659" t="str">
            <v>EMMC</v>
          </cell>
          <cell r="C659" t="str">
            <v>HSLB12610</v>
          </cell>
          <cell r="D659">
            <v>112089</v>
          </cell>
          <cell r="E659" t="str">
            <v>Soporte Universal</v>
          </cell>
          <cell r="F659" t="str">
            <v>NO</v>
          </cell>
          <cell r="G659" t="str">
            <v>NO</v>
          </cell>
          <cell r="H659" t="str">
            <v>PABELLON URGENCIAS</v>
          </cell>
          <cell r="I659">
            <v>1</v>
          </cell>
          <cell r="J659" t="str">
            <v>C.5.6.4.7</v>
          </cell>
          <cell r="K659" t="str">
            <v>Pabellones</v>
          </cell>
          <cell r="L659">
            <v>3</v>
          </cell>
          <cell r="M659">
            <v>46039</v>
          </cell>
          <cell r="N659">
            <v>46041</v>
          </cell>
          <cell r="O659">
            <v>1</v>
          </cell>
          <cell r="P659">
            <v>46042</v>
          </cell>
          <cell r="Q659">
            <v>5</v>
          </cell>
          <cell r="R659" t="str">
            <v>NA</v>
          </cell>
          <cell r="S659">
            <v>5</v>
          </cell>
        </row>
        <row r="660">
          <cell r="B660" t="str">
            <v>EMMC</v>
          </cell>
          <cell r="C660" t="str">
            <v>HSLB10478</v>
          </cell>
          <cell r="D660">
            <v>104002</v>
          </cell>
          <cell r="E660" t="str">
            <v>BOMBA ASPIRACIÓN UNIVERSAL</v>
          </cell>
          <cell r="F660" t="str">
            <v>NO</v>
          </cell>
          <cell r="G660" t="str">
            <v>NO</v>
          </cell>
          <cell r="H660" t="str">
            <v>ESTACIÓN DE ENFERMERÍA</v>
          </cell>
          <cell r="I660">
            <v>0</v>
          </cell>
          <cell r="J660" t="str">
            <v>C.3.6.3.7</v>
          </cell>
          <cell r="K660" t="str">
            <v>Parto integral</v>
          </cell>
          <cell r="L660">
            <v>3</v>
          </cell>
          <cell r="M660">
            <v>46042</v>
          </cell>
          <cell r="N660">
            <v>46043</v>
          </cell>
          <cell r="O660">
            <v>1</v>
          </cell>
          <cell r="P660">
            <v>46044</v>
          </cell>
          <cell r="Q660">
            <v>5</v>
          </cell>
          <cell r="R660" t="str">
            <v>NA</v>
          </cell>
          <cell r="S660">
            <v>5</v>
          </cell>
        </row>
        <row r="661">
          <cell r="B661" t="str">
            <v>EMMC</v>
          </cell>
          <cell r="C661" t="str">
            <v>HSLB11989</v>
          </cell>
          <cell r="D661">
            <v>112047</v>
          </cell>
          <cell r="E661" t="str">
            <v>Catre Clínico Eléctrico UTI</v>
          </cell>
          <cell r="F661" t="str">
            <v>NO</v>
          </cell>
          <cell r="G661" t="str">
            <v>NO</v>
          </cell>
          <cell r="H661" t="str">
            <v>SALA 1 CAMA</v>
          </cell>
          <cell r="I661">
            <v>1</v>
          </cell>
          <cell r="J661" t="str">
            <v>C.3.7.16.9</v>
          </cell>
          <cell r="K661" t="str">
            <v>UTI</v>
          </cell>
          <cell r="L661">
            <v>3</v>
          </cell>
          <cell r="M661">
            <v>46042</v>
          </cell>
          <cell r="N661">
            <v>46043</v>
          </cell>
          <cell r="O661">
            <v>1</v>
          </cell>
          <cell r="P661">
            <v>46044</v>
          </cell>
          <cell r="Q661">
            <v>5</v>
          </cell>
          <cell r="R661" t="str">
            <v>NA</v>
          </cell>
          <cell r="S661">
            <v>5</v>
          </cell>
        </row>
        <row r="662">
          <cell r="B662" t="str">
            <v>EMMC</v>
          </cell>
          <cell r="C662" t="str">
            <v>HSLB11990</v>
          </cell>
          <cell r="D662">
            <v>112047</v>
          </cell>
          <cell r="E662" t="str">
            <v>Catre Clínico Eléctrico UTI</v>
          </cell>
          <cell r="F662" t="str">
            <v>NO</v>
          </cell>
          <cell r="G662" t="str">
            <v>NO</v>
          </cell>
          <cell r="H662" t="str">
            <v>SALA AISLAMIENTO</v>
          </cell>
          <cell r="I662">
            <v>1</v>
          </cell>
          <cell r="J662" t="str">
            <v>C.3.7.17.1</v>
          </cell>
          <cell r="K662" t="str">
            <v>UTI</v>
          </cell>
          <cell r="L662">
            <v>3</v>
          </cell>
          <cell r="M662">
            <v>46042</v>
          </cell>
          <cell r="N662">
            <v>46043</v>
          </cell>
          <cell r="O662">
            <v>1</v>
          </cell>
          <cell r="P662">
            <v>46044</v>
          </cell>
          <cell r="Q662">
            <v>5</v>
          </cell>
          <cell r="R662" t="str">
            <v>NA</v>
          </cell>
          <cell r="S662">
            <v>5</v>
          </cell>
        </row>
        <row r="663">
          <cell r="B663" t="str">
            <v>EMMC</v>
          </cell>
          <cell r="C663" t="str">
            <v>HSLB11991</v>
          </cell>
          <cell r="D663">
            <v>112047</v>
          </cell>
          <cell r="E663" t="str">
            <v>Catre Clínico Eléctrico UTI</v>
          </cell>
          <cell r="F663" t="str">
            <v>NO</v>
          </cell>
          <cell r="G663" t="str">
            <v>NO</v>
          </cell>
          <cell r="H663" t="str">
            <v>SALA AISLAMIENTO</v>
          </cell>
          <cell r="I663">
            <v>1</v>
          </cell>
          <cell r="J663" t="str">
            <v>C.3.7.17.2</v>
          </cell>
          <cell r="K663" t="str">
            <v>UTI</v>
          </cell>
          <cell r="L663">
            <v>3</v>
          </cell>
          <cell r="M663">
            <v>46042</v>
          </cell>
          <cell r="N663">
            <v>46043</v>
          </cell>
          <cell r="O663">
            <v>1</v>
          </cell>
          <cell r="P663">
            <v>46044</v>
          </cell>
          <cell r="Q663">
            <v>5</v>
          </cell>
          <cell r="R663" t="str">
            <v>NA</v>
          </cell>
          <cell r="S663">
            <v>5</v>
          </cell>
        </row>
        <row r="664">
          <cell r="B664" t="str">
            <v>EMMC</v>
          </cell>
          <cell r="C664" t="str">
            <v>HSLB11332</v>
          </cell>
          <cell r="D664">
            <v>110007</v>
          </cell>
          <cell r="E664" t="str">
            <v>Balanza de Precisión</v>
          </cell>
          <cell r="F664" t="str">
            <v>NO</v>
          </cell>
          <cell r="G664" t="str">
            <v>SI</v>
          </cell>
          <cell r="H664" t="str">
            <v>BODEGA DE ARCHIVO</v>
          </cell>
          <cell r="I664">
            <v>0</v>
          </cell>
          <cell r="J664" t="str">
            <v>C.2.2.1.10</v>
          </cell>
          <cell r="K664" t="str">
            <v>Administración y apoyo general</v>
          </cell>
          <cell r="L664">
            <v>3</v>
          </cell>
          <cell r="M664">
            <v>46003</v>
          </cell>
          <cell r="N664">
            <v>46006</v>
          </cell>
          <cell r="O664">
            <v>1</v>
          </cell>
          <cell r="P664">
            <v>46007</v>
          </cell>
          <cell r="Q664">
            <v>5</v>
          </cell>
          <cell r="R664" t="str">
            <v>NA</v>
          </cell>
          <cell r="S664">
            <v>5</v>
          </cell>
        </row>
        <row r="665">
          <cell r="B665" t="str">
            <v>EMMC</v>
          </cell>
          <cell r="C665" t="str">
            <v>HSLB11332</v>
          </cell>
          <cell r="D665">
            <v>110007</v>
          </cell>
          <cell r="E665" t="str">
            <v>Balanza de Precisión</v>
          </cell>
          <cell r="F665" t="str">
            <v>NO</v>
          </cell>
          <cell r="G665" t="str">
            <v>SI</v>
          </cell>
          <cell r="H665" t="str">
            <v>BDEGA ROPA LIMPIA</v>
          </cell>
          <cell r="I665">
            <v>0</v>
          </cell>
          <cell r="J665" t="str">
            <v>C.3.7.21</v>
          </cell>
          <cell r="K665" t="str">
            <v>UTI</v>
          </cell>
          <cell r="L665">
            <v>3</v>
          </cell>
          <cell r="M665">
            <v>46003</v>
          </cell>
          <cell r="N665">
            <v>46006</v>
          </cell>
          <cell r="O665">
            <v>1</v>
          </cell>
          <cell r="P665">
            <v>46007</v>
          </cell>
          <cell r="Q665">
            <v>5</v>
          </cell>
          <cell r="R665" t="str">
            <v>NA</v>
          </cell>
          <cell r="S665">
            <v>5</v>
          </cell>
        </row>
        <row r="666">
          <cell r="B666" t="str">
            <v>EMMC</v>
          </cell>
          <cell r="C666" t="str">
            <v>HSLB11332</v>
          </cell>
          <cell r="D666">
            <v>110007</v>
          </cell>
          <cell r="E666" t="str">
            <v>Balanza de Precisión</v>
          </cell>
          <cell r="F666" t="str">
            <v>NO</v>
          </cell>
          <cell r="G666" t="str">
            <v>SI</v>
          </cell>
          <cell r="H666" t="str">
            <v>BODEGA ARCHIVO</v>
          </cell>
          <cell r="I666">
            <v>0</v>
          </cell>
          <cell r="J666" t="str">
            <v>C.5.1.6</v>
          </cell>
          <cell r="K666" t="str">
            <v>Administración y apoyo general</v>
          </cell>
          <cell r="L666">
            <v>3</v>
          </cell>
          <cell r="M666">
            <v>46003</v>
          </cell>
          <cell r="N666">
            <v>46006</v>
          </cell>
          <cell r="O666">
            <v>1</v>
          </cell>
          <cell r="P666">
            <v>46007</v>
          </cell>
          <cell r="Q666">
            <v>5</v>
          </cell>
          <cell r="R666" t="str">
            <v>NA</v>
          </cell>
          <cell r="S666">
            <v>5</v>
          </cell>
        </row>
        <row r="667">
          <cell r="B667" t="str">
            <v>EMMC</v>
          </cell>
          <cell r="C667" t="str">
            <v>HSLB11332</v>
          </cell>
          <cell r="D667">
            <v>110007</v>
          </cell>
          <cell r="E667" t="str">
            <v>Balanza de Precisión</v>
          </cell>
          <cell r="F667" t="str">
            <v>NO</v>
          </cell>
          <cell r="G667" t="str">
            <v>SI</v>
          </cell>
          <cell r="H667" t="str">
            <v>BODEGA DE INSUMOS</v>
          </cell>
          <cell r="I667">
            <v>0</v>
          </cell>
          <cell r="J667" t="str">
            <v>C.5.5.21</v>
          </cell>
          <cell r="K667" t="str">
            <v>Esterilización</v>
          </cell>
          <cell r="L667">
            <v>3</v>
          </cell>
          <cell r="M667">
            <v>46003</v>
          </cell>
          <cell r="N667">
            <v>46006</v>
          </cell>
          <cell r="O667">
            <v>1</v>
          </cell>
          <cell r="P667">
            <v>46007</v>
          </cell>
          <cell r="Q667">
            <v>5</v>
          </cell>
          <cell r="R667" t="str">
            <v>NA</v>
          </cell>
          <cell r="S667">
            <v>5</v>
          </cell>
        </row>
        <row r="668">
          <cell r="B668" t="str">
            <v>EMMC</v>
          </cell>
          <cell r="C668" t="str">
            <v>HSLB11332</v>
          </cell>
          <cell r="D668">
            <v>110007</v>
          </cell>
          <cell r="E668" t="str">
            <v>Balanza de Precisión</v>
          </cell>
          <cell r="F668" t="str">
            <v>NO</v>
          </cell>
          <cell r="G668" t="str">
            <v>SI</v>
          </cell>
          <cell r="H668" t="str">
            <v>BODEGA INSUMOS</v>
          </cell>
          <cell r="I668">
            <v>0</v>
          </cell>
          <cell r="J668" t="str">
            <v>C.5.6.4.14</v>
          </cell>
          <cell r="K668" t="str">
            <v>Pabellones</v>
          </cell>
          <cell r="L668">
            <v>3</v>
          </cell>
          <cell r="M668">
            <v>46003</v>
          </cell>
          <cell r="N668">
            <v>46006</v>
          </cell>
          <cell r="O668">
            <v>1</v>
          </cell>
          <cell r="P668">
            <v>46007</v>
          </cell>
          <cell r="Q668">
            <v>5</v>
          </cell>
          <cell r="R668" t="str">
            <v>NA</v>
          </cell>
          <cell r="S668">
            <v>5</v>
          </cell>
        </row>
        <row r="669">
          <cell r="B669" t="str">
            <v>EMMC</v>
          </cell>
          <cell r="C669" t="str">
            <v>HSLB11332</v>
          </cell>
          <cell r="D669">
            <v>110007</v>
          </cell>
          <cell r="E669" t="str">
            <v>Balanza de Precisión</v>
          </cell>
          <cell r="F669" t="str">
            <v>NO</v>
          </cell>
          <cell r="G669" t="str">
            <v>SI</v>
          </cell>
          <cell r="H669" t="str">
            <v>BODEGA INSUMOS</v>
          </cell>
          <cell r="I669">
            <v>0</v>
          </cell>
          <cell r="J669" t="str">
            <v>C.5.6.4.14.1</v>
          </cell>
          <cell r="K669" t="str">
            <v>Pabellones</v>
          </cell>
          <cell r="L669">
            <v>3</v>
          </cell>
          <cell r="M669">
            <v>46003</v>
          </cell>
          <cell r="N669">
            <v>46006</v>
          </cell>
          <cell r="O669">
            <v>1</v>
          </cell>
          <cell r="P669">
            <v>46007</v>
          </cell>
          <cell r="Q669">
            <v>5</v>
          </cell>
          <cell r="R669" t="str">
            <v>NA</v>
          </cell>
          <cell r="S669">
            <v>5</v>
          </cell>
        </row>
        <row r="670">
          <cell r="B670" t="str">
            <v>EMMC</v>
          </cell>
          <cell r="C670" t="str">
            <v>HSLB11332</v>
          </cell>
          <cell r="D670">
            <v>110007</v>
          </cell>
          <cell r="E670" t="str">
            <v>Balanza de Precisión</v>
          </cell>
          <cell r="F670" t="str">
            <v>NO</v>
          </cell>
          <cell r="G670" t="str">
            <v>SI</v>
          </cell>
          <cell r="H670" t="str">
            <v>BODEGA DE EQUIPAMIENTO EN TRÁNSITO</v>
          </cell>
          <cell r="I670">
            <v>0</v>
          </cell>
          <cell r="J670" t="str">
            <v>D.2.3.6</v>
          </cell>
          <cell r="K670" t="str">
            <v>Mantenimiento</v>
          </cell>
          <cell r="L670">
            <v>3</v>
          </cell>
          <cell r="M670">
            <v>46003</v>
          </cell>
          <cell r="N670">
            <v>46006</v>
          </cell>
          <cell r="O670">
            <v>1</v>
          </cell>
          <cell r="P670">
            <v>46007</v>
          </cell>
          <cell r="Q670">
            <v>5</v>
          </cell>
          <cell r="R670" t="str">
            <v>NA</v>
          </cell>
          <cell r="S670">
            <v>5</v>
          </cell>
        </row>
        <row r="671">
          <cell r="B671" t="str">
            <v>EMMC</v>
          </cell>
          <cell r="C671" t="str">
            <v>HSLB11332</v>
          </cell>
          <cell r="D671">
            <v>110007</v>
          </cell>
          <cell r="E671" t="str">
            <v>Balanza de Precisión</v>
          </cell>
          <cell r="F671" t="str">
            <v>NO</v>
          </cell>
          <cell r="G671" t="str">
            <v>SI</v>
          </cell>
          <cell r="H671" t="str">
            <v>MÓDULOS DE TRABAJO</v>
          </cell>
          <cell r="I671">
            <v>0</v>
          </cell>
          <cell r="J671" t="str">
            <v>D.3.2.1.2</v>
          </cell>
          <cell r="K671" t="str">
            <v>Administración y apoyo general</v>
          </cell>
          <cell r="L671">
            <v>3</v>
          </cell>
          <cell r="M671">
            <v>46003</v>
          </cell>
          <cell r="N671">
            <v>46006</v>
          </cell>
          <cell r="O671">
            <v>1</v>
          </cell>
          <cell r="P671">
            <v>46007</v>
          </cell>
          <cell r="Q671">
            <v>5</v>
          </cell>
          <cell r="R671" t="str">
            <v>NA</v>
          </cell>
          <cell r="S671">
            <v>5</v>
          </cell>
        </row>
        <row r="672">
          <cell r="B672" t="str">
            <v>MNC</v>
          </cell>
          <cell r="C672" t="str">
            <v>HSLB13454</v>
          </cell>
          <cell r="D672">
            <v>202002</v>
          </cell>
          <cell r="E672" t="str">
            <v>Caja Fuerte Tipo I</v>
          </cell>
          <cell r="F672" t="str">
            <v>NO</v>
          </cell>
          <cell r="G672" t="str">
            <v>NO</v>
          </cell>
          <cell r="H672" t="str">
            <v>COORDINADOR CONTABILIDAD Y PRESUPUESTO</v>
          </cell>
          <cell r="I672">
            <v>1</v>
          </cell>
          <cell r="J672" t="str">
            <v>D.3.2.1.1</v>
          </cell>
          <cell r="K672" t="str">
            <v>Administración y apoyo general</v>
          </cell>
          <cell r="L672">
            <v>3</v>
          </cell>
          <cell r="M672">
            <v>46003</v>
          </cell>
          <cell r="N672">
            <v>46006</v>
          </cell>
          <cell r="O672">
            <v>1</v>
          </cell>
          <cell r="P672">
            <v>46007</v>
          </cell>
          <cell r="Q672">
            <v>5</v>
          </cell>
          <cell r="R672" t="str">
            <v>NA</v>
          </cell>
          <cell r="S672">
            <v>5</v>
          </cell>
        </row>
        <row r="673">
          <cell r="B673" t="str">
            <v>MNC</v>
          </cell>
          <cell r="C673" t="str">
            <v>HSLB13455</v>
          </cell>
          <cell r="D673">
            <v>202003</v>
          </cell>
          <cell r="E673" t="str">
            <v>Caja Fuerte Tipo II</v>
          </cell>
          <cell r="F673" t="str">
            <v>NO</v>
          </cell>
          <cell r="G673" t="str">
            <v>NO</v>
          </cell>
          <cell r="H673" t="str">
            <v>CAJA FUERTE</v>
          </cell>
          <cell r="I673">
            <v>1</v>
          </cell>
          <cell r="J673" t="str">
            <v>D.3.2.2.4</v>
          </cell>
          <cell r="K673" t="str">
            <v>Administración y apoyo general</v>
          </cell>
          <cell r="L673">
            <v>3</v>
          </cell>
          <cell r="M673">
            <v>46003</v>
          </cell>
          <cell r="N673">
            <v>46006</v>
          </cell>
          <cell r="O673">
            <v>1</v>
          </cell>
          <cell r="P673">
            <v>46007</v>
          </cell>
          <cell r="Q673">
            <v>5</v>
          </cell>
          <cell r="R673" t="str">
            <v>NA</v>
          </cell>
          <cell r="S673">
            <v>5</v>
          </cell>
        </row>
        <row r="674">
          <cell r="B674" t="str">
            <v>MNC</v>
          </cell>
          <cell r="C674" t="str">
            <v>HSLB13479</v>
          </cell>
          <cell r="D674">
            <v>202014</v>
          </cell>
          <cell r="E674" t="str">
            <v>Pódium</v>
          </cell>
          <cell r="F674" t="str">
            <v>NO</v>
          </cell>
          <cell r="G674" t="str">
            <v>NO</v>
          </cell>
          <cell r="H674" t="str">
            <v>AUDITORIO</v>
          </cell>
          <cell r="I674">
            <v>1</v>
          </cell>
          <cell r="J674" t="str">
            <v>E.1.2</v>
          </cell>
          <cell r="K674" t="str">
            <v>Auditorio</v>
          </cell>
          <cell r="L674">
            <v>3</v>
          </cell>
          <cell r="M674">
            <v>46044</v>
          </cell>
          <cell r="N674">
            <v>46045</v>
          </cell>
          <cell r="O674">
            <v>3</v>
          </cell>
          <cell r="P674">
            <v>46050</v>
          </cell>
          <cell r="Q674">
            <v>5</v>
          </cell>
          <cell r="R674" t="str">
            <v>NA</v>
          </cell>
          <cell r="S674">
            <v>5</v>
          </cell>
        </row>
        <row r="675">
          <cell r="B675" t="str">
            <v>MNC</v>
          </cell>
          <cell r="C675" t="str">
            <v>HSLB13004</v>
          </cell>
          <cell r="D675">
            <v>201001</v>
          </cell>
          <cell r="E675" t="str">
            <v>Estación de Trabajo</v>
          </cell>
          <cell r="F675" t="str">
            <v>NO</v>
          </cell>
          <cell r="G675" t="str">
            <v>NO</v>
          </cell>
          <cell r="H675" t="str">
            <v>SECRETARÍA C/ARCHIVO Y FOTOCOPIADORA</v>
          </cell>
          <cell r="I675">
            <v>1</v>
          </cell>
          <cell r="J675" t="str">
            <v>B.1.1</v>
          </cell>
          <cell r="K675" t="str">
            <v>Administración y apoyo general</v>
          </cell>
          <cell r="L675">
            <v>3</v>
          </cell>
          <cell r="M675">
            <v>46034</v>
          </cell>
          <cell r="N675">
            <v>46035</v>
          </cell>
          <cell r="O675">
            <v>7</v>
          </cell>
          <cell r="P675">
            <v>46044</v>
          </cell>
          <cell r="Q675">
            <v>5</v>
          </cell>
          <cell r="R675" t="str">
            <v>NA</v>
          </cell>
          <cell r="S675">
            <v>5</v>
          </cell>
        </row>
        <row r="676">
          <cell r="B676" t="str">
            <v>MNC</v>
          </cell>
          <cell r="C676" t="str">
            <v>HSLB13005</v>
          </cell>
          <cell r="D676">
            <v>201001</v>
          </cell>
          <cell r="E676" t="str">
            <v>Estación de Trabajo</v>
          </cell>
          <cell r="F676" t="str">
            <v>NO</v>
          </cell>
          <cell r="G676" t="str">
            <v>NO</v>
          </cell>
          <cell r="H676" t="str">
            <v>OFICINA DIRECTOR C/BAÑO</v>
          </cell>
          <cell r="I676">
            <v>1</v>
          </cell>
          <cell r="J676" t="str">
            <v>B.1.3</v>
          </cell>
          <cell r="K676" t="str">
            <v>Administración y apoyo general</v>
          </cell>
          <cell r="L676">
            <v>3</v>
          </cell>
          <cell r="M676">
            <v>46034</v>
          </cell>
          <cell r="N676">
            <v>46035</v>
          </cell>
          <cell r="O676">
            <v>7</v>
          </cell>
          <cell r="P676">
            <v>46044</v>
          </cell>
          <cell r="Q676">
            <v>5</v>
          </cell>
          <cell r="R676" t="str">
            <v>NA</v>
          </cell>
          <cell r="S676">
            <v>5</v>
          </cell>
        </row>
        <row r="677">
          <cell r="B677" t="str">
            <v>MNC</v>
          </cell>
          <cell r="C677" t="str">
            <v>HSLB13320</v>
          </cell>
          <cell r="D677">
            <v>201008</v>
          </cell>
          <cell r="E677" t="str">
            <v>Mesa Reuniones Tipo I</v>
          </cell>
          <cell r="F677" t="str">
            <v>NO</v>
          </cell>
          <cell r="G677" t="str">
            <v>NO</v>
          </cell>
          <cell r="H677" t="str">
            <v>OFICINA DIRECTOR C/BAÑO</v>
          </cell>
          <cell r="I677">
            <v>1</v>
          </cell>
          <cell r="J677" t="str">
            <v>B.1.3</v>
          </cell>
          <cell r="K677" t="str">
            <v>Administración y apoyo general</v>
          </cell>
          <cell r="L677">
            <v>3</v>
          </cell>
          <cell r="M677">
            <v>46031</v>
          </cell>
          <cell r="N677">
            <v>46034</v>
          </cell>
          <cell r="O677">
            <v>1</v>
          </cell>
          <cell r="P677">
            <v>46035</v>
          </cell>
          <cell r="Q677">
            <v>5</v>
          </cell>
          <cell r="R677" t="str">
            <v>NA</v>
          </cell>
          <cell r="S677">
            <v>5</v>
          </cell>
        </row>
        <row r="678">
          <cell r="B678" t="str">
            <v>MNC</v>
          </cell>
          <cell r="C678" t="str">
            <v>HSLB13008</v>
          </cell>
          <cell r="D678">
            <v>201001</v>
          </cell>
          <cell r="E678" t="str">
            <v>Estación de Trabajo</v>
          </cell>
          <cell r="F678" t="str">
            <v>NO</v>
          </cell>
          <cell r="G678" t="str">
            <v>NO</v>
          </cell>
          <cell r="H678" t="str">
            <v>OFICINA SUBDIRECTOR ADMINISTRATIVO</v>
          </cell>
          <cell r="I678">
            <v>1</v>
          </cell>
          <cell r="J678" t="str">
            <v>B.2.2</v>
          </cell>
          <cell r="K678" t="str">
            <v>Administración y apoyo general</v>
          </cell>
          <cell r="L678">
            <v>3</v>
          </cell>
          <cell r="M678">
            <v>46034</v>
          </cell>
          <cell r="N678">
            <v>46035</v>
          </cell>
          <cell r="O678">
            <v>7</v>
          </cell>
          <cell r="P678">
            <v>46044</v>
          </cell>
          <cell r="Q678">
            <v>5</v>
          </cell>
          <cell r="R678" t="str">
            <v>NA</v>
          </cell>
          <cell r="S678">
            <v>5</v>
          </cell>
        </row>
        <row r="679">
          <cell r="B679" t="str">
            <v>MNC</v>
          </cell>
          <cell r="C679" t="str">
            <v>HSLB13321</v>
          </cell>
          <cell r="D679">
            <v>201008</v>
          </cell>
          <cell r="E679" t="str">
            <v>Mesa Reuniones Tipo I</v>
          </cell>
          <cell r="F679" t="str">
            <v>NO</v>
          </cell>
          <cell r="G679" t="str">
            <v>NO</v>
          </cell>
          <cell r="H679" t="str">
            <v>OFICINA SUBDIRECTOR ADMINISTRATIVO</v>
          </cell>
          <cell r="I679">
            <v>1</v>
          </cell>
          <cell r="J679" t="str">
            <v>B.2.2</v>
          </cell>
          <cell r="K679" t="str">
            <v>Administración y apoyo general</v>
          </cell>
          <cell r="L679">
            <v>3</v>
          </cell>
          <cell r="M679">
            <v>46031</v>
          </cell>
          <cell r="N679">
            <v>46034</v>
          </cell>
          <cell r="O679">
            <v>1</v>
          </cell>
          <cell r="P679">
            <v>46035</v>
          </cell>
          <cell r="Q679">
            <v>5</v>
          </cell>
          <cell r="R679" t="str">
            <v>NA</v>
          </cell>
          <cell r="S679">
            <v>5</v>
          </cell>
        </row>
        <row r="680">
          <cell r="B680" t="str">
            <v>MNC</v>
          </cell>
          <cell r="C680" t="str">
            <v>HSLB13009</v>
          </cell>
          <cell r="D680">
            <v>201001</v>
          </cell>
          <cell r="E680" t="str">
            <v>Estación de Trabajo</v>
          </cell>
          <cell r="F680" t="str">
            <v>NO</v>
          </cell>
          <cell r="G680" t="str">
            <v>NO</v>
          </cell>
          <cell r="H680" t="str">
            <v>OFICINA SUBDIRECTOR MÉDICO</v>
          </cell>
          <cell r="I680">
            <v>1</v>
          </cell>
          <cell r="J680" t="str">
            <v>B.2.3</v>
          </cell>
          <cell r="K680" t="str">
            <v>Administración y apoyo general</v>
          </cell>
          <cell r="L680">
            <v>3</v>
          </cell>
          <cell r="M680">
            <v>46034</v>
          </cell>
          <cell r="N680">
            <v>46035</v>
          </cell>
          <cell r="O680">
            <v>7</v>
          </cell>
          <cell r="P680">
            <v>46044</v>
          </cell>
          <cell r="Q680">
            <v>5</v>
          </cell>
          <cell r="R680" t="str">
            <v>NA</v>
          </cell>
          <cell r="S680">
            <v>5</v>
          </cell>
        </row>
        <row r="681">
          <cell r="B681" t="str">
            <v>MNC</v>
          </cell>
          <cell r="C681" t="str">
            <v>HSLB13322</v>
          </cell>
          <cell r="D681">
            <v>201008</v>
          </cell>
          <cell r="E681" t="str">
            <v>Mesa Reuniones Tipo I</v>
          </cell>
          <cell r="F681" t="str">
            <v>NO</v>
          </cell>
          <cell r="G681" t="str">
            <v>NO</v>
          </cell>
          <cell r="H681" t="str">
            <v>OFICINA SUBDIRECTOR MÉDICO</v>
          </cell>
          <cell r="I681">
            <v>1</v>
          </cell>
          <cell r="J681" t="str">
            <v>B.2.3</v>
          </cell>
          <cell r="K681" t="str">
            <v>Administración y apoyo general</v>
          </cell>
          <cell r="L681">
            <v>3</v>
          </cell>
          <cell r="M681">
            <v>46031</v>
          </cell>
          <cell r="N681">
            <v>46034</v>
          </cell>
          <cell r="O681">
            <v>1</v>
          </cell>
          <cell r="P681">
            <v>46035</v>
          </cell>
          <cell r="Q681">
            <v>5</v>
          </cell>
          <cell r="R681" t="str">
            <v>NA</v>
          </cell>
          <cell r="S681">
            <v>5</v>
          </cell>
        </row>
        <row r="682">
          <cell r="B682" t="str">
            <v>MNC</v>
          </cell>
          <cell r="C682" t="str">
            <v>HSLB13011</v>
          </cell>
          <cell r="D682">
            <v>201001</v>
          </cell>
          <cell r="E682" t="str">
            <v>Estación de Trabajo</v>
          </cell>
          <cell r="F682" t="str">
            <v>NO</v>
          </cell>
          <cell r="G682" t="str">
            <v>NO</v>
          </cell>
          <cell r="H682" t="str">
            <v>OF. JEFE CONTROL DE GESTIÓN</v>
          </cell>
          <cell r="I682">
            <v>1</v>
          </cell>
          <cell r="J682" t="str">
            <v>B.3.2.1</v>
          </cell>
          <cell r="K682" t="str">
            <v>Administración y apoyo general</v>
          </cell>
          <cell r="L682">
            <v>3</v>
          </cell>
          <cell r="M682">
            <v>46034</v>
          </cell>
          <cell r="N682">
            <v>46035</v>
          </cell>
          <cell r="O682">
            <v>7</v>
          </cell>
          <cell r="P682">
            <v>46044</v>
          </cell>
          <cell r="Q682">
            <v>5</v>
          </cell>
          <cell r="R682" t="str">
            <v>NA</v>
          </cell>
          <cell r="S682">
            <v>5</v>
          </cell>
        </row>
        <row r="683">
          <cell r="B683" t="str">
            <v>MNC</v>
          </cell>
          <cell r="C683" t="str">
            <v>HSLB13324</v>
          </cell>
          <cell r="D683">
            <v>201008</v>
          </cell>
          <cell r="E683" t="str">
            <v>Mesa Reuniones Tipo I</v>
          </cell>
          <cell r="F683" t="str">
            <v>NO</v>
          </cell>
          <cell r="G683" t="str">
            <v>NO</v>
          </cell>
          <cell r="H683" t="str">
            <v>OF. JEFE CONTROL DE GESTIÓN</v>
          </cell>
          <cell r="I683">
            <v>1</v>
          </cell>
          <cell r="J683" t="str">
            <v>B.3.2.1</v>
          </cell>
          <cell r="K683" t="str">
            <v>Administración y apoyo general</v>
          </cell>
          <cell r="L683">
            <v>3</v>
          </cell>
          <cell r="M683">
            <v>46031</v>
          </cell>
          <cell r="N683">
            <v>46034</v>
          </cell>
          <cell r="O683">
            <v>1</v>
          </cell>
          <cell r="P683">
            <v>46035</v>
          </cell>
          <cell r="Q683">
            <v>5</v>
          </cell>
          <cell r="R683" t="str">
            <v>NA</v>
          </cell>
          <cell r="S683">
            <v>5</v>
          </cell>
        </row>
        <row r="684">
          <cell r="B684" t="str">
            <v>MNC</v>
          </cell>
          <cell r="C684" t="str">
            <v>HSLB13012</v>
          </cell>
          <cell r="D684">
            <v>201001</v>
          </cell>
          <cell r="E684" t="str">
            <v>Estación de Trabajo</v>
          </cell>
          <cell r="F684" t="str">
            <v>NO</v>
          </cell>
          <cell r="G684" t="str">
            <v>NO</v>
          </cell>
          <cell r="H684" t="str">
            <v>SECRETARÍA C/ARCHIVO Y FOTOCO.</v>
          </cell>
          <cell r="I684">
            <v>1</v>
          </cell>
          <cell r="J684" t="str">
            <v>B.3.2.2</v>
          </cell>
          <cell r="K684" t="str">
            <v>Administración y apoyo general</v>
          </cell>
          <cell r="L684">
            <v>3</v>
          </cell>
          <cell r="M684">
            <v>46034</v>
          </cell>
          <cell r="N684">
            <v>46035</v>
          </cell>
          <cell r="O684">
            <v>7</v>
          </cell>
          <cell r="P684">
            <v>46044</v>
          </cell>
          <cell r="Q684">
            <v>5</v>
          </cell>
          <cell r="R684" t="str">
            <v>NA</v>
          </cell>
          <cell r="S684">
            <v>5</v>
          </cell>
        </row>
        <row r="685">
          <cell r="B685" t="str">
            <v>MNC</v>
          </cell>
          <cell r="C685" t="str">
            <v>HSLB13013</v>
          </cell>
          <cell r="D685">
            <v>201001</v>
          </cell>
          <cell r="E685" t="str">
            <v>Estación de Trabajo</v>
          </cell>
          <cell r="F685" t="str">
            <v>NO</v>
          </cell>
          <cell r="G685" t="str">
            <v>NO</v>
          </cell>
          <cell r="H685" t="str">
            <v>MÓD. DE TRABAJO (GRD profesionales + administrativo)</v>
          </cell>
          <cell r="I685">
            <v>4</v>
          </cell>
          <cell r="J685" t="str">
            <v>B.3.2.3</v>
          </cell>
          <cell r="K685" t="str">
            <v>Administración y apoyo general</v>
          </cell>
          <cell r="L685">
            <v>3</v>
          </cell>
          <cell r="M685">
            <v>46034</v>
          </cell>
          <cell r="N685">
            <v>46035</v>
          </cell>
          <cell r="O685">
            <v>7</v>
          </cell>
          <cell r="P685">
            <v>46044</v>
          </cell>
          <cell r="Q685">
            <v>5</v>
          </cell>
          <cell r="R685" t="str">
            <v>NA</v>
          </cell>
          <cell r="S685">
            <v>5</v>
          </cell>
        </row>
        <row r="686">
          <cell r="B686" t="str">
            <v>MNC</v>
          </cell>
          <cell r="C686" t="str">
            <v>HSLB13014</v>
          </cell>
          <cell r="D686">
            <v>201001</v>
          </cell>
          <cell r="E686" t="str">
            <v>Estación de Trabajo</v>
          </cell>
          <cell r="F686" t="str">
            <v>NO</v>
          </cell>
          <cell r="G686" t="str">
            <v>NO</v>
          </cell>
          <cell r="H686" t="str">
            <v>MÓD. TRABAJO (Winsig)</v>
          </cell>
          <cell r="I686">
            <v>1</v>
          </cell>
          <cell r="J686" t="str">
            <v>B.3.2.4</v>
          </cell>
          <cell r="K686" t="str">
            <v>Administración y apoyo general</v>
          </cell>
          <cell r="L686">
            <v>3</v>
          </cell>
          <cell r="M686">
            <v>46034</v>
          </cell>
          <cell r="N686">
            <v>46035</v>
          </cell>
          <cell r="O686">
            <v>7</v>
          </cell>
          <cell r="P686">
            <v>46044</v>
          </cell>
          <cell r="Q686">
            <v>5</v>
          </cell>
          <cell r="R686" t="str">
            <v>NA</v>
          </cell>
          <cell r="S686">
            <v>5</v>
          </cell>
        </row>
        <row r="687">
          <cell r="B687" t="str">
            <v>MNC</v>
          </cell>
          <cell r="C687" t="str">
            <v>HSLB13015</v>
          </cell>
          <cell r="D687">
            <v>201001</v>
          </cell>
          <cell r="E687" t="str">
            <v>Estación de Trabajo</v>
          </cell>
          <cell r="F687" t="str">
            <v>NO</v>
          </cell>
          <cell r="G687" t="str">
            <v>NO</v>
          </cell>
          <cell r="H687" t="str">
            <v>SECRETARIA C/ARCHIVO, FOTOCOP.</v>
          </cell>
          <cell r="I687">
            <v>1</v>
          </cell>
          <cell r="J687" t="str">
            <v>B.3.3.1</v>
          </cell>
          <cell r="K687" t="str">
            <v>Administración y apoyo general</v>
          </cell>
          <cell r="L687">
            <v>3</v>
          </cell>
          <cell r="M687">
            <v>46034</v>
          </cell>
          <cell r="N687">
            <v>46035</v>
          </cell>
          <cell r="O687">
            <v>7</v>
          </cell>
          <cell r="P687">
            <v>46044</v>
          </cell>
          <cell r="Q687">
            <v>5</v>
          </cell>
          <cell r="R687" t="str">
            <v>NA</v>
          </cell>
          <cell r="S687">
            <v>5</v>
          </cell>
        </row>
        <row r="688">
          <cell r="B688" t="str">
            <v>MNC</v>
          </cell>
          <cell r="C688" t="str">
            <v>HSLB13016</v>
          </cell>
          <cell r="D688">
            <v>201001</v>
          </cell>
          <cell r="E688" t="str">
            <v>Estación de Trabajo</v>
          </cell>
          <cell r="F688" t="str">
            <v>NO</v>
          </cell>
          <cell r="G688" t="str">
            <v>NO</v>
          </cell>
          <cell r="H688" t="str">
            <v>MÓD. TRABAJO (calidad)</v>
          </cell>
          <cell r="I688">
            <v>3</v>
          </cell>
          <cell r="J688" t="str">
            <v>B.3.3.2</v>
          </cell>
          <cell r="K688" t="str">
            <v>Administración y apoyo general</v>
          </cell>
          <cell r="L688">
            <v>3</v>
          </cell>
          <cell r="M688">
            <v>46034</v>
          </cell>
          <cell r="N688">
            <v>46035</v>
          </cell>
          <cell r="O688">
            <v>7</v>
          </cell>
          <cell r="P688">
            <v>46044</v>
          </cell>
          <cell r="Q688">
            <v>5</v>
          </cell>
          <cell r="R688" t="str">
            <v>NA</v>
          </cell>
          <cell r="S688">
            <v>5</v>
          </cell>
        </row>
        <row r="689">
          <cell r="B689" t="str">
            <v>MNC</v>
          </cell>
          <cell r="C689" t="str">
            <v>HSLB13017</v>
          </cell>
          <cell r="D689">
            <v>201001</v>
          </cell>
          <cell r="E689" t="str">
            <v>Estación de Trabajo</v>
          </cell>
          <cell r="F689" t="str">
            <v>NO</v>
          </cell>
          <cell r="G689" t="str">
            <v>NO</v>
          </cell>
          <cell r="H689" t="str">
            <v>MÓD. TRABAJO (IAAS)</v>
          </cell>
          <cell r="I689">
            <v>2</v>
          </cell>
          <cell r="J689" t="str">
            <v>B.3.3.3</v>
          </cell>
          <cell r="K689" t="str">
            <v>Administración y apoyo general</v>
          </cell>
          <cell r="L689">
            <v>3</v>
          </cell>
          <cell r="M689">
            <v>46034</v>
          </cell>
          <cell r="N689">
            <v>46035</v>
          </cell>
          <cell r="O689">
            <v>7</v>
          </cell>
          <cell r="P689">
            <v>46044</v>
          </cell>
          <cell r="Q689">
            <v>5</v>
          </cell>
          <cell r="R689" t="str">
            <v>NA</v>
          </cell>
          <cell r="S689">
            <v>5</v>
          </cell>
        </row>
        <row r="690">
          <cell r="B690" t="str">
            <v>MNC</v>
          </cell>
          <cell r="C690" t="str">
            <v>HSLB13018</v>
          </cell>
          <cell r="D690">
            <v>201001</v>
          </cell>
          <cell r="E690" t="str">
            <v>Estación de Trabajo</v>
          </cell>
          <cell r="F690" t="str">
            <v>NO</v>
          </cell>
          <cell r="G690" t="str">
            <v>NO</v>
          </cell>
          <cell r="H690" t="str">
            <v>OFICINA COMUNICACIONES</v>
          </cell>
          <cell r="I690">
            <v>3</v>
          </cell>
          <cell r="J690" t="str">
            <v>B.3.4.1</v>
          </cell>
          <cell r="K690" t="str">
            <v>Administración y apoyo general</v>
          </cell>
          <cell r="L690">
            <v>3</v>
          </cell>
          <cell r="M690">
            <v>46034</v>
          </cell>
          <cell r="N690">
            <v>46035</v>
          </cell>
          <cell r="O690">
            <v>7</v>
          </cell>
          <cell r="P690">
            <v>46044</v>
          </cell>
          <cell r="Q690">
            <v>5</v>
          </cell>
          <cell r="R690" t="str">
            <v>NA</v>
          </cell>
          <cell r="S690">
            <v>5</v>
          </cell>
        </row>
        <row r="691">
          <cell r="B691" t="str">
            <v>MNC</v>
          </cell>
          <cell r="C691" t="str">
            <v>HSLB13019</v>
          </cell>
          <cell r="D691">
            <v>201001</v>
          </cell>
          <cell r="E691" t="str">
            <v>Estación de Trabajo</v>
          </cell>
          <cell r="F691" t="str">
            <v>NO</v>
          </cell>
          <cell r="G691" t="str">
            <v>NO</v>
          </cell>
          <cell r="H691" t="str">
            <v>OFICINA ASESOR JURÍDICO</v>
          </cell>
          <cell r="I691">
            <v>1</v>
          </cell>
          <cell r="J691" t="str">
            <v>B.3.5.1</v>
          </cell>
          <cell r="K691" t="str">
            <v>Administración y apoyo general</v>
          </cell>
          <cell r="L691">
            <v>3</v>
          </cell>
          <cell r="M691">
            <v>46034</v>
          </cell>
          <cell r="N691">
            <v>46035</v>
          </cell>
          <cell r="O691">
            <v>7</v>
          </cell>
          <cell r="P691">
            <v>46044</v>
          </cell>
          <cell r="Q691">
            <v>5</v>
          </cell>
          <cell r="R691" t="str">
            <v>NA</v>
          </cell>
          <cell r="S691">
            <v>5</v>
          </cell>
        </row>
        <row r="692">
          <cell r="B692" t="str">
            <v>MNC</v>
          </cell>
          <cell r="C692" t="str">
            <v>HSLB13020</v>
          </cell>
          <cell r="D692">
            <v>201001</v>
          </cell>
          <cell r="E692" t="str">
            <v>Estación de Trabajo</v>
          </cell>
          <cell r="F692" t="str">
            <v>NO</v>
          </cell>
          <cell r="G692" t="str">
            <v>NO</v>
          </cell>
          <cell r="H692" t="str">
            <v>OFICINA JEFE AUDITORIA</v>
          </cell>
          <cell r="I692">
            <v>1</v>
          </cell>
          <cell r="J692" t="str">
            <v>B.3.6.1</v>
          </cell>
          <cell r="K692" t="str">
            <v>Administración y apoyo general</v>
          </cell>
          <cell r="L692">
            <v>3</v>
          </cell>
          <cell r="M692">
            <v>46034</v>
          </cell>
          <cell r="N692">
            <v>46035</v>
          </cell>
          <cell r="O692">
            <v>7</v>
          </cell>
          <cell r="P692">
            <v>46044</v>
          </cell>
          <cell r="Q692">
            <v>5</v>
          </cell>
          <cell r="R692" t="str">
            <v>NA</v>
          </cell>
          <cell r="S692">
            <v>5</v>
          </cell>
        </row>
        <row r="693">
          <cell r="B693" t="str">
            <v>MNC</v>
          </cell>
          <cell r="C693" t="str">
            <v>HSLB13325</v>
          </cell>
          <cell r="D693">
            <v>201008</v>
          </cell>
          <cell r="E693" t="str">
            <v>Mesa Reuniones Tipo I</v>
          </cell>
          <cell r="F693" t="str">
            <v>NO</v>
          </cell>
          <cell r="G693" t="str">
            <v>NO</v>
          </cell>
          <cell r="H693" t="str">
            <v>OFICINA JEFE AUDITORIA</v>
          </cell>
          <cell r="I693">
            <v>1</v>
          </cell>
          <cell r="J693" t="str">
            <v>B.3.6.1</v>
          </cell>
          <cell r="K693" t="str">
            <v>Administración y apoyo general</v>
          </cell>
          <cell r="L693">
            <v>3</v>
          </cell>
          <cell r="M693">
            <v>46031</v>
          </cell>
          <cell r="N693">
            <v>46034</v>
          </cell>
          <cell r="O693">
            <v>1</v>
          </cell>
          <cell r="P693">
            <v>46035</v>
          </cell>
          <cell r="Q693">
            <v>5</v>
          </cell>
          <cell r="R693" t="str">
            <v>NA</v>
          </cell>
          <cell r="S693">
            <v>5</v>
          </cell>
        </row>
        <row r="694">
          <cell r="B694" t="str">
            <v>MNC</v>
          </cell>
          <cell r="C694" t="str">
            <v>HSLB13021</v>
          </cell>
          <cell r="D694">
            <v>201001</v>
          </cell>
          <cell r="E694" t="str">
            <v>Estación de Trabajo</v>
          </cell>
          <cell r="F694" t="str">
            <v>NO</v>
          </cell>
          <cell r="G694" t="str">
            <v>NO</v>
          </cell>
          <cell r="H694" t="str">
            <v>MÓD. DE TRABAJO</v>
          </cell>
          <cell r="I694">
            <v>1</v>
          </cell>
          <cell r="J694" t="str">
            <v>B.3.7.2</v>
          </cell>
          <cell r="K694" t="str">
            <v>Administración y apoyo general</v>
          </cell>
          <cell r="L694">
            <v>3</v>
          </cell>
          <cell r="M694">
            <v>46034</v>
          </cell>
          <cell r="N694">
            <v>46035</v>
          </cell>
          <cell r="O694">
            <v>7</v>
          </cell>
          <cell r="P694">
            <v>46044</v>
          </cell>
          <cell r="Q694">
            <v>5</v>
          </cell>
          <cell r="R694" t="str">
            <v>NA</v>
          </cell>
          <cell r="S694">
            <v>5</v>
          </cell>
        </row>
        <row r="695">
          <cell r="B695" t="str">
            <v>MNC</v>
          </cell>
          <cell r="C695" t="str">
            <v>HSLB13022</v>
          </cell>
          <cell r="D695">
            <v>201001</v>
          </cell>
          <cell r="E695" t="str">
            <v>Estación de Trabajo</v>
          </cell>
          <cell r="F695" t="str">
            <v>NO</v>
          </cell>
          <cell r="G695" t="str">
            <v>NO</v>
          </cell>
          <cell r="H695" t="str">
            <v>COORDINADOR GESTIÓN DEL CUIDADO AT. ABIERTA</v>
          </cell>
          <cell r="I695">
            <v>2</v>
          </cell>
          <cell r="J695" t="str">
            <v>B.4.1</v>
          </cell>
          <cell r="K695" t="str">
            <v>Administración y apoyo general</v>
          </cell>
          <cell r="L695">
            <v>3</v>
          </cell>
          <cell r="M695">
            <v>46034</v>
          </cell>
          <cell r="N695">
            <v>46035</v>
          </cell>
          <cell r="O695">
            <v>7</v>
          </cell>
          <cell r="P695">
            <v>46044</v>
          </cell>
          <cell r="Q695">
            <v>5</v>
          </cell>
          <cell r="R695" t="str">
            <v>NA</v>
          </cell>
          <cell r="S695">
            <v>5</v>
          </cell>
        </row>
        <row r="696">
          <cell r="B696" t="str">
            <v>MNC</v>
          </cell>
          <cell r="C696" t="str">
            <v>HSLB13023</v>
          </cell>
          <cell r="D696">
            <v>201001</v>
          </cell>
          <cell r="E696" t="str">
            <v>Estación de Trabajo</v>
          </cell>
          <cell r="F696" t="str">
            <v>NO</v>
          </cell>
          <cell r="G696" t="str">
            <v>NO</v>
          </cell>
          <cell r="H696" t="str">
            <v>COORDINADOR GESTIÓN DEL CUIDADO AT. CERRADA</v>
          </cell>
          <cell r="I696">
            <v>1</v>
          </cell>
          <cell r="J696" t="str">
            <v>B.4.2</v>
          </cell>
          <cell r="K696" t="str">
            <v>Administración y apoyo general</v>
          </cell>
          <cell r="L696">
            <v>3</v>
          </cell>
          <cell r="M696">
            <v>46034</v>
          </cell>
          <cell r="N696">
            <v>46035</v>
          </cell>
          <cell r="O696">
            <v>7</v>
          </cell>
          <cell r="P696">
            <v>46044</v>
          </cell>
          <cell r="Q696">
            <v>5</v>
          </cell>
          <cell r="R696" t="str">
            <v>NA</v>
          </cell>
          <cell r="S696">
            <v>5</v>
          </cell>
        </row>
        <row r="697">
          <cell r="B697" t="str">
            <v>MNC</v>
          </cell>
          <cell r="C697" t="str">
            <v>HSLB13386</v>
          </cell>
          <cell r="D697">
            <v>201010</v>
          </cell>
          <cell r="E697" t="str">
            <v>Mesa Reuniones Tipo III</v>
          </cell>
          <cell r="F697" t="str">
            <v>NO</v>
          </cell>
          <cell r="G697" t="str">
            <v>NO</v>
          </cell>
          <cell r="H697" t="str">
            <v>SALA DE REUNIONES (25pp)</v>
          </cell>
          <cell r="I697">
            <v>1</v>
          </cell>
          <cell r="J697" t="str">
            <v>B.5.1</v>
          </cell>
          <cell r="K697" t="str">
            <v>Administración y apoyo general</v>
          </cell>
          <cell r="L697">
            <v>3</v>
          </cell>
          <cell r="M697">
            <v>46031</v>
          </cell>
          <cell r="N697">
            <v>46034</v>
          </cell>
          <cell r="O697">
            <v>1</v>
          </cell>
          <cell r="P697">
            <v>46035</v>
          </cell>
          <cell r="Q697">
            <v>5</v>
          </cell>
          <cell r="R697" t="str">
            <v>NA</v>
          </cell>
          <cell r="S697">
            <v>5</v>
          </cell>
        </row>
        <row r="698">
          <cell r="B698" t="str">
            <v>MNC</v>
          </cell>
          <cell r="C698" t="str">
            <v>HSLB13024</v>
          </cell>
          <cell r="D698">
            <v>201001</v>
          </cell>
          <cell r="E698" t="str">
            <v>Estación de Trabajo</v>
          </cell>
          <cell r="F698" t="str">
            <v>NO</v>
          </cell>
          <cell r="G698" t="str">
            <v>NO</v>
          </cell>
          <cell r="H698" t="str">
            <v>COORDINADOR GESTIÓN DE PACIENTES</v>
          </cell>
          <cell r="I698">
            <v>1</v>
          </cell>
          <cell r="J698" t="str">
            <v>C.1.1.1</v>
          </cell>
          <cell r="K698" t="str">
            <v>Administración y apoyo general</v>
          </cell>
          <cell r="L698">
            <v>3</v>
          </cell>
          <cell r="M698">
            <v>46034</v>
          </cell>
          <cell r="N698">
            <v>46035</v>
          </cell>
          <cell r="O698">
            <v>7</v>
          </cell>
          <cell r="P698">
            <v>46044</v>
          </cell>
          <cell r="Q698">
            <v>5</v>
          </cell>
          <cell r="R698" t="str">
            <v>NA</v>
          </cell>
          <cell r="S698">
            <v>5</v>
          </cell>
        </row>
        <row r="699">
          <cell r="B699" t="str">
            <v>MNC</v>
          </cell>
          <cell r="C699" t="str">
            <v>HSLB13027</v>
          </cell>
          <cell r="D699">
            <v>201001</v>
          </cell>
          <cell r="E699" t="str">
            <v>Estación de Trabajo</v>
          </cell>
          <cell r="F699" t="str">
            <v>NO</v>
          </cell>
          <cell r="G699" t="str">
            <v>NO</v>
          </cell>
          <cell r="H699" t="str">
            <v>OFICINA SECRETARÍA</v>
          </cell>
          <cell r="I699">
            <v>1</v>
          </cell>
          <cell r="J699" t="str">
            <v>C.2.1.2</v>
          </cell>
          <cell r="K699" t="str">
            <v>Administración y apoyo general</v>
          </cell>
          <cell r="L699">
            <v>3</v>
          </cell>
          <cell r="M699">
            <v>46034</v>
          </cell>
          <cell r="N699">
            <v>46035</v>
          </cell>
          <cell r="O699">
            <v>7</v>
          </cell>
          <cell r="P699">
            <v>46044</v>
          </cell>
          <cell r="Q699">
            <v>5</v>
          </cell>
          <cell r="R699" t="str">
            <v>NA</v>
          </cell>
          <cell r="S699">
            <v>5</v>
          </cell>
        </row>
        <row r="700">
          <cell r="B700" t="str">
            <v>MNC</v>
          </cell>
          <cell r="C700" t="str">
            <v>HSLB13028</v>
          </cell>
          <cell r="D700">
            <v>201001</v>
          </cell>
          <cell r="E700" t="str">
            <v>Estación de Trabajo</v>
          </cell>
          <cell r="F700" t="str">
            <v>NO</v>
          </cell>
          <cell r="G700" t="str">
            <v>NO</v>
          </cell>
          <cell r="H700" t="str">
            <v>OFICINA JEFE CR ATENCIÓN ABIERTA</v>
          </cell>
          <cell r="I700">
            <v>1</v>
          </cell>
          <cell r="J700" t="str">
            <v>C.2.1.3</v>
          </cell>
          <cell r="K700" t="str">
            <v>Administración y apoyo general</v>
          </cell>
          <cell r="L700">
            <v>3</v>
          </cell>
          <cell r="M700">
            <v>46034</v>
          </cell>
          <cell r="N700">
            <v>46035</v>
          </cell>
          <cell r="O700">
            <v>7</v>
          </cell>
          <cell r="P700">
            <v>46044</v>
          </cell>
          <cell r="Q700">
            <v>5</v>
          </cell>
          <cell r="R700" t="str">
            <v>NA</v>
          </cell>
          <cell r="S700">
            <v>5</v>
          </cell>
        </row>
        <row r="701">
          <cell r="B701" t="str">
            <v>MNC</v>
          </cell>
          <cell r="C701" t="str">
            <v>HSLB13327</v>
          </cell>
          <cell r="D701">
            <v>201008</v>
          </cell>
          <cell r="E701" t="str">
            <v>Mesa Reuniones Tipo I</v>
          </cell>
          <cell r="F701" t="str">
            <v>NO</v>
          </cell>
          <cell r="G701" t="str">
            <v>NO</v>
          </cell>
          <cell r="H701" t="str">
            <v>OFICINA JEFE CR ATENCIÓN ABIERTA</v>
          </cell>
          <cell r="I701">
            <v>1</v>
          </cell>
          <cell r="J701" t="str">
            <v>C.2.1.3</v>
          </cell>
          <cell r="K701" t="str">
            <v>Administración y apoyo general</v>
          </cell>
          <cell r="L701">
            <v>3</v>
          </cell>
          <cell r="M701">
            <v>46031</v>
          </cell>
          <cell r="N701">
            <v>46034</v>
          </cell>
          <cell r="O701">
            <v>1</v>
          </cell>
          <cell r="P701">
            <v>46035</v>
          </cell>
          <cell r="Q701">
            <v>5</v>
          </cell>
          <cell r="R701" t="str">
            <v>NA</v>
          </cell>
          <cell r="S701">
            <v>5</v>
          </cell>
        </row>
        <row r="702">
          <cell r="B702" t="str">
            <v>MNC</v>
          </cell>
          <cell r="C702" t="str">
            <v>HSLB13029</v>
          </cell>
          <cell r="D702">
            <v>201001</v>
          </cell>
          <cell r="E702" t="str">
            <v>Estación de Trabajo</v>
          </cell>
          <cell r="F702" t="str">
            <v>NO</v>
          </cell>
          <cell r="G702" t="str">
            <v>NO</v>
          </cell>
          <cell r="H702" t="str">
            <v>SECRETARIA C/ARCH. Y FOTO</v>
          </cell>
          <cell r="I702">
            <v>1</v>
          </cell>
          <cell r="J702" t="str">
            <v>C.2.2.1.8</v>
          </cell>
          <cell r="K702" t="str">
            <v>Administración y apoyo general</v>
          </cell>
          <cell r="L702">
            <v>3</v>
          </cell>
          <cell r="M702">
            <v>46034</v>
          </cell>
          <cell r="N702">
            <v>46035</v>
          </cell>
          <cell r="O702">
            <v>7</v>
          </cell>
          <cell r="P702">
            <v>46044</v>
          </cell>
          <cell r="Q702">
            <v>5</v>
          </cell>
          <cell r="R702" t="str">
            <v>NA</v>
          </cell>
          <cell r="S702">
            <v>5</v>
          </cell>
        </row>
        <row r="703">
          <cell r="B703" t="str">
            <v>MNC</v>
          </cell>
          <cell r="C703" t="str">
            <v>HSLB13030</v>
          </cell>
          <cell r="D703">
            <v>201001</v>
          </cell>
          <cell r="E703" t="str">
            <v>Estación de Trabajo</v>
          </cell>
          <cell r="F703" t="str">
            <v>NO</v>
          </cell>
          <cell r="G703" t="str">
            <v>NO</v>
          </cell>
          <cell r="H703" t="str">
            <v>OFICINA JEFE CAE</v>
          </cell>
          <cell r="I703">
            <v>1</v>
          </cell>
          <cell r="J703" t="str">
            <v>C.2.2.1.9</v>
          </cell>
          <cell r="K703" t="str">
            <v>Administración y apoyo general</v>
          </cell>
          <cell r="L703">
            <v>3</v>
          </cell>
          <cell r="M703">
            <v>46034</v>
          </cell>
          <cell r="N703">
            <v>46035</v>
          </cell>
          <cell r="O703">
            <v>7</v>
          </cell>
          <cell r="P703">
            <v>46044</v>
          </cell>
          <cell r="Q703">
            <v>5</v>
          </cell>
          <cell r="R703" t="str">
            <v>NA</v>
          </cell>
          <cell r="S703">
            <v>5</v>
          </cell>
        </row>
        <row r="704">
          <cell r="B704" t="str">
            <v>MNC</v>
          </cell>
          <cell r="C704" t="str">
            <v>HSLB13328</v>
          </cell>
          <cell r="D704">
            <v>201008</v>
          </cell>
          <cell r="E704" t="str">
            <v>Mesa Reuniones Tipo I</v>
          </cell>
          <cell r="F704" t="str">
            <v>NO</v>
          </cell>
          <cell r="G704" t="str">
            <v>NO</v>
          </cell>
          <cell r="H704" t="str">
            <v>OFICINA JEFE CAE</v>
          </cell>
          <cell r="I704">
            <v>1</v>
          </cell>
          <cell r="J704" t="str">
            <v>C.2.2.1.9</v>
          </cell>
          <cell r="K704" t="str">
            <v>Administración y apoyo general</v>
          </cell>
          <cell r="L704">
            <v>3</v>
          </cell>
          <cell r="M704">
            <v>46031</v>
          </cell>
          <cell r="N704">
            <v>46034</v>
          </cell>
          <cell r="O704">
            <v>1</v>
          </cell>
          <cell r="P704">
            <v>46035</v>
          </cell>
          <cell r="Q704">
            <v>5</v>
          </cell>
          <cell r="R704" t="str">
            <v>NA</v>
          </cell>
          <cell r="S704">
            <v>5</v>
          </cell>
        </row>
        <row r="705">
          <cell r="B705" t="str">
            <v>MNC</v>
          </cell>
          <cell r="C705" t="str">
            <v>HSLB13413</v>
          </cell>
          <cell r="D705">
            <v>201011</v>
          </cell>
          <cell r="E705" t="str">
            <v>Mesa Tipo Casino</v>
          </cell>
          <cell r="F705" t="str">
            <v>NO</v>
          </cell>
          <cell r="G705" t="str">
            <v>NO</v>
          </cell>
          <cell r="H705" t="str">
            <v>ESTAR PERSONAL C/ KITCHENETTE</v>
          </cell>
          <cell r="I705">
            <v>1</v>
          </cell>
          <cell r="J705" t="str">
            <v>C.3.6.22.1</v>
          </cell>
          <cell r="K705" t="str">
            <v>Parto Integral</v>
          </cell>
          <cell r="L705">
            <v>3</v>
          </cell>
          <cell r="M705">
            <v>46043</v>
          </cell>
          <cell r="N705">
            <v>46044</v>
          </cell>
          <cell r="O705">
            <v>3</v>
          </cell>
          <cell r="P705">
            <v>46049</v>
          </cell>
          <cell r="Q705">
            <v>5</v>
          </cell>
          <cell r="R705" t="str">
            <v>NA</v>
          </cell>
          <cell r="S705">
            <v>5</v>
          </cell>
        </row>
        <row r="706">
          <cell r="B706" t="str">
            <v>MNC</v>
          </cell>
          <cell r="C706" t="str">
            <v>HSLB13284</v>
          </cell>
          <cell r="D706">
            <v>201001</v>
          </cell>
          <cell r="E706" t="str">
            <v>Estación de Trabajo</v>
          </cell>
          <cell r="F706" t="str">
            <v>NO</v>
          </cell>
          <cell r="G706" t="str">
            <v>NO</v>
          </cell>
          <cell r="H706" t="str">
            <v>SALA TRANSICIÓN NEONATAL</v>
          </cell>
          <cell r="I706">
            <v>1</v>
          </cell>
          <cell r="J706" t="str">
            <v>C.3.6.3.11</v>
          </cell>
          <cell r="K706" t="str">
            <v>Parto Integral</v>
          </cell>
          <cell r="L706">
            <v>3</v>
          </cell>
          <cell r="M706">
            <v>46043</v>
          </cell>
          <cell r="N706">
            <v>46044</v>
          </cell>
          <cell r="O706">
            <v>3</v>
          </cell>
          <cell r="P706">
            <v>46049</v>
          </cell>
          <cell r="Q706">
            <v>5</v>
          </cell>
          <cell r="R706" t="str">
            <v>NA</v>
          </cell>
          <cell r="S706">
            <v>5</v>
          </cell>
        </row>
        <row r="707">
          <cell r="B707" t="str">
            <v>MNC</v>
          </cell>
          <cell r="C707" t="str">
            <v>HSLB13148</v>
          </cell>
          <cell r="D707">
            <v>201001</v>
          </cell>
          <cell r="E707" t="str">
            <v>Estación de Trabajo</v>
          </cell>
          <cell r="F707" t="str">
            <v>NO</v>
          </cell>
          <cell r="G707" t="str">
            <v>NO</v>
          </cell>
          <cell r="H707" t="str">
            <v>SALA PREPARACIÓN PACIENTES</v>
          </cell>
          <cell r="I707">
            <v>1</v>
          </cell>
          <cell r="J707" t="str">
            <v>C.3.6.3.11.1</v>
          </cell>
          <cell r="K707" t="str">
            <v>Parto Integral</v>
          </cell>
          <cell r="L707">
            <v>3</v>
          </cell>
          <cell r="M707">
            <v>46043</v>
          </cell>
          <cell r="N707">
            <v>46044</v>
          </cell>
          <cell r="O707">
            <v>3</v>
          </cell>
          <cell r="P707">
            <v>46049</v>
          </cell>
          <cell r="Q707">
            <v>5</v>
          </cell>
          <cell r="R707" t="str">
            <v>NA</v>
          </cell>
          <cell r="S707">
            <v>5</v>
          </cell>
        </row>
        <row r="708">
          <cell r="B708" t="str">
            <v>MNC</v>
          </cell>
          <cell r="C708" t="str">
            <v>HSLB13149</v>
          </cell>
          <cell r="D708">
            <v>201001</v>
          </cell>
          <cell r="E708" t="str">
            <v>Estación de Trabajo</v>
          </cell>
          <cell r="F708" t="str">
            <v>NO</v>
          </cell>
          <cell r="G708" t="str">
            <v>NO</v>
          </cell>
          <cell r="H708" t="str">
            <v>OFICINA SUPERVISOR PARTO Y LEY IVE</v>
          </cell>
          <cell r="I708">
            <v>1</v>
          </cell>
          <cell r="J708" t="str">
            <v>C.3.6.3.2.1</v>
          </cell>
          <cell r="K708" t="str">
            <v>Parto Integral</v>
          </cell>
          <cell r="L708">
            <v>3</v>
          </cell>
          <cell r="M708">
            <v>46043</v>
          </cell>
          <cell r="N708">
            <v>46044</v>
          </cell>
          <cell r="O708">
            <v>3</v>
          </cell>
          <cell r="P708">
            <v>46049</v>
          </cell>
          <cell r="Q708">
            <v>5</v>
          </cell>
          <cell r="R708" t="str">
            <v>NA</v>
          </cell>
          <cell r="S708">
            <v>5</v>
          </cell>
        </row>
        <row r="709">
          <cell r="B709" t="str">
            <v>MNC</v>
          </cell>
          <cell r="C709" t="str">
            <v>HSLB13150</v>
          </cell>
          <cell r="D709">
            <v>201001</v>
          </cell>
          <cell r="E709" t="str">
            <v>Estación de Trabajo</v>
          </cell>
          <cell r="F709" t="str">
            <v>NO</v>
          </cell>
          <cell r="G709" t="str">
            <v>NO</v>
          </cell>
          <cell r="H709" t="str">
            <v>SALA DE ENTREVISTAS LEY IVE</v>
          </cell>
          <cell r="I709">
            <v>1</v>
          </cell>
          <cell r="J709" t="str">
            <v>C.3.6.3.2.2</v>
          </cell>
          <cell r="K709" t="str">
            <v>Parto Integral</v>
          </cell>
          <cell r="L709">
            <v>3</v>
          </cell>
          <cell r="M709">
            <v>46043</v>
          </cell>
          <cell r="N709">
            <v>46044</v>
          </cell>
          <cell r="O709">
            <v>3</v>
          </cell>
          <cell r="P709">
            <v>46049</v>
          </cell>
          <cell r="Q709">
            <v>5</v>
          </cell>
          <cell r="R709" t="str">
            <v>NA</v>
          </cell>
          <cell r="S709">
            <v>5</v>
          </cell>
        </row>
        <row r="710">
          <cell r="B710" t="str">
            <v>MNC</v>
          </cell>
          <cell r="C710" t="str">
            <v>HSLB13346</v>
          </cell>
          <cell r="D710">
            <v>201008</v>
          </cell>
          <cell r="E710" t="str">
            <v>Mesa Reuniones Tipo I</v>
          </cell>
          <cell r="F710" t="str">
            <v>NO</v>
          </cell>
          <cell r="G710" t="str">
            <v>NO</v>
          </cell>
          <cell r="H710" t="str">
            <v>SALA DE ENTREVISTAS LEY IVE</v>
          </cell>
          <cell r="I710">
            <v>1</v>
          </cell>
          <cell r="J710" t="str">
            <v>C.3.6.3.2.2</v>
          </cell>
          <cell r="K710" t="str">
            <v>Parto Integral</v>
          </cell>
          <cell r="L710">
            <v>3</v>
          </cell>
          <cell r="M710">
            <v>46043</v>
          </cell>
          <cell r="N710">
            <v>46044</v>
          </cell>
          <cell r="O710">
            <v>3</v>
          </cell>
          <cell r="P710">
            <v>46049</v>
          </cell>
          <cell r="Q710">
            <v>5</v>
          </cell>
          <cell r="R710" t="str">
            <v>NA</v>
          </cell>
          <cell r="S710">
            <v>5</v>
          </cell>
        </row>
        <row r="711">
          <cell r="B711" t="str">
            <v>MNC</v>
          </cell>
          <cell r="C711" t="str">
            <v>HSLB15316</v>
          </cell>
          <cell r="D711">
            <v>201001</v>
          </cell>
          <cell r="E711" t="str">
            <v>Estación de Trabajo</v>
          </cell>
          <cell r="F711" t="str">
            <v>NO</v>
          </cell>
          <cell r="G711" t="str">
            <v>SI</v>
          </cell>
          <cell r="H711" t="str">
            <v>SALA MULTIUSO</v>
          </cell>
          <cell r="I711">
            <v>1</v>
          </cell>
          <cell r="J711" t="str">
            <v>C.3.6.3.5</v>
          </cell>
          <cell r="K711" t="str">
            <v>Parto Integral</v>
          </cell>
          <cell r="L711">
            <v>3</v>
          </cell>
          <cell r="M711">
            <v>46003</v>
          </cell>
          <cell r="N711">
            <v>46006</v>
          </cell>
          <cell r="O711">
            <v>1</v>
          </cell>
          <cell r="P711">
            <v>46007</v>
          </cell>
          <cell r="Q711">
            <v>5</v>
          </cell>
          <cell r="R711" t="str">
            <v>NA</v>
          </cell>
          <cell r="S711">
            <v>5</v>
          </cell>
        </row>
        <row r="712">
          <cell r="B712" t="str">
            <v>MNC</v>
          </cell>
          <cell r="C712" t="str">
            <v>HSLB15317</v>
          </cell>
          <cell r="D712">
            <v>201001</v>
          </cell>
          <cell r="E712" t="str">
            <v>Estación de Trabajo</v>
          </cell>
          <cell r="F712" t="str">
            <v>NO</v>
          </cell>
          <cell r="G712" t="str">
            <v>NO</v>
          </cell>
          <cell r="H712" t="str">
            <v>SALA PARTO INTEGRAL</v>
          </cell>
          <cell r="I712">
            <v>1</v>
          </cell>
          <cell r="J712" t="str">
            <v>C.3.6.3.6.1</v>
          </cell>
          <cell r="K712" t="str">
            <v>Parto Integral</v>
          </cell>
          <cell r="L712">
            <v>3</v>
          </cell>
          <cell r="M712">
            <v>46043</v>
          </cell>
          <cell r="N712">
            <v>46044</v>
          </cell>
          <cell r="O712">
            <v>3</v>
          </cell>
          <cell r="P712">
            <v>46049</v>
          </cell>
          <cell r="Q712">
            <v>5</v>
          </cell>
          <cell r="R712" t="str">
            <v>NA</v>
          </cell>
          <cell r="S712">
            <v>5</v>
          </cell>
        </row>
        <row r="713">
          <cell r="B713" t="str">
            <v>MNC</v>
          </cell>
          <cell r="C713" t="str">
            <v>HSLB15318</v>
          </cell>
          <cell r="D713">
            <v>201001</v>
          </cell>
          <cell r="E713" t="str">
            <v>Estación de Trabajo</v>
          </cell>
          <cell r="F713" t="str">
            <v>NO</v>
          </cell>
          <cell r="G713" t="str">
            <v>NO</v>
          </cell>
          <cell r="H713" t="str">
            <v>SALA PARTO INTEGRAL</v>
          </cell>
          <cell r="I713">
            <v>1</v>
          </cell>
          <cell r="J713" t="str">
            <v>C.3.6.3.6.2</v>
          </cell>
          <cell r="K713" t="str">
            <v>Parto Integral</v>
          </cell>
          <cell r="L713">
            <v>3</v>
          </cell>
          <cell r="M713">
            <v>46043</v>
          </cell>
          <cell r="N713">
            <v>46044</v>
          </cell>
          <cell r="O713">
            <v>3</v>
          </cell>
          <cell r="P713">
            <v>46049</v>
          </cell>
          <cell r="Q713">
            <v>5</v>
          </cell>
          <cell r="R713" t="str">
            <v>NA</v>
          </cell>
          <cell r="S713">
            <v>5</v>
          </cell>
        </row>
        <row r="714">
          <cell r="B714" t="str">
            <v>MNC</v>
          </cell>
          <cell r="C714" t="str">
            <v>HSLB15319</v>
          </cell>
          <cell r="D714">
            <v>201001</v>
          </cell>
          <cell r="E714" t="str">
            <v>Estación de Trabajo</v>
          </cell>
          <cell r="F714" t="str">
            <v>NO</v>
          </cell>
          <cell r="G714" t="str">
            <v>NO</v>
          </cell>
          <cell r="H714" t="str">
            <v>SALA PARTO INTEGRAL</v>
          </cell>
          <cell r="I714">
            <v>1</v>
          </cell>
          <cell r="J714" t="str">
            <v>C.3.6.3.6.3</v>
          </cell>
          <cell r="K714" t="str">
            <v>Parto Integral</v>
          </cell>
          <cell r="L714">
            <v>3</v>
          </cell>
          <cell r="M714">
            <v>46043</v>
          </cell>
          <cell r="N714">
            <v>46044</v>
          </cell>
          <cell r="O714">
            <v>3</v>
          </cell>
          <cell r="P714">
            <v>46049</v>
          </cell>
          <cell r="Q714">
            <v>5</v>
          </cell>
          <cell r="R714" t="str">
            <v>NA</v>
          </cell>
          <cell r="S714">
            <v>5</v>
          </cell>
        </row>
        <row r="715">
          <cell r="B715" t="str">
            <v>MNC</v>
          </cell>
          <cell r="C715" t="str">
            <v>HSLB13151</v>
          </cell>
          <cell r="D715">
            <v>201001</v>
          </cell>
          <cell r="E715" t="str">
            <v>Estación de Trabajo</v>
          </cell>
          <cell r="F715" t="str">
            <v>NO</v>
          </cell>
          <cell r="G715" t="str">
            <v>NO</v>
          </cell>
          <cell r="H715" t="str">
            <v>OFICINA JEFE UTI</v>
          </cell>
          <cell r="I715">
            <v>1</v>
          </cell>
          <cell r="J715" t="str">
            <v>C.3.7.1</v>
          </cell>
          <cell r="K715" t="str">
            <v>UTI</v>
          </cell>
          <cell r="L715">
            <v>3</v>
          </cell>
          <cell r="M715">
            <v>46043</v>
          </cell>
          <cell r="N715">
            <v>46044</v>
          </cell>
          <cell r="O715">
            <v>3</v>
          </cell>
          <cell r="P715">
            <v>46049</v>
          </cell>
          <cell r="Q715">
            <v>5</v>
          </cell>
          <cell r="R715" t="str">
            <v>NA</v>
          </cell>
          <cell r="S715">
            <v>5</v>
          </cell>
        </row>
        <row r="716">
          <cell r="B716" t="str">
            <v>MNC</v>
          </cell>
          <cell r="C716" t="str">
            <v>HSLB13152</v>
          </cell>
          <cell r="D716">
            <v>201001</v>
          </cell>
          <cell r="E716" t="str">
            <v>Estación de Trabajo</v>
          </cell>
          <cell r="F716" t="str">
            <v>NO</v>
          </cell>
          <cell r="G716" t="str">
            <v>NO</v>
          </cell>
          <cell r="H716" t="str">
            <v>MÓDULO SUPERVISOR UTI</v>
          </cell>
          <cell r="I716">
            <v>1</v>
          </cell>
          <cell r="J716" t="str">
            <v>C.3.7.11</v>
          </cell>
          <cell r="K716" t="str">
            <v>UTI</v>
          </cell>
          <cell r="L716">
            <v>3</v>
          </cell>
          <cell r="M716">
            <v>46043</v>
          </cell>
          <cell r="N716">
            <v>46044</v>
          </cell>
          <cell r="O716">
            <v>3</v>
          </cell>
          <cell r="P716">
            <v>46049</v>
          </cell>
          <cell r="Q716">
            <v>5</v>
          </cell>
          <cell r="R716" t="str">
            <v>NA</v>
          </cell>
          <cell r="S716">
            <v>5</v>
          </cell>
        </row>
        <row r="717">
          <cell r="B717" t="str">
            <v>MNC</v>
          </cell>
          <cell r="C717" t="str">
            <v>HSLB15324</v>
          </cell>
          <cell r="D717">
            <v>201001</v>
          </cell>
          <cell r="E717" t="str">
            <v>Estación de Trabajo</v>
          </cell>
          <cell r="F717" t="str">
            <v>NO</v>
          </cell>
          <cell r="G717" t="str">
            <v>NO</v>
          </cell>
          <cell r="H717" t="str">
            <v>SALA PROCEDIMIENTOS</v>
          </cell>
          <cell r="I717">
            <v>1</v>
          </cell>
          <cell r="J717" t="str">
            <v>C.3.7.18</v>
          </cell>
          <cell r="K717" t="str">
            <v>UTI</v>
          </cell>
          <cell r="L717">
            <v>3</v>
          </cell>
          <cell r="M717">
            <v>46043</v>
          </cell>
          <cell r="N717">
            <v>46044</v>
          </cell>
          <cell r="O717">
            <v>3</v>
          </cell>
          <cell r="P717">
            <v>46049</v>
          </cell>
          <cell r="Q717">
            <v>5</v>
          </cell>
          <cell r="R717" t="str">
            <v>NA</v>
          </cell>
          <cell r="S717">
            <v>5</v>
          </cell>
        </row>
        <row r="718">
          <cell r="B718" t="str">
            <v>MNC</v>
          </cell>
          <cell r="C718" t="str">
            <v>HSLB13153</v>
          </cell>
          <cell r="D718">
            <v>201001</v>
          </cell>
          <cell r="E718" t="str">
            <v>Estación de Trabajo</v>
          </cell>
          <cell r="F718" t="str">
            <v>NO</v>
          </cell>
          <cell r="G718" t="str">
            <v>NO</v>
          </cell>
          <cell r="H718" t="str">
            <v>OFICINA COORDINADOR UTI</v>
          </cell>
          <cell r="I718">
            <v>1</v>
          </cell>
          <cell r="J718" t="str">
            <v>C.3.7.2</v>
          </cell>
          <cell r="K718" t="str">
            <v>UTI</v>
          </cell>
          <cell r="L718">
            <v>3</v>
          </cell>
          <cell r="M718">
            <v>46043</v>
          </cell>
          <cell r="N718">
            <v>46044</v>
          </cell>
          <cell r="O718">
            <v>3</v>
          </cell>
          <cell r="P718">
            <v>46049</v>
          </cell>
          <cell r="Q718">
            <v>5</v>
          </cell>
          <cell r="R718" t="str">
            <v>NA</v>
          </cell>
          <cell r="S718">
            <v>5</v>
          </cell>
        </row>
        <row r="719">
          <cell r="B719" t="str">
            <v>MNC</v>
          </cell>
          <cell r="C719" t="str">
            <v>HSLB13414</v>
          </cell>
          <cell r="D719">
            <v>201011</v>
          </cell>
          <cell r="E719" t="str">
            <v>Mesa Tipo Casino</v>
          </cell>
          <cell r="F719" t="str">
            <v>NO</v>
          </cell>
          <cell r="G719" t="str">
            <v>NO</v>
          </cell>
          <cell r="H719" t="str">
            <v>ESTAR PERSONAL C/ KITCHENETTE</v>
          </cell>
          <cell r="I719">
            <v>1</v>
          </cell>
          <cell r="J719" t="str">
            <v>C.3.7.27.1</v>
          </cell>
          <cell r="K719" t="str">
            <v>UTI</v>
          </cell>
          <cell r="L719">
            <v>3</v>
          </cell>
          <cell r="M719">
            <v>46043</v>
          </cell>
          <cell r="N719">
            <v>46044</v>
          </cell>
          <cell r="O719">
            <v>3</v>
          </cell>
          <cell r="P719">
            <v>46049</v>
          </cell>
          <cell r="Q719">
            <v>5</v>
          </cell>
          <cell r="R719" t="str">
            <v>NA</v>
          </cell>
          <cell r="S719">
            <v>5</v>
          </cell>
        </row>
        <row r="720">
          <cell r="B720" t="str">
            <v>MNC</v>
          </cell>
          <cell r="C720" t="str">
            <v>HSLB13415</v>
          </cell>
          <cell r="D720">
            <v>201011</v>
          </cell>
          <cell r="E720" t="str">
            <v>Mesa Tipo Casino</v>
          </cell>
          <cell r="F720" t="str">
            <v>NO</v>
          </cell>
          <cell r="G720" t="str">
            <v>NO</v>
          </cell>
          <cell r="H720" t="str">
            <v>ESTAR PERSONAL C/ KITCHENETTE</v>
          </cell>
          <cell r="I720">
            <v>1</v>
          </cell>
          <cell r="J720" t="str">
            <v>C.3.7.27.2</v>
          </cell>
          <cell r="K720" t="str">
            <v>UTI</v>
          </cell>
          <cell r="L720">
            <v>3</v>
          </cell>
          <cell r="M720">
            <v>46043</v>
          </cell>
          <cell r="N720">
            <v>46044</v>
          </cell>
          <cell r="O720">
            <v>3</v>
          </cell>
          <cell r="P720">
            <v>46049</v>
          </cell>
          <cell r="Q720">
            <v>5</v>
          </cell>
          <cell r="R720" t="str">
            <v>NA</v>
          </cell>
          <cell r="S720">
            <v>5</v>
          </cell>
        </row>
        <row r="721">
          <cell r="B721" t="str">
            <v>MNC</v>
          </cell>
          <cell r="C721" t="str">
            <v>HSLB13298</v>
          </cell>
          <cell r="D721">
            <v>201002</v>
          </cell>
          <cell r="E721" t="str">
            <v>Mesa Lateral</v>
          </cell>
          <cell r="F721" t="str">
            <v>NO</v>
          </cell>
          <cell r="G721" t="str">
            <v>NO</v>
          </cell>
          <cell r="H721" t="str">
            <v>SALA DE ESTAR FAMILIARES</v>
          </cell>
          <cell r="I721">
            <v>2</v>
          </cell>
          <cell r="J721" t="str">
            <v>C.3.7.7</v>
          </cell>
          <cell r="K721" t="str">
            <v>UTI</v>
          </cell>
          <cell r="L721">
            <v>3</v>
          </cell>
          <cell r="M721">
            <v>46043</v>
          </cell>
          <cell r="N721">
            <v>46044</v>
          </cell>
          <cell r="O721">
            <v>3</v>
          </cell>
          <cell r="P721">
            <v>46049</v>
          </cell>
          <cell r="Q721">
            <v>5</v>
          </cell>
          <cell r="R721" t="str">
            <v>NA</v>
          </cell>
          <cell r="S721">
            <v>5</v>
          </cell>
        </row>
        <row r="722">
          <cell r="B722" t="str">
            <v>MNC</v>
          </cell>
          <cell r="C722" t="str">
            <v>HSLB13347</v>
          </cell>
          <cell r="D722">
            <v>201008</v>
          </cell>
          <cell r="E722" t="str">
            <v>Mesa Reuniones Tipo I</v>
          </cell>
          <cell r="F722" t="str">
            <v>NO</v>
          </cell>
          <cell r="G722" t="str">
            <v>NO</v>
          </cell>
          <cell r="H722" t="str">
            <v>SALA DE ESTAR FAMILIARES</v>
          </cell>
          <cell r="I722">
            <v>1</v>
          </cell>
          <cell r="J722" t="str">
            <v>C.3.7.7</v>
          </cell>
          <cell r="K722" t="str">
            <v>UTI</v>
          </cell>
          <cell r="L722">
            <v>3</v>
          </cell>
          <cell r="M722">
            <v>46043</v>
          </cell>
          <cell r="N722">
            <v>46044</v>
          </cell>
          <cell r="O722">
            <v>3</v>
          </cell>
          <cell r="P722">
            <v>46049</v>
          </cell>
          <cell r="Q722">
            <v>5</v>
          </cell>
          <cell r="R722" t="str">
            <v>NA</v>
          </cell>
          <cell r="S722">
            <v>5</v>
          </cell>
        </row>
        <row r="723">
          <cell r="B723" t="str">
            <v>MNC</v>
          </cell>
          <cell r="C723" t="str">
            <v>HSLB13285</v>
          </cell>
          <cell r="D723">
            <v>201001</v>
          </cell>
          <cell r="E723" t="str">
            <v>Estación de Trabajo</v>
          </cell>
          <cell r="F723" t="str">
            <v>NO</v>
          </cell>
          <cell r="G723" t="str">
            <v>NO</v>
          </cell>
          <cell r="H723" t="str">
            <v>SALA DE ENTREVISTAS</v>
          </cell>
          <cell r="I723">
            <v>1</v>
          </cell>
          <cell r="J723" t="str">
            <v>C.3.7.7.1</v>
          </cell>
          <cell r="K723" t="str">
            <v>UTI</v>
          </cell>
          <cell r="L723">
            <v>3</v>
          </cell>
          <cell r="M723">
            <v>46043</v>
          </cell>
          <cell r="N723">
            <v>46044</v>
          </cell>
          <cell r="O723">
            <v>3</v>
          </cell>
          <cell r="P723">
            <v>46049</v>
          </cell>
          <cell r="Q723">
            <v>5</v>
          </cell>
          <cell r="R723" t="str">
            <v>NA</v>
          </cell>
          <cell r="S723">
            <v>5</v>
          </cell>
        </row>
        <row r="724">
          <cell r="B724" t="str">
            <v>MNC</v>
          </cell>
          <cell r="C724" t="str">
            <v>HSLB13416</v>
          </cell>
          <cell r="D724">
            <v>201011</v>
          </cell>
          <cell r="E724" t="str">
            <v>Mesa Tipo Casino</v>
          </cell>
          <cell r="F724" t="str">
            <v>NO</v>
          </cell>
          <cell r="G724" t="str">
            <v>NO</v>
          </cell>
          <cell r="H724" t="str">
            <v>ESTAR PERSONAL C/ KITCHENETTE</v>
          </cell>
          <cell r="I724">
            <v>1</v>
          </cell>
          <cell r="J724" t="str">
            <v>C.3.8.2.2</v>
          </cell>
          <cell r="K724" t="str">
            <v>Pabellones</v>
          </cell>
          <cell r="L724">
            <v>3</v>
          </cell>
          <cell r="M724">
            <v>46039</v>
          </cell>
          <cell r="N724">
            <v>46041</v>
          </cell>
          <cell r="O724">
            <v>3</v>
          </cell>
          <cell r="P724">
            <v>46044</v>
          </cell>
          <cell r="Q724">
            <v>5</v>
          </cell>
          <cell r="R724" t="str">
            <v>NA</v>
          </cell>
          <cell r="S724">
            <v>5</v>
          </cell>
        </row>
        <row r="725">
          <cell r="B725" t="str">
            <v>MNC</v>
          </cell>
          <cell r="C725" t="str">
            <v>HSLB13161</v>
          </cell>
          <cell r="D725">
            <v>201001</v>
          </cell>
          <cell r="E725" t="str">
            <v>Estación de Trabajo</v>
          </cell>
          <cell r="F725" t="str">
            <v>NO</v>
          </cell>
          <cell r="G725" t="str">
            <v>NO</v>
          </cell>
          <cell r="H725" t="str">
            <v>OF. JEFE CR APOYO CLÍNICO</v>
          </cell>
          <cell r="I725">
            <v>1</v>
          </cell>
          <cell r="J725" t="str">
            <v>C.5.1.2</v>
          </cell>
          <cell r="K725" t="str">
            <v>Administración y apoyo general</v>
          </cell>
          <cell r="L725">
            <v>3</v>
          </cell>
          <cell r="M725">
            <v>46034</v>
          </cell>
          <cell r="N725">
            <v>46035</v>
          </cell>
          <cell r="O725">
            <v>7</v>
          </cell>
          <cell r="P725">
            <v>46044</v>
          </cell>
          <cell r="Q725">
            <v>5</v>
          </cell>
          <cell r="R725" t="str">
            <v>NA</v>
          </cell>
          <cell r="S725">
            <v>5</v>
          </cell>
        </row>
        <row r="726">
          <cell r="B726" t="str">
            <v>MNC</v>
          </cell>
          <cell r="C726" t="str">
            <v>HSLB13351</v>
          </cell>
          <cell r="D726">
            <v>201008</v>
          </cell>
          <cell r="E726" t="str">
            <v>Mesa Reuniones Tipo I</v>
          </cell>
          <cell r="F726" t="str">
            <v>NO</v>
          </cell>
          <cell r="G726" t="str">
            <v>NO</v>
          </cell>
          <cell r="H726" t="str">
            <v>OF. JEFE CR APOYO CLÍNICO</v>
          </cell>
          <cell r="I726">
            <v>1</v>
          </cell>
          <cell r="J726" t="str">
            <v>C.5.1.2</v>
          </cell>
          <cell r="K726" t="str">
            <v>Administración y apoyo general</v>
          </cell>
          <cell r="L726">
            <v>3</v>
          </cell>
          <cell r="M726">
            <v>46031</v>
          </cell>
          <cell r="N726">
            <v>46034</v>
          </cell>
          <cell r="O726">
            <v>1</v>
          </cell>
          <cell r="P726">
            <v>46035</v>
          </cell>
          <cell r="Q726">
            <v>5</v>
          </cell>
          <cell r="R726" t="str">
            <v>NA</v>
          </cell>
          <cell r="S726">
            <v>5</v>
          </cell>
        </row>
        <row r="727">
          <cell r="B727" t="str">
            <v>MNC</v>
          </cell>
          <cell r="C727" t="str">
            <v>HSLB13162</v>
          </cell>
          <cell r="D727">
            <v>201001</v>
          </cell>
          <cell r="E727" t="str">
            <v>Estación de Trabajo</v>
          </cell>
          <cell r="F727" t="str">
            <v>NO</v>
          </cell>
          <cell r="G727" t="str">
            <v>NO</v>
          </cell>
          <cell r="H727" t="str">
            <v>SECRETARÍA C/ARCHIVO Y FOTOCOPIADORA</v>
          </cell>
          <cell r="I727">
            <v>1</v>
          </cell>
          <cell r="J727" t="str">
            <v>C.5.1.5</v>
          </cell>
          <cell r="K727" t="str">
            <v>Administración y apoyo general</v>
          </cell>
          <cell r="L727">
            <v>3</v>
          </cell>
          <cell r="M727">
            <v>46034</v>
          </cell>
          <cell r="N727">
            <v>46035</v>
          </cell>
          <cell r="O727">
            <v>7</v>
          </cell>
          <cell r="P727">
            <v>46044</v>
          </cell>
          <cell r="Q727">
            <v>5</v>
          </cell>
          <cell r="R727" t="str">
            <v>NA</v>
          </cell>
          <cell r="S727">
            <v>5</v>
          </cell>
        </row>
        <row r="728">
          <cell r="B728" t="str">
            <v>MNC</v>
          </cell>
          <cell r="C728" t="str">
            <v>HSLB13390</v>
          </cell>
          <cell r="D728">
            <v>201010</v>
          </cell>
          <cell r="E728" t="str">
            <v>Mesa Reuniones Tipo III</v>
          </cell>
          <cell r="F728" t="str">
            <v>NO</v>
          </cell>
          <cell r="G728" t="str">
            <v>NO</v>
          </cell>
          <cell r="H728" t="str">
            <v>SALA DE REUNIONES (20 ppm)</v>
          </cell>
          <cell r="I728">
            <v>1</v>
          </cell>
          <cell r="J728" t="str">
            <v>C.5.10.1</v>
          </cell>
          <cell r="K728" t="str">
            <v>Administración y apoyo general</v>
          </cell>
          <cell r="L728">
            <v>3</v>
          </cell>
          <cell r="M728">
            <v>46031</v>
          </cell>
          <cell r="N728">
            <v>46034</v>
          </cell>
          <cell r="O728">
            <v>1</v>
          </cell>
          <cell r="P728">
            <v>46035</v>
          </cell>
          <cell r="Q728">
            <v>5</v>
          </cell>
          <cell r="R728" t="str">
            <v>NA</v>
          </cell>
          <cell r="S728">
            <v>5</v>
          </cell>
        </row>
        <row r="729">
          <cell r="B729" t="str">
            <v>MNC</v>
          </cell>
          <cell r="C729" t="str">
            <v>HSLB13181</v>
          </cell>
          <cell r="D729">
            <v>201001</v>
          </cell>
          <cell r="E729" t="str">
            <v>Estación de Trabajo</v>
          </cell>
          <cell r="F729" t="str">
            <v>NO</v>
          </cell>
          <cell r="G729" t="str">
            <v>NO</v>
          </cell>
          <cell r="H729" t="str">
            <v>OFICINA COORDINADOR ESTERILIZACIÓN</v>
          </cell>
          <cell r="I729">
            <v>1</v>
          </cell>
          <cell r="J729" t="str">
            <v>C.5.5.1</v>
          </cell>
          <cell r="K729" t="str">
            <v>Esterilización</v>
          </cell>
          <cell r="L729">
            <v>3</v>
          </cell>
          <cell r="M729">
            <v>46044</v>
          </cell>
          <cell r="N729">
            <v>46045</v>
          </cell>
          <cell r="O729">
            <v>3</v>
          </cell>
          <cell r="P729">
            <v>46050</v>
          </cell>
          <cell r="Q729">
            <v>5</v>
          </cell>
          <cell r="R729" t="str">
            <v>NA</v>
          </cell>
          <cell r="S729">
            <v>5</v>
          </cell>
        </row>
        <row r="730">
          <cell r="B730" t="str">
            <v>MNC</v>
          </cell>
          <cell r="C730" t="str">
            <v>HSLB13182</v>
          </cell>
          <cell r="D730">
            <v>201001</v>
          </cell>
          <cell r="E730" t="str">
            <v>Estación de Trabajo</v>
          </cell>
          <cell r="F730" t="str">
            <v>NO</v>
          </cell>
          <cell r="G730" t="str">
            <v>NO</v>
          </cell>
          <cell r="H730" t="str">
            <v>SECRETARIA C/ARCH. Y FOTO</v>
          </cell>
          <cell r="I730">
            <v>1</v>
          </cell>
          <cell r="J730" t="str">
            <v>C.5.5.2</v>
          </cell>
          <cell r="K730" t="str">
            <v>Esterilización</v>
          </cell>
          <cell r="L730">
            <v>3</v>
          </cell>
          <cell r="M730">
            <v>46044</v>
          </cell>
          <cell r="N730">
            <v>46045</v>
          </cell>
          <cell r="O730">
            <v>3</v>
          </cell>
          <cell r="P730">
            <v>46050</v>
          </cell>
          <cell r="Q730">
            <v>5</v>
          </cell>
          <cell r="R730" t="str">
            <v>NA</v>
          </cell>
          <cell r="S730">
            <v>5</v>
          </cell>
        </row>
        <row r="731">
          <cell r="B731" t="str">
            <v>MNC</v>
          </cell>
          <cell r="C731" t="str">
            <v>HSLB13423</v>
          </cell>
          <cell r="D731">
            <v>201011</v>
          </cell>
          <cell r="E731" t="str">
            <v>Mesa Tipo Casino</v>
          </cell>
          <cell r="F731" t="str">
            <v>NO</v>
          </cell>
          <cell r="G731" t="str">
            <v>NO</v>
          </cell>
          <cell r="H731" t="str">
            <v>ESTAR PERSONAL C/ KITCHENETTE</v>
          </cell>
          <cell r="I731">
            <v>1</v>
          </cell>
          <cell r="J731" t="str">
            <v>C.5.5.3</v>
          </cell>
          <cell r="K731" t="str">
            <v>Esterilización</v>
          </cell>
          <cell r="L731">
            <v>3</v>
          </cell>
          <cell r="M731">
            <v>46044</v>
          </cell>
          <cell r="N731">
            <v>46045</v>
          </cell>
          <cell r="O731">
            <v>3</v>
          </cell>
          <cell r="P731">
            <v>46050</v>
          </cell>
          <cell r="Q731">
            <v>5</v>
          </cell>
          <cell r="R731" t="str">
            <v>NA</v>
          </cell>
          <cell r="S731">
            <v>5</v>
          </cell>
        </row>
        <row r="732">
          <cell r="B732" t="str">
            <v>MNC</v>
          </cell>
          <cell r="C732" t="str">
            <v>HSLB13353</v>
          </cell>
          <cell r="D732">
            <v>201008</v>
          </cell>
          <cell r="E732" t="str">
            <v>Mesa Reuniones Tipo I</v>
          </cell>
          <cell r="F732" t="str">
            <v>NO</v>
          </cell>
          <cell r="G732" t="str">
            <v>NO</v>
          </cell>
          <cell r="H732" t="str">
            <v>SALA ENTREVISTAS FAMILIARES</v>
          </cell>
          <cell r="I732">
            <v>1</v>
          </cell>
          <cell r="J732" t="str">
            <v>C.5.6.1.5</v>
          </cell>
          <cell r="K732" t="str">
            <v>Pabellones</v>
          </cell>
          <cell r="L732">
            <v>3</v>
          </cell>
          <cell r="M732">
            <v>46039</v>
          </cell>
          <cell r="N732">
            <v>46041</v>
          </cell>
          <cell r="O732">
            <v>3</v>
          </cell>
          <cell r="P732">
            <v>46044</v>
          </cell>
          <cell r="Q732">
            <v>5</v>
          </cell>
          <cell r="R732" t="str">
            <v>NA</v>
          </cell>
          <cell r="S732">
            <v>5</v>
          </cell>
        </row>
        <row r="733">
          <cell r="B733" t="str">
            <v>MNC</v>
          </cell>
          <cell r="C733" t="str">
            <v>HSLB13183</v>
          </cell>
          <cell r="D733">
            <v>201001</v>
          </cell>
          <cell r="E733" t="str">
            <v>Estación de Trabajo</v>
          </cell>
          <cell r="F733" t="str">
            <v>NO</v>
          </cell>
          <cell r="G733" t="str">
            <v>NO</v>
          </cell>
          <cell r="H733" t="str">
            <v>OFICINA JEFE PABELLONES</v>
          </cell>
          <cell r="I733">
            <v>1</v>
          </cell>
          <cell r="J733" t="str">
            <v>C.5.6.1.6</v>
          </cell>
          <cell r="K733" t="str">
            <v>Pabellones</v>
          </cell>
          <cell r="L733">
            <v>3</v>
          </cell>
          <cell r="M733">
            <v>46039</v>
          </cell>
          <cell r="N733">
            <v>46041</v>
          </cell>
          <cell r="O733">
            <v>3</v>
          </cell>
          <cell r="P733">
            <v>46044</v>
          </cell>
          <cell r="Q733">
            <v>5</v>
          </cell>
          <cell r="R733" t="str">
            <v>NA</v>
          </cell>
          <cell r="S733">
            <v>5</v>
          </cell>
        </row>
        <row r="734">
          <cell r="B734" t="str">
            <v>MNC</v>
          </cell>
          <cell r="C734" t="str">
            <v>HSLB13184</v>
          </cell>
          <cell r="D734">
            <v>201001</v>
          </cell>
          <cell r="E734" t="str">
            <v>Estación de Trabajo</v>
          </cell>
          <cell r="F734" t="str">
            <v>NO</v>
          </cell>
          <cell r="G734" t="str">
            <v>NO</v>
          </cell>
          <cell r="H734" t="str">
            <v>OFICINA COORDINADOR PABELLONES</v>
          </cell>
          <cell r="I734">
            <v>1</v>
          </cell>
          <cell r="J734" t="str">
            <v>C.5.6.1.7</v>
          </cell>
          <cell r="K734" t="str">
            <v>Pabellones</v>
          </cell>
          <cell r="L734">
            <v>3</v>
          </cell>
          <cell r="M734">
            <v>46039</v>
          </cell>
          <cell r="N734">
            <v>46041</v>
          </cell>
          <cell r="O734">
            <v>3</v>
          </cell>
          <cell r="P734">
            <v>46044</v>
          </cell>
          <cell r="Q734">
            <v>5</v>
          </cell>
          <cell r="R734" t="str">
            <v>NA</v>
          </cell>
          <cell r="S734">
            <v>5</v>
          </cell>
        </row>
        <row r="735">
          <cell r="B735" t="str">
            <v>MNC</v>
          </cell>
          <cell r="C735" t="str">
            <v>HSLB15175</v>
          </cell>
          <cell r="D735">
            <v>201001</v>
          </cell>
          <cell r="E735" t="str">
            <v>Estación de Trabajo</v>
          </cell>
          <cell r="F735" t="str">
            <v>NO</v>
          </cell>
          <cell r="G735" t="str">
            <v>NO</v>
          </cell>
          <cell r="H735" t="str">
            <v>SALA INFORMES PROFESIONALES MÉDICOS</v>
          </cell>
          <cell r="I735">
            <v>3</v>
          </cell>
          <cell r="J735" t="str">
            <v>C.5.6.1.8</v>
          </cell>
          <cell r="K735" t="str">
            <v>Pabellones</v>
          </cell>
          <cell r="L735">
            <v>3</v>
          </cell>
          <cell r="M735">
            <v>46039</v>
          </cell>
          <cell r="N735">
            <v>46041</v>
          </cell>
          <cell r="O735">
            <v>3</v>
          </cell>
          <cell r="P735">
            <v>46044</v>
          </cell>
          <cell r="Q735">
            <v>5</v>
          </cell>
          <cell r="R735" t="str">
            <v>NA</v>
          </cell>
          <cell r="S735">
            <v>5</v>
          </cell>
        </row>
        <row r="736">
          <cell r="B736" t="str">
            <v>MNC</v>
          </cell>
          <cell r="C736" t="str">
            <v>HSLB15392</v>
          </cell>
          <cell r="D736">
            <v>201001</v>
          </cell>
          <cell r="E736" t="str">
            <v>Estación de Trabajo</v>
          </cell>
          <cell r="F736" t="str">
            <v>NO</v>
          </cell>
          <cell r="G736" t="str">
            <v>NO</v>
          </cell>
          <cell r="H736" t="str">
            <v>BOX INGRESO PREPARACIÓN DE PACIENTES</v>
          </cell>
          <cell r="I736">
            <v>1</v>
          </cell>
          <cell r="J736" t="str">
            <v>C.5.6.2.1</v>
          </cell>
          <cell r="K736" t="str">
            <v>Pabellones</v>
          </cell>
          <cell r="L736">
            <v>3</v>
          </cell>
          <cell r="M736">
            <v>46039</v>
          </cell>
          <cell r="N736">
            <v>46041</v>
          </cell>
          <cell r="O736">
            <v>3</v>
          </cell>
          <cell r="P736">
            <v>46044</v>
          </cell>
          <cell r="Q736">
            <v>5</v>
          </cell>
          <cell r="R736" t="str">
            <v>NA</v>
          </cell>
          <cell r="S736">
            <v>5</v>
          </cell>
        </row>
        <row r="737">
          <cell r="B737" t="str">
            <v>MNC</v>
          </cell>
          <cell r="C737" t="str">
            <v>HSLB13424</v>
          </cell>
          <cell r="D737">
            <v>201011</v>
          </cell>
          <cell r="E737" t="str">
            <v>Mesa Tipo Casino</v>
          </cell>
          <cell r="F737" t="str">
            <v>NO</v>
          </cell>
          <cell r="G737" t="str">
            <v>NO</v>
          </cell>
          <cell r="H737" t="str">
            <v>ESTAR PERSONAL C/ KITCHENETTE</v>
          </cell>
          <cell r="I737">
            <v>1</v>
          </cell>
          <cell r="J737" t="str">
            <v>C.5.6.3.12</v>
          </cell>
          <cell r="K737" t="str">
            <v>Pabellones</v>
          </cell>
          <cell r="L737">
            <v>3</v>
          </cell>
          <cell r="M737">
            <v>46039</v>
          </cell>
          <cell r="N737">
            <v>46041</v>
          </cell>
          <cell r="O737">
            <v>3</v>
          </cell>
          <cell r="P737">
            <v>46044</v>
          </cell>
          <cell r="Q737">
            <v>5</v>
          </cell>
          <cell r="R737" t="str">
            <v>NA</v>
          </cell>
          <cell r="S737">
            <v>5</v>
          </cell>
        </row>
        <row r="738">
          <cell r="B738" t="str">
            <v>MNC</v>
          </cell>
          <cell r="C738" t="str">
            <v>HSLB15403</v>
          </cell>
          <cell r="D738">
            <v>201001</v>
          </cell>
          <cell r="E738" t="str">
            <v>Estación de Trabajo</v>
          </cell>
          <cell r="F738" t="str">
            <v>NO</v>
          </cell>
          <cell r="G738" t="str">
            <v>NO</v>
          </cell>
          <cell r="H738" t="str">
            <v>SALA REANIMACIÓN NEONATAL</v>
          </cell>
          <cell r="I738">
            <v>1</v>
          </cell>
          <cell r="J738" t="str">
            <v>C.5.6.4.11</v>
          </cell>
          <cell r="K738" t="str">
            <v>Pabellones</v>
          </cell>
          <cell r="L738">
            <v>3</v>
          </cell>
          <cell r="M738">
            <v>46039</v>
          </cell>
          <cell r="N738">
            <v>46041</v>
          </cell>
          <cell r="O738">
            <v>3</v>
          </cell>
          <cell r="P738">
            <v>46044</v>
          </cell>
          <cell r="Q738">
            <v>5</v>
          </cell>
          <cell r="R738" t="str">
            <v>NA</v>
          </cell>
          <cell r="S738">
            <v>5</v>
          </cell>
        </row>
        <row r="739">
          <cell r="B739" t="str">
            <v>MNC</v>
          </cell>
          <cell r="C739" t="str">
            <v>HSLB13205</v>
          </cell>
          <cell r="D739">
            <v>201001</v>
          </cell>
          <cell r="E739" t="str">
            <v>Estación de Trabajo</v>
          </cell>
          <cell r="F739" t="str">
            <v>NO</v>
          </cell>
          <cell r="G739" t="str">
            <v>NO</v>
          </cell>
          <cell r="H739" t="str">
            <v>OF. COORDINADOR REGISTRO Y ESTADÍSTICA</v>
          </cell>
          <cell r="I739">
            <v>1</v>
          </cell>
          <cell r="J739" t="str">
            <v>D.1.1.2.1</v>
          </cell>
          <cell r="K739" t="str">
            <v>Administración y apoyo general</v>
          </cell>
          <cell r="L739">
            <v>3</v>
          </cell>
          <cell r="M739">
            <v>46034</v>
          </cell>
          <cell r="N739">
            <v>46035</v>
          </cell>
          <cell r="O739">
            <v>7</v>
          </cell>
          <cell r="P739">
            <v>46044</v>
          </cell>
          <cell r="Q739">
            <v>5</v>
          </cell>
          <cell r="R739" t="str">
            <v>NA</v>
          </cell>
          <cell r="S739">
            <v>5</v>
          </cell>
        </row>
        <row r="740">
          <cell r="B740" t="str">
            <v>MNC</v>
          </cell>
          <cell r="C740" t="str">
            <v>HSLB15422</v>
          </cell>
          <cell r="D740">
            <v>201008</v>
          </cell>
          <cell r="E740" t="str">
            <v>Mesa Reuniones Tipo I</v>
          </cell>
          <cell r="F740" t="str">
            <v>NO</v>
          </cell>
          <cell r="G740" t="str">
            <v>NO</v>
          </cell>
          <cell r="H740" t="str">
            <v>OF. COORDINADOR REGISTRO Y ESTADÍSTICA</v>
          </cell>
          <cell r="I740">
            <v>1</v>
          </cell>
          <cell r="J740" t="str">
            <v>D.1.1.2.1</v>
          </cell>
          <cell r="K740" t="str">
            <v>Administración y apoyo general</v>
          </cell>
          <cell r="L740">
            <v>3</v>
          </cell>
          <cell r="M740">
            <v>46031</v>
          </cell>
          <cell r="N740">
            <v>46034</v>
          </cell>
          <cell r="O740">
            <v>1</v>
          </cell>
          <cell r="P740">
            <v>46035</v>
          </cell>
          <cell r="Q740">
            <v>5</v>
          </cell>
          <cell r="R740" t="str">
            <v>NA</v>
          </cell>
          <cell r="S740">
            <v>5</v>
          </cell>
        </row>
        <row r="741">
          <cell r="B741" t="str">
            <v>MNC</v>
          </cell>
          <cell r="C741" t="str">
            <v>HSLB13206</v>
          </cell>
          <cell r="D741">
            <v>201001</v>
          </cell>
          <cell r="E741" t="str">
            <v>Estación de Trabajo</v>
          </cell>
          <cell r="F741" t="str">
            <v>NO</v>
          </cell>
          <cell r="G741" t="str">
            <v>NO</v>
          </cell>
          <cell r="H741" t="str">
            <v>MÓDULOS DE TRABAJO (sala de digitalización datos)</v>
          </cell>
          <cell r="I741">
            <v>4</v>
          </cell>
          <cell r="J741" t="str">
            <v>D.1.1.2.2</v>
          </cell>
          <cell r="K741" t="str">
            <v>Administración y apoyo general</v>
          </cell>
          <cell r="L741">
            <v>3</v>
          </cell>
          <cell r="M741">
            <v>46034</v>
          </cell>
          <cell r="N741">
            <v>46035</v>
          </cell>
          <cell r="O741">
            <v>7</v>
          </cell>
          <cell r="P741">
            <v>46044</v>
          </cell>
          <cell r="Q741">
            <v>5</v>
          </cell>
          <cell r="R741" t="str">
            <v>NA</v>
          </cell>
          <cell r="S741">
            <v>5</v>
          </cell>
        </row>
        <row r="742">
          <cell r="B742" t="str">
            <v>MNC</v>
          </cell>
          <cell r="C742" t="str">
            <v>HSLB13207</v>
          </cell>
          <cell r="D742">
            <v>201001</v>
          </cell>
          <cell r="E742" t="str">
            <v>Estación de Trabajo</v>
          </cell>
          <cell r="F742" t="str">
            <v>NO</v>
          </cell>
          <cell r="G742" t="str">
            <v>NO</v>
          </cell>
          <cell r="H742" t="str">
            <v>MÓDULO DE TRABAJO (encargado archivo)</v>
          </cell>
          <cell r="I742">
            <v>1</v>
          </cell>
          <cell r="J742" t="str">
            <v>D.1.1.3.1</v>
          </cell>
          <cell r="K742" t="str">
            <v>Administración y apoyo general</v>
          </cell>
          <cell r="L742">
            <v>3</v>
          </cell>
          <cell r="M742">
            <v>46034</v>
          </cell>
          <cell r="N742">
            <v>46035</v>
          </cell>
          <cell r="O742">
            <v>7</v>
          </cell>
          <cell r="P742">
            <v>46044</v>
          </cell>
          <cell r="Q742">
            <v>5</v>
          </cell>
          <cell r="R742" t="str">
            <v>NA</v>
          </cell>
          <cell r="S742">
            <v>5</v>
          </cell>
        </row>
        <row r="743">
          <cell r="B743" t="str">
            <v>MNC</v>
          </cell>
          <cell r="C743" t="str">
            <v>HSLB13208</v>
          </cell>
          <cell r="D743">
            <v>201001</v>
          </cell>
          <cell r="E743" t="str">
            <v>Estación de Trabajo</v>
          </cell>
          <cell r="F743" t="str">
            <v>NO</v>
          </cell>
          <cell r="G743" t="str">
            <v>NO</v>
          </cell>
          <cell r="H743" t="str">
            <v>MÓD. DE TRABAJO</v>
          </cell>
          <cell r="I743">
            <v>2</v>
          </cell>
          <cell r="J743" t="str">
            <v>D.1.1.3.3</v>
          </cell>
          <cell r="K743" t="str">
            <v>Administración y apoyo general</v>
          </cell>
          <cell r="L743">
            <v>3</v>
          </cell>
          <cell r="M743">
            <v>46034</v>
          </cell>
          <cell r="N743">
            <v>46035</v>
          </cell>
          <cell r="O743">
            <v>7</v>
          </cell>
          <cell r="P743">
            <v>46044</v>
          </cell>
          <cell r="Q743">
            <v>5</v>
          </cell>
          <cell r="R743" t="str">
            <v>NA</v>
          </cell>
          <cell r="S743">
            <v>5</v>
          </cell>
        </row>
        <row r="744">
          <cell r="B744" t="str">
            <v>MNC</v>
          </cell>
          <cell r="C744" t="str">
            <v>HSLB15424</v>
          </cell>
          <cell r="D744">
            <v>201001</v>
          </cell>
          <cell r="E744" t="str">
            <v>Estación de Trabajo</v>
          </cell>
          <cell r="F744" t="str">
            <v>NO</v>
          </cell>
          <cell r="G744" t="str">
            <v>NO</v>
          </cell>
          <cell r="H744" t="str">
            <v>ARCHIVO FICHAS ACTIVAS</v>
          </cell>
          <cell r="I744">
            <v>1</v>
          </cell>
          <cell r="J744" t="str">
            <v>D.1.1.3.4</v>
          </cell>
          <cell r="K744" t="str">
            <v>Administración y apoyo general</v>
          </cell>
          <cell r="L744">
            <v>3</v>
          </cell>
          <cell r="M744">
            <v>46034</v>
          </cell>
          <cell r="N744">
            <v>46035</v>
          </cell>
          <cell r="O744">
            <v>7</v>
          </cell>
          <cell r="P744">
            <v>46044</v>
          </cell>
          <cell r="Q744">
            <v>5</v>
          </cell>
          <cell r="R744" t="str">
            <v>NA</v>
          </cell>
          <cell r="S744">
            <v>5</v>
          </cell>
        </row>
        <row r="745">
          <cell r="B745" t="str">
            <v>MNC</v>
          </cell>
          <cell r="C745" t="str">
            <v>HSLB15425</v>
          </cell>
          <cell r="D745">
            <v>201001</v>
          </cell>
          <cell r="E745" t="str">
            <v>Estación de Trabajo</v>
          </cell>
          <cell r="F745" t="str">
            <v>NO</v>
          </cell>
          <cell r="G745" t="str">
            <v>NO</v>
          </cell>
          <cell r="H745" t="str">
            <v>ARCHIVO FICHAS PASIVAS</v>
          </cell>
          <cell r="I745">
            <v>1</v>
          </cell>
          <cell r="J745" t="str">
            <v>D.1.1.3.5</v>
          </cell>
          <cell r="K745" t="str">
            <v>Administración y apoyo general</v>
          </cell>
          <cell r="L745">
            <v>3</v>
          </cell>
          <cell r="M745">
            <v>46034</v>
          </cell>
          <cell r="N745">
            <v>46035</v>
          </cell>
          <cell r="O745">
            <v>7</v>
          </cell>
          <cell r="P745">
            <v>46044</v>
          </cell>
          <cell r="Q745">
            <v>5</v>
          </cell>
          <cell r="R745" t="str">
            <v>NA</v>
          </cell>
          <cell r="S745">
            <v>5</v>
          </cell>
        </row>
        <row r="746">
          <cell r="B746" t="str">
            <v>MNC</v>
          </cell>
          <cell r="C746" t="str">
            <v>HSLB15178</v>
          </cell>
          <cell r="D746">
            <v>201001</v>
          </cell>
          <cell r="E746" t="str">
            <v>Estación de Trabajo</v>
          </cell>
          <cell r="F746" t="str">
            <v>NO</v>
          </cell>
          <cell r="G746" t="str">
            <v>NO</v>
          </cell>
          <cell r="H746" t="str">
            <v>ÁREA DE CONSULTA FICHAS</v>
          </cell>
          <cell r="I746">
            <v>2</v>
          </cell>
          <cell r="J746" t="str">
            <v>D.1.1.3.6</v>
          </cell>
          <cell r="K746" t="str">
            <v>Administración y apoyo general</v>
          </cell>
          <cell r="L746">
            <v>3</v>
          </cell>
          <cell r="M746">
            <v>46034</v>
          </cell>
          <cell r="N746">
            <v>46035</v>
          </cell>
          <cell r="O746">
            <v>7</v>
          </cell>
          <cell r="P746">
            <v>46044</v>
          </cell>
          <cell r="Q746">
            <v>5</v>
          </cell>
          <cell r="R746" t="str">
            <v>NA</v>
          </cell>
          <cell r="S746">
            <v>5</v>
          </cell>
        </row>
        <row r="747">
          <cell r="B747" t="str">
            <v>MNC</v>
          </cell>
          <cell r="C747" t="str">
            <v>HSLB13212</v>
          </cell>
          <cell r="D747">
            <v>201001</v>
          </cell>
          <cell r="E747" t="str">
            <v>Estación de Trabajo</v>
          </cell>
          <cell r="F747" t="str">
            <v>NO</v>
          </cell>
          <cell r="G747" t="str">
            <v>NO</v>
          </cell>
          <cell r="H747" t="str">
            <v>SECRETARIA C/ARCHIVO, FOTOCOP.</v>
          </cell>
          <cell r="I747">
            <v>2</v>
          </cell>
          <cell r="J747" t="str">
            <v>D.2.1.1</v>
          </cell>
          <cell r="K747" t="str">
            <v>Administración y apoyo general</v>
          </cell>
          <cell r="L747">
            <v>3</v>
          </cell>
          <cell r="M747">
            <v>46034</v>
          </cell>
          <cell r="N747">
            <v>46035</v>
          </cell>
          <cell r="O747">
            <v>7</v>
          </cell>
          <cell r="P747">
            <v>46044</v>
          </cell>
          <cell r="Q747">
            <v>5</v>
          </cell>
          <cell r="R747" t="str">
            <v>NA</v>
          </cell>
          <cell r="S747">
            <v>5</v>
          </cell>
        </row>
        <row r="748">
          <cell r="B748" t="str">
            <v>MNC</v>
          </cell>
          <cell r="C748" t="str">
            <v>HSLB13213</v>
          </cell>
          <cell r="D748">
            <v>201001</v>
          </cell>
          <cell r="E748" t="str">
            <v>Estación de Trabajo</v>
          </cell>
          <cell r="F748" t="str">
            <v>NO</v>
          </cell>
          <cell r="G748" t="str">
            <v>NO</v>
          </cell>
          <cell r="H748" t="str">
            <v>OF. JEFE CR GESTIÓN LOGÍSTICA</v>
          </cell>
          <cell r="I748">
            <v>1</v>
          </cell>
          <cell r="J748" t="str">
            <v>D.2.1.2</v>
          </cell>
          <cell r="K748" t="str">
            <v>Administración y apoyo general</v>
          </cell>
          <cell r="L748">
            <v>3</v>
          </cell>
          <cell r="M748">
            <v>46034</v>
          </cell>
          <cell r="N748">
            <v>46035</v>
          </cell>
          <cell r="O748">
            <v>7</v>
          </cell>
          <cell r="P748">
            <v>46044</v>
          </cell>
          <cell r="Q748">
            <v>5</v>
          </cell>
          <cell r="R748" t="str">
            <v>NA</v>
          </cell>
          <cell r="S748">
            <v>5</v>
          </cell>
        </row>
        <row r="749">
          <cell r="B749" t="str">
            <v>MNC</v>
          </cell>
          <cell r="C749" t="str">
            <v>HSLB13359</v>
          </cell>
          <cell r="D749">
            <v>201008</v>
          </cell>
          <cell r="E749" t="str">
            <v>Mesa Reuniones Tipo I</v>
          </cell>
          <cell r="F749" t="str">
            <v>NO</v>
          </cell>
          <cell r="G749" t="str">
            <v>NO</v>
          </cell>
          <cell r="H749" t="str">
            <v>OF. JEFE CR GESTIÓN LOGÍSTICA</v>
          </cell>
          <cell r="I749">
            <v>1</v>
          </cell>
          <cell r="J749" t="str">
            <v>D.2.1.2</v>
          </cell>
          <cell r="K749" t="str">
            <v>Administración y apoyo general</v>
          </cell>
          <cell r="L749">
            <v>3</v>
          </cell>
          <cell r="M749">
            <v>46031</v>
          </cell>
          <cell r="N749">
            <v>46034</v>
          </cell>
          <cell r="O749">
            <v>1</v>
          </cell>
          <cell r="P749">
            <v>46035</v>
          </cell>
          <cell r="Q749">
            <v>5</v>
          </cell>
          <cell r="R749" t="str">
            <v>NA</v>
          </cell>
          <cell r="S749">
            <v>5</v>
          </cell>
        </row>
        <row r="750">
          <cell r="B750" t="str">
            <v>MNC</v>
          </cell>
          <cell r="C750" t="str">
            <v>HSLB13214</v>
          </cell>
          <cell r="D750">
            <v>201001</v>
          </cell>
          <cell r="E750" t="str">
            <v>Estación de Trabajo</v>
          </cell>
          <cell r="F750" t="str">
            <v>NO</v>
          </cell>
          <cell r="G750" t="str">
            <v>NO</v>
          </cell>
          <cell r="H750" t="str">
            <v>OFICINA MEDIOAMBIENTAL</v>
          </cell>
          <cell r="I750">
            <v>1</v>
          </cell>
          <cell r="J750" t="str">
            <v>D.2.1.3</v>
          </cell>
          <cell r="K750" t="str">
            <v>Administración y apoyo general</v>
          </cell>
          <cell r="L750">
            <v>3</v>
          </cell>
          <cell r="M750">
            <v>46034</v>
          </cell>
          <cell r="N750">
            <v>46035</v>
          </cell>
          <cell r="O750">
            <v>7</v>
          </cell>
          <cell r="P750">
            <v>46044</v>
          </cell>
          <cell r="Q750">
            <v>5</v>
          </cell>
          <cell r="R750" t="str">
            <v>NA</v>
          </cell>
          <cell r="S750">
            <v>5</v>
          </cell>
        </row>
        <row r="751">
          <cell r="B751" t="str">
            <v>MNC</v>
          </cell>
          <cell r="C751" t="str">
            <v>HSLB13215</v>
          </cell>
          <cell r="D751">
            <v>201001</v>
          </cell>
          <cell r="E751" t="str">
            <v>Estación de Trabajo</v>
          </cell>
          <cell r="F751" t="str">
            <v>NO</v>
          </cell>
          <cell r="G751" t="str">
            <v>NO</v>
          </cell>
          <cell r="H751" t="str">
            <v>SECRETARIA C/ARCHIVO, FOTOCOP.</v>
          </cell>
          <cell r="I751">
            <v>1</v>
          </cell>
          <cell r="J751" t="str">
            <v>D.2.2.1.1</v>
          </cell>
          <cell r="K751" t="str">
            <v>Mantenimiento</v>
          </cell>
          <cell r="L751">
            <v>3</v>
          </cell>
          <cell r="M751">
            <v>46044</v>
          </cell>
          <cell r="N751">
            <v>46045</v>
          </cell>
          <cell r="O751">
            <v>3</v>
          </cell>
          <cell r="P751">
            <v>46050</v>
          </cell>
          <cell r="Q751">
            <v>5</v>
          </cell>
          <cell r="R751" t="str">
            <v>NA</v>
          </cell>
          <cell r="S751">
            <v>5</v>
          </cell>
        </row>
        <row r="752">
          <cell r="B752" t="str">
            <v>MNC</v>
          </cell>
          <cell r="C752" t="str">
            <v>HSLB13216</v>
          </cell>
          <cell r="D752">
            <v>201001</v>
          </cell>
          <cell r="E752" t="str">
            <v>Estación de Trabajo</v>
          </cell>
          <cell r="F752" t="str">
            <v>NO</v>
          </cell>
          <cell r="G752" t="str">
            <v>NO</v>
          </cell>
          <cell r="H752" t="str">
            <v>OF. JEFE SERV. GENERALES</v>
          </cell>
          <cell r="I752">
            <v>1</v>
          </cell>
          <cell r="J752" t="str">
            <v>D.2.2.1.2</v>
          </cell>
          <cell r="K752" t="str">
            <v>Mantenimiento</v>
          </cell>
          <cell r="L752">
            <v>3</v>
          </cell>
          <cell r="M752">
            <v>46044</v>
          </cell>
          <cell r="N752">
            <v>46045</v>
          </cell>
          <cell r="O752">
            <v>3</v>
          </cell>
          <cell r="P752">
            <v>46050</v>
          </cell>
          <cell r="Q752">
            <v>5</v>
          </cell>
          <cell r="R752" t="str">
            <v>NA</v>
          </cell>
          <cell r="S752">
            <v>5</v>
          </cell>
        </row>
        <row r="753">
          <cell r="B753" t="str">
            <v>MNC</v>
          </cell>
          <cell r="C753" t="str">
            <v>HSLB13360</v>
          </cell>
          <cell r="D753">
            <v>201008</v>
          </cell>
          <cell r="E753" t="str">
            <v>Mesa Reuniones Tipo I</v>
          </cell>
          <cell r="F753" t="str">
            <v>NO</v>
          </cell>
          <cell r="G753" t="str">
            <v>NO</v>
          </cell>
          <cell r="H753" t="str">
            <v>OF. JEFE SERV. GENERALES</v>
          </cell>
          <cell r="I753">
            <v>1</v>
          </cell>
          <cell r="J753" t="str">
            <v>D.2.2.1.2</v>
          </cell>
          <cell r="K753" t="str">
            <v>Mantenimiento</v>
          </cell>
          <cell r="L753">
            <v>3</v>
          </cell>
          <cell r="M753">
            <v>46044</v>
          </cell>
          <cell r="N753">
            <v>46045</v>
          </cell>
          <cell r="O753">
            <v>3</v>
          </cell>
          <cell r="P753">
            <v>46050</v>
          </cell>
          <cell r="Q753">
            <v>5</v>
          </cell>
          <cell r="R753" t="str">
            <v>NA</v>
          </cell>
          <cell r="S753">
            <v>5</v>
          </cell>
        </row>
        <row r="754">
          <cell r="B754" t="str">
            <v>MNC</v>
          </cell>
          <cell r="C754" t="str">
            <v>HSLB13222</v>
          </cell>
          <cell r="D754">
            <v>201001</v>
          </cell>
          <cell r="E754" t="str">
            <v>Estación de Trabajo</v>
          </cell>
          <cell r="F754" t="str">
            <v>NO</v>
          </cell>
          <cell r="G754" t="str">
            <v>NO</v>
          </cell>
          <cell r="H754" t="str">
            <v>COORDINADOR EQUIPOS MÉDICOS</v>
          </cell>
          <cell r="I754">
            <v>1</v>
          </cell>
          <cell r="J754" t="str">
            <v>D.2.3.1</v>
          </cell>
          <cell r="K754" t="str">
            <v>Mantenimiento</v>
          </cell>
          <cell r="L754">
            <v>3</v>
          </cell>
          <cell r="M754">
            <v>46044</v>
          </cell>
          <cell r="N754">
            <v>46045</v>
          </cell>
          <cell r="O754">
            <v>3</v>
          </cell>
          <cell r="P754">
            <v>46050</v>
          </cell>
          <cell r="Q754">
            <v>5</v>
          </cell>
          <cell r="R754" t="str">
            <v>NA</v>
          </cell>
          <cell r="S754">
            <v>5</v>
          </cell>
        </row>
        <row r="755">
          <cell r="B755" t="str">
            <v>MNC</v>
          </cell>
          <cell r="C755" t="str">
            <v>HSLB13223</v>
          </cell>
          <cell r="D755">
            <v>201001</v>
          </cell>
          <cell r="E755" t="str">
            <v>Estación de Trabajo</v>
          </cell>
          <cell r="F755" t="str">
            <v>NO</v>
          </cell>
          <cell r="G755" t="str">
            <v>NO</v>
          </cell>
          <cell r="H755" t="str">
            <v>MÓDULO DE TRABAJO INGENIERO</v>
          </cell>
          <cell r="I755">
            <v>1</v>
          </cell>
          <cell r="J755" t="str">
            <v>D.2.3.2</v>
          </cell>
          <cell r="K755" t="str">
            <v>Mantenimiento</v>
          </cell>
          <cell r="L755">
            <v>3</v>
          </cell>
          <cell r="M755">
            <v>46044</v>
          </cell>
          <cell r="N755">
            <v>46045</v>
          </cell>
          <cell r="O755">
            <v>3</v>
          </cell>
          <cell r="P755">
            <v>46050</v>
          </cell>
          <cell r="Q755">
            <v>5</v>
          </cell>
          <cell r="R755" t="str">
            <v>NA</v>
          </cell>
          <cell r="S755">
            <v>5</v>
          </cell>
        </row>
        <row r="756">
          <cell r="B756" t="str">
            <v>MNC</v>
          </cell>
          <cell r="C756" t="str">
            <v>HSLB13224</v>
          </cell>
          <cell r="D756">
            <v>201001</v>
          </cell>
          <cell r="E756" t="str">
            <v>Estación de Trabajo</v>
          </cell>
          <cell r="F756" t="str">
            <v>NO</v>
          </cell>
          <cell r="G756" t="str">
            <v>NO</v>
          </cell>
          <cell r="H756" t="str">
            <v>SECRETARIA C/ARCHIVO, FOTOCOP.</v>
          </cell>
          <cell r="I756">
            <v>1</v>
          </cell>
          <cell r="J756" t="str">
            <v>D.2.3.3</v>
          </cell>
          <cell r="K756" t="str">
            <v>Mantenimiento</v>
          </cell>
          <cell r="L756">
            <v>3</v>
          </cell>
          <cell r="M756">
            <v>46044</v>
          </cell>
          <cell r="N756">
            <v>46045</v>
          </cell>
          <cell r="O756">
            <v>3</v>
          </cell>
          <cell r="P756">
            <v>46050</v>
          </cell>
          <cell r="Q756">
            <v>5</v>
          </cell>
          <cell r="R756" t="str">
            <v>NA</v>
          </cell>
          <cell r="S756">
            <v>5</v>
          </cell>
        </row>
        <row r="757">
          <cell r="B757" t="str">
            <v>MNC</v>
          </cell>
          <cell r="C757" t="str">
            <v>HSLB13376</v>
          </cell>
          <cell r="D757">
            <v>201009</v>
          </cell>
          <cell r="E757" t="str">
            <v>Mesa Reuniones Tipo II</v>
          </cell>
          <cell r="F757" t="str">
            <v>NO</v>
          </cell>
          <cell r="G757" t="str">
            <v>NO</v>
          </cell>
          <cell r="H757" t="str">
            <v>SALA DE REUNIONES (20 ppm)</v>
          </cell>
          <cell r="I757">
            <v>1</v>
          </cell>
          <cell r="J757" t="str">
            <v>D.2.5.1</v>
          </cell>
          <cell r="K757" t="str">
            <v>Mantenimiento</v>
          </cell>
          <cell r="L757">
            <v>3</v>
          </cell>
          <cell r="M757">
            <v>46044</v>
          </cell>
          <cell r="N757">
            <v>46045</v>
          </cell>
          <cell r="O757">
            <v>3</v>
          </cell>
          <cell r="P757">
            <v>46050</v>
          </cell>
          <cell r="Q757">
            <v>5</v>
          </cell>
          <cell r="R757" t="str">
            <v>NA</v>
          </cell>
          <cell r="S757">
            <v>5</v>
          </cell>
        </row>
        <row r="758">
          <cell r="B758" t="str">
            <v>MNC</v>
          </cell>
          <cell r="C758" t="str">
            <v>HSLB13228</v>
          </cell>
          <cell r="D758">
            <v>201001</v>
          </cell>
          <cell r="E758" t="str">
            <v>Estación de Trabajo</v>
          </cell>
          <cell r="F758" t="str">
            <v>NO</v>
          </cell>
          <cell r="G758" t="str">
            <v>NO</v>
          </cell>
          <cell r="H758" t="str">
            <v>SECRETARÍA C/ARCHIVO Y FOTOCOPIADORA</v>
          </cell>
          <cell r="I758">
            <v>1</v>
          </cell>
          <cell r="J758" t="str">
            <v>D.3.1.1.1</v>
          </cell>
          <cell r="K758" t="str">
            <v>Administración y apoyo general</v>
          </cell>
          <cell r="L758">
            <v>3</v>
          </cell>
          <cell r="M758">
            <v>46034</v>
          </cell>
          <cell r="N758">
            <v>46035</v>
          </cell>
          <cell r="O758">
            <v>7</v>
          </cell>
          <cell r="P758">
            <v>46044</v>
          </cell>
          <cell r="Q758">
            <v>5</v>
          </cell>
          <cell r="R758" t="str">
            <v>NA</v>
          </cell>
          <cell r="S758">
            <v>5</v>
          </cell>
        </row>
        <row r="759">
          <cell r="B759" t="str">
            <v>MNC</v>
          </cell>
          <cell r="C759" t="str">
            <v>HSLB13230</v>
          </cell>
          <cell r="D759">
            <v>201001</v>
          </cell>
          <cell r="E759" t="str">
            <v>Estación de Trabajo</v>
          </cell>
          <cell r="F759" t="str">
            <v>NO</v>
          </cell>
          <cell r="G759" t="str">
            <v>NO</v>
          </cell>
          <cell r="H759" t="str">
            <v>OFICINA JEFE DE FINANZAS</v>
          </cell>
          <cell r="I759">
            <v>1</v>
          </cell>
          <cell r="J759" t="str">
            <v>D.3.1.2</v>
          </cell>
          <cell r="K759" t="str">
            <v>Administración y apoyo general</v>
          </cell>
          <cell r="L759">
            <v>3</v>
          </cell>
          <cell r="M759">
            <v>46034</v>
          </cell>
          <cell r="N759">
            <v>46035</v>
          </cell>
          <cell r="O759">
            <v>7</v>
          </cell>
          <cell r="P759">
            <v>46044</v>
          </cell>
          <cell r="Q759">
            <v>5</v>
          </cell>
          <cell r="R759" t="str">
            <v>NA</v>
          </cell>
          <cell r="S759">
            <v>5</v>
          </cell>
        </row>
        <row r="760">
          <cell r="B760" t="str">
            <v>MNC</v>
          </cell>
          <cell r="C760" t="str">
            <v>HSLB13361</v>
          </cell>
          <cell r="D760">
            <v>201008</v>
          </cell>
          <cell r="E760" t="str">
            <v>Mesa Reuniones Tipo I</v>
          </cell>
          <cell r="F760" t="str">
            <v>NO</v>
          </cell>
          <cell r="G760" t="str">
            <v>NO</v>
          </cell>
          <cell r="H760" t="str">
            <v>OFICINA JEFE DE FINANZAS</v>
          </cell>
          <cell r="I760">
            <v>1</v>
          </cell>
          <cell r="J760" t="str">
            <v>D.3.1.2</v>
          </cell>
          <cell r="K760" t="str">
            <v>Administración y apoyo general</v>
          </cell>
          <cell r="L760">
            <v>3</v>
          </cell>
          <cell r="M760">
            <v>46031</v>
          </cell>
          <cell r="N760">
            <v>46034</v>
          </cell>
          <cell r="O760">
            <v>1</v>
          </cell>
          <cell r="P760">
            <v>46035</v>
          </cell>
          <cell r="Q760">
            <v>5</v>
          </cell>
          <cell r="R760" t="str">
            <v>NA</v>
          </cell>
          <cell r="S760">
            <v>5</v>
          </cell>
        </row>
        <row r="761">
          <cell r="B761" t="str">
            <v>MNC</v>
          </cell>
          <cell r="C761" t="str">
            <v>HSLB13232</v>
          </cell>
          <cell r="D761">
            <v>201001</v>
          </cell>
          <cell r="E761" t="str">
            <v>Estación de Trabajo</v>
          </cell>
          <cell r="F761" t="str">
            <v>NO</v>
          </cell>
          <cell r="G761" t="str">
            <v>NO</v>
          </cell>
          <cell r="H761" t="str">
            <v>COORDINADOR CONTABILIDAD Y PRESUPUESTO</v>
          </cell>
          <cell r="I761">
            <v>2</v>
          </cell>
          <cell r="J761" t="str">
            <v>D.3.2.1.1</v>
          </cell>
          <cell r="K761" t="str">
            <v>Administración y apoyo general</v>
          </cell>
          <cell r="L761">
            <v>3</v>
          </cell>
          <cell r="M761">
            <v>46034</v>
          </cell>
          <cell r="N761">
            <v>46035</v>
          </cell>
          <cell r="O761">
            <v>7</v>
          </cell>
          <cell r="P761">
            <v>46044</v>
          </cell>
          <cell r="Q761">
            <v>5</v>
          </cell>
          <cell r="R761" t="str">
            <v>NA</v>
          </cell>
          <cell r="S761">
            <v>5</v>
          </cell>
        </row>
        <row r="762">
          <cell r="B762" t="str">
            <v>MNC</v>
          </cell>
          <cell r="C762" t="str">
            <v>HSLB13233</v>
          </cell>
          <cell r="D762">
            <v>201001</v>
          </cell>
          <cell r="E762" t="str">
            <v>Estación de Trabajo</v>
          </cell>
          <cell r="F762" t="str">
            <v>NO</v>
          </cell>
          <cell r="G762" t="str">
            <v>SI</v>
          </cell>
          <cell r="H762" t="str">
            <v>MÓDULOS DE TRABAJO (control activos y existencia)</v>
          </cell>
          <cell r="I762">
            <v>6</v>
          </cell>
          <cell r="J762" t="str">
            <v>D.3.2.1.2</v>
          </cell>
          <cell r="K762" t="str">
            <v>Administración y apoyo general</v>
          </cell>
          <cell r="L762">
            <v>3</v>
          </cell>
          <cell r="M762">
            <v>46003</v>
          </cell>
          <cell r="N762">
            <v>46006</v>
          </cell>
          <cell r="O762">
            <v>1</v>
          </cell>
          <cell r="P762">
            <v>46007</v>
          </cell>
          <cell r="Q762">
            <v>5</v>
          </cell>
          <cell r="R762" t="str">
            <v>NA</v>
          </cell>
          <cell r="S762">
            <v>5</v>
          </cell>
        </row>
        <row r="763">
          <cell r="B763" t="str">
            <v>MNC</v>
          </cell>
          <cell r="C763" t="str">
            <v>HSLB13234</v>
          </cell>
          <cell r="D763">
            <v>201001</v>
          </cell>
          <cell r="E763" t="str">
            <v>Estación de Trabajo</v>
          </cell>
          <cell r="F763" t="str">
            <v>NO</v>
          </cell>
          <cell r="G763" t="str">
            <v>NO</v>
          </cell>
          <cell r="H763" t="str">
            <v>MÓDULO DE TRABAJO (presupuesto)</v>
          </cell>
          <cell r="I763">
            <v>1</v>
          </cell>
          <cell r="J763" t="str">
            <v>D.3.2.1.3</v>
          </cell>
          <cell r="K763" t="str">
            <v>Administración y apoyo general</v>
          </cell>
          <cell r="L763">
            <v>3</v>
          </cell>
          <cell r="M763">
            <v>46034</v>
          </cell>
          <cell r="N763">
            <v>46035</v>
          </cell>
          <cell r="O763">
            <v>7</v>
          </cell>
          <cell r="P763">
            <v>46044</v>
          </cell>
          <cell r="Q763">
            <v>5</v>
          </cell>
          <cell r="R763" t="str">
            <v>NA</v>
          </cell>
          <cell r="S763">
            <v>5</v>
          </cell>
        </row>
        <row r="764">
          <cell r="B764" t="str">
            <v>MNC</v>
          </cell>
          <cell r="C764" t="str">
            <v>HSLB13235</v>
          </cell>
          <cell r="D764">
            <v>201001</v>
          </cell>
          <cell r="E764" t="str">
            <v>Estación de Trabajo</v>
          </cell>
          <cell r="F764" t="str">
            <v>NO</v>
          </cell>
          <cell r="G764" t="str">
            <v>NO</v>
          </cell>
          <cell r="H764" t="str">
            <v>MÓDULO DE TRABAJO (gestión financiera)</v>
          </cell>
          <cell r="I764">
            <v>1</v>
          </cell>
          <cell r="J764" t="str">
            <v>D.3.2.1.4</v>
          </cell>
          <cell r="K764" t="str">
            <v>Administración y apoyo general</v>
          </cell>
          <cell r="L764">
            <v>3</v>
          </cell>
          <cell r="M764">
            <v>46034</v>
          </cell>
          <cell r="N764">
            <v>46035</v>
          </cell>
          <cell r="O764">
            <v>7</v>
          </cell>
          <cell r="P764">
            <v>46044</v>
          </cell>
          <cell r="Q764">
            <v>5</v>
          </cell>
          <cell r="R764" t="str">
            <v>NA</v>
          </cell>
          <cell r="S764">
            <v>5</v>
          </cell>
        </row>
        <row r="765">
          <cell r="B765" t="str">
            <v>MNC</v>
          </cell>
          <cell r="C765" t="str">
            <v>HSLB13236</v>
          </cell>
          <cell r="D765">
            <v>201001</v>
          </cell>
          <cell r="E765" t="str">
            <v>Estación de Trabajo</v>
          </cell>
          <cell r="F765" t="str">
            <v>NO</v>
          </cell>
          <cell r="G765" t="str">
            <v>NO</v>
          </cell>
          <cell r="H765" t="str">
            <v>COORDINADOR TESORERÍA</v>
          </cell>
          <cell r="I765">
            <v>1</v>
          </cell>
          <cell r="J765" t="str">
            <v>D.3.2.2.2</v>
          </cell>
          <cell r="K765" t="str">
            <v>Administración y apoyo general</v>
          </cell>
          <cell r="L765">
            <v>3</v>
          </cell>
          <cell r="M765">
            <v>46034</v>
          </cell>
          <cell r="N765">
            <v>46035</v>
          </cell>
          <cell r="O765">
            <v>7</v>
          </cell>
          <cell r="P765">
            <v>46044</v>
          </cell>
          <cell r="Q765">
            <v>5</v>
          </cell>
          <cell r="R765" t="str">
            <v>NA</v>
          </cell>
          <cell r="S765">
            <v>5</v>
          </cell>
        </row>
        <row r="766">
          <cell r="B766" t="str">
            <v>MNC</v>
          </cell>
          <cell r="C766" t="str">
            <v>HSLB13238</v>
          </cell>
          <cell r="D766">
            <v>201001</v>
          </cell>
          <cell r="E766" t="str">
            <v>Estación de Trabajo</v>
          </cell>
          <cell r="F766" t="str">
            <v>NO</v>
          </cell>
          <cell r="G766" t="str">
            <v>NO</v>
          </cell>
          <cell r="H766" t="str">
            <v>COORDINADOR FACTURACIÓN Y COBRANZA</v>
          </cell>
          <cell r="I766">
            <v>2</v>
          </cell>
          <cell r="J766" t="str">
            <v>D.3.2.3.1</v>
          </cell>
          <cell r="K766" t="str">
            <v>Administración y apoyo general</v>
          </cell>
          <cell r="L766">
            <v>3</v>
          </cell>
          <cell r="M766">
            <v>46034</v>
          </cell>
          <cell r="N766">
            <v>46035</v>
          </cell>
          <cell r="O766">
            <v>7</v>
          </cell>
          <cell r="P766">
            <v>46044</v>
          </cell>
          <cell r="Q766">
            <v>5</v>
          </cell>
          <cell r="R766" t="str">
            <v>NA</v>
          </cell>
          <cell r="S766">
            <v>5</v>
          </cell>
        </row>
        <row r="767">
          <cell r="B767" t="str">
            <v>MNC</v>
          </cell>
          <cell r="C767" t="str">
            <v>HSLB13239</v>
          </cell>
          <cell r="D767">
            <v>201001</v>
          </cell>
          <cell r="E767" t="str">
            <v>Estación de Trabajo</v>
          </cell>
          <cell r="F767" t="str">
            <v>NO</v>
          </cell>
          <cell r="G767" t="str">
            <v>NO</v>
          </cell>
          <cell r="H767" t="str">
            <v>MÓD. DE TRABAJO (facturación y cobranza)</v>
          </cell>
          <cell r="I767">
            <v>2</v>
          </cell>
          <cell r="J767" t="str">
            <v>D.3.2.3.2</v>
          </cell>
          <cell r="K767" t="str">
            <v>Administración y apoyo general</v>
          </cell>
          <cell r="L767">
            <v>3</v>
          </cell>
          <cell r="M767">
            <v>46034</v>
          </cell>
          <cell r="N767">
            <v>46035</v>
          </cell>
          <cell r="O767">
            <v>7</v>
          </cell>
          <cell r="P767">
            <v>46044</v>
          </cell>
          <cell r="Q767">
            <v>5</v>
          </cell>
          <cell r="R767" t="str">
            <v>NA</v>
          </cell>
          <cell r="S767">
            <v>5</v>
          </cell>
        </row>
        <row r="768">
          <cell r="B768" t="str">
            <v>MNC</v>
          </cell>
          <cell r="C768" t="str">
            <v>HSLB13251</v>
          </cell>
          <cell r="D768">
            <v>201001</v>
          </cell>
          <cell r="E768" t="str">
            <v>Estación de Trabajo</v>
          </cell>
          <cell r="F768" t="str">
            <v>NO</v>
          </cell>
          <cell r="G768" t="str">
            <v>NO</v>
          </cell>
          <cell r="H768" t="str">
            <v>SECRETARIA C/ARCHIVO, FOTOCOP.</v>
          </cell>
          <cell r="I768">
            <v>1</v>
          </cell>
          <cell r="J768" t="str">
            <v>D.4.1.1</v>
          </cell>
          <cell r="K768" t="str">
            <v>Administración y apoyo general</v>
          </cell>
          <cell r="L768">
            <v>3</v>
          </cell>
          <cell r="M768">
            <v>46034</v>
          </cell>
          <cell r="N768">
            <v>46035</v>
          </cell>
          <cell r="O768">
            <v>7</v>
          </cell>
          <cell r="P768">
            <v>46044</v>
          </cell>
          <cell r="Q768">
            <v>5</v>
          </cell>
          <cell r="R768" t="str">
            <v>NA</v>
          </cell>
          <cell r="S768">
            <v>5</v>
          </cell>
        </row>
        <row r="769">
          <cell r="B769" t="str">
            <v>MNC</v>
          </cell>
          <cell r="C769" t="str">
            <v>HSLB13252</v>
          </cell>
          <cell r="D769">
            <v>201001</v>
          </cell>
          <cell r="E769" t="str">
            <v>Estación de Trabajo</v>
          </cell>
          <cell r="F769" t="str">
            <v>NO</v>
          </cell>
          <cell r="G769" t="str">
            <v>NO</v>
          </cell>
          <cell r="H769" t="str">
            <v>OF. JEFE CR GESTIÓN DE LAS PERSONAS</v>
          </cell>
          <cell r="I769">
            <v>1</v>
          </cell>
          <cell r="J769" t="str">
            <v>D.4.1.2</v>
          </cell>
          <cell r="K769" t="str">
            <v>Administración y apoyo general</v>
          </cell>
          <cell r="L769">
            <v>3</v>
          </cell>
          <cell r="M769">
            <v>46034</v>
          </cell>
          <cell r="N769">
            <v>46035</v>
          </cell>
          <cell r="O769">
            <v>7</v>
          </cell>
          <cell r="P769">
            <v>46044</v>
          </cell>
          <cell r="Q769">
            <v>5</v>
          </cell>
          <cell r="R769" t="str">
            <v>NA</v>
          </cell>
          <cell r="S769">
            <v>5</v>
          </cell>
        </row>
        <row r="770">
          <cell r="B770" t="str">
            <v>MNC</v>
          </cell>
          <cell r="C770" t="str">
            <v>HSLB13363</v>
          </cell>
          <cell r="D770">
            <v>201008</v>
          </cell>
          <cell r="E770" t="str">
            <v>Mesa Reuniones Tipo I</v>
          </cell>
          <cell r="F770" t="str">
            <v>NO</v>
          </cell>
          <cell r="G770" t="str">
            <v>NO</v>
          </cell>
          <cell r="H770" t="str">
            <v>OF. JEFE CR GESTIÓN DE LAS PERSONAS</v>
          </cell>
          <cell r="I770">
            <v>1</v>
          </cell>
          <cell r="J770" t="str">
            <v>D.4.1.2</v>
          </cell>
          <cell r="K770" t="str">
            <v>Administración y apoyo general</v>
          </cell>
          <cell r="L770">
            <v>3</v>
          </cell>
          <cell r="M770">
            <v>46031</v>
          </cell>
          <cell r="N770">
            <v>46034</v>
          </cell>
          <cell r="O770">
            <v>1</v>
          </cell>
          <cell r="P770">
            <v>46035</v>
          </cell>
          <cell r="Q770">
            <v>5</v>
          </cell>
          <cell r="R770" t="str">
            <v>NA</v>
          </cell>
          <cell r="S770">
            <v>5</v>
          </cell>
        </row>
        <row r="771">
          <cell r="B771" t="str">
            <v>MNC</v>
          </cell>
          <cell r="C771" t="str">
            <v>HSLB13253</v>
          </cell>
          <cell r="D771">
            <v>201001</v>
          </cell>
          <cell r="E771" t="str">
            <v>Estación de Trabajo</v>
          </cell>
          <cell r="F771" t="str">
            <v>NO</v>
          </cell>
          <cell r="G771" t="str">
            <v>NO</v>
          </cell>
          <cell r="H771" t="str">
            <v>SECRETARÍA C/ARCHIVO Y FOTOCOPIADORA</v>
          </cell>
          <cell r="I771">
            <v>1</v>
          </cell>
          <cell r="J771" t="str">
            <v>D.4.2.1</v>
          </cell>
          <cell r="K771" t="str">
            <v>Administración y apoyo general</v>
          </cell>
          <cell r="L771">
            <v>3</v>
          </cell>
          <cell r="M771">
            <v>46034</v>
          </cell>
          <cell r="N771">
            <v>46035</v>
          </cell>
          <cell r="O771">
            <v>7</v>
          </cell>
          <cell r="P771">
            <v>46044</v>
          </cell>
          <cell r="Q771">
            <v>5</v>
          </cell>
          <cell r="R771" t="str">
            <v>NA</v>
          </cell>
          <cell r="S771">
            <v>5</v>
          </cell>
        </row>
        <row r="772">
          <cell r="B772" t="str">
            <v>MNC</v>
          </cell>
          <cell r="C772" t="str">
            <v>HSLB13254</v>
          </cell>
          <cell r="D772">
            <v>201001</v>
          </cell>
          <cell r="E772" t="str">
            <v>Estación de Trabajo</v>
          </cell>
          <cell r="F772" t="str">
            <v>NO</v>
          </cell>
          <cell r="G772" t="str">
            <v>NO</v>
          </cell>
          <cell r="H772" t="str">
            <v>COORDINADOR ADMNISTRACIÓN DE PERSONAL</v>
          </cell>
          <cell r="I772">
            <v>1</v>
          </cell>
          <cell r="J772" t="str">
            <v>D.4.2.2</v>
          </cell>
          <cell r="K772" t="str">
            <v>Administración y apoyo general</v>
          </cell>
          <cell r="L772">
            <v>3</v>
          </cell>
          <cell r="M772">
            <v>46034</v>
          </cell>
          <cell r="N772">
            <v>46035</v>
          </cell>
          <cell r="O772">
            <v>7</v>
          </cell>
          <cell r="P772">
            <v>46044</v>
          </cell>
          <cell r="Q772">
            <v>5</v>
          </cell>
          <cell r="R772" t="str">
            <v>NA</v>
          </cell>
          <cell r="S772">
            <v>5</v>
          </cell>
        </row>
        <row r="773">
          <cell r="B773" t="str">
            <v>MNC</v>
          </cell>
          <cell r="C773" t="str">
            <v>HSLB13255</v>
          </cell>
          <cell r="D773">
            <v>201001</v>
          </cell>
          <cell r="E773" t="str">
            <v>Estación de Trabajo</v>
          </cell>
          <cell r="F773" t="str">
            <v>NO</v>
          </cell>
          <cell r="G773" t="str">
            <v>NO</v>
          </cell>
          <cell r="H773" t="str">
            <v>MÓD.TRABAJO EJECUT. DE PERSONAL Y REMUN.(5p)</v>
          </cell>
          <cell r="I773">
            <v>6</v>
          </cell>
          <cell r="J773" t="str">
            <v>D.4.2.3</v>
          </cell>
          <cell r="K773" t="str">
            <v>Administración y apoyo general</v>
          </cell>
          <cell r="L773">
            <v>3</v>
          </cell>
          <cell r="M773">
            <v>46034</v>
          </cell>
          <cell r="N773">
            <v>46035</v>
          </cell>
          <cell r="O773">
            <v>7</v>
          </cell>
          <cell r="P773">
            <v>46044</v>
          </cell>
          <cell r="Q773">
            <v>5</v>
          </cell>
          <cell r="R773" t="str">
            <v>NA</v>
          </cell>
          <cell r="S773">
            <v>5</v>
          </cell>
        </row>
        <row r="774">
          <cell r="B774" t="str">
            <v>MNC</v>
          </cell>
          <cell r="C774" t="str">
            <v>HSLB13256</v>
          </cell>
          <cell r="D774">
            <v>201001</v>
          </cell>
          <cell r="E774" t="str">
            <v>Estación de Trabajo</v>
          </cell>
          <cell r="F774" t="str">
            <v>NO</v>
          </cell>
          <cell r="G774" t="str">
            <v>NO</v>
          </cell>
          <cell r="H774" t="str">
            <v>MÓD. DE TRABAJO DESARROLLO ORGANIZACIONAL</v>
          </cell>
          <cell r="I774">
            <v>2</v>
          </cell>
          <cell r="J774" t="str">
            <v>D.4.3.1</v>
          </cell>
          <cell r="K774" t="str">
            <v>Administración y apoyo general</v>
          </cell>
          <cell r="L774">
            <v>3</v>
          </cell>
          <cell r="M774">
            <v>46034</v>
          </cell>
          <cell r="N774">
            <v>46035</v>
          </cell>
          <cell r="O774">
            <v>7</v>
          </cell>
          <cell r="P774">
            <v>46044</v>
          </cell>
          <cell r="Q774">
            <v>5</v>
          </cell>
          <cell r="R774" t="str">
            <v>NA</v>
          </cell>
          <cell r="S774">
            <v>5</v>
          </cell>
        </row>
        <row r="775">
          <cell r="B775" t="str">
            <v>MNC</v>
          </cell>
          <cell r="C775" t="str">
            <v>HSLB13263</v>
          </cell>
          <cell r="D775">
            <v>201001</v>
          </cell>
          <cell r="E775" t="str">
            <v>Estación de Trabajo</v>
          </cell>
          <cell r="F775" t="str">
            <v>NO</v>
          </cell>
          <cell r="G775" t="str">
            <v>NO</v>
          </cell>
          <cell r="H775" t="str">
            <v>COORDINADOR BIENESTAR Y DESARROLLO SOCIAL</v>
          </cell>
          <cell r="I775">
            <v>1</v>
          </cell>
          <cell r="J775" t="str">
            <v>D.4.4.3.1</v>
          </cell>
          <cell r="K775" t="str">
            <v>Administración y apoyo general</v>
          </cell>
          <cell r="L775">
            <v>3</v>
          </cell>
          <cell r="M775">
            <v>46034</v>
          </cell>
          <cell r="N775">
            <v>46035</v>
          </cell>
          <cell r="O775">
            <v>7</v>
          </cell>
          <cell r="P775">
            <v>46044</v>
          </cell>
          <cell r="Q775">
            <v>5</v>
          </cell>
          <cell r="R775" t="str">
            <v>NA</v>
          </cell>
          <cell r="S775">
            <v>5</v>
          </cell>
        </row>
        <row r="776">
          <cell r="B776" t="str">
            <v>MNC</v>
          </cell>
          <cell r="C776" t="str">
            <v>HSLB13264</v>
          </cell>
          <cell r="D776">
            <v>201001</v>
          </cell>
          <cell r="E776" t="str">
            <v>Estación de Trabajo</v>
          </cell>
          <cell r="F776" t="str">
            <v>NO</v>
          </cell>
          <cell r="G776" t="str">
            <v>NO</v>
          </cell>
          <cell r="H776" t="str">
            <v>MÓD. DE TRABAJO BIENESTAR</v>
          </cell>
          <cell r="I776">
            <v>1</v>
          </cell>
          <cell r="J776" t="str">
            <v>D.4.4.3.2</v>
          </cell>
          <cell r="K776" t="str">
            <v>Administración y apoyo general</v>
          </cell>
          <cell r="L776">
            <v>3</v>
          </cell>
          <cell r="M776">
            <v>46034</v>
          </cell>
          <cell r="N776">
            <v>46035</v>
          </cell>
          <cell r="O776">
            <v>7</v>
          </cell>
          <cell r="P776">
            <v>46044</v>
          </cell>
          <cell r="Q776">
            <v>5</v>
          </cell>
          <cell r="R776" t="str">
            <v>NA</v>
          </cell>
          <cell r="S776">
            <v>5</v>
          </cell>
        </row>
        <row r="777">
          <cell r="B777" t="str">
            <v>MNC</v>
          </cell>
          <cell r="C777" t="str">
            <v>HSLB13265</v>
          </cell>
          <cell r="D777">
            <v>201001</v>
          </cell>
          <cell r="E777" t="str">
            <v>Estación de Trabajo</v>
          </cell>
          <cell r="F777" t="str">
            <v>NO</v>
          </cell>
          <cell r="G777" t="str">
            <v>NO</v>
          </cell>
          <cell r="H777" t="str">
            <v>SECRETARÍA C/ARCHIVO Y FOTOCOPIADORA</v>
          </cell>
          <cell r="I777">
            <v>1</v>
          </cell>
          <cell r="J777" t="str">
            <v>D.4.5.1</v>
          </cell>
          <cell r="K777" t="str">
            <v>Administración y apoyo general</v>
          </cell>
          <cell r="L777">
            <v>3</v>
          </cell>
          <cell r="M777">
            <v>46034</v>
          </cell>
          <cell r="N777">
            <v>46035</v>
          </cell>
          <cell r="O777">
            <v>7</v>
          </cell>
          <cell r="P777">
            <v>46044</v>
          </cell>
          <cell r="Q777">
            <v>5</v>
          </cell>
          <cell r="R777" t="str">
            <v>NA</v>
          </cell>
          <cell r="S777">
            <v>5</v>
          </cell>
        </row>
        <row r="778">
          <cell r="B778" t="str">
            <v>MNC</v>
          </cell>
          <cell r="C778" t="str">
            <v>HSLB13266</v>
          </cell>
          <cell r="D778">
            <v>201001</v>
          </cell>
          <cell r="E778" t="str">
            <v>Estación de Trabajo</v>
          </cell>
          <cell r="F778" t="str">
            <v>NO</v>
          </cell>
          <cell r="G778" t="str">
            <v>NO</v>
          </cell>
          <cell r="H778" t="str">
            <v>COORDINADOR CAPACITACIÓN Y FORMACIÓN</v>
          </cell>
          <cell r="I778">
            <v>1</v>
          </cell>
          <cell r="J778" t="str">
            <v>D.4.5.2</v>
          </cell>
          <cell r="K778" t="str">
            <v>Administración y apoyo general</v>
          </cell>
          <cell r="L778">
            <v>3</v>
          </cell>
          <cell r="M778">
            <v>46034</v>
          </cell>
          <cell r="N778">
            <v>46035</v>
          </cell>
          <cell r="O778">
            <v>7</v>
          </cell>
          <cell r="P778">
            <v>46044</v>
          </cell>
          <cell r="Q778">
            <v>5</v>
          </cell>
          <cell r="R778" t="str">
            <v>NA</v>
          </cell>
          <cell r="S778">
            <v>5</v>
          </cell>
        </row>
        <row r="779">
          <cell r="B779" t="str">
            <v>MNC</v>
          </cell>
          <cell r="C779" t="str">
            <v>HSLB13392</v>
          </cell>
          <cell r="D779">
            <v>201010</v>
          </cell>
          <cell r="E779" t="str">
            <v>Mesa Reuniones Tipo III</v>
          </cell>
          <cell r="F779" t="str">
            <v>NO</v>
          </cell>
          <cell r="G779" t="str">
            <v>NO</v>
          </cell>
          <cell r="H779" t="str">
            <v>SALA DE CAPACITACIÓN PERSONALIZADA</v>
          </cell>
          <cell r="I779">
            <v>1</v>
          </cell>
          <cell r="J779" t="str">
            <v>D.4.5.3</v>
          </cell>
          <cell r="K779" t="str">
            <v>Administración y apoyo general</v>
          </cell>
          <cell r="L779">
            <v>3</v>
          </cell>
          <cell r="M779">
            <v>46031</v>
          </cell>
          <cell r="N779">
            <v>46034</v>
          </cell>
          <cell r="O779">
            <v>1</v>
          </cell>
          <cell r="P779">
            <v>46035</v>
          </cell>
          <cell r="Q779">
            <v>5</v>
          </cell>
          <cell r="R779" t="str">
            <v>NA</v>
          </cell>
          <cell r="S779">
            <v>5</v>
          </cell>
        </row>
        <row r="780">
          <cell r="B780" t="str">
            <v>MNC</v>
          </cell>
          <cell r="C780" t="str">
            <v>HSLB13267</v>
          </cell>
          <cell r="D780">
            <v>201001</v>
          </cell>
          <cell r="E780" t="str">
            <v>Estación de Trabajo</v>
          </cell>
          <cell r="F780" t="str">
            <v>NO</v>
          </cell>
          <cell r="G780" t="str">
            <v>NO</v>
          </cell>
          <cell r="H780" t="str">
            <v>SALA DE CAPACITACIÓN MASIVA</v>
          </cell>
          <cell r="I780">
            <v>1</v>
          </cell>
          <cell r="J780" t="str">
            <v>D.4.5.4</v>
          </cell>
          <cell r="K780" t="str">
            <v>Administración y apoyo general</v>
          </cell>
          <cell r="L780">
            <v>3</v>
          </cell>
          <cell r="M780">
            <v>46034</v>
          </cell>
          <cell r="N780">
            <v>46035</v>
          </cell>
          <cell r="O780">
            <v>7</v>
          </cell>
          <cell r="P780">
            <v>46044</v>
          </cell>
          <cell r="Q780">
            <v>5</v>
          </cell>
          <cell r="R780" t="str">
            <v>NA</v>
          </cell>
          <cell r="S780">
            <v>5</v>
          </cell>
        </row>
        <row r="781">
          <cell r="B781" t="str">
            <v>MNC</v>
          </cell>
          <cell r="C781" t="str">
            <v>HSLB13393</v>
          </cell>
          <cell r="D781">
            <v>201010</v>
          </cell>
          <cell r="E781" t="str">
            <v>Mesa Reuniones Tipo III</v>
          </cell>
          <cell r="F781" t="str">
            <v>NO</v>
          </cell>
          <cell r="G781" t="str">
            <v>NO</v>
          </cell>
          <cell r="H781" t="str">
            <v>SALA DE REUNIONES</v>
          </cell>
          <cell r="I781">
            <v>1</v>
          </cell>
          <cell r="J781" t="str">
            <v>D.4.6.1</v>
          </cell>
          <cell r="K781" t="str">
            <v>Administración y apoyo general</v>
          </cell>
          <cell r="L781">
            <v>3</v>
          </cell>
          <cell r="M781">
            <v>46031</v>
          </cell>
          <cell r="N781">
            <v>46034</v>
          </cell>
          <cell r="O781">
            <v>1</v>
          </cell>
          <cell r="P781">
            <v>46035</v>
          </cell>
          <cell r="Q781">
            <v>5</v>
          </cell>
          <cell r="R781" t="str">
            <v>NA</v>
          </cell>
          <cell r="S781">
            <v>5</v>
          </cell>
        </row>
        <row r="782">
          <cell r="B782" t="str">
            <v>MNC</v>
          </cell>
          <cell r="C782" t="str">
            <v>HSLB13377</v>
          </cell>
          <cell r="D782">
            <v>201010</v>
          </cell>
          <cell r="E782" t="str">
            <v>Mesa Reuniones Tipo III</v>
          </cell>
          <cell r="F782" t="str">
            <v>NO</v>
          </cell>
          <cell r="G782" t="str">
            <v>NO</v>
          </cell>
          <cell r="H782" t="str">
            <v>AUDITORIO</v>
          </cell>
          <cell r="I782">
            <v>1</v>
          </cell>
          <cell r="J782" t="str">
            <v>E.1.3</v>
          </cell>
          <cell r="K782" t="str">
            <v>Auditorio</v>
          </cell>
          <cell r="L782">
            <v>3</v>
          </cell>
          <cell r="M782">
            <v>46044</v>
          </cell>
          <cell r="N782">
            <v>46045</v>
          </cell>
          <cell r="O782">
            <v>3</v>
          </cell>
          <cell r="P782">
            <v>46050</v>
          </cell>
          <cell r="Q782">
            <v>5</v>
          </cell>
          <cell r="R782" t="str">
            <v>NA</v>
          </cell>
          <cell r="S782">
            <v>5</v>
          </cell>
        </row>
        <row r="783">
          <cell r="B783" t="str">
            <v>MNC</v>
          </cell>
          <cell r="C783" t="str">
            <v>HSLB15179</v>
          </cell>
          <cell r="D783">
            <v>201001</v>
          </cell>
          <cell r="E783" t="str">
            <v>Estación de Trabajo</v>
          </cell>
          <cell r="F783" t="str">
            <v>NO</v>
          </cell>
          <cell r="G783" t="str">
            <v>NO</v>
          </cell>
          <cell r="H783" t="str">
            <v>SALA DE EQUIPO AUDIOVISUAL</v>
          </cell>
          <cell r="I783">
            <v>2</v>
          </cell>
          <cell r="J783" t="str">
            <v>E.1.4</v>
          </cell>
          <cell r="K783" t="str">
            <v>Auditorio</v>
          </cell>
          <cell r="L783">
            <v>3</v>
          </cell>
          <cell r="M783">
            <v>46044</v>
          </cell>
          <cell r="N783">
            <v>46045</v>
          </cell>
          <cell r="O783">
            <v>3</v>
          </cell>
          <cell r="P783">
            <v>46050</v>
          </cell>
          <cell r="Q783">
            <v>5</v>
          </cell>
          <cell r="R783" t="str">
            <v>NA</v>
          </cell>
          <cell r="S783">
            <v>5</v>
          </cell>
        </row>
        <row r="784">
          <cell r="B784" t="str">
            <v>MNC</v>
          </cell>
          <cell r="C784" t="str">
            <v>HSLB15180</v>
          </cell>
          <cell r="D784">
            <v>201001</v>
          </cell>
          <cell r="E784" t="str">
            <v>Estación de Trabajo</v>
          </cell>
          <cell r="F784" t="str">
            <v>NO</v>
          </cell>
          <cell r="G784" t="str">
            <v>NO</v>
          </cell>
          <cell r="H784" t="str">
            <v>SALA DE EQUIPO AUDIOVISUAL</v>
          </cell>
          <cell r="I784">
            <v>1</v>
          </cell>
          <cell r="J784" t="str">
            <v>E.1.5</v>
          </cell>
          <cell r="K784" t="str">
            <v>Auditorio</v>
          </cell>
          <cell r="L784">
            <v>3</v>
          </cell>
          <cell r="M784">
            <v>46044</v>
          </cell>
          <cell r="N784">
            <v>46045</v>
          </cell>
          <cell r="O784">
            <v>3</v>
          </cell>
          <cell r="P784">
            <v>46050</v>
          </cell>
          <cell r="Q784">
            <v>5</v>
          </cell>
          <cell r="R784" t="str">
            <v>NA</v>
          </cell>
          <cell r="S784">
            <v>5</v>
          </cell>
        </row>
        <row r="785">
          <cell r="B785" t="str">
            <v>MNC</v>
          </cell>
          <cell r="C785" t="str">
            <v>HSLB14170</v>
          </cell>
          <cell r="D785">
            <v>204006</v>
          </cell>
          <cell r="E785" t="str">
            <v>Silla Ergonómica</v>
          </cell>
          <cell r="F785" t="str">
            <v>NO</v>
          </cell>
          <cell r="G785" t="str">
            <v>NO</v>
          </cell>
          <cell r="H785" t="str">
            <v>SECRETARÍA C/ARCHIVO Y FOTOCOPIADORA</v>
          </cell>
          <cell r="I785">
            <v>1</v>
          </cell>
          <cell r="J785" t="str">
            <v>B.1.1</v>
          </cell>
          <cell r="K785" t="str">
            <v>Administración y apoyo general</v>
          </cell>
          <cell r="L785">
            <v>3</v>
          </cell>
          <cell r="M785">
            <v>46031</v>
          </cell>
          <cell r="N785">
            <v>46034</v>
          </cell>
          <cell r="O785">
            <v>1</v>
          </cell>
          <cell r="P785">
            <v>46035</v>
          </cell>
          <cell r="Q785">
            <v>5</v>
          </cell>
          <cell r="R785" t="str">
            <v>NA</v>
          </cell>
          <cell r="S785">
            <v>5</v>
          </cell>
        </row>
        <row r="786">
          <cell r="B786" t="str">
            <v>MNC</v>
          </cell>
          <cell r="C786" t="str">
            <v>HSLB15213</v>
          </cell>
          <cell r="D786">
            <v>204012</v>
          </cell>
          <cell r="E786" t="str">
            <v>Silla Visita</v>
          </cell>
          <cell r="F786" t="str">
            <v>NO</v>
          </cell>
          <cell r="G786" t="str">
            <v>NO</v>
          </cell>
          <cell r="H786" t="str">
            <v>SECRETARÍA C/ARCHIVO Y FOTOCOPIADORA</v>
          </cell>
          <cell r="I786">
            <v>2</v>
          </cell>
          <cell r="J786" t="str">
            <v>B.1.1</v>
          </cell>
          <cell r="K786" t="str">
            <v>Administración y apoyo general</v>
          </cell>
          <cell r="L786">
            <v>3</v>
          </cell>
          <cell r="M786">
            <v>46031</v>
          </cell>
          <cell r="N786">
            <v>46034</v>
          </cell>
          <cell r="O786">
            <v>1</v>
          </cell>
          <cell r="P786">
            <v>46035</v>
          </cell>
          <cell r="Q786">
            <v>5</v>
          </cell>
          <cell r="R786" t="str">
            <v>NA</v>
          </cell>
          <cell r="S786">
            <v>5</v>
          </cell>
        </row>
        <row r="787">
          <cell r="B787" t="str">
            <v>MNC</v>
          </cell>
          <cell r="C787" t="str">
            <v>HSLB14979</v>
          </cell>
          <cell r="D787">
            <v>204014</v>
          </cell>
          <cell r="E787" t="str">
            <v>Sillón 2 Cuerpo</v>
          </cell>
          <cell r="F787" t="str">
            <v>NO</v>
          </cell>
          <cell r="G787" t="str">
            <v>NO</v>
          </cell>
          <cell r="H787" t="str">
            <v>SALA DE ESPERA</v>
          </cell>
          <cell r="I787">
            <v>4</v>
          </cell>
          <cell r="J787" t="str">
            <v>B.1.2</v>
          </cell>
          <cell r="K787" t="str">
            <v>Administración y apoyo general</v>
          </cell>
          <cell r="L787">
            <v>3</v>
          </cell>
          <cell r="M787">
            <v>46031</v>
          </cell>
          <cell r="N787">
            <v>46034</v>
          </cell>
          <cell r="O787">
            <v>1</v>
          </cell>
          <cell r="P787">
            <v>46035</v>
          </cell>
          <cell r="Q787">
            <v>5</v>
          </cell>
          <cell r="R787" t="str">
            <v>NA</v>
          </cell>
          <cell r="S787">
            <v>5</v>
          </cell>
        </row>
        <row r="788">
          <cell r="B788" t="str">
            <v>MNC</v>
          </cell>
          <cell r="C788" t="str">
            <v>HSLB14171</v>
          </cell>
          <cell r="D788">
            <v>204006</v>
          </cell>
          <cell r="E788" t="str">
            <v>Silla Ergonómica</v>
          </cell>
          <cell r="F788" t="str">
            <v>NO</v>
          </cell>
          <cell r="G788" t="str">
            <v>NO</v>
          </cell>
          <cell r="H788" t="str">
            <v>OFICINA DIRECTOR C/BAÑO</v>
          </cell>
          <cell r="I788">
            <v>1</v>
          </cell>
          <cell r="J788" t="str">
            <v>B.1.3</v>
          </cell>
          <cell r="K788" t="str">
            <v>Administración y apoyo general</v>
          </cell>
          <cell r="L788">
            <v>3</v>
          </cell>
          <cell r="M788">
            <v>46031</v>
          </cell>
          <cell r="N788">
            <v>46034</v>
          </cell>
          <cell r="O788">
            <v>1</v>
          </cell>
          <cell r="P788">
            <v>46035</v>
          </cell>
          <cell r="Q788">
            <v>5</v>
          </cell>
          <cell r="R788" t="str">
            <v>NA</v>
          </cell>
          <cell r="S788">
            <v>5</v>
          </cell>
        </row>
        <row r="789">
          <cell r="B789" t="str">
            <v>MNC</v>
          </cell>
          <cell r="C789" t="str">
            <v>HSLB14630</v>
          </cell>
          <cell r="D789">
            <v>204012</v>
          </cell>
          <cell r="E789" t="str">
            <v>Silla Visita</v>
          </cell>
          <cell r="F789" t="str">
            <v>NO</v>
          </cell>
          <cell r="G789" t="str">
            <v>NO</v>
          </cell>
          <cell r="H789" t="str">
            <v>OFICINA DIRECTOR C/BAÑO</v>
          </cell>
          <cell r="I789">
            <v>4</v>
          </cell>
          <cell r="J789" t="str">
            <v>B.1.3</v>
          </cell>
          <cell r="K789" t="str">
            <v>Administración y apoyo general</v>
          </cell>
          <cell r="L789">
            <v>3</v>
          </cell>
          <cell r="M789">
            <v>46031</v>
          </cell>
          <cell r="N789">
            <v>46034</v>
          </cell>
          <cell r="O789">
            <v>1</v>
          </cell>
          <cell r="P789">
            <v>46035</v>
          </cell>
          <cell r="Q789">
            <v>5</v>
          </cell>
          <cell r="R789" t="str">
            <v>NA</v>
          </cell>
          <cell r="S789">
            <v>5</v>
          </cell>
        </row>
        <row r="790">
          <cell r="B790" t="str">
            <v>MNC</v>
          </cell>
          <cell r="C790" t="str">
            <v>HSLB14172</v>
          </cell>
          <cell r="D790">
            <v>204006</v>
          </cell>
          <cell r="E790" t="str">
            <v>Silla Ergonómica</v>
          </cell>
          <cell r="F790" t="str">
            <v>NO</v>
          </cell>
          <cell r="G790" t="str">
            <v>NO</v>
          </cell>
          <cell r="H790" t="str">
            <v>SECRETARÍA C/ARCHIVO Y FOTOCOP.</v>
          </cell>
          <cell r="I790">
            <v>1</v>
          </cell>
          <cell r="J790" t="str">
            <v>B.2.1.1</v>
          </cell>
          <cell r="K790" t="str">
            <v>Administración y apoyo general</v>
          </cell>
          <cell r="L790">
            <v>3</v>
          </cell>
          <cell r="M790">
            <v>46031</v>
          </cell>
          <cell r="N790">
            <v>46034</v>
          </cell>
          <cell r="O790">
            <v>1</v>
          </cell>
          <cell r="P790">
            <v>46035</v>
          </cell>
          <cell r="Q790">
            <v>5</v>
          </cell>
          <cell r="R790" t="str">
            <v>NA</v>
          </cell>
          <cell r="S790">
            <v>5</v>
          </cell>
        </row>
        <row r="791">
          <cell r="B791" t="str">
            <v>MNC</v>
          </cell>
          <cell r="C791" t="str">
            <v>HSLB14631</v>
          </cell>
          <cell r="D791">
            <v>204012</v>
          </cell>
          <cell r="E791" t="str">
            <v>Silla Visita</v>
          </cell>
          <cell r="F791" t="str">
            <v>NO</v>
          </cell>
          <cell r="G791" t="str">
            <v>NO</v>
          </cell>
          <cell r="H791" t="str">
            <v>SECRETARÍA C/ARCHIVO Y FOTOCOP.</v>
          </cell>
          <cell r="I791">
            <v>4</v>
          </cell>
          <cell r="J791" t="str">
            <v>B.2.1.1</v>
          </cell>
          <cell r="K791" t="str">
            <v>Administración y apoyo general</v>
          </cell>
          <cell r="L791">
            <v>3</v>
          </cell>
          <cell r="M791">
            <v>46031</v>
          </cell>
          <cell r="N791">
            <v>46034</v>
          </cell>
          <cell r="O791">
            <v>1</v>
          </cell>
          <cell r="P791">
            <v>46035</v>
          </cell>
          <cell r="Q791">
            <v>5</v>
          </cell>
          <cell r="R791" t="str">
            <v>NA</v>
          </cell>
          <cell r="S791">
            <v>5</v>
          </cell>
        </row>
        <row r="792">
          <cell r="B792" t="str">
            <v>MNC</v>
          </cell>
          <cell r="C792" t="str">
            <v>HSLB14173</v>
          </cell>
          <cell r="D792">
            <v>204006</v>
          </cell>
          <cell r="E792" t="str">
            <v>Silla Ergonómica</v>
          </cell>
          <cell r="F792" t="str">
            <v>NO</v>
          </cell>
          <cell r="G792" t="str">
            <v>NO</v>
          </cell>
          <cell r="H792" t="str">
            <v>SECRETARÍA C/ARCHIVO Y FOTOCOP.</v>
          </cell>
          <cell r="I792">
            <v>1</v>
          </cell>
          <cell r="J792" t="str">
            <v>B.2.1.2</v>
          </cell>
          <cell r="K792" t="str">
            <v>Administración y apoyo general</v>
          </cell>
          <cell r="L792">
            <v>3</v>
          </cell>
          <cell r="M792">
            <v>46031</v>
          </cell>
          <cell r="N792">
            <v>46034</v>
          </cell>
          <cell r="O792">
            <v>1</v>
          </cell>
          <cell r="P792">
            <v>46035</v>
          </cell>
          <cell r="Q792">
            <v>5</v>
          </cell>
          <cell r="R792" t="str">
            <v>NA</v>
          </cell>
          <cell r="S792">
            <v>5</v>
          </cell>
        </row>
        <row r="793">
          <cell r="B793" t="str">
            <v>MNC</v>
          </cell>
          <cell r="C793" t="str">
            <v>HSLB14632</v>
          </cell>
          <cell r="D793">
            <v>204012</v>
          </cell>
          <cell r="E793" t="str">
            <v>Silla Visita</v>
          </cell>
          <cell r="F793" t="str">
            <v>NO</v>
          </cell>
          <cell r="G793" t="str">
            <v>NO</v>
          </cell>
          <cell r="H793" t="str">
            <v>SECRETARÍA C/ARCHIVO Y FOTOCOP.</v>
          </cell>
          <cell r="I793">
            <v>4</v>
          </cell>
          <cell r="J793" t="str">
            <v>B.2.1.2</v>
          </cell>
          <cell r="K793" t="str">
            <v>Administración y apoyo general</v>
          </cell>
          <cell r="L793">
            <v>3</v>
          </cell>
          <cell r="M793">
            <v>46031</v>
          </cell>
          <cell r="N793">
            <v>46034</v>
          </cell>
          <cell r="O793">
            <v>1</v>
          </cell>
          <cell r="P793">
            <v>46035</v>
          </cell>
          <cell r="Q793">
            <v>5</v>
          </cell>
          <cell r="R793" t="str">
            <v>NA</v>
          </cell>
          <cell r="S793">
            <v>5</v>
          </cell>
        </row>
        <row r="794">
          <cell r="B794" t="str">
            <v>MNC</v>
          </cell>
          <cell r="C794" t="str">
            <v>HSLB14174</v>
          </cell>
          <cell r="D794">
            <v>204006</v>
          </cell>
          <cell r="E794" t="str">
            <v>Silla Ergonómica</v>
          </cell>
          <cell r="F794" t="str">
            <v>NO</v>
          </cell>
          <cell r="G794" t="str">
            <v>NO</v>
          </cell>
          <cell r="H794" t="str">
            <v>OFICINA SUBDIRECTOR ADMINISTRATIVO</v>
          </cell>
          <cell r="I794">
            <v>1</v>
          </cell>
          <cell r="J794" t="str">
            <v>B.2.2</v>
          </cell>
          <cell r="K794" t="str">
            <v>Administración y apoyo general</v>
          </cell>
          <cell r="L794">
            <v>3</v>
          </cell>
          <cell r="M794">
            <v>46031</v>
          </cell>
          <cell r="N794">
            <v>46034</v>
          </cell>
          <cell r="O794">
            <v>1</v>
          </cell>
          <cell r="P794">
            <v>46035</v>
          </cell>
          <cell r="Q794">
            <v>5</v>
          </cell>
          <cell r="R794" t="str">
            <v>NA</v>
          </cell>
          <cell r="S794">
            <v>5</v>
          </cell>
        </row>
        <row r="795">
          <cell r="B795" t="str">
            <v>MNC</v>
          </cell>
          <cell r="C795" t="str">
            <v>HSLB14633</v>
          </cell>
          <cell r="D795">
            <v>204012</v>
          </cell>
          <cell r="E795" t="str">
            <v>Silla Visita</v>
          </cell>
          <cell r="F795" t="str">
            <v>NO</v>
          </cell>
          <cell r="G795" t="str">
            <v>NO</v>
          </cell>
          <cell r="H795" t="str">
            <v>OFICINA SUBDIRECTOR ADMINISTRATIVO</v>
          </cell>
          <cell r="I795">
            <v>4</v>
          </cell>
          <cell r="J795" t="str">
            <v>B.2.2</v>
          </cell>
          <cell r="K795" t="str">
            <v>Administración y apoyo general</v>
          </cell>
          <cell r="L795">
            <v>3</v>
          </cell>
          <cell r="M795">
            <v>46031</v>
          </cell>
          <cell r="N795">
            <v>46034</v>
          </cell>
          <cell r="O795">
            <v>1</v>
          </cell>
          <cell r="P795">
            <v>46035</v>
          </cell>
          <cell r="Q795">
            <v>5</v>
          </cell>
          <cell r="R795" t="str">
            <v>NA</v>
          </cell>
          <cell r="S795">
            <v>5</v>
          </cell>
        </row>
        <row r="796">
          <cell r="B796" t="str">
            <v>MNC</v>
          </cell>
          <cell r="C796" t="str">
            <v>HSLB14175</v>
          </cell>
          <cell r="D796">
            <v>204006</v>
          </cell>
          <cell r="E796" t="str">
            <v>Silla Ergonómica</v>
          </cell>
          <cell r="F796" t="str">
            <v>NO</v>
          </cell>
          <cell r="G796" t="str">
            <v>NO</v>
          </cell>
          <cell r="H796" t="str">
            <v>OFICINA SUBDIRECTOR MÉDICO</v>
          </cell>
          <cell r="I796">
            <v>1</v>
          </cell>
          <cell r="J796" t="str">
            <v>B.2.3</v>
          </cell>
          <cell r="K796" t="str">
            <v>Administración y apoyo general</v>
          </cell>
          <cell r="L796">
            <v>3</v>
          </cell>
          <cell r="M796">
            <v>46031</v>
          </cell>
          <cell r="N796">
            <v>46034</v>
          </cell>
          <cell r="O796">
            <v>1</v>
          </cell>
          <cell r="P796">
            <v>46035</v>
          </cell>
          <cell r="Q796">
            <v>5</v>
          </cell>
          <cell r="R796" t="str">
            <v>NA</v>
          </cell>
          <cell r="S796">
            <v>5</v>
          </cell>
        </row>
        <row r="797">
          <cell r="B797" t="str">
            <v>MNC</v>
          </cell>
          <cell r="C797" t="str">
            <v>HSLB14634</v>
          </cell>
          <cell r="D797">
            <v>204012</v>
          </cell>
          <cell r="E797" t="str">
            <v>Silla Visita</v>
          </cell>
          <cell r="F797" t="str">
            <v>NO</v>
          </cell>
          <cell r="G797" t="str">
            <v>NO</v>
          </cell>
          <cell r="H797" t="str">
            <v>OFICINA SUBDIRECTOR MÉDICO</v>
          </cell>
          <cell r="I797">
            <v>4</v>
          </cell>
          <cell r="J797" t="str">
            <v>B.2.3</v>
          </cell>
          <cell r="K797" t="str">
            <v>Administración y apoyo general</v>
          </cell>
          <cell r="L797">
            <v>3</v>
          </cell>
          <cell r="M797">
            <v>46031</v>
          </cell>
          <cell r="N797">
            <v>46034</v>
          </cell>
          <cell r="O797">
            <v>1</v>
          </cell>
          <cell r="P797">
            <v>46035</v>
          </cell>
          <cell r="Q797">
            <v>5</v>
          </cell>
          <cell r="R797" t="str">
            <v>NA</v>
          </cell>
          <cell r="S797">
            <v>5</v>
          </cell>
        </row>
        <row r="798">
          <cell r="B798" t="str">
            <v>MNC</v>
          </cell>
          <cell r="C798" t="str">
            <v>HSLB14177</v>
          </cell>
          <cell r="D798">
            <v>204006</v>
          </cell>
          <cell r="E798" t="str">
            <v>Silla Ergonómica</v>
          </cell>
          <cell r="F798" t="str">
            <v>NO</v>
          </cell>
          <cell r="G798" t="str">
            <v>NO</v>
          </cell>
          <cell r="H798" t="str">
            <v>OF. JEFE CONTROL DE GESTIÓN</v>
          </cell>
          <cell r="I798">
            <v>1</v>
          </cell>
          <cell r="J798" t="str">
            <v>B.3.2.1</v>
          </cell>
          <cell r="K798" t="str">
            <v>Administración y apoyo general</v>
          </cell>
          <cell r="L798">
            <v>3</v>
          </cell>
          <cell r="M798">
            <v>46031</v>
          </cell>
          <cell r="N798">
            <v>46034</v>
          </cell>
          <cell r="O798">
            <v>1</v>
          </cell>
          <cell r="P798">
            <v>46035</v>
          </cell>
          <cell r="Q798">
            <v>5</v>
          </cell>
          <cell r="R798" t="str">
            <v>NA</v>
          </cell>
          <cell r="S798">
            <v>5</v>
          </cell>
        </row>
        <row r="799">
          <cell r="B799" t="str">
            <v>MNC</v>
          </cell>
          <cell r="C799" t="str">
            <v>HSLB14636</v>
          </cell>
          <cell r="D799">
            <v>204012</v>
          </cell>
          <cell r="E799" t="str">
            <v>Silla Visita</v>
          </cell>
          <cell r="F799" t="str">
            <v>NO</v>
          </cell>
          <cell r="G799" t="str">
            <v>NO</v>
          </cell>
          <cell r="H799" t="str">
            <v>OF. JEFE CONTROL DE GESTIÓN</v>
          </cell>
          <cell r="I799">
            <v>4</v>
          </cell>
          <cell r="J799" t="str">
            <v>B.3.2.1</v>
          </cell>
          <cell r="K799" t="str">
            <v>Administración y apoyo general</v>
          </cell>
          <cell r="L799">
            <v>3</v>
          </cell>
          <cell r="M799">
            <v>46031</v>
          </cell>
          <cell r="N799">
            <v>46034</v>
          </cell>
          <cell r="O799">
            <v>1</v>
          </cell>
          <cell r="P799">
            <v>46035</v>
          </cell>
          <cell r="Q799">
            <v>5</v>
          </cell>
          <cell r="R799" t="str">
            <v>NA</v>
          </cell>
          <cell r="S799">
            <v>5</v>
          </cell>
        </row>
        <row r="800">
          <cell r="B800" t="str">
            <v>MNC</v>
          </cell>
          <cell r="C800" t="str">
            <v>HSLB14178</v>
          </cell>
          <cell r="D800">
            <v>204006</v>
          </cell>
          <cell r="E800" t="str">
            <v>Silla Ergonómica</v>
          </cell>
          <cell r="F800" t="str">
            <v>NO</v>
          </cell>
          <cell r="G800" t="str">
            <v>NO</v>
          </cell>
          <cell r="H800" t="str">
            <v>SECRETARÍA C/ARCHIVO Y FOTOCO.</v>
          </cell>
          <cell r="I800">
            <v>1</v>
          </cell>
          <cell r="J800" t="str">
            <v>B.3.2.2</v>
          </cell>
          <cell r="K800" t="str">
            <v>Administración y apoyo general</v>
          </cell>
          <cell r="L800">
            <v>3</v>
          </cell>
          <cell r="M800">
            <v>46031</v>
          </cell>
          <cell r="N800">
            <v>46034</v>
          </cell>
          <cell r="O800">
            <v>1</v>
          </cell>
          <cell r="P800">
            <v>46035</v>
          </cell>
          <cell r="Q800">
            <v>5</v>
          </cell>
          <cell r="R800" t="str">
            <v>NA</v>
          </cell>
          <cell r="S800">
            <v>5</v>
          </cell>
        </row>
        <row r="801">
          <cell r="B801" t="str">
            <v>MNC</v>
          </cell>
          <cell r="C801" t="str">
            <v>HSLB14637</v>
          </cell>
          <cell r="D801">
            <v>204012</v>
          </cell>
          <cell r="E801" t="str">
            <v>Silla Visita</v>
          </cell>
          <cell r="F801" t="str">
            <v>NO</v>
          </cell>
          <cell r="G801" t="str">
            <v>NO</v>
          </cell>
          <cell r="H801" t="str">
            <v>SECRETARÍA C/ARCHIVO Y FOTOCO.</v>
          </cell>
          <cell r="I801">
            <v>2</v>
          </cell>
          <cell r="J801" t="str">
            <v>B.3.2.2</v>
          </cell>
          <cell r="K801" t="str">
            <v>Administración y apoyo general</v>
          </cell>
          <cell r="L801">
            <v>3</v>
          </cell>
          <cell r="M801">
            <v>46031</v>
          </cell>
          <cell r="N801">
            <v>46034</v>
          </cell>
          <cell r="O801">
            <v>1</v>
          </cell>
          <cell r="P801">
            <v>46035</v>
          </cell>
          <cell r="Q801">
            <v>5</v>
          </cell>
          <cell r="R801" t="str">
            <v>NA</v>
          </cell>
          <cell r="S801">
            <v>5</v>
          </cell>
        </row>
        <row r="802">
          <cell r="B802" t="str">
            <v>MNC</v>
          </cell>
          <cell r="C802" t="str">
            <v>HSLB14179</v>
          </cell>
          <cell r="D802">
            <v>204006</v>
          </cell>
          <cell r="E802" t="str">
            <v>Silla Ergonómica</v>
          </cell>
          <cell r="F802" t="str">
            <v>NO</v>
          </cell>
          <cell r="G802" t="str">
            <v>NO</v>
          </cell>
          <cell r="H802" t="str">
            <v>MÓD. DE TRABAJO (GRD profesionales + administrativo)</v>
          </cell>
          <cell r="I802">
            <v>4</v>
          </cell>
          <cell r="J802" t="str">
            <v>B.3.2.3</v>
          </cell>
          <cell r="K802" t="str">
            <v>Administración y apoyo general</v>
          </cell>
          <cell r="L802">
            <v>3</v>
          </cell>
          <cell r="M802">
            <v>46031</v>
          </cell>
          <cell r="N802">
            <v>46034</v>
          </cell>
          <cell r="O802">
            <v>1</v>
          </cell>
          <cell r="P802">
            <v>46035</v>
          </cell>
          <cell r="Q802">
            <v>5</v>
          </cell>
          <cell r="R802" t="str">
            <v>NA</v>
          </cell>
          <cell r="S802">
            <v>5</v>
          </cell>
        </row>
        <row r="803">
          <cell r="B803" t="str">
            <v>MNC</v>
          </cell>
          <cell r="C803" t="str">
            <v>HSLB14638</v>
          </cell>
          <cell r="D803">
            <v>204012</v>
          </cell>
          <cell r="E803" t="str">
            <v>Silla Visita</v>
          </cell>
          <cell r="F803" t="str">
            <v>NO</v>
          </cell>
          <cell r="G803" t="str">
            <v>NO</v>
          </cell>
          <cell r="H803" t="str">
            <v>MÓD. DE TRABAJO (GRD profesionales + administrativo)</v>
          </cell>
          <cell r="I803">
            <v>4</v>
          </cell>
          <cell r="J803" t="str">
            <v>B.3.2.3</v>
          </cell>
          <cell r="K803" t="str">
            <v>Administración y apoyo general</v>
          </cell>
          <cell r="L803">
            <v>3</v>
          </cell>
          <cell r="M803">
            <v>46031</v>
          </cell>
          <cell r="N803">
            <v>46034</v>
          </cell>
          <cell r="O803">
            <v>1</v>
          </cell>
          <cell r="P803">
            <v>46035</v>
          </cell>
          <cell r="Q803">
            <v>5</v>
          </cell>
          <cell r="R803" t="str">
            <v>NA</v>
          </cell>
          <cell r="S803">
            <v>5</v>
          </cell>
        </row>
        <row r="804">
          <cell r="B804" t="str">
            <v>MNC</v>
          </cell>
          <cell r="C804" t="str">
            <v>HSLB14180</v>
          </cell>
          <cell r="D804">
            <v>204006</v>
          </cell>
          <cell r="E804" t="str">
            <v>Silla Ergonómica</v>
          </cell>
          <cell r="F804" t="str">
            <v>NO</v>
          </cell>
          <cell r="G804" t="str">
            <v>NO</v>
          </cell>
          <cell r="H804" t="str">
            <v>MÓD. TRABAJO (Winsig)</v>
          </cell>
          <cell r="I804">
            <v>1</v>
          </cell>
          <cell r="J804" t="str">
            <v>B.3.2.4</v>
          </cell>
          <cell r="K804" t="str">
            <v>Administración y apoyo general</v>
          </cell>
          <cell r="L804">
            <v>3</v>
          </cell>
          <cell r="M804">
            <v>46031</v>
          </cell>
          <cell r="N804">
            <v>46034</v>
          </cell>
          <cell r="O804">
            <v>1</v>
          </cell>
          <cell r="P804">
            <v>46035</v>
          </cell>
          <cell r="Q804">
            <v>5</v>
          </cell>
          <cell r="R804" t="str">
            <v>NA</v>
          </cell>
          <cell r="S804">
            <v>5</v>
          </cell>
        </row>
        <row r="805">
          <cell r="B805" t="str">
            <v>MNC</v>
          </cell>
          <cell r="C805" t="str">
            <v>HSLB14639</v>
          </cell>
          <cell r="D805">
            <v>204012</v>
          </cell>
          <cell r="E805" t="str">
            <v>Silla Visita</v>
          </cell>
          <cell r="F805" t="str">
            <v>NO</v>
          </cell>
          <cell r="G805" t="str">
            <v>NO</v>
          </cell>
          <cell r="H805" t="str">
            <v>MÓD. TRABAJO (Winsig)</v>
          </cell>
          <cell r="I805">
            <v>0</v>
          </cell>
          <cell r="J805" t="str">
            <v>B.3.2.4</v>
          </cell>
          <cell r="K805" t="str">
            <v>Administración y apoyo general</v>
          </cell>
          <cell r="L805">
            <v>3</v>
          </cell>
          <cell r="M805">
            <v>46031</v>
          </cell>
          <cell r="N805">
            <v>46034</v>
          </cell>
          <cell r="O805">
            <v>1</v>
          </cell>
          <cell r="P805">
            <v>46035</v>
          </cell>
          <cell r="Q805">
            <v>5</v>
          </cell>
          <cell r="R805" t="str">
            <v>NA</v>
          </cell>
          <cell r="S805">
            <v>5</v>
          </cell>
        </row>
        <row r="806">
          <cell r="B806" t="str">
            <v>MNC</v>
          </cell>
          <cell r="C806" t="str">
            <v>HSLB14181</v>
          </cell>
          <cell r="D806">
            <v>204006</v>
          </cell>
          <cell r="E806" t="str">
            <v>Silla Ergonómica</v>
          </cell>
          <cell r="F806" t="str">
            <v>NO</v>
          </cell>
          <cell r="G806" t="str">
            <v>NO</v>
          </cell>
          <cell r="H806" t="str">
            <v>SECRETARIA C/ARCHIVO, FOTOCOP.</v>
          </cell>
          <cell r="I806">
            <v>1</v>
          </cell>
          <cell r="J806" t="str">
            <v>B.3.3.1</v>
          </cell>
          <cell r="K806" t="str">
            <v>Administración y apoyo general</v>
          </cell>
          <cell r="L806">
            <v>3</v>
          </cell>
          <cell r="M806">
            <v>46031</v>
          </cell>
          <cell r="N806">
            <v>46034</v>
          </cell>
          <cell r="O806">
            <v>1</v>
          </cell>
          <cell r="P806">
            <v>46035</v>
          </cell>
          <cell r="Q806">
            <v>5</v>
          </cell>
          <cell r="R806" t="str">
            <v>NA</v>
          </cell>
          <cell r="S806">
            <v>5</v>
          </cell>
        </row>
        <row r="807">
          <cell r="B807" t="str">
            <v>MNC</v>
          </cell>
          <cell r="C807" t="str">
            <v>HSLB14640</v>
          </cell>
          <cell r="D807">
            <v>204012</v>
          </cell>
          <cell r="E807" t="str">
            <v>Silla Visita</v>
          </cell>
          <cell r="F807" t="str">
            <v>NO</v>
          </cell>
          <cell r="G807" t="str">
            <v>NO</v>
          </cell>
          <cell r="H807" t="str">
            <v>SECRETARIA C/ARCHIVO, FOTOCOP.</v>
          </cell>
          <cell r="I807">
            <v>2</v>
          </cell>
          <cell r="J807" t="str">
            <v>B.3.3.1</v>
          </cell>
          <cell r="K807" t="str">
            <v>Administración y apoyo general</v>
          </cell>
          <cell r="L807">
            <v>3</v>
          </cell>
          <cell r="M807">
            <v>46031</v>
          </cell>
          <cell r="N807">
            <v>46034</v>
          </cell>
          <cell r="O807">
            <v>1</v>
          </cell>
          <cell r="P807">
            <v>46035</v>
          </cell>
          <cell r="Q807">
            <v>5</v>
          </cell>
          <cell r="R807" t="str">
            <v>NA</v>
          </cell>
          <cell r="S807">
            <v>5</v>
          </cell>
        </row>
        <row r="808">
          <cell r="B808" t="str">
            <v>MNC</v>
          </cell>
          <cell r="C808" t="str">
            <v>HSLB14182</v>
          </cell>
          <cell r="D808">
            <v>204006</v>
          </cell>
          <cell r="E808" t="str">
            <v>Silla Ergonómica</v>
          </cell>
          <cell r="F808" t="str">
            <v>NO</v>
          </cell>
          <cell r="G808" t="str">
            <v>NO</v>
          </cell>
          <cell r="H808" t="str">
            <v>MÓD. TRABAJO (calidad)</v>
          </cell>
          <cell r="I808">
            <v>3</v>
          </cell>
          <cell r="J808" t="str">
            <v>B.3.3.2</v>
          </cell>
          <cell r="K808" t="str">
            <v>Administración y apoyo general</v>
          </cell>
          <cell r="L808">
            <v>3</v>
          </cell>
          <cell r="M808">
            <v>46031</v>
          </cell>
          <cell r="N808">
            <v>46034</v>
          </cell>
          <cell r="O808">
            <v>1</v>
          </cell>
          <cell r="P808">
            <v>46035</v>
          </cell>
          <cell r="Q808">
            <v>5</v>
          </cell>
          <cell r="R808" t="str">
            <v>NA</v>
          </cell>
          <cell r="S808">
            <v>5</v>
          </cell>
        </row>
        <row r="809">
          <cell r="B809" t="str">
            <v>MNC</v>
          </cell>
          <cell r="C809" t="str">
            <v>HSLB14641</v>
          </cell>
          <cell r="D809">
            <v>204012</v>
          </cell>
          <cell r="E809" t="str">
            <v>Silla Visita</v>
          </cell>
          <cell r="F809" t="str">
            <v>NO</v>
          </cell>
          <cell r="G809" t="str">
            <v>NO</v>
          </cell>
          <cell r="H809" t="str">
            <v>MÓD. TRABAJO (calidad)</v>
          </cell>
          <cell r="I809">
            <v>2</v>
          </cell>
          <cell r="J809" t="str">
            <v>B.3.3.2</v>
          </cell>
          <cell r="K809" t="str">
            <v>Administración y apoyo general</v>
          </cell>
          <cell r="L809">
            <v>3</v>
          </cell>
          <cell r="M809">
            <v>46031</v>
          </cell>
          <cell r="N809">
            <v>46034</v>
          </cell>
          <cell r="O809">
            <v>1</v>
          </cell>
          <cell r="P809">
            <v>46035</v>
          </cell>
          <cell r="Q809">
            <v>5</v>
          </cell>
          <cell r="R809" t="str">
            <v>NA</v>
          </cell>
          <cell r="S809">
            <v>5</v>
          </cell>
        </row>
        <row r="810">
          <cell r="B810" t="str">
            <v>MNC</v>
          </cell>
          <cell r="C810" t="str">
            <v>HSLB14183</v>
          </cell>
          <cell r="D810">
            <v>204006</v>
          </cell>
          <cell r="E810" t="str">
            <v>Silla Ergonómica</v>
          </cell>
          <cell r="F810" t="str">
            <v>NO</v>
          </cell>
          <cell r="G810" t="str">
            <v>NO</v>
          </cell>
          <cell r="H810" t="str">
            <v>MÓD. TRABAJO (IAAS)</v>
          </cell>
          <cell r="I810">
            <v>2</v>
          </cell>
          <cell r="J810" t="str">
            <v>B.3.3.3</v>
          </cell>
          <cell r="K810" t="str">
            <v>Administración y apoyo general</v>
          </cell>
          <cell r="L810">
            <v>3</v>
          </cell>
          <cell r="M810">
            <v>46031</v>
          </cell>
          <cell r="N810">
            <v>46034</v>
          </cell>
          <cell r="O810">
            <v>1</v>
          </cell>
          <cell r="P810">
            <v>46035</v>
          </cell>
          <cell r="Q810">
            <v>5</v>
          </cell>
          <cell r="R810" t="str">
            <v>NA</v>
          </cell>
          <cell r="S810">
            <v>5</v>
          </cell>
        </row>
        <row r="811">
          <cell r="B811" t="str">
            <v>MNC</v>
          </cell>
          <cell r="C811" t="str">
            <v>HSLB14642</v>
          </cell>
          <cell r="D811">
            <v>204012</v>
          </cell>
          <cell r="E811" t="str">
            <v>Silla Visita</v>
          </cell>
          <cell r="F811" t="str">
            <v>NO</v>
          </cell>
          <cell r="G811" t="str">
            <v>NO</v>
          </cell>
          <cell r="H811" t="str">
            <v>MÓD. TRABAJO (IAAS)</v>
          </cell>
          <cell r="I811">
            <v>2</v>
          </cell>
          <cell r="J811" t="str">
            <v>B.3.3.3</v>
          </cell>
          <cell r="K811" t="str">
            <v>Administración y apoyo general</v>
          </cell>
          <cell r="L811">
            <v>3</v>
          </cell>
          <cell r="M811">
            <v>46031</v>
          </cell>
          <cell r="N811">
            <v>46034</v>
          </cell>
          <cell r="O811">
            <v>1</v>
          </cell>
          <cell r="P811">
            <v>46035</v>
          </cell>
          <cell r="Q811">
            <v>5</v>
          </cell>
          <cell r="R811" t="str">
            <v>NA</v>
          </cell>
          <cell r="S811">
            <v>5</v>
          </cell>
        </row>
        <row r="812">
          <cell r="B812" t="str">
            <v>MNC</v>
          </cell>
          <cell r="C812" t="str">
            <v>HSLB14184</v>
          </cell>
          <cell r="D812">
            <v>204006</v>
          </cell>
          <cell r="E812" t="str">
            <v>Silla Ergonómica</v>
          </cell>
          <cell r="F812" t="str">
            <v>NO</v>
          </cell>
          <cell r="G812" t="str">
            <v>NO</v>
          </cell>
          <cell r="H812" t="str">
            <v>OFICINA COMUNICACIONES</v>
          </cell>
          <cell r="I812">
            <v>3</v>
          </cell>
          <cell r="J812" t="str">
            <v>B.3.4.1</v>
          </cell>
          <cell r="K812" t="str">
            <v>Administración y apoyo general</v>
          </cell>
          <cell r="L812">
            <v>3</v>
          </cell>
          <cell r="M812">
            <v>46031</v>
          </cell>
          <cell r="N812">
            <v>46034</v>
          </cell>
          <cell r="O812">
            <v>1</v>
          </cell>
          <cell r="P812">
            <v>46035</v>
          </cell>
          <cell r="Q812">
            <v>5</v>
          </cell>
          <cell r="R812" t="str">
            <v>NA</v>
          </cell>
          <cell r="S812">
            <v>5</v>
          </cell>
        </row>
        <row r="813">
          <cell r="B813" t="str">
            <v>MNC</v>
          </cell>
          <cell r="C813" t="str">
            <v>HSLB14643</v>
          </cell>
          <cell r="D813">
            <v>204012</v>
          </cell>
          <cell r="E813" t="str">
            <v>Silla Visita</v>
          </cell>
          <cell r="F813" t="str">
            <v>NO</v>
          </cell>
          <cell r="G813" t="str">
            <v>NO</v>
          </cell>
          <cell r="H813" t="str">
            <v>OFICINA COMUNICACIONES</v>
          </cell>
          <cell r="I813">
            <v>2</v>
          </cell>
          <cell r="J813" t="str">
            <v>B.3.4.1</v>
          </cell>
          <cell r="K813" t="str">
            <v>Administración y apoyo general</v>
          </cell>
          <cell r="L813">
            <v>3</v>
          </cell>
          <cell r="M813">
            <v>46031</v>
          </cell>
          <cell r="N813">
            <v>46034</v>
          </cell>
          <cell r="O813">
            <v>1</v>
          </cell>
          <cell r="P813">
            <v>46035</v>
          </cell>
          <cell r="Q813">
            <v>5</v>
          </cell>
          <cell r="R813" t="str">
            <v>NA</v>
          </cell>
          <cell r="S813">
            <v>5</v>
          </cell>
        </row>
        <row r="814">
          <cell r="B814" t="str">
            <v>MNC</v>
          </cell>
          <cell r="C814" t="str">
            <v>HSLB14185</v>
          </cell>
          <cell r="D814">
            <v>204006</v>
          </cell>
          <cell r="E814" t="str">
            <v>Silla Ergonómica</v>
          </cell>
          <cell r="F814" t="str">
            <v>NO</v>
          </cell>
          <cell r="G814" t="str">
            <v>NO</v>
          </cell>
          <cell r="H814" t="str">
            <v>OFICINA ASESOR JURÍDICO</v>
          </cell>
          <cell r="I814">
            <v>1</v>
          </cell>
          <cell r="J814" t="str">
            <v>B.3.5.1</v>
          </cell>
          <cell r="K814" t="str">
            <v>Administración y apoyo general</v>
          </cell>
          <cell r="L814">
            <v>3</v>
          </cell>
          <cell r="M814">
            <v>46031</v>
          </cell>
          <cell r="N814">
            <v>46034</v>
          </cell>
          <cell r="O814">
            <v>1</v>
          </cell>
          <cell r="P814">
            <v>46035</v>
          </cell>
          <cell r="Q814">
            <v>5</v>
          </cell>
          <cell r="R814" t="str">
            <v>NA</v>
          </cell>
          <cell r="S814">
            <v>5</v>
          </cell>
        </row>
        <row r="815">
          <cell r="B815" t="str">
            <v>MNC</v>
          </cell>
          <cell r="C815" t="str">
            <v>HSLB14644</v>
          </cell>
          <cell r="D815">
            <v>204012</v>
          </cell>
          <cell r="E815" t="str">
            <v>Silla Visita</v>
          </cell>
          <cell r="F815" t="str">
            <v>NO</v>
          </cell>
          <cell r="G815" t="str">
            <v>NO</v>
          </cell>
          <cell r="H815" t="str">
            <v>OFICINA ASESOR JURÍDICO</v>
          </cell>
          <cell r="I815">
            <v>2</v>
          </cell>
          <cell r="J815" t="str">
            <v>B.3.5.1</v>
          </cell>
          <cell r="K815" t="str">
            <v>Administración y apoyo general</v>
          </cell>
          <cell r="L815">
            <v>3</v>
          </cell>
          <cell r="M815">
            <v>46031</v>
          </cell>
          <cell r="N815">
            <v>46034</v>
          </cell>
          <cell r="O815">
            <v>1</v>
          </cell>
          <cell r="P815">
            <v>46035</v>
          </cell>
          <cell r="Q815">
            <v>5</v>
          </cell>
          <cell r="R815" t="str">
            <v>NA</v>
          </cell>
          <cell r="S815">
            <v>5</v>
          </cell>
        </row>
        <row r="816">
          <cell r="B816" t="str">
            <v>MNC</v>
          </cell>
          <cell r="C816" t="str">
            <v>HSLB14186</v>
          </cell>
          <cell r="D816">
            <v>204006</v>
          </cell>
          <cell r="E816" t="str">
            <v>Silla Ergonómica</v>
          </cell>
          <cell r="F816" t="str">
            <v>NO</v>
          </cell>
          <cell r="G816" t="str">
            <v>NO</v>
          </cell>
          <cell r="H816" t="str">
            <v>OFICINA JEFE AUDITORIA</v>
          </cell>
          <cell r="I816">
            <v>1</v>
          </cell>
          <cell r="J816" t="str">
            <v>B.3.6.1</v>
          </cell>
          <cell r="K816" t="str">
            <v>Administración y apoyo general</v>
          </cell>
          <cell r="L816">
            <v>3</v>
          </cell>
          <cell r="M816">
            <v>46031</v>
          </cell>
          <cell r="N816">
            <v>46034</v>
          </cell>
          <cell r="O816">
            <v>1</v>
          </cell>
          <cell r="P816">
            <v>46035</v>
          </cell>
          <cell r="Q816">
            <v>5</v>
          </cell>
          <cell r="R816" t="str">
            <v>NA</v>
          </cell>
          <cell r="S816">
            <v>5</v>
          </cell>
        </row>
        <row r="817">
          <cell r="B817" t="str">
            <v>MNC</v>
          </cell>
          <cell r="C817" t="str">
            <v>HSLB14645</v>
          </cell>
          <cell r="D817">
            <v>204012</v>
          </cell>
          <cell r="E817" t="str">
            <v>Silla Visita</v>
          </cell>
          <cell r="F817" t="str">
            <v>NO</v>
          </cell>
          <cell r="G817" t="str">
            <v>NO</v>
          </cell>
          <cell r="H817" t="str">
            <v>OFICINA JEFE AUDITORIA</v>
          </cell>
          <cell r="I817">
            <v>4</v>
          </cell>
          <cell r="J817" t="str">
            <v>B.3.6.1</v>
          </cell>
          <cell r="K817" t="str">
            <v>Administración y apoyo general</v>
          </cell>
          <cell r="L817">
            <v>3</v>
          </cell>
          <cell r="M817">
            <v>46031</v>
          </cell>
          <cell r="N817">
            <v>46034</v>
          </cell>
          <cell r="O817">
            <v>1</v>
          </cell>
          <cell r="P817">
            <v>46035</v>
          </cell>
          <cell r="Q817">
            <v>5</v>
          </cell>
          <cell r="R817" t="str">
            <v>NA</v>
          </cell>
          <cell r="S817">
            <v>5</v>
          </cell>
        </row>
        <row r="818">
          <cell r="B818" t="str">
            <v>MNC</v>
          </cell>
          <cell r="C818" t="str">
            <v>HSLB14187</v>
          </cell>
          <cell r="D818">
            <v>204006</v>
          </cell>
          <cell r="E818" t="str">
            <v>Silla Ergonómica</v>
          </cell>
          <cell r="F818" t="str">
            <v>NO</v>
          </cell>
          <cell r="G818" t="str">
            <v>NO</v>
          </cell>
          <cell r="H818" t="str">
            <v>MESÓN C/ARCHIVO Y FOTOCOPIADORA</v>
          </cell>
          <cell r="I818">
            <v>1</v>
          </cell>
          <cell r="J818" t="str">
            <v>B.3.7.1</v>
          </cell>
          <cell r="K818" t="str">
            <v>Administración y apoyo general</v>
          </cell>
          <cell r="L818">
            <v>3</v>
          </cell>
          <cell r="M818">
            <v>46031</v>
          </cell>
          <cell r="N818">
            <v>46034</v>
          </cell>
          <cell r="O818">
            <v>1</v>
          </cell>
          <cell r="P818">
            <v>46035</v>
          </cell>
          <cell r="Q818">
            <v>5</v>
          </cell>
          <cell r="R818" t="str">
            <v>NA</v>
          </cell>
          <cell r="S818">
            <v>5</v>
          </cell>
        </row>
        <row r="819">
          <cell r="B819" t="str">
            <v>MNC</v>
          </cell>
          <cell r="C819" t="str">
            <v>HSLB14188</v>
          </cell>
          <cell r="D819">
            <v>204006</v>
          </cell>
          <cell r="E819" t="str">
            <v>Silla Ergonómica</v>
          </cell>
          <cell r="F819" t="str">
            <v>NO</v>
          </cell>
          <cell r="G819" t="str">
            <v>NO</v>
          </cell>
          <cell r="H819" t="str">
            <v>MÓD. DE TRABAJO</v>
          </cell>
          <cell r="I819">
            <v>1</v>
          </cell>
          <cell r="J819" t="str">
            <v>B.3.7.2</v>
          </cell>
          <cell r="K819" t="str">
            <v>Administración y apoyo general</v>
          </cell>
          <cell r="L819">
            <v>3</v>
          </cell>
          <cell r="M819">
            <v>46031</v>
          </cell>
          <cell r="N819">
            <v>46034</v>
          </cell>
          <cell r="O819">
            <v>1</v>
          </cell>
          <cell r="P819">
            <v>46035</v>
          </cell>
          <cell r="Q819">
            <v>5</v>
          </cell>
          <cell r="R819" t="str">
            <v>NA</v>
          </cell>
          <cell r="S819">
            <v>5</v>
          </cell>
        </row>
        <row r="820">
          <cell r="B820" t="str">
            <v>MNC</v>
          </cell>
          <cell r="C820" t="str">
            <v>HSLB14646</v>
          </cell>
          <cell r="D820">
            <v>204012</v>
          </cell>
          <cell r="E820" t="str">
            <v>Silla Visita</v>
          </cell>
          <cell r="F820" t="str">
            <v>NO</v>
          </cell>
          <cell r="G820" t="str">
            <v>NO</v>
          </cell>
          <cell r="H820" t="str">
            <v>MÓD. DE TRABAJO</v>
          </cell>
          <cell r="I820">
            <v>2</v>
          </cell>
          <cell r="J820" t="str">
            <v>B.3.7.2</v>
          </cell>
          <cell r="K820" t="str">
            <v>Administración y apoyo general</v>
          </cell>
          <cell r="L820">
            <v>3</v>
          </cell>
          <cell r="M820">
            <v>46031</v>
          </cell>
          <cell r="N820">
            <v>46034</v>
          </cell>
          <cell r="O820">
            <v>1</v>
          </cell>
          <cell r="P820">
            <v>46035</v>
          </cell>
          <cell r="Q820">
            <v>5</v>
          </cell>
          <cell r="R820" t="str">
            <v>NA</v>
          </cell>
          <cell r="S820">
            <v>5</v>
          </cell>
        </row>
        <row r="821">
          <cell r="B821" t="str">
            <v>MNC</v>
          </cell>
          <cell r="C821" t="str">
            <v>HSLB14189</v>
          </cell>
          <cell r="D821">
            <v>204006</v>
          </cell>
          <cell r="E821" t="str">
            <v>Silla Ergonómica</v>
          </cell>
          <cell r="F821" t="str">
            <v>NO</v>
          </cell>
          <cell r="G821" t="str">
            <v>NO</v>
          </cell>
          <cell r="H821" t="str">
            <v>COORDINADOR GESTIÓN DEL CUIDADO AT. ABIERTA</v>
          </cell>
          <cell r="I821">
            <v>2</v>
          </cell>
          <cell r="J821" t="str">
            <v>B.4.1</v>
          </cell>
          <cell r="K821" t="str">
            <v>Administración y apoyo general</v>
          </cell>
          <cell r="L821">
            <v>3</v>
          </cell>
          <cell r="M821">
            <v>46031</v>
          </cell>
          <cell r="N821">
            <v>46034</v>
          </cell>
          <cell r="O821">
            <v>1</v>
          </cell>
          <cell r="P821">
            <v>46035</v>
          </cell>
          <cell r="Q821">
            <v>5</v>
          </cell>
          <cell r="R821" t="str">
            <v>NA</v>
          </cell>
          <cell r="S821">
            <v>5</v>
          </cell>
        </row>
        <row r="822">
          <cell r="B822" t="str">
            <v>MNC</v>
          </cell>
          <cell r="C822" t="str">
            <v>HSLB14647</v>
          </cell>
          <cell r="D822">
            <v>204012</v>
          </cell>
          <cell r="E822" t="str">
            <v>Silla Visita</v>
          </cell>
          <cell r="F822" t="str">
            <v>NO</v>
          </cell>
          <cell r="G822" t="str">
            <v>NO</v>
          </cell>
          <cell r="H822" t="str">
            <v>COORDINADOR GESTIÓN DEL CUIDADO AT. ABIERTA</v>
          </cell>
          <cell r="I822">
            <v>4</v>
          </cell>
          <cell r="J822" t="str">
            <v>B.4.1</v>
          </cell>
          <cell r="K822" t="str">
            <v>Administración y apoyo general</v>
          </cell>
          <cell r="L822">
            <v>3</v>
          </cell>
          <cell r="M822">
            <v>46031</v>
          </cell>
          <cell r="N822">
            <v>46034</v>
          </cell>
          <cell r="O822">
            <v>1</v>
          </cell>
          <cell r="P822">
            <v>46035</v>
          </cell>
          <cell r="Q822">
            <v>5</v>
          </cell>
          <cell r="R822" t="str">
            <v>NA</v>
          </cell>
          <cell r="S822">
            <v>5</v>
          </cell>
        </row>
        <row r="823">
          <cell r="B823" t="str">
            <v>MNC</v>
          </cell>
          <cell r="C823" t="str">
            <v>HSLB14190</v>
          </cell>
          <cell r="D823">
            <v>204006</v>
          </cell>
          <cell r="E823" t="str">
            <v>Silla Ergonómica</v>
          </cell>
          <cell r="F823" t="str">
            <v>NO</v>
          </cell>
          <cell r="G823" t="str">
            <v>NO</v>
          </cell>
          <cell r="H823" t="str">
            <v>COORDINADOR GESTIÓN DEL CUIDADO AT. CERRADA</v>
          </cell>
          <cell r="I823">
            <v>1</v>
          </cell>
          <cell r="J823" t="str">
            <v>B.4.2</v>
          </cell>
          <cell r="K823" t="str">
            <v>Administración y apoyo general</v>
          </cell>
          <cell r="L823">
            <v>3</v>
          </cell>
          <cell r="M823">
            <v>46031</v>
          </cell>
          <cell r="N823">
            <v>46034</v>
          </cell>
          <cell r="O823">
            <v>1</v>
          </cell>
          <cell r="P823">
            <v>46035</v>
          </cell>
          <cell r="Q823">
            <v>5</v>
          </cell>
          <cell r="R823" t="str">
            <v>NA</v>
          </cell>
          <cell r="S823">
            <v>5</v>
          </cell>
        </row>
        <row r="824">
          <cell r="B824" t="str">
            <v>MNC</v>
          </cell>
          <cell r="C824" t="str">
            <v>HSLB14648</v>
          </cell>
          <cell r="D824">
            <v>204012</v>
          </cell>
          <cell r="E824" t="str">
            <v>Silla Visita</v>
          </cell>
          <cell r="F824" t="str">
            <v>NO</v>
          </cell>
          <cell r="G824" t="str">
            <v>NO</v>
          </cell>
          <cell r="H824" t="str">
            <v>COORDINADOR GESTIÓN DEL CUIDADO AT. CERRADA</v>
          </cell>
          <cell r="I824">
            <v>2</v>
          </cell>
          <cell r="J824" t="str">
            <v>B.4.2</v>
          </cell>
          <cell r="K824" t="str">
            <v>Administración y apoyo general</v>
          </cell>
          <cell r="L824">
            <v>3</v>
          </cell>
          <cell r="M824">
            <v>46031</v>
          </cell>
          <cell r="N824">
            <v>46034</v>
          </cell>
          <cell r="O824">
            <v>1</v>
          </cell>
          <cell r="P824">
            <v>46035</v>
          </cell>
          <cell r="Q824">
            <v>5</v>
          </cell>
          <cell r="R824" t="str">
            <v>NA</v>
          </cell>
          <cell r="S824">
            <v>5</v>
          </cell>
        </row>
        <row r="825">
          <cell r="B825" t="str">
            <v>MNC</v>
          </cell>
          <cell r="C825" t="str">
            <v>HSLB14649</v>
          </cell>
          <cell r="D825">
            <v>204012</v>
          </cell>
          <cell r="E825" t="str">
            <v>Silla Visita</v>
          </cell>
          <cell r="F825" t="str">
            <v>NO</v>
          </cell>
          <cell r="G825" t="str">
            <v>NO</v>
          </cell>
          <cell r="H825" t="str">
            <v>SALA DE REUNIONES (25pp)</v>
          </cell>
          <cell r="I825">
            <v>10</v>
          </cell>
          <cell r="J825" t="str">
            <v>B.5.1</v>
          </cell>
          <cell r="K825" t="str">
            <v>Administración y apoyo general</v>
          </cell>
          <cell r="L825">
            <v>3</v>
          </cell>
          <cell r="M825">
            <v>46031</v>
          </cell>
          <cell r="N825">
            <v>46034</v>
          </cell>
          <cell r="O825">
            <v>1</v>
          </cell>
          <cell r="P825">
            <v>46035</v>
          </cell>
          <cell r="Q825">
            <v>5</v>
          </cell>
          <cell r="R825" t="str">
            <v>NA</v>
          </cell>
          <cell r="S825">
            <v>5</v>
          </cell>
        </row>
        <row r="826">
          <cell r="B826" t="str">
            <v>MNC</v>
          </cell>
          <cell r="C826" t="str">
            <v>HSLB14191</v>
          </cell>
          <cell r="D826">
            <v>204006</v>
          </cell>
          <cell r="E826" t="str">
            <v>Silla Ergonómica</v>
          </cell>
          <cell r="F826" t="str">
            <v>NO</v>
          </cell>
          <cell r="G826" t="str">
            <v>NO</v>
          </cell>
          <cell r="H826" t="str">
            <v>COORDINADOR GESTIÓN DE PACIENTES</v>
          </cell>
          <cell r="I826">
            <v>1</v>
          </cell>
          <cell r="J826" t="str">
            <v>C.1.1.1</v>
          </cell>
          <cell r="K826" t="str">
            <v>Administración y apoyo general</v>
          </cell>
          <cell r="L826">
            <v>3</v>
          </cell>
          <cell r="M826">
            <v>46031</v>
          </cell>
          <cell r="N826">
            <v>46034</v>
          </cell>
          <cell r="O826">
            <v>1</v>
          </cell>
          <cell r="P826">
            <v>46035</v>
          </cell>
          <cell r="Q826">
            <v>5</v>
          </cell>
          <cell r="R826" t="str">
            <v>NA</v>
          </cell>
          <cell r="S826">
            <v>5</v>
          </cell>
        </row>
        <row r="827">
          <cell r="B827" t="str">
            <v>MNC</v>
          </cell>
          <cell r="C827" t="str">
            <v>HSLB14650</v>
          </cell>
          <cell r="D827">
            <v>204012</v>
          </cell>
          <cell r="E827" t="str">
            <v>Silla Visita</v>
          </cell>
          <cell r="F827" t="str">
            <v>NO</v>
          </cell>
          <cell r="G827" t="str">
            <v>NO</v>
          </cell>
          <cell r="H827" t="str">
            <v>COORDINADOR GESTIÓN DE PACIENTES</v>
          </cell>
          <cell r="I827">
            <v>2</v>
          </cell>
          <cell r="J827" t="str">
            <v>C.1.1.1</v>
          </cell>
          <cell r="K827" t="str">
            <v>Administración y apoyo general</v>
          </cell>
          <cell r="L827">
            <v>3</v>
          </cell>
          <cell r="M827">
            <v>46031</v>
          </cell>
          <cell r="N827">
            <v>46034</v>
          </cell>
          <cell r="O827">
            <v>1</v>
          </cell>
          <cell r="P827">
            <v>46035</v>
          </cell>
          <cell r="Q827">
            <v>5</v>
          </cell>
          <cell r="R827" t="str">
            <v>NA</v>
          </cell>
          <cell r="S827">
            <v>5</v>
          </cell>
        </row>
        <row r="828">
          <cell r="B828" t="str">
            <v>MNC</v>
          </cell>
          <cell r="C828" t="str">
            <v>HSLB15216</v>
          </cell>
          <cell r="D828">
            <v>204020</v>
          </cell>
          <cell r="E828" t="str">
            <v>Silla Butaca Espera 3 Cuerpos</v>
          </cell>
          <cell r="F828" t="str">
            <v>NO</v>
          </cell>
          <cell r="G828" t="str">
            <v>NO</v>
          </cell>
          <cell r="H828" t="str">
            <v>SALA DE ESPERA</v>
          </cell>
          <cell r="I828">
            <v>2</v>
          </cell>
          <cell r="J828" t="str">
            <v>C.2.1.1</v>
          </cell>
          <cell r="K828" t="str">
            <v>Administración y apoyo general</v>
          </cell>
          <cell r="L828">
            <v>3</v>
          </cell>
          <cell r="M828">
            <v>46031</v>
          </cell>
          <cell r="N828">
            <v>46034</v>
          </cell>
          <cell r="O828">
            <v>1</v>
          </cell>
          <cell r="P828">
            <v>46035</v>
          </cell>
          <cell r="Q828">
            <v>5</v>
          </cell>
          <cell r="R828" t="str">
            <v>NA</v>
          </cell>
          <cell r="S828">
            <v>5</v>
          </cell>
        </row>
        <row r="829">
          <cell r="B829" t="str">
            <v>MNC</v>
          </cell>
          <cell r="C829" t="str">
            <v>HSLB14194</v>
          </cell>
          <cell r="D829">
            <v>204006</v>
          </cell>
          <cell r="E829" t="str">
            <v>Silla Ergonómica</v>
          </cell>
          <cell r="F829" t="str">
            <v>NO</v>
          </cell>
          <cell r="G829" t="str">
            <v>NO</v>
          </cell>
          <cell r="H829" t="str">
            <v>OFICINA SECRETARÍA</v>
          </cell>
          <cell r="I829">
            <v>1</v>
          </cell>
          <cell r="J829" t="str">
            <v>C.2.1.2</v>
          </cell>
          <cell r="K829" t="str">
            <v>Administración y apoyo general</v>
          </cell>
          <cell r="L829">
            <v>3</v>
          </cell>
          <cell r="M829">
            <v>46031</v>
          </cell>
          <cell r="N829">
            <v>46034</v>
          </cell>
          <cell r="O829">
            <v>1</v>
          </cell>
          <cell r="P829">
            <v>46035</v>
          </cell>
          <cell r="Q829">
            <v>5</v>
          </cell>
          <cell r="R829" t="str">
            <v>NA</v>
          </cell>
          <cell r="S829">
            <v>5</v>
          </cell>
        </row>
        <row r="830">
          <cell r="B830" t="str">
            <v>MNC</v>
          </cell>
          <cell r="C830" t="str">
            <v>HSLB14653</v>
          </cell>
          <cell r="D830">
            <v>204012</v>
          </cell>
          <cell r="E830" t="str">
            <v>Silla Visita</v>
          </cell>
          <cell r="F830" t="str">
            <v>NO</v>
          </cell>
          <cell r="G830" t="str">
            <v>NO</v>
          </cell>
          <cell r="H830" t="str">
            <v>OFICINA SECRETARÍA</v>
          </cell>
          <cell r="I830">
            <v>2</v>
          </cell>
          <cell r="J830" t="str">
            <v>C.2.1.2</v>
          </cell>
          <cell r="K830" t="str">
            <v>Administración y apoyo general</v>
          </cell>
          <cell r="L830">
            <v>3</v>
          </cell>
          <cell r="M830">
            <v>46031</v>
          </cell>
          <cell r="N830">
            <v>46034</v>
          </cell>
          <cell r="O830">
            <v>1</v>
          </cell>
          <cell r="P830">
            <v>46035</v>
          </cell>
          <cell r="Q830">
            <v>5</v>
          </cell>
          <cell r="R830" t="str">
            <v>NA</v>
          </cell>
          <cell r="S830">
            <v>5</v>
          </cell>
        </row>
        <row r="831">
          <cell r="B831" t="str">
            <v>MNC</v>
          </cell>
          <cell r="C831" t="str">
            <v>HSLB14195</v>
          </cell>
          <cell r="D831">
            <v>204006</v>
          </cell>
          <cell r="E831" t="str">
            <v>Silla Ergonómica</v>
          </cell>
          <cell r="F831" t="str">
            <v>NO</v>
          </cell>
          <cell r="G831" t="str">
            <v>NO</v>
          </cell>
          <cell r="H831" t="str">
            <v>OFICINA JEFE CR ATENCIÓN ABIERTA</v>
          </cell>
          <cell r="I831">
            <v>1</v>
          </cell>
          <cell r="J831" t="str">
            <v>C.2.1.3</v>
          </cell>
          <cell r="K831" t="str">
            <v>Administración y apoyo general</v>
          </cell>
          <cell r="L831">
            <v>3</v>
          </cell>
          <cell r="M831">
            <v>46031</v>
          </cell>
          <cell r="N831">
            <v>46034</v>
          </cell>
          <cell r="O831">
            <v>1</v>
          </cell>
          <cell r="P831">
            <v>46035</v>
          </cell>
          <cell r="Q831">
            <v>5</v>
          </cell>
          <cell r="R831" t="str">
            <v>NA</v>
          </cell>
          <cell r="S831">
            <v>5</v>
          </cell>
        </row>
        <row r="832">
          <cell r="B832" t="str">
            <v>MNC</v>
          </cell>
          <cell r="C832" t="str">
            <v>HSLB14654</v>
          </cell>
          <cell r="D832">
            <v>204012</v>
          </cell>
          <cell r="E832" t="str">
            <v>Silla Visita</v>
          </cell>
          <cell r="F832" t="str">
            <v>NO</v>
          </cell>
          <cell r="G832" t="str">
            <v>NO</v>
          </cell>
          <cell r="H832" t="str">
            <v>OFICINA JEFE CR ATENCIÓN ABIERTA</v>
          </cell>
          <cell r="I832">
            <v>4</v>
          </cell>
          <cell r="J832" t="str">
            <v>C.2.1.3</v>
          </cell>
          <cell r="K832" t="str">
            <v>Administración y apoyo general</v>
          </cell>
          <cell r="L832">
            <v>3</v>
          </cell>
          <cell r="M832">
            <v>46031</v>
          </cell>
          <cell r="N832">
            <v>46034</v>
          </cell>
          <cell r="O832">
            <v>1</v>
          </cell>
          <cell r="P832">
            <v>46035</v>
          </cell>
          <cell r="Q832">
            <v>5</v>
          </cell>
          <cell r="R832" t="str">
            <v>NA</v>
          </cell>
          <cell r="S832">
            <v>5</v>
          </cell>
        </row>
        <row r="833">
          <cell r="B833" t="str">
            <v>MNC</v>
          </cell>
          <cell r="C833" t="str">
            <v>HSLB15218</v>
          </cell>
          <cell r="D833">
            <v>204020</v>
          </cell>
          <cell r="E833" t="str">
            <v>Silla Butaca Espera 3 Cuerpos</v>
          </cell>
          <cell r="F833" t="str">
            <v>NO</v>
          </cell>
          <cell r="G833" t="str">
            <v>NO</v>
          </cell>
          <cell r="H833" t="str">
            <v>SALA DE ESPERA</v>
          </cell>
          <cell r="I833">
            <v>2</v>
          </cell>
          <cell r="J833" t="str">
            <v>C.2.2.1.7</v>
          </cell>
          <cell r="K833" t="str">
            <v>Administración y apoyo general</v>
          </cell>
          <cell r="L833">
            <v>3</v>
          </cell>
          <cell r="M833">
            <v>46031</v>
          </cell>
          <cell r="N833">
            <v>46034</v>
          </cell>
          <cell r="O833">
            <v>1</v>
          </cell>
          <cell r="P833">
            <v>46035</v>
          </cell>
          <cell r="Q833">
            <v>5</v>
          </cell>
          <cell r="R833" t="str">
            <v>NA</v>
          </cell>
          <cell r="S833">
            <v>5</v>
          </cell>
        </row>
        <row r="834">
          <cell r="B834" t="str">
            <v>MNC</v>
          </cell>
          <cell r="C834" t="str">
            <v>HSLB14199</v>
          </cell>
          <cell r="D834">
            <v>204006</v>
          </cell>
          <cell r="E834" t="str">
            <v>Silla Ergonómica</v>
          </cell>
          <cell r="F834" t="str">
            <v>NO</v>
          </cell>
          <cell r="G834" t="str">
            <v>NO</v>
          </cell>
          <cell r="H834" t="str">
            <v>SECRETARIA C/ARCH. Y FOTO</v>
          </cell>
          <cell r="I834">
            <v>1</v>
          </cell>
          <cell r="J834" t="str">
            <v>C.2.2.1.8</v>
          </cell>
          <cell r="K834" t="str">
            <v>Administración y apoyo general</v>
          </cell>
          <cell r="L834">
            <v>3</v>
          </cell>
          <cell r="M834">
            <v>46031</v>
          </cell>
          <cell r="N834">
            <v>46034</v>
          </cell>
          <cell r="O834">
            <v>1</v>
          </cell>
          <cell r="P834">
            <v>46035</v>
          </cell>
          <cell r="Q834">
            <v>5</v>
          </cell>
          <cell r="R834" t="str">
            <v>NA</v>
          </cell>
          <cell r="S834">
            <v>5</v>
          </cell>
        </row>
        <row r="835">
          <cell r="B835" t="str">
            <v>MNC</v>
          </cell>
          <cell r="C835" t="str">
            <v>HSLB14655</v>
          </cell>
          <cell r="D835">
            <v>204012</v>
          </cell>
          <cell r="E835" t="str">
            <v>Silla Visita</v>
          </cell>
          <cell r="F835" t="str">
            <v>NO</v>
          </cell>
          <cell r="G835" t="str">
            <v>NO</v>
          </cell>
          <cell r="H835" t="str">
            <v>SECRETARIA C/ARCH. Y FOTO</v>
          </cell>
          <cell r="I835">
            <v>2</v>
          </cell>
          <cell r="J835" t="str">
            <v>C.2.2.1.8</v>
          </cell>
          <cell r="K835" t="str">
            <v>Administración y apoyo general</v>
          </cell>
          <cell r="L835">
            <v>3</v>
          </cell>
          <cell r="M835">
            <v>46031</v>
          </cell>
          <cell r="N835">
            <v>46034</v>
          </cell>
          <cell r="O835">
            <v>1</v>
          </cell>
          <cell r="P835">
            <v>46035</v>
          </cell>
          <cell r="Q835">
            <v>5</v>
          </cell>
          <cell r="R835" t="str">
            <v>NA</v>
          </cell>
          <cell r="S835">
            <v>5</v>
          </cell>
        </row>
        <row r="836">
          <cell r="B836" t="str">
            <v>MNC</v>
          </cell>
          <cell r="C836" t="str">
            <v>HSLB14200</v>
          </cell>
          <cell r="D836">
            <v>204006</v>
          </cell>
          <cell r="E836" t="str">
            <v>Silla Ergonómica</v>
          </cell>
          <cell r="F836" t="str">
            <v>NO</v>
          </cell>
          <cell r="G836" t="str">
            <v>NO</v>
          </cell>
          <cell r="H836" t="str">
            <v>OFICINA JEFE CAE</v>
          </cell>
          <cell r="I836">
            <v>1</v>
          </cell>
          <cell r="J836" t="str">
            <v>C.2.2.1.9</v>
          </cell>
          <cell r="K836" t="str">
            <v>Administración y apoyo general</v>
          </cell>
          <cell r="L836">
            <v>3</v>
          </cell>
          <cell r="M836">
            <v>46031</v>
          </cell>
          <cell r="N836">
            <v>46034</v>
          </cell>
          <cell r="O836">
            <v>1</v>
          </cell>
          <cell r="P836">
            <v>46035</v>
          </cell>
          <cell r="Q836">
            <v>5</v>
          </cell>
          <cell r="R836" t="str">
            <v>NA</v>
          </cell>
          <cell r="S836">
            <v>5</v>
          </cell>
        </row>
        <row r="837">
          <cell r="B837" t="str">
            <v>MNC</v>
          </cell>
          <cell r="C837" t="str">
            <v>HSLB14656</v>
          </cell>
          <cell r="D837">
            <v>204012</v>
          </cell>
          <cell r="E837" t="str">
            <v>Silla Visita</v>
          </cell>
          <cell r="F837" t="str">
            <v>NO</v>
          </cell>
          <cell r="G837" t="str">
            <v>NO</v>
          </cell>
          <cell r="H837" t="str">
            <v>OFICINA JEFE CAE</v>
          </cell>
          <cell r="I837">
            <v>4</v>
          </cell>
          <cell r="J837" t="str">
            <v>C.2.2.1.9</v>
          </cell>
          <cell r="K837" t="str">
            <v>Administración y apoyo general</v>
          </cell>
          <cell r="L837">
            <v>3</v>
          </cell>
          <cell r="M837">
            <v>46031</v>
          </cell>
          <cell r="N837">
            <v>46034</v>
          </cell>
          <cell r="O837">
            <v>1</v>
          </cell>
          <cell r="P837">
            <v>46035</v>
          </cell>
          <cell r="Q837">
            <v>5</v>
          </cell>
          <cell r="R837" t="str">
            <v>NA</v>
          </cell>
          <cell r="S837">
            <v>5</v>
          </cell>
        </row>
        <row r="838">
          <cell r="B838" t="str">
            <v>MNC</v>
          </cell>
          <cell r="C838" t="str">
            <v>HSLB14599</v>
          </cell>
          <cell r="D838">
            <v>204010</v>
          </cell>
          <cell r="E838" t="str">
            <v>Silla tipo Casino</v>
          </cell>
          <cell r="F838" t="str">
            <v>NO</v>
          </cell>
          <cell r="G838" t="str">
            <v>NO</v>
          </cell>
          <cell r="H838" t="str">
            <v>ESTAR PERSONAL C/ KITCHENETTE</v>
          </cell>
          <cell r="I838">
            <v>4</v>
          </cell>
          <cell r="J838" t="str">
            <v>C.3.6.22.1</v>
          </cell>
          <cell r="K838" t="str">
            <v>Parto Integral</v>
          </cell>
          <cell r="L838">
            <v>3</v>
          </cell>
          <cell r="M838">
            <v>46043</v>
          </cell>
          <cell r="N838">
            <v>46044</v>
          </cell>
          <cell r="O838">
            <v>3</v>
          </cell>
          <cell r="P838">
            <v>46049</v>
          </cell>
          <cell r="Q838">
            <v>5</v>
          </cell>
          <cell r="R838" t="str">
            <v>NA</v>
          </cell>
          <cell r="S838">
            <v>5</v>
          </cell>
        </row>
        <row r="839">
          <cell r="B839" t="str">
            <v>MNC</v>
          </cell>
          <cell r="C839" t="str">
            <v>HSLB15010</v>
          </cell>
          <cell r="D839">
            <v>204014</v>
          </cell>
          <cell r="E839" t="str">
            <v>Sillón 2 Cuerpo</v>
          </cell>
          <cell r="F839" t="str">
            <v>NO</v>
          </cell>
          <cell r="G839" t="str">
            <v>NO</v>
          </cell>
          <cell r="H839" t="str">
            <v>ESTAR PERSONAL C/ KITCHENETTE</v>
          </cell>
          <cell r="I839">
            <v>1</v>
          </cell>
          <cell r="J839" t="str">
            <v>C.3.6.22.1</v>
          </cell>
          <cell r="K839" t="str">
            <v>Parto Integral</v>
          </cell>
          <cell r="L839">
            <v>3</v>
          </cell>
          <cell r="M839">
            <v>46043</v>
          </cell>
          <cell r="N839">
            <v>46044</v>
          </cell>
          <cell r="O839">
            <v>3</v>
          </cell>
          <cell r="P839">
            <v>46049</v>
          </cell>
          <cell r="Q839">
            <v>5</v>
          </cell>
          <cell r="R839" t="str">
            <v>NA</v>
          </cell>
          <cell r="S839">
            <v>5</v>
          </cell>
        </row>
        <row r="840">
          <cell r="B840" t="str">
            <v>MNC</v>
          </cell>
          <cell r="C840" t="str">
            <v>HSLB15312</v>
          </cell>
          <cell r="D840">
            <v>204020</v>
          </cell>
          <cell r="E840" t="str">
            <v>Silla Butaca Espera 3 Cuerpos</v>
          </cell>
          <cell r="F840" t="str">
            <v>NO</v>
          </cell>
          <cell r="G840" t="str">
            <v>NO</v>
          </cell>
          <cell r="H840" t="str">
            <v>SALA DE ESPERA</v>
          </cell>
          <cell r="I840">
            <v>3</v>
          </cell>
          <cell r="J840" t="str">
            <v>C.3.6.3.1</v>
          </cell>
          <cell r="K840" t="str">
            <v>Parto Integral</v>
          </cell>
          <cell r="L840">
            <v>3</v>
          </cell>
          <cell r="M840">
            <v>46043</v>
          </cell>
          <cell r="N840">
            <v>46044</v>
          </cell>
          <cell r="O840">
            <v>3</v>
          </cell>
          <cell r="P840">
            <v>46049</v>
          </cell>
          <cell r="Q840">
            <v>5</v>
          </cell>
          <cell r="R840" t="str">
            <v>NA</v>
          </cell>
          <cell r="S840">
            <v>5</v>
          </cell>
        </row>
        <row r="841">
          <cell r="B841" t="str">
            <v>MNC</v>
          </cell>
          <cell r="C841" t="str">
            <v>HSLB14562</v>
          </cell>
          <cell r="D841">
            <v>204006</v>
          </cell>
          <cell r="E841" t="str">
            <v>Silla Ergonómica</v>
          </cell>
          <cell r="F841" t="str">
            <v>NO</v>
          </cell>
          <cell r="G841" t="str">
            <v>NO</v>
          </cell>
          <cell r="H841" t="str">
            <v>SALA TRANSICIÓN NEONATAL</v>
          </cell>
          <cell r="I841">
            <v>1</v>
          </cell>
          <cell r="J841" t="str">
            <v>C.3.6.3.11</v>
          </cell>
          <cell r="K841" t="str">
            <v>Parto Integral</v>
          </cell>
          <cell r="L841">
            <v>3</v>
          </cell>
          <cell r="M841">
            <v>46043</v>
          </cell>
          <cell r="N841">
            <v>46044</v>
          </cell>
          <cell r="O841">
            <v>3</v>
          </cell>
          <cell r="P841">
            <v>46049</v>
          </cell>
          <cell r="Q841">
            <v>5</v>
          </cell>
          <cell r="R841" t="str">
            <v>NA</v>
          </cell>
          <cell r="S841">
            <v>5</v>
          </cell>
        </row>
        <row r="842">
          <cell r="B842" t="str">
            <v>MNC</v>
          </cell>
          <cell r="C842" t="str">
            <v>HSLB14338</v>
          </cell>
          <cell r="D842">
            <v>204006</v>
          </cell>
          <cell r="E842" t="str">
            <v>Silla Ergonómica</v>
          </cell>
          <cell r="F842" t="str">
            <v>NO</v>
          </cell>
          <cell r="G842" t="str">
            <v>NO</v>
          </cell>
          <cell r="H842" t="str">
            <v>SALA PREPARACIÓN PACIENTES</v>
          </cell>
          <cell r="I842">
            <v>1</v>
          </cell>
          <cell r="J842" t="str">
            <v>C.3.6.3.11.1</v>
          </cell>
          <cell r="K842" t="str">
            <v>Parto Integral</v>
          </cell>
          <cell r="L842">
            <v>3</v>
          </cell>
          <cell r="M842">
            <v>46043</v>
          </cell>
          <cell r="N842">
            <v>46044</v>
          </cell>
          <cell r="O842">
            <v>3</v>
          </cell>
          <cell r="P842">
            <v>46049</v>
          </cell>
          <cell r="Q842">
            <v>5</v>
          </cell>
          <cell r="R842" t="str">
            <v>NA</v>
          </cell>
          <cell r="S842">
            <v>5</v>
          </cell>
        </row>
        <row r="843">
          <cell r="B843" t="str">
            <v>MNC</v>
          </cell>
          <cell r="C843" t="str">
            <v>HSLB14774</v>
          </cell>
          <cell r="D843">
            <v>204012</v>
          </cell>
          <cell r="E843" t="str">
            <v>Silla Visita</v>
          </cell>
          <cell r="F843" t="str">
            <v>NO</v>
          </cell>
          <cell r="G843" t="str">
            <v>NO</v>
          </cell>
          <cell r="H843" t="str">
            <v>BODEGA DE EQUIPOS</v>
          </cell>
          <cell r="I843">
            <v>6</v>
          </cell>
          <cell r="J843" t="str">
            <v>C.3.6.3.13</v>
          </cell>
          <cell r="K843" t="str">
            <v>Parto Integral</v>
          </cell>
          <cell r="L843">
            <v>3</v>
          </cell>
          <cell r="M843">
            <v>46043</v>
          </cell>
          <cell r="N843">
            <v>46044</v>
          </cell>
          <cell r="O843">
            <v>3</v>
          </cell>
          <cell r="P843">
            <v>46049</v>
          </cell>
          <cell r="Q843">
            <v>5</v>
          </cell>
          <cell r="R843" t="str">
            <v>NA</v>
          </cell>
          <cell r="S843">
            <v>5</v>
          </cell>
        </row>
        <row r="844">
          <cell r="B844" t="str">
            <v>MNC</v>
          </cell>
          <cell r="C844" t="str">
            <v>HSLB15313</v>
          </cell>
          <cell r="D844">
            <v>204002</v>
          </cell>
          <cell r="E844" t="str">
            <v>Banca Madera</v>
          </cell>
          <cell r="F844" t="str">
            <v>NO</v>
          </cell>
          <cell r="G844" t="str">
            <v>NO</v>
          </cell>
          <cell r="H844" t="str">
            <v>VESTIDOR C/DUCHA Y LOCKERS</v>
          </cell>
          <cell r="I844">
            <v>1</v>
          </cell>
          <cell r="J844" t="str">
            <v>C.3.6.3.19.1</v>
          </cell>
          <cell r="K844" t="str">
            <v>Parto Integral</v>
          </cell>
          <cell r="L844">
            <v>3</v>
          </cell>
          <cell r="M844">
            <v>46043</v>
          </cell>
          <cell r="N844">
            <v>46044</v>
          </cell>
          <cell r="O844">
            <v>3</v>
          </cell>
          <cell r="P844">
            <v>46049</v>
          </cell>
          <cell r="Q844">
            <v>5</v>
          </cell>
          <cell r="R844" t="str">
            <v>NA</v>
          </cell>
          <cell r="S844">
            <v>5</v>
          </cell>
        </row>
        <row r="845">
          <cell r="B845" t="str">
            <v>MNC</v>
          </cell>
          <cell r="C845" t="str">
            <v>HSLB15314</v>
          </cell>
          <cell r="D845">
            <v>204002</v>
          </cell>
          <cell r="E845" t="str">
            <v>Banca Madera</v>
          </cell>
          <cell r="F845" t="str">
            <v>NO</v>
          </cell>
          <cell r="G845" t="str">
            <v>NO</v>
          </cell>
          <cell r="H845" t="str">
            <v>VESTIDOR C/DUCHA Y LOCKERS</v>
          </cell>
          <cell r="I845">
            <v>1</v>
          </cell>
          <cell r="J845" t="str">
            <v>C.3.6.3.19.2</v>
          </cell>
          <cell r="K845" t="str">
            <v>Parto Integral</v>
          </cell>
          <cell r="L845">
            <v>3</v>
          </cell>
          <cell r="M845">
            <v>46043</v>
          </cell>
          <cell r="N845">
            <v>46044</v>
          </cell>
          <cell r="O845">
            <v>3</v>
          </cell>
          <cell r="P845">
            <v>46049</v>
          </cell>
          <cell r="Q845">
            <v>5</v>
          </cell>
          <cell r="R845" t="str">
            <v>NA</v>
          </cell>
          <cell r="S845">
            <v>5</v>
          </cell>
        </row>
        <row r="846">
          <cell r="B846" t="str">
            <v>MNC</v>
          </cell>
          <cell r="C846" t="str">
            <v>HSLB14339</v>
          </cell>
          <cell r="D846">
            <v>204006</v>
          </cell>
          <cell r="E846" t="str">
            <v>Silla Ergonómica</v>
          </cell>
          <cell r="F846" t="str">
            <v>NO</v>
          </cell>
          <cell r="G846" t="str">
            <v>NO</v>
          </cell>
          <cell r="H846" t="str">
            <v>MESÓN RECEPCIÓN</v>
          </cell>
          <cell r="I846">
            <v>1</v>
          </cell>
          <cell r="J846" t="str">
            <v>C.3.6.3.2</v>
          </cell>
          <cell r="K846" t="str">
            <v>Parto Integral</v>
          </cell>
          <cell r="L846">
            <v>3</v>
          </cell>
          <cell r="M846">
            <v>46043</v>
          </cell>
          <cell r="N846">
            <v>46044</v>
          </cell>
          <cell r="O846">
            <v>3</v>
          </cell>
          <cell r="P846">
            <v>46049</v>
          </cell>
          <cell r="Q846">
            <v>5</v>
          </cell>
          <cell r="R846" t="str">
            <v>NA</v>
          </cell>
          <cell r="S846">
            <v>5</v>
          </cell>
        </row>
        <row r="847">
          <cell r="B847" t="str">
            <v>MNC</v>
          </cell>
          <cell r="C847" t="str">
            <v>HSLB14340</v>
          </cell>
          <cell r="D847">
            <v>204006</v>
          </cell>
          <cell r="E847" t="str">
            <v>Silla Ergonómica</v>
          </cell>
          <cell r="F847" t="str">
            <v>NO</v>
          </cell>
          <cell r="G847" t="str">
            <v>NO</v>
          </cell>
          <cell r="H847" t="str">
            <v>OFICINA SUPERVISOR PARTO Y LEY IVE</v>
          </cell>
          <cell r="I847">
            <v>1</v>
          </cell>
          <cell r="J847" t="str">
            <v>C.3.6.3.2.1</v>
          </cell>
          <cell r="K847" t="str">
            <v>Parto Integral</v>
          </cell>
          <cell r="L847">
            <v>3</v>
          </cell>
          <cell r="M847">
            <v>46043</v>
          </cell>
          <cell r="N847">
            <v>46044</v>
          </cell>
          <cell r="O847">
            <v>3</v>
          </cell>
          <cell r="P847">
            <v>46049</v>
          </cell>
          <cell r="Q847">
            <v>5</v>
          </cell>
          <cell r="R847" t="str">
            <v>NA</v>
          </cell>
          <cell r="S847">
            <v>5</v>
          </cell>
        </row>
        <row r="848">
          <cell r="B848" t="str">
            <v>MNC</v>
          </cell>
          <cell r="C848" t="str">
            <v>HSLB14775</v>
          </cell>
          <cell r="D848">
            <v>204012</v>
          </cell>
          <cell r="E848" t="str">
            <v>Silla Visita</v>
          </cell>
          <cell r="F848" t="str">
            <v>NO</v>
          </cell>
          <cell r="G848" t="str">
            <v>NO</v>
          </cell>
          <cell r="H848" t="str">
            <v>OFICINA SUPERVISOR PARTO Y LEY IVE</v>
          </cell>
          <cell r="I848">
            <v>2</v>
          </cell>
          <cell r="J848" t="str">
            <v>C.3.6.3.2.1</v>
          </cell>
          <cell r="K848" t="str">
            <v>Parto Integral</v>
          </cell>
          <cell r="L848">
            <v>3</v>
          </cell>
          <cell r="M848">
            <v>46043</v>
          </cell>
          <cell r="N848">
            <v>46044</v>
          </cell>
          <cell r="O848">
            <v>3</v>
          </cell>
          <cell r="P848">
            <v>46049</v>
          </cell>
          <cell r="Q848">
            <v>5</v>
          </cell>
          <cell r="R848" t="str">
            <v>NA</v>
          </cell>
          <cell r="S848">
            <v>5</v>
          </cell>
        </row>
        <row r="849">
          <cell r="B849" t="str">
            <v>MNC</v>
          </cell>
          <cell r="C849" t="str">
            <v>HSLB14341</v>
          </cell>
          <cell r="D849">
            <v>204006</v>
          </cell>
          <cell r="E849" t="str">
            <v>Silla Ergonómica</v>
          </cell>
          <cell r="F849" t="str">
            <v>NO</v>
          </cell>
          <cell r="G849" t="str">
            <v>NO</v>
          </cell>
          <cell r="H849" t="str">
            <v>SALA DE ENTREVISTAS LEY IVE</v>
          </cell>
          <cell r="I849">
            <v>1</v>
          </cell>
          <cell r="J849" t="str">
            <v>C.3.6.3.2.2</v>
          </cell>
          <cell r="K849" t="str">
            <v>Parto Integral</v>
          </cell>
          <cell r="L849">
            <v>3</v>
          </cell>
          <cell r="M849">
            <v>46043</v>
          </cell>
          <cell r="N849">
            <v>46044</v>
          </cell>
          <cell r="O849">
            <v>3</v>
          </cell>
          <cell r="P849">
            <v>46049</v>
          </cell>
          <cell r="Q849">
            <v>5</v>
          </cell>
          <cell r="R849" t="str">
            <v>NA</v>
          </cell>
          <cell r="S849">
            <v>5</v>
          </cell>
        </row>
        <row r="850">
          <cell r="B850" t="str">
            <v>MNC</v>
          </cell>
          <cell r="C850" t="str">
            <v>HSLB14776</v>
          </cell>
          <cell r="D850">
            <v>204012</v>
          </cell>
          <cell r="E850" t="str">
            <v>Silla Visita</v>
          </cell>
          <cell r="F850" t="str">
            <v>NO</v>
          </cell>
          <cell r="G850" t="str">
            <v>NO</v>
          </cell>
          <cell r="H850" t="str">
            <v>SALA DE ENTREVISTAS LEY IVE</v>
          </cell>
          <cell r="I850">
            <v>4</v>
          </cell>
          <cell r="J850" t="str">
            <v>C.3.6.3.2.2</v>
          </cell>
          <cell r="K850" t="str">
            <v>Parto Integral</v>
          </cell>
          <cell r="L850">
            <v>3</v>
          </cell>
          <cell r="M850">
            <v>46043</v>
          </cell>
          <cell r="N850">
            <v>46044</v>
          </cell>
          <cell r="O850">
            <v>3</v>
          </cell>
          <cell r="P850">
            <v>46049</v>
          </cell>
          <cell r="Q850">
            <v>5</v>
          </cell>
          <cell r="R850" t="str">
            <v>NA</v>
          </cell>
          <cell r="S850">
            <v>5</v>
          </cell>
        </row>
        <row r="851">
          <cell r="B851" t="str">
            <v>MNC</v>
          </cell>
          <cell r="C851" t="str">
            <v>HSLB15315</v>
          </cell>
          <cell r="D851">
            <v>204002</v>
          </cell>
          <cell r="E851" t="str">
            <v>Banca Madera</v>
          </cell>
          <cell r="F851" t="str">
            <v>NO</v>
          </cell>
          <cell r="G851" t="str">
            <v>NO</v>
          </cell>
          <cell r="H851" t="str">
            <v>VESTUARIO PADRES C/BAÑO</v>
          </cell>
          <cell r="I851">
            <v>1</v>
          </cell>
          <cell r="J851" t="str">
            <v>C.3.6.3.4.1</v>
          </cell>
          <cell r="K851" t="str">
            <v>Parto Integral</v>
          </cell>
          <cell r="L851">
            <v>3</v>
          </cell>
          <cell r="M851">
            <v>46043</v>
          </cell>
          <cell r="N851">
            <v>46044</v>
          </cell>
          <cell r="O851">
            <v>3</v>
          </cell>
          <cell r="P851">
            <v>46049</v>
          </cell>
          <cell r="Q851">
            <v>5</v>
          </cell>
          <cell r="R851" t="str">
            <v>NA</v>
          </cell>
          <cell r="S851">
            <v>5</v>
          </cell>
        </row>
        <row r="852">
          <cell r="B852" t="str">
            <v>MNC</v>
          </cell>
          <cell r="C852" t="str">
            <v>HSLB14777</v>
          </cell>
          <cell r="D852">
            <v>204012</v>
          </cell>
          <cell r="E852" t="str">
            <v>Silla Visita</v>
          </cell>
          <cell r="F852" t="str">
            <v>NO</v>
          </cell>
          <cell r="G852" t="str">
            <v>SI</v>
          </cell>
          <cell r="H852" t="str">
            <v>SALA MULTIUSO</v>
          </cell>
          <cell r="I852">
            <v>2</v>
          </cell>
          <cell r="J852" t="str">
            <v>C.3.6.3.5</v>
          </cell>
          <cell r="K852" t="str">
            <v>Parto Integral</v>
          </cell>
          <cell r="L852">
            <v>3</v>
          </cell>
          <cell r="M852">
            <v>46003</v>
          </cell>
          <cell r="N852">
            <v>46006</v>
          </cell>
          <cell r="O852">
            <v>1</v>
          </cell>
          <cell r="P852">
            <v>46007</v>
          </cell>
          <cell r="Q852">
            <v>5</v>
          </cell>
          <cell r="R852" t="str">
            <v>NA</v>
          </cell>
          <cell r="S852">
            <v>5</v>
          </cell>
        </row>
        <row r="853">
          <cell r="B853" t="str">
            <v>MNC</v>
          </cell>
          <cell r="C853" t="str">
            <v>HSLB15011</v>
          </cell>
          <cell r="D853">
            <v>204014</v>
          </cell>
          <cell r="E853" t="str">
            <v>Sillón 2 Cuerpo</v>
          </cell>
          <cell r="F853" t="str">
            <v>NO</v>
          </cell>
          <cell r="G853" t="str">
            <v>NO</v>
          </cell>
          <cell r="H853" t="str">
            <v>SALA PARTO INTEGRAL</v>
          </cell>
          <cell r="I853">
            <v>1</v>
          </cell>
          <cell r="J853" t="str">
            <v>C.3.6.3.6.1</v>
          </cell>
          <cell r="K853" t="str">
            <v>Parto Integral</v>
          </cell>
          <cell r="L853">
            <v>3</v>
          </cell>
          <cell r="M853">
            <v>46043</v>
          </cell>
          <cell r="N853">
            <v>46044</v>
          </cell>
          <cell r="O853">
            <v>3</v>
          </cell>
          <cell r="P853">
            <v>46049</v>
          </cell>
          <cell r="Q853">
            <v>5</v>
          </cell>
          <cell r="R853" t="str">
            <v>NA</v>
          </cell>
          <cell r="S853">
            <v>5</v>
          </cell>
        </row>
        <row r="854">
          <cell r="B854" t="str">
            <v>MNC</v>
          </cell>
          <cell r="C854" t="str">
            <v>HSLB15012</v>
          </cell>
          <cell r="D854">
            <v>204014</v>
          </cell>
          <cell r="E854" t="str">
            <v>Sillón 2 Cuerpo</v>
          </cell>
          <cell r="F854" t="str">
            <v>NO</v>
          </cell>
          <cell r="G854" t="str">
            <v>NO</v>
          </cell>
          <cell r="H854" t="str">
            <v>SALA PARTO INTEGRAL</v>
          </cell>
          <cell r="I854">
            <v>1</v>
          </cell>
          <cell r="J854" t="str">
            <v>C.3.6.3.6.2</v>
          </cell>
          <cell r="K854" t="str">
            <v>Parto Integral</v>
          </cell>
          <cell r="L854">
            <v>3</v>
          </cell>
          <cell r="M854">
            <v>46043</v>
          </cell>
          <cell r="N854">
            <v>46044</v>
          </cell>
          <cell r="O854">
            <v>3</v>
          </cell>
          <cell r="P854">
            <v>46049</v>
          </cell>
          <cell r="Q854">
            <v>5</v>
          </cell>
          <cell r="R854" t="str">
            <v>NA</v>
          </cell>
          <cell r="S854">
            <v>5</v>
          </cell>
        </row>
        <row r="855">
          <cell r="B855" t="str">
            <v>MNC</v>
          </cell>
          <cell r="C855" t="str">
            <v>HSLB15013</v>
          </cell>
          <cell r="D855">
            <v>204014</v>
          </cell>
          <cell r="E855" t="str">
            <v>Sillón 2 Cuerpo</v>
          </cell>
          <cell r="F855" t="str">
            <v>NO</v>
          </cell>
          <cell r="G855" t="str">
            <v>NO</v>
          </cell>
          <cell r="H855" t="str">
            <v>SALA PARTO INTEGRAL</v>
          </cell>
          <cell r="I855">
            <v>1</v>
          </cell>
          <cell r="J855" t="str">
            <v>C.3.6.3.6.3</v>
          </cell>
          <cell r="K855" t="str">
            <v>Parto Integral</v>
          </cell>
          <cell r="L855">
            <v>3</v>
          </cell>
          <cell r="M855">
            <v>46043</v>
          </cell>
          <cell r="N855">
            <v>46044</v>
          </cell>
          <cell r="O855">
            <v>3</v>
          </cell>
          <cell r="P855">
            <v>46049</v>
          </cell>
          <cell r="Q855">
            <v>5</v>
          </cell>
          <cell r="R855" t="str">
            <v>NA</v>
          </cell>
          <cell r="S855">
            <v>5</v>
          </cell>
        </row>
        <row r="856">
          <cell r="B856" t="str">
            <v>MNC</v>
          </cell>
          <cell r="C856" t="str">
            <v>HSLB14342</v>
          </cell>
          <cell r="D856">
            <v>204006</v>
          </cell>
          <cell r="E856" t="str">
            <v>Silla Ergonómica</v>
          </cell>
          <cell r="F856" t="str">
            <v>NO</v>
          </cell>
          <cell r="G856" t="str">
            <v>NO</v>
          </cell>
          <cell r="H856" t="str">
            <v>ESTACIÓN DE ENFERMERÍA</v>
          </cell>
          <cell r="I856">
            <v>3</v>
          </cell>
          <cell r="J856" t="str">
            <v>C.3.6.3.7</v>
          </cell>
          <cell r="K856" t="str">
            <v>Parto Integral</v>
          </cell>
          <cell r="L856">
            <v>3</v>
          </cell>
          <cell r="M856">
            <v>46043</v>
          </cell>
          <cell r="N856">
            <v>46044</v>
          </cell>
          <cell r="O856">
            <v>3</v>
          </cell>
          <cell r="P856">
            <v>46049</v>
          </cell>
          <cell r="Q856">
            <v>5</v>
          </cell>
          <cell r="R856" t="str">
            <v>NA</v>
          </cell>
          <cell r="S856">
            <v>5</v>
          </cell>
        </row>
        <row r="857">
          <cell r="B857" t="str">
            <v>MNC</v>
          </cell>
          <cell r="C857" t="str">
            <v>HSLB14343</v>
          </cell>
          <cell r="D857">
            <v>204006</v>
          </cell>
          <cell r="E857" t="str">
            <v>Silla Ergonómica</v>
          </cell>
          <cell r="F857" t="str">
            <v>NO</v>
          </cell>
          <cell r="G857" t="str">
            <v>NO</v>
          </cell>
          <cell r="H857" t="str">
            <v>OFICINA JEFE UTI</v>
          </cell>
          <cell r="I857">
            <v>1</v>
          </cell>
          <cell r="J857" t="str">
            <v>C.3.7.1</v>
          </cell>
          <cell r="K857" t="str">
            <v>UTI</v>
          </cell>
          <cell r="L857">
            <v>3</v>
          </cell>
          <cell r="M857">
            <v>46043</v>
          </cell>
          <cell r="N857">
            <v>46044</v>
          </cell>
          <cell r="O857">
            <v>3</v>
          </cell>
          <cell r="P857">
            <v>46049</v>
          </cell>
          <cell r="Q857">
            <v>5</v>
          </cell>
          <cell r="R857" t="str">
            <v>NA</v>
          </cell>
          <cell r="S857">
            <v>5</v>
          </cell>
        </row>
        <row r="858">
          <cell r="B858" t="str">
            <v>MNC</v>
          </cell>
          <cell r="C858" t="str">
            <v>HSLB14778</v>
          </cell>
          <cell r="D858">
            <v>204012</v>
          </cell>
          <cell r="E858" t="str">
            <v>Silla Visita</v>
          </cell>
          <cell r="F858" t="str">
            <v>NO</v>
          </cell>
          <cell r="G858" t="str">
            <v>NO</v>
          </cell>
          <cell r="H858" t="str">
            <v>OFICINA JEFE UTI</v>
          </cell>
          <cell r="I858">
            <v>2</v>
          </cell>
          <cell r="J858" t="str">
            <v>C.3.7.1</v>
          </cell>
          <cell r="K858" t="str">
            <v>UTI</v>
          </cell>
          <cell r="L858">
            <v>3</v>
          </cell>
          <cell r="M858">
            <v>46043</v>
          </cell>
          <cell r="N858">
            <v>46044</v>
          </cell>
          <cell r="O858">
            <v>3</v>
          </cell>
          <cell r="P858">
            <v>46049</v>
          </cell>
          <cell r="Q858">
            <v>5</v>
          </cell>
          <cell r="R858" t="str">
            <v>NA</v>
          </cell>
          <cell r="S858">
            <v>5</v>
          </cell>
        </row>
        <row r="859">
          <cell r="B859" t="str">
            <v>MNC</v>
          </cell>
          <cell r="C859" t="str">
            <v>HSLB15320</v>
          </cell>
          <cell r="D859">
            <v>204006</v>
          </cell>
          <cell r="E859" t="str">
            <v>Silla Ergonómica</v>
          </cell>
          <cell r="F859" t="str">
            <v>NO</v>
          </cell>
          <cell r="G859" t="str">
            <v>NO</v>
          </cell>
          <cell r="H859" t="str">
            <v>CENTRAL DE MONITOREO</v>
          </cell>
          <cell r="I859">
            <v>1</v>
          </cell>
          <cell r="J859" t="str">
            <v>C.3.7.10.1</v>
          </cell>
          <cell r="K859" t="str">
            <v>UTI</v>
          </cell>
          <cell r="L859">
            <v>3</v>
          </cell>
          <cell r="M859">
            <v>46043</v>
          </cell>
          <cell r="N859">
            <v>46044</v>
          </cell>
          <cell r="O859">
            <v>3</v>
          </cell>
          <cell r="P859">
            <v>46049</v>
          </cell>
          <cell r="Q859">
            <v>5</v>
          </cell>
          <cell r="R859" t="str">
            <v>NA</v>
          </cell>
          <cell r="S859">
            <v>5</v>
          </cell>
        </row>
        <row r="860">
          <cell r="B860" t="str">
            <v>MNC</v>
          </cell>
          <cell r="C860" t="str">
            <v>HSLB15321</v>
          </cell>
          <cell r="D860">
            <v>204006</v>
          </cell>
          <cell r="E860" t="str">
            <v>Silla Ergonómica</v>
          </cell>
          <cell r="F860" t="str">
            <v>NO</v>
          </cell>
          <cell r="G860" t="str">
            <v>NO</v>
          </cell>
          <cell r="H860" t="str">
            <v>CENTRAL DE MONITOREO</v>
          </cell>
          <cell r="I860">
            <v>1</v>
          </cell>
          <cell r="J860" t="str">
            <v>C.3.7.10.2</v>
          </cell>
          <cell r="K860" t="str">
            <v>UTI</v>
          </cell>
          <cell r="L860">
            <v>3</v>
          </cell>
          <cell r="M860">
            <v>46043</v>
          </cell>
          <cell r="N860">
            <v>46044</v>
          </cell>
          <cell r="O860">
            <v>3</v>
          </cell>
          <cell r="P860">
            <v>46049</v>
          </cell>
          <cell r="Q860">
            <v>5</v>
          </cell>
          <cell r="R860" t="str">
            <v>NA</v>
          </cell>
          <cell r="S860">
            <v>5</v>
          </cell>
        </row>
        <row r="861">
          <cell r="B861" t="str">
            <v>MNC</v>
          </cell>
          <cell r="C861" t="str">
            <v>HSLB14344</v>
          </cell>
          <cell r="D861">
            <v>204006</v>
          </cell>
          <cell r="E861" t="str">
            <v>Silla Ergonómica</v>
          </cell>
          <cell r="F861" t="str">
            <v>NO</v>
          </cell>
          <cell r="G861" t="str">
            <v>NO</v>
          </cell>
          <cell r="H861" t="str">
            <v>MÓDULO SUPERVISOR UTI</v>
          </cell>
          <cell r="I861">
            <v>1</v>
          </cell>
          <cell r="J861" t="str">
            <v>C.3.7.11</v>
          </cell>
          <cell r="K861" t="str">
            <v>UTI</v>
          </cell>
          <cell r="L861">
            <v>3</v>
          </cell>
          <cell r="M861">
            <v>46043</v>
          </cell>
          <cell r="N861">
            <v>46044</v>
          </cell>
          <cell r="O861">
            <v>3</v>
          </cell>
          <cell r="P861">
            <v>46049</v>
          </cell>
          <cell r="Q861">
            <v>5</v>
          </cell>
          <cell r="R861" t="str">
            <v>NA</v>
          </cell>
          <cell r="S861">
            <v>5</v>
          </cell>
        </row>
        <row r="862">
          <cell r="B862" t="str">
            <v>MNC</v>
          </cell>
          <cell r="C862" t="str">
            <v>HSLB15322</v>
          </cell>
          <cell r="D862">
            <v>204012</v>
          </cell>
          <cell r="E862" t="str">
            <v>Silla Visita</v>
          </cell>
          <cell r="F862" t="str">
            <v>NO</v>
          </cell>
          <cell r="G862" t="str">
            <v>NO</v>
          </cell>
          <cell r="H862" t="str">
            <v>MÓDULO SUPERVISOR UTI</v>
          </cell>
          <cell r="I862">
            <v>2</v>
          </cell>
          <cell r="J862" t="str">
            <v>C.3.7.11</v>
          </cell>
          <cell r="K862" t="str">
            <v>UTI</v>
          </cell>
          <cell r="L862">
            <v>3</v>
          </cell>
          <cell r="M862">
            <v>46043</v>
          </cell>
          <cell r="N862">
            <v>46044</v>
          </cell>
          <cell r="O862">
            <v>3</v>
          </cell>
          <cell r="P862">
            <v>46049</v>
          </cell>
          <cell r="Q862">
            <v>5</v>
          </cell>
          <cell r="R862" t="str">
            <v>NA</v>
          </cell>
          <cell r="S862">
            <v>5</v>
          </cell>
        </row>
        <row r="863">
          <cell r="B863" t="str">
            <v>MNC</v>
          </cell>
          <cell r="C863" t="str">
            <v>HSLB14345</v>
          </cell>
          <cell r="D863">
            <v>204006</v>
          </cell>
          <cell r="E863" t="str">
            <v>Silla Ergonómica</v>
          </cell>
          <cell r="F863" t="str">
            <v>NO</v>
          </cell>
          <cell r="G863" t="str">
            <v>NO</v>
          </cell>
          <cell r="H863" t="str">
            <v>ESTACIÓN DE ENFERMERÍA</v>
          </cell>
          <cell r="I863">
            <v>2</v>
          </cell>
          <cell r="J863" t="str">
            <v>C.3.7.12.1</v>
          </cell>
          <cell r="K863" t="str">
            <v>UTI</v>
          </cell>
          <cell r="L863">
            <v>3</v>
          </cell>
          <cell r="M863">
            <v>46043</v>
          </cell>
          <cell r="N863">
            <v>46044</v>
          </cell>
          <cell r="O863">
            <v>3</v>
          </cell>
          <cell r="P863">
            <v>46049</v>
          </cell>
          <cell r="Q863">
            <v>5</v>
          </cell>
          <cell r="R863" t="str">
            <v>NA</v>
          </cell>
          <cell r="S863">
            <v>5</v>
          </cell>
        </row>
        <row r="864">
          <cell r="B864" t="str">
            <v>MNC</v>
          </cell>
          <cell r="C864" t="str">
            <v>HSLB14346</v>
          </cell>
          <cell r="D864">
            <v>204006</v>
          </cell>
          <cell r="E864" t="str">
            <v>Silla Ergonómica</v>
          </cell>
          <cell r="F864" t="str">
            <v>NO</v>
          </cell>
          <cell r="G864" t="str">
            <v>NO</v>
          </cell>
          <cell r="H864" t="str">
            <v>ESTACIÓN DE ENFERMERÍA</v>
          </cell>
          <cell r="I864">
            <v>2</v>
          </cell>
          <cell r="J864" t="str">
            <v>C.3.7.12.2</v>
          </cell>
          <cell r="K864" t="str">
            <v>UTI</v>
          </cell>
          <cell r="L864">
            <v>3</v>
          </cell>
          <cell r="M864">
            <v>46043</v>
          </cell>
          <cell r="N864">
            <v>46044</v>
          </cell>
          <cell r="O864">
            <v>3</v>
          </cell>
          <cell r="P864">
            <v>46049</v>
          </cell>
          <cell r="Q864">
            <v>5</v>
          </cell>
          <cell r="R864" t="str">
            <v>NA</v>
          </cell>
          <cell r="S864">
            <v>5</v>
          </cell>
        </row>
        <row r="865">
          <cell r="B865" t="str">
            <v>MNC</v>
          </cell>
          <cell r="C865" t="str">
            <v>HSLB15109</v>
          </cell>
          <cell r="D865">
            <v>204015</v>
          </cell>
          <cell r="E865" t="str">
            <v>Sillón Bergere</v>
          </cell>
          <cell r="F865" t="str">
            <v>NO</v>
          </cell>
          <cell r="G865" t="str">
            <v>NO</v>
          </cell>
          <cell r="H865" t="str">
            <v>SALA 1 CAMA</v>
          </cell>
          <cell r="I865">
            <v>1</v>
          </cell>
          <cell r="J865" t="str">
            <v>C.3.7.16.1</v>
          </cell>
          <cell r="K865" t="str">
            <v>UTI</v>
          </cell>
          <cell r="L865">
            <v>3</v>
          </cell>
          <cell r="M865">
            <v>46043</v>
          </cell>
          <cell r="N865">
            <v>46044</v>
          </cell>
          <cell r="O865">
            <v>3</v>
          </cell>
          <cell r="P865">
            <v>46049</v>
          </cell>
          <cell r="Q865">
            <v>5</v>
          </cell>
          <cell r="R865" t="str">
            <v>NA</v>
          </cell>
          <cell r="S865">
            <v>5</v>
          </cell>
        </row>
        <row r="866">
          <cell r="B866" t="str">
            <v>MNC</v>
          </cell>
          <cell r="C866" t="str">
            <v>HSLB15110</v>
          </cell>
          <cell r="D866">
            <v>204015</v>
          </cell>
          <cell r="E866" t="str">
            <v>Sillón Bergere</v>
          </cell>
          <cell r="F866" t="str">
            <v>NO</v>
          </cell>
          <cell r="G866" t="str">
            <v>NO</v>
          </cell>
          <cell r="H866" t="str">
            <v>SALA 1 CAMA</v>
          </cell>
          <cell r="I866">
            <v>1</v>
          </cell>
          <cell r="J866" t="str">
            <v>C.3.7.16.10</v>
          </cell>
          <cell r="K866" t="str">
            <v>UTI</v>
          </cell>
          <cell r="L866">
            <v>3</v>
          </cell>
          <cell r="M866">
            <v>46043</v>
          </cell>
          <cell r="N866">
            <v>46044</v>
          </cell>
          <cell r="O866">
            <v>3</v>
          </cell>
          <cell r="P866">
            <v>46049</v>
          </cell>
          <cell r="Q866">
            <v>5</v>
          </cell>
          <cell r="R866" t="str">
            <v>NA</v>
          </cell>
          <cell r="S866">
            <v>5</v>
          </cell>
        </row>
        <row r="867">
          <cell r="B867" t="str">
            <v>MNC</v>
          </cell>
          <cell r="C867" t="str">
            <v>HSLB15111</v>
          </cell>
          <cell r="D867">
            <v>204015</v>
          </cell>
          <cell r="E867" t="str">
            <v>Sillón Bergere</v>
          </cell>
          <cell r="F867" t="str">
            <v>NO</v>
          </cell>
          <cell r="G867" t="str">
            <v>NO</v>
          </cell>
          <cell r="H867" t="str">
            <v>SALA 1 CAMA</v>
          </cell>
          <cell r="I867">
            <v>1</v>
          </cell>
          <cell r="J867" t="str">
            <v>C.3.7.16.2</v>
          </cell>
          <cell r="K867" t="str">
            <v>UTI</v>
          </cell>
          <cell r="L867">
            <v>3</v>
          </cell>
          <cell r="M867">
            <v>46043</v>
          </cell>
          <cell r="N867">
            <v>46044</v>
          </cell>
          <cell r="O867">
            <v>3</v>
          </cell>
          <cell r="P867">
            <v>46049</v>
          </cell>
          <cell r="Q867">
            <v>5</v>
          </cell>
          <cell r="R867" t="str">
            <v>NA</v>
          </cell>
          <cell r="S867">
            <v>5</v>
          </cell>
        </row>
        <row r="868">
          <cell r="B868" t="str">
            <v>MNC</v>
          </cell>
          <cell r="C868" t="str">
            <v>HSLB15112</v>
          </cell>
          <cell r="D868">
            <v>204015</v>
          </cell>
          <cell r="E868" t="str">
            <v>Sillón Bergere</v>
          </cell>
          <cell r="F868" t="str">
            <v>NO</v>
          </cell>
          <cell r="G868" t="str">
            <v>NO</v>
          </cell>
          <cell r="H868" t="str">
            <v>SALA 1 CAMA</v>
          </cell>
          <cell r="I868">
            <v>1</v>
          </cell>
          <cell r="J868" t="str">
            <v>C.3.7.16.3</v>
          </cell>
          <cell r="K868" t="str">
            <v>UTI</v>
          </cell>
          <cell r="L868">
            <v>3</v>
          </cell>
          <cell r="M868">
            <v>46043</v>
          </cell>
          <cell r="N868">
            <v>46044</v>
          </cell>
          <cell r="O868">
            <v>3</v>
          </cell>
          <cell r="P868">
            <v>46049</v>
          </cell>
          <cell r="Q868">
            <v>5</v>
          </cell>
          <cell r="R868" t="str">
            <v>NA</v>
          </cell>
          <cell r="S868">
            <v>5</v>
          </cell>
        </row>
        <row r="869">
          <cell r="B869" t="str">
            <v>MNC</v>
          </cell>
          <cell r="C869" t="str">
            <v>HSLB15113</v>
          </cell>
          <cell r="D869">
            <v>204015</v>
          </cell>
          <cell r="E869" t="str">
            <v>Sillón Bergere</v>
          </cell>
          <cell r="F869" t="str">
            <v>NO</v>
          </cell>
          <cell r="G869" t="str">
            <v>NO</v>
          </cell>
          <cell r="H869" t="str">
            <v>SALA 1 CAMA</v>
          </cell>
          <cell r="I869">
            <v>1</v>
          </cell>
          <cell r="J869" t="str">
            <v>C.3.7.16.4</v>
          </cell>
          <cell r="K869" t="str">
            <v>UTI</v>
          </cell>
          <cell r="L869">
            <v>3</v>
          </cell>
          <cell r="M869">
            <v>46043</v>
          </cell>
          <cell r="N869">
            <v>46044</v>
          </cell>
          <cell r="O869">
            <v>3</v>
          </cell>
          <cell r="P869">
            <v>46049</v>
          </cell>
          <cell r="Q869">
            <v>5</v>
          </cell>
          <cell r="R869" t="str">
            <v>NA</v>
          </cell>
          <cell r="S869">
            <v>5</v>
          </cell>
        </row>
        <row r="870">
          <cell r="B870" t="str">
            <v>MNC</v>
          </cell>
          <cell r="C870" t="str">
            <v>HSLB15114</v>
          </cell>
          <cell r="D870">
            <v>204015</v>
          </cell>
          <cell r="E870" t="str">
            <v>Sillón Bergere</v>
          </cell>
          <cell r="F870" t="str">
            <v>NO</v>
          </cell>
          <cell r="G870" t="str">
            <v>NO</v>
          </cell>
          <cell r="H870" t="str">
            <v>SALA 1 CAMA</v>
          </cell>
          <cell r="I870">
            <v>1</v>
          </cell>
          <cell r="J870" t="str">
            <v>C.3.7.16.5</v>
          </cell>
          <cell r="K870" t="str">
            <v>UTI</v>
          </cell>
          <cell r="L870">
            <v>3</v>
          </cell>
          <cell r="M870">
            <v>46043</v>
          </cell>
          <cell r="N870">
            <v>46044</v>
          </cell>
          <cell r="O870">
            <v>3</v>
          </cell>
          <cell r="P870">
            <v>46049</v>
          </cell>
          <cell r="Q870">
            <v>5</v>
          </cell>
          <cell r="R870" t="str">
            <v>NA</v>
          </cell>
          <cell r="S870">
            <v>5</v>
          </cell>
        </row>
        <row r="871">
          <cell r="B871" t="str">
            <v>MNC</v>
          </cell>
          <cell r="C871" t="str">
            <v>HSLB15115</v>
          </cell>
          <cell r="D871">
            <v>204015</v>
          </cell>
          <cell r="E871" t="str">
            <v>Sillón Bergere</v>
          </cell>
          <cell r="F871" t="str">
            <v>NO</v>
          </cell>
          <cell r="G871" t="str">
            <v>NO</v>
          </cell>
          <cell r="H871" t="str">
            <v>SALA 1 CAMA</v>
          </cell>
          <cell r="I871">
            <v>1</v>
          </cell>
          <cell r="J871" t="str">
            <v>C.3.7.16.6</v>
          </cell>
          <cell r="K871" t="str">
            <v>UTI</v>
          </cell>
          <cell r="L871">
            <v>3</v>
          </cell>
          <cell r="M871">
            <v>46043</v>
          </cell>
          <cell r="N871">
            <v>46044</v>
          </cell>
          <cell r="O871">
            <v>3</v>
          </cell>
          <cell r="P871">
            <v>46049</v>
          </cell>
          <cell r="Q871">
            <v>5</v>
          </cell>
          <cell r="R871" t="str">
            <v>NA</v>
          </cell>
          <cell r="S871">
            <v>5</v>
          </cell>
        </row>
        <row r="872">
          <cell r="B872" t="str">
            <v>MNC</v>
          </cell>
          <cell r="C872" t="str">
            <v>HSLB15116</v>
          </cell>
          <cell r="D872">
            <v>204015</v>
          </cell>
          <cell r="E872" t="str">
            <v>Sillón Bergere</v>
          </cell>
          <cell r="F872" t="str">
            <v>NO</v>
          </cell>
          <cell r="G872" t="str">
            <v>NO</v>
          </cell>
          <cell r="H872" t="str">
            <v>SALA 1 CAMA</v>
          </cell>
          <cell r="I872">
            <v>1</v>
          </cell>
          <cell r="J872" t="str">
            <v>C.3.7.16.7</v>
          </cell>
          <cell r="K872" t="str">
            <v>UTI</v>
          </cell>
          <cell r="L872">
            <v>3</v>
          </cell>
          <cell r="M872">
            <v>46043</v>
          </cell>
          <cell r="N872">
            <v>46044</v>
          </cell>
          <cell r="O872">
            <v>3</v>
          </cell>
          <cell r="P872">
            <v>46049</v>
          </cell>
          <cell r="Q872">
            <v>5</v>
          </cell>
          <cell r="R872" t="str">
            <v>NA</v>
          </cell>
          <cell r="S872">
            <v>5</v>
          </cell>
        </row>
        <row r="873">
          <cell r="B873" t="str">
            <v>MNC</v>
          </cell>
          <cell r="C873" t="str">
            <v>HSLB15117</v>
          </cell>
          <cell r="D873">
            <v>204015</v>
          </cell>
          <cell r="E873" t="str">
            <v>Sillón Bergere</v>
          </cell>
          <cell r="F873" t="str">
            <v>NO</v>
          </cell>
          <cell r="G873" t="str">
            <v>NO</v>
          </cell>
          <cell r="H873" t="str">
            <v>SALA 1 CAMA</v>
          </cell>
          <cell r="I873">
            <v>1</v>
          </cell>
          <cell r="J873" t="str">
            <v>C.3.7.16.8</v>
          </cell>
          <cell r="K873" t="str">
            <v>UTI</v>
          </cell>
          <cell r="L873">
            <v>3</v>
          </cell>
          <cell r="M873">
            <v>46043</v>
          </cell>
          <cell r="N873">
            <v>46044</v>
          </cell>
          <cell r="O873">
            <v>3</v>
          </cell>
          <cell r="P873">
            <v>46049</v>
          </cell>
          <cell r="Q873">
            <v>5</v>
          </cell>
          <cell r="R873" t="str">
            <v>NA</v>
          </cell>
          <cell r="S873">
            <v>5</v>
          </cell>
        </row>
        <row r="874">
          <cell r="B874" t="str">
            <v>MNC</v>
          </cell>
          <cell r="C874" t="str">
            <v>HSLB15118</v>
          </cell>
          <cell r="D874">
            <v>204015</v>
          </cell>
          <cell r="E874" t="str">
            <v>Sillón Bergere</v>
          </cell>
          <cell r="F874" t="str">
            <v>NO</v>
          </cell>
          <cell r="G874" t="str">
            <v>NO</v>
          </cell>
          <cell r="H874" t="str">
            <v>SALA 1 CAMA</v>
          </cell>
          <cell r="I874">
            <v>1</v>
          </cell>
          <cell r="J874" t="str">
            <v>C.3.7.16.9</v>
          </cell>
          <cell r="K874" t="str">
            <v>UTI</v>
          </cell>
          <cell r="L874">
            <v>3</v>
          </cell>
          <cell r="M874">
            <v>46043</v>
          </cell>
          <cell r="N874">
            <v>46044</v>
          </cell>
          <cell r="O874">
            <v>3</v>
          </cell>
          <cell r="P874">
            <v>46049</v>
          </cell>
          <cell r="Q874">
            <v>5</v>
          </cell>
          <cell r="R874" t="str">
            <v>NA</v>
          </cell>
          <cell r="S874">
            <v>5</v>
          </cell>
        </row>
        <row r="875">
          <cell r="B875" t="str">
            <v>MNC</v>
          </cell>
          <cell r="C875" t="str">
            <v>HSLB15119</v>
          </cell>
          <cell r="D875">
            <v>204015</v>
          </cell>
          <cell r="E875" t="str">
            <v>Sillón Bergere</v>
          </cell>
          <cell r="F875" t="str">
            <v>NO</v>
          </cell>
          <cell r="G875" t="str">
            <v>NO</v>
          </cell>
          <cell r="H875" t="str">
            <v>SALA AISLAMIENTO</v>
          </cell>
          <cell r="I875">
            <v>1</v>
          </cell>
          <cell r="J875" t="str">
            <v>C.3.7.17.1</v>
          </cell>
          <cell r="K875" t="str">
            <v>UTI</v>
          </cell>
          <cell r="L875">
            <v>3</v>
          </cell>
          <cell r="M875">
            <v>46043</v>
          </cell>
          <cell r="N875">
            <v>46044</v>
          </cell>
          <cell r="O875">
            <v>3</v>
          </cell>
          <cell r="P875">
            <v>46049</v>
          </cell>
          <cell r="Q875">
            <v>5</v>
          </cell>
          <cell r="R875" t="str">
            <v>NA</v>
          </cell>
          <cell r="S875">
            <v>5</v>
          </cell>
        </row>
        <row r="876">
          <cell r="B876" t="str">
            <v>MNC</v>
          </cell>
          <cell r="C876" t="str">
            <v>HSLB15120</v>
          </cell>
          <cell r="D876">
            <v>204015</v>
          </cell>
          <cell r="E876" t="str">
            <v>Sillón Bergere</v>
          </cell>
          <cell r="F876" t="str">
            <v>NO</v>
          </cell>
          <cell r="G876" t="str">
            <v>NO</v>
          </cell>
          <cell r="H876" t="str">
            <v>SALA AISLAMIENTO</v>
          </cell>
          <cell r="I876">
            <v>1</v>
          </cell>
          <cell r="J876" t="str">
            <v>C.3.7.17.2</v>
          </cell>
          <cell r="K876" t="str">
            <v>UTI</v>
          </cell>
          <cell r="L876">
            <v>3</v>
          </cell>
          <cell r="M876">
            <v>46043</v>
          </cell>
          <cell r="N876">
            <v>46044</v>
          </cell>
          <cell r="O876">
            <v>3</v>
          </cell>
          <cell r="P876">
            <v>46049</v>
          </cell>
          <cell r="Q876">
            <v>5</v>
          </cell>
          <cell r="R876" t="str">
            <v>NA</v>
          </cell>
          <cell r="S876">
            <v>5</v>
          </cell>
        </row>
        <row r="877">
          <cell r="B877" t="str">
            <v>MNC</v>
          </cell>
          <cell r="C877" t="str">
            <v>HSLB15323</v>
          </cell>
          <cell r="D877">
            <v>204012</v>
          </cell>
          <cell r="E877" t="str">
            <v>Silla Visita</v>
          </cell>
          <cell r="F877" t="str">
            <v>NO</v>
          </cell>
          <cell r="G877" t="str">
            <v>NO</v>
          </cell>
          <cell r="H877" t="str">
            <v>SALA DE PROCEDIMIENTOS</v>
          </cell>
          <cell r="I877">
            <v>1</v>
          </cell>
          <cell r="J877" t="str">
            <v>C.3.7.18</v>
          </cell>
          <cell r="K877" t="str">
            <v>UTI</v>
          </cell>
          <cell r="L877">
            <v>3</v>
          </cell>
          <cell r="M877">
            <v>46043</v>
          </cell>
          <cell r="N877">
            <v>46044</v>
          </cell>
          <cell r="O877">
            <v>3</v>
          </cell>
          <cell r="P877">
            <v>46049</v>
          </cell>
          <cell r="Q877">
            <v>5</v>
          </cell>
          <cell r="R877" t="str">
            <v>NA</v>
          </cell>
          <cell r="S877">
            <v>5</v>
          </cell>
        </row>
        <row r="878">
          <cell r="B878" t="str">
            <v>MNC</v>
          </cell>
          <cell r="C878" t="str">
            <v>HSLB14347</v>
          </cell>
          <cell r="D878">
            <v>204006</v>
          </cell>
          <cell r="E878" t="str">
            <v>Silla Ergonómica</v>
          </cell>
          <cell r="F878" t="str">
            <v>NO</v>
          </cell>
          <cell r="G878" t="str">
            <v>NO</v>
          </cell>
          <cell r="H878" t="str">
            <v>OFICINA COORDINADOR UTI</v>
          </cell>
          <cell r="I878">
            <v>1</v>
          </cell>
          <cell r="J878" t="str">
            <v>C.3.7.2</v>
          </cell>
          <cell r="K878" t="str">
            <v>UTI</v>
          </cell>
          <cell r="L878">
            <v>3</v>
          </cell>
          <cell r="M878">
            <v>46043</v>
          </cell>
          <cell r="N878">
            <v>46044</v>
          </cell>
          <cell r="O878">
            <v>3</v>
          </cell>
          <cell r="P878">
            <v>46049</v>
          </cell>
          <cell r="Q878">
            <v>5</v>
          </cell>
          <cell r="R878" t="str">
            <v>NA</v>
          </cell>
          <cell r="S878">
            <v>5</v>
          </cell>
        </row>
        <row r="879">
          <cell r="B879" t="str">
            <v>MNC</v>
          </cell>
          <cell r="C879" t="str">
            <v>HSLB15325</v>
          </cell>
          <cell r="D879">
            <v>204012</v>
          </cell>
          <cell r="E879" t="str">
            <v>Silla Visita</v>
          </cell>
          <cell r="F879" t="str">
            <v>NO</v>
          </cell>
          <cell r="G879" t="str">
            <v>NO</v>
          </cell>
          <cell r="H879" t="str">
            <v>MÓDULO SUPERVISOR UTI</v>
          </cell>
          <cell r="I879">
            <v>2</v>
          </cell>
          <cell r="J879" t="str">
            <v>C.3.7.2</v>
          </cell>
          <cell r="K879" t="str">
            <v>UTI</v>
          </cell>
          <cell r="L879">
            <v>3</v>
          </cell>
          <cell r="M879">
            <v>46043</v>
          </cell>
          <cell r="N879">
            <v>46044</v>
          </cell>
          <cell r="O879">
            <v>3</v>
          </cell>
          <cell r="P879">
            <v>46049</v>
          </cell>
          <cell r="Q879">
            <v>5</v>
          </cell>
          <cell r="R879" t="str">
            <v>NA</v>
          </cell>
          <cell r="S879">
            <v>5</v>
          </cell>
        </row>
        <row r="880">
          <cell r="B880" t="str">
            <v>MNC</v>
          </cell>
          <cell r="C880" t="str">
            <v>HSLB14600</v>
          </cell>
          <cell r="D880">
            <v>204010</v>
          </cell>
          <cell r="E880" t="str">
            <v>Silla tipo Casino</v>
          </cell>
          <cell r="F880" t="str">
            <v>NO</v>
          </cell>
          <cell r="G880" t="str">
            <v>NO</v>
          </cell>
          <cell r="H880" t="str">
            <v>ESTAR PERSONAL C/ KITCHENETTE</v>
          </cell>
          <cell r="I880">
            <v>4</v>
          </cell>
          <cell r="J880" t="str">
            <v>C.3.7.27.1</v>
          </cell>
          <cell r="K880" t="str">
            <v>UTI</v>
          </cell>
          <cell r="L880">
            <v>3</v>
          </cell>
          <cell r="M880">
            <v>46043</v>
          </cell>
          <cell r="N880">
            <v>46044</v>
          </cell>
          <cell r="O880">
            <v>3</v>
          </cell>
          <cell r="P880">
            <v>46049</v>
          </cell>
          <cell r="Q880">
            <v>5</v>
          </cell>
          <cell r="R880" t="str">
            <v>NA</v>
          </cell>
          <cell r="S880">
            <v>5</v>
          </cell>
        </row>
        <row r="881">
          <cell r="B881" t="str">
            <v>MNC</v>
          </cell>
          <cell r="C881" t="str">
            <v>HSLB15014</v>
          </cell>
          <cell r="D881">
            <v>204014</v>
          </cell>
          <cell r="E881" t="str">
            <v>Sillón 2 Cuerpo</v>
          </cell>
          <cell r="F881" t="str">
            <v>NO</v>
          </cell>
          <cell r="G881" t="str">
            <v>NO</v>
          </cell>
          <cell r="H881" t="str">
            <v>ESTAR PERSONAL C/ KITCHENETTE</v>
          </cell>
          <cell r="I881">
            <v>1</v>
          </cell>
          <cell r="J881" t="str">
            <v>C.3.7.27.1</v>
          </cell>
          <cell r="K881" t="str">
            <v>UTI</v>
          </cell>
          <cell r="L881">
            <v>3</v>
          </cell>
          <cell r="M881">
            <v>46043</v>
          </cell>
          <cell r="N881">
            <v>46044</v>
          </cell>
          <cell r="O881">
            <v>3</v>
          </cell>
          <cell r="P881">
            <v>46049</v>
          </cell>
          <cell r="Q881">
            <v>5</v>
          </cell>
          <cell r="R881" t="str">
            <v>NA</v>
          </cell>
          <cell r="S881">
            <v>5</v>
          </cell>
        </row>
        <row r="882">
          <cell r="B882" t="str">
            <v>MNC</v>
          </cell>
          <cell r="C882" t="str">
            <v>HSLB14601</v>
          </cell>
          <cell r="D882">
            <v>204010</v>
          </cell>
          <cell r="E882" t="str">
            <v>Silla tipo Casino</v>
          </cell>
          <cell r="F882" t="str">
            <v>NO</v>
          </cell>
          <cell r="G882" t="str">
            <v>NO</v>
          </cell>
          <cell r="H882" t="str">
            <v>ESTAR PERSONAL C/ KITCHENETTE</v>
          </cell>
          <cell r="I882">
            <v>4</v>
          </cell>
          <cell r="J882" t="str">
            <v>C.3.7.27.2</v>
          </cell>
          <cell r="K882" t="str">
            <v>UTI</v>
          </cell>
          <cell r="L882">
            <v>3</v>
          </cell>
          <cell r="M882">
            <v>46043</v>
          </cell>
          <cell r="N882">
            <v>46044</v>
          </cell>
          <cell r="O882">
            <v>3</v>
          </cell>
          <cell r="P882">
            <v>46049</v>
          </cell>
          <cell r="Q882">
            <v>5</v>
          </cell>
          <cell r="R882" t="str">
            <v>NA</v>
          </cell>
          <cell r="S882">
            <v>5</v>
          </cell>
        </row>
        <row r="883">
          <cell r="B883" t="str">
            <v>MNC</v>
          </cell>
          <cell r="C883" t="str">
            <v>HSLB15015</v>
          </cell>
          <cell r="D883">
            <v>204014</v>
          </cell>
          <cell r="E883" t="str">
            <v>Sillón 2 Cuerpo</v>
          </cell>
          <cell r="F883" t="str">
            <v>NO</v>
          </cell>
          <cell r="G883" t="str">
            <v>NO</v>
          </cell>
          <cell r="H883" t="str">
            <v>ESTAR PERSONAL C/ KITCHENETTE</v>
          </cell>
          <cell r="I883">
            <v>1</v>
          </cell>
          <cell r="J883" t="str">
            <v>C.3.7.27.2</v>
          </cell>
          <cell r="K883" t="str">
            <v>UTI</v>
          </cell>
          <cell r="L883">
            <v>3</v>
          </cell>
          <cell r="M883">
            <v>46043</v>
          </cell>
          <cell r="N883">
            <v>46044</v>
          </cell>
          <cell r="O883">
            <v>3</v>
          </cell>
          <cell r="P883">
            <v>46049</v>
          </cell>
          <cell r="Q883">
            <v>5</v>
          </cell>
          <cell r="R883" t="str">
            <v>NA</v>
          </cell>
          <cell r="S883">
            <v>5</v>
          </cell>
        </row>
        <row r="884">
          <cell r="B884" t="str">
            <v>MNC</v>
          </cell>
          <cell r="C884" t="str">
            <v>HSLB15121</v>
          </cell>
          <cell r="D884">
            <v>204015</v>
          </cell>
          <cell r="E884" t="str">
            <v>Sillón Bergere</v>
          </cell>
          <cell r="F884" t="str">
            <v>NO</v>
          </cell>
          <cell r="G884" t="str">
            <v>NO</v>
          </cell>
          <cell r="H884" t="str">
            <v>RESIDENCIA MÉDICA</v>
          </cell>
          <cell r="I884">
            <v>1</v>
          </cell>
          <cell r="J884" t="str">
            <v>C.3.7.28</v>
          </cell>
          <cell r="K884" t="str">
            <v>UTI</v>
          </cell>
          <cell r="L884">
            <v>3</v>
          </cell>
          <cell r="M884">
            <v>46043</v>
          </cell>
          <cell r="N884">
            <v>46044</v>
          </cell>
          <cell r="O884">
            <v>3</v>
          </cell>
          <cell r="P884">
            <v>46049</v>
          </cell>
          <cell r="Q884">
            <v>5</v>
          </cell>
          <cell r="R884" t="str">
            <v>NA</v>
          </cell>
          <cell r="S884">
            <v>5</v>
          </cell>
        </row>
        <row r="885">
          <cell r="B885" t="str">
            <v>MNC</v>
          </cell>
          <cell r="C885" t="str">
            <v>HSLB15326</v>
          </cell>
          <cell r="D885">
            <v>204020</v>
          </cell>
          <cell r="E885" t="str">
            <v>Silla Butaca Espera 3 Cuerpos</v>
          </cell>
          <cell r="F885" t="str">
            <v>NO</v>
          </cell>
          <cell r="G885" t="str">
            <v>NO</v>
          </cell>
          <cell r="H885" t="str">
            <v>SALA DE ESPERA</v>
          </cell>
          <cell r="I885">
            <v>8</v>
          </cell>
          <cell r="J885" t="str">
            <v>C.3.7.4</v>
          </cell>
          <cell r="K885" t="str">
            <v>UTI</v>
          </cell>
          <cell r="L885">
            <v>3</v>
          </cell>
          <cell r="M885">
            <v>46043</v>
          </cell>
          <cell r="N885">
            <v>46044</v>
          </cell>
          <cell r="O885">
            <v>3</v>
          </cell>
          <cell r="P885">
            <v>46049</v>
          </cell>
          <cell r="Q885">
            <v>5</v>
          </cell>
          <cell r="R885" t="str">
            <v>NA</v>
          </cell>
          <cell r="S885">
            <v>5</v>
          </cell>
        </row>
        <row r="886">
          <cell r="B886" t="str">
            <v>MNC</v>
          </cell>
          <cell r="C886" t="str">
            <v>HSLB14348</v>
          </cell>
          <cell r="D886">
            <v>204006</v>
          </cell>
          <cell r="E886" t="str">
            <v>Silla Ergonómica</v>
          </cell>
          <cell r="F886" t="str">
            <v>NO</v>
          </cell>
          <cell r="G886" t="str">
            <v>NO</v>
          </cell>
          <cell r="H886" t="str">
            <v>MESÓN RECEPCIÓN</v>
          </cell>
          <cell r="I886">
            <v>1</v>
          </cell>
          <cell r="J886" t="str">
            <v>C.3.7.5</v>
          </cell>
          <cell r="K886" t="str">
            <v>UTI</v>
          </cell>
          <cell r="L886">
            <v>3</v>
          </cell>
          <cell r="M886">
            <v>46043</v>
          </cell>
          <cell r="N886">
            <v>46044</v>
          </cell>
          <cell r="O886">
            <v>3</v>
          </cell>
          <cell r="P886">
            <v>46049</v>
          </cell>
          <cell r="Q886">
            <v>5</v>
          </cell>
          <cell r="R886" t="str">
            <v>NA</v>
          </cell>
          <cell r="S886">
            <v>5</v>
          </cell>
        </row>
        <row r="887">
          <cell r="B887" t="str">
            <v>MNC</v>
          </cell>
          <cell r="C887" t="str">
            <v>HSLB14779</v>
          </cell>
          <cell r="D887">
            <v>204012</v>
          </cell>
          <cell r="E887" t="str">
            <v>Silla Visita</v>
          </cell>
          <cell r="F887" t="str">
            <v>NO</v>
          </cell>
          <cell r="G887" t="str">
            <v>NO</v>
          </cell>
          <cell r="H887" t="str">
            <v>SALA DE ESTAR FAMILIARES</v>
          </cell>
          <cell r="I887">
            <v>4</v>
          </cell>
          <cell r="J887" t="str">
            <v>C.3.7.7</v>
          </cell>
          <cell r="K887" t="str">
            <v>UTI</v>
          </cell>
          <cell r="L887">
            <v>3</v>
          </cell>
          <cell r="M887">
            <v>46043</v>
          </cell>
          <cell r="N887">
            <v>46044</v>
          </cell>
          <cell r="O887">
            <v>3</v>
          </cell>
          <cell r="P887">
            <v>46049</v>
          </cell>
          <cell r="Q887">
            <v>5</v>
          </cell>
          <cell r="R887" t="str">
            <v>NA</v>
          </cell>
          <cell r="S887">
            <v>5</v>
          </cell>
        </row>
        <row r="888">
          <cell r="B888" t="str">
            <v>MNC</v>
          </cell>
          <cell r="C888" t="str">
            <v>HSLB15016</v>
          </cell>
          <cell r="D888">
            <v>204014</v>
          </cell>
          <cell r="E888" t="str">
            <v>Sillón 2 Cuerpo</v>
          </cell>
          <cell r="F888" t="str">
            <v>NO</v>
          </cell>
          <cell r="G888" t="str">
            <v>NO</v>
          </cell>
          <cell r="H888" t="str">
            <v>SALA DE ESTAR FAMILIARES</v>
          </cell>
          <cell r="I888">
            <v>1</v>
          </cell>
          <cell r="J888" t="str">
            <v>C.3.7.7</v>
          </cell>
          <cell r="K888" t="str">
            <v>UTI</v>
          </cell>
          <cell r="L888">
            <v>3</v>
          </cell>
          <cell r="M888">
            <v>46043</v>
          </cell>
          <cell r="N888">
            <v>46044</v>
          </cell>
          <cell r="O888">
            <v>3</v>
          </cell>
          <cell r="P888">
            <v>46049</v>
          </cell>
          <cell r="Q888">
            <v>5</v>
          </cell>
          <cell r="R888" t="str">
            <v>NA</v>
          </cell>
          <cell r="S888">
            <v>5</v>
          </cell>
        </row>
        <row r="889">
          <cell r="B889" t="str">
            <v>MNC</v>
          </cell>
          <cell r="C889" t="str">
            <v>HSLB14563</v>
          </cell>
          <cell r="D889">
            <v>204006</v>
          </cell>
          <cell r="E889" t="str">
            <v>Silla Ergonómica</v>
          </cell>
          <cell r="F889" t="str">
            <v>NO</v>
          </cell>
          <cell r="G889" t="str">
            <v>NO</v>
          </cell>
          <cell r="H889" t="str">
            <v>SALA DE ENTREVISTAS</v>
          </cell>
          <cell r="I889">
            <v>1</v>
          </cell>
          <cell r="J889" t="str">
            <v>C.3.7.7.1</v>
          </cell>
          <cell r="K889" t="str">
            <v>UTI</v>
          </cell>
          <cell r="L889">
            <v>3</v>
          </cell>
          <cell r="M889">
            <v>46043</v>
          </cell>
          <cell r="N889">
            <v>46044</v>
          </cell>
          <cell r="O889">
            <v>3</v>
          </cell>
          <cell r="P889">
            <v>46049</v>
          </cell>
          <cell r="Q889">
            <v>5</v>
          </cell>
          <cell r="R889" t="str">
            <v>NA</v>
          </cell>
          <cell r="S889">
            <v>5</v>
          </cell>
        </row>
        <row r="890">
          <cell r="B890" t="str">
            <v>MNC</v>
          </cell>
          <cell r="C890" t="str">
            <v>HSLB14954</v>
          </cell>
          <cell r="D890">
            <v>204012</v>
          </cell>
          <cell r="E890" t="str">
            <v>Silla Visita</v>
          </cell>
          <cell r="F890" t="str">
            <v>NO</v>
          </cell>
          <cell r="G890" t="str">
            <v>NO</v>
          </cell>
          <cell r="H890" t="str">
            <v>SALA DE ENTREVISTAS</v>
          </cell>
          <cell r="I890">
            <v>2</v>
          </cell>
          <cell r="J890" t="str">
            <v>C.3.7.7.1</v>
          </cell>
          <cell r="K890" t="str">
            <v>UTI</v>
          </cell>
          <cell r="L890">
            <v>3</v>
          </cell>
          <cell r="M890">
            <v>46043</v>
          </cell>
          <cell r="N890">
            <v>46044</v>
          </cell>
          <cell r="O890">
            <v>3</v>
          </cell>
          <cell r="P890">
            <v>46049</v>
          </cell>
          <cell r="Q890">
            <v>5</v>
          </cell>
          <cell r="R890" t="str">
            <v>NA</v>
          </cell>
          <cell r="S890">
            <v>5</v>
          </cell>
        </row>
        <row r="891">
          <cell r="B891" t="str">
            <v>MNC</v>
          </cell>
          <cell r="C891" t="str">
            <v>HSLB14781</v>
          </cell>
          <cell r="D891">
            <v>204010</v>
          </cell>
          <cell r="E891" t="str">
            <v>Silla tipo Casino</v>
          </cell>
          <cell r="F891" t="str">
            <v>NO</v>
          </cell>
          <cell r="G891" t="str">
            <v>NO</v>
          </cell>
          <cell r="H891" t="str">
            <v>ESTAR PERSONAL C/ KITCHENETTE</v>
          </cell>
          <cell r="I891">
            <v>4</v>
          </cell>
          <cell r="J891" t="str">
            <v>C.3.8.2.2</v>
          </cell>
          <cell r="K891" t="str">
            <v>Pabellones</v>
          </cell>
          <cell r="L891">
            <v>3</v>
          </cell>
          <cell r="M891">
            <v>46039</v>
          </cell>
          <cell r="N891">
            <v>46041</v>
          </cell>
          <cell r="O891">
            <v>3</v>
          </cell>
          <cell r="P891">
            <v>46044</v>
          </cell>
          <cell r="Q891">
            <v>5</v>
          </cell>
          <cell r="R891" t="str">
            <v>NA</v>
          </cell>
          <cell r="S891">
            <v>5</v>
          </cell>
        </row>
        <row r="892">
          <cell r="B892" t="str">
            <v>MNC</v>
          </cell>
          <cell r="C892" t="str">
            <v>HSLB15327</v>
          </cell>
          <cell r="D892">
            <v>204014</v>
          </cell>
          <cell r="E892" t="str">
            <v>Sillón 2 Cuerpo</v>
          </cell>
          <cell r="F892" t="str">
            <v>NO</v>
          </cell>
          <cell r="G892" t="str">
            <v>NO</v>
          </cell>
          <cell r="H892" t="str">
            <v>ESTAR PERSONAL C/ KITCHENETTE</v>
          </cell>
          <cell r="I892">
            <v>1</v>
          </cell>
          <cell r="J892" t="str">
            <v>C.3.8.2.2</v>
          </cell>
          <cell r="K892" t="str">
            <v>Pabellones</v>
          </cell>
          <cell r="L892">
            <v>3</v>
          </cell>
          <cell r="M892">
            <v>46039</v>
          </cell>
          <cell r="N892">
            <v>46041</v>
          </cell>
          <cell r="O892">
            <v>3</v>
          </cell>
          <cell r="P892">
            <v>46044</v>
          </cell>
          <cell r="Q892">
            <v>5</v>
          </cell>
          <cell r="R892" t="str">
            <v>NA</v>
          </cell>
          <cell r="S892">
            <v>5</v>
          </cell>
        </row>
        <row r="893">
          <cell r="B893" t="str">
            <v>MNC</v>
          </cell>
          <cell r="C893" t="str">
            <v>HSLB15142</v>
          </cell>
          <cell r="D893">
            <v>204015</v>
          </cell>
          <cell r="E893" t="str">
            <v>Sillón Bergere</v>
          </cell>
          <cell r="F893" t="str">
            <v>NO</v>
          </cell>
          <cell r="G893" t="str">
            <v>NO</v>
          </cell>
          <cell r="H893" t="str">
            <v>RESIDENCIA MÉDICA C/BAÑO</v>
          </cell>
          <cell r="I893">
            <v>1</v>
          </cell>
          <cell r="J893" t="str">
            <v>C.3.8.3.2</v>
          </cell>
          <cell r="K893" t="str">
            <v>Pabellones</v>
          </cell>
          <cell r="L893">
            <v>3</v>
          </cell>
          <cell r="M893">
            <v>46039</v>
          </cell>
          <cell r="N893">
            <v>46041</v>
          </cell>
          <cell r="O893">
            <v>3</v>
          </cell>
          <cell r="P893">
            <v>46044</v>
          </cell>
          <cell r="Q893">
            <v>5</v>
          </cell>
          <cell r="R893" t="str">
            <v>NA</v>
          </cell>
          <cell r="S893">
            <v>5</v>
          </cell>
        </row>
        <row r="894">
          <cell r="B894" t="str">
            <v>MNC</v>
          </cell>
          <cell r="C894" t="str">
            <v>HSLB14361</v>
          </cell>
          <cell r="D894">
            <v>204006</v>
          </cell>
          <cell r="E894" t="str">
            <v>Silla Ergonómica</v>
          </cell>
          <cell r="F894" t="str">
            <v>NO</v>
          </cell>
          <cell r="G894" t="str">
            <v>NO</v>
          </cell>
          <cell r="H894" t="str">
            <v>OF. JEFE CR APOYO CLÍNICO</v>
          </cell>
          <cell r="I894">
            <v>1</v>
          </cell>
          <cell r="J894" t="str">
            <v>C.5.1.2</v>
          </cell>
          <cell r="K894" t="str">
            <v>Administración y apoyo general</v>
          </cell>
          <cell r="L894">
            <v>3</v>
          </cell>
          <cell r="M894">
            <v>46031</v>
          </cell>
          <cell r="N894">
            <v>46034</v>
          </cell>
          <cell r="O894">
            <v>1</v>
          </cell>
          <cell r="P894">
            <v>46035</v>
          </cell>
          <cell r="Q894">
            <v>5</v>
          </cell>
          <cell r="R894" t="str">
            <v>NA</v>
          </cell>
          <cell r="S894">
            <v>5</v>
          </cell>
        </row>
        <row r="895">
          <cell r="B895" t="str">
            <v>MNC</v>
          </cell>
          <cell r="C895" t="str">
            <v>HSLB14807</v>
          </cell>
          <cell r="D895">
            <v>204012</v>
          </cell>
          <cell r="E895" t="str">
            <v>Silla Visita</v>
          </cell>
          <cell r="F895" t="str">
            <v>NO</v>
          </cell>
          <cell r="G895" t="str">
            <v>NO</v>
          </cell>
          <cell r="H895" t="str">
            <v>OF. JEFE CR APOYO CLÍNICO</v>
          </cell>
          <cell r="I895">
            <v>4</v>
          </cell>
          <cell r="J895" t="str">
            <v>C.5.1.2</v>
          </cell>
          <cell r="K895" t="str">
            <v>Administración y apoyo general</v>
          </cell>
          <cell r="L895">
            <v>3</v>
          </cell>
          <cell r="M895">
            <v>46031</v>
          </cell>
          <cell r="N895">
            <v>46034</v>
          </cell>
          <cell r="O895">
            <v>1</v>
          </cell>
          <cell r="P895">
            <v>46035</v>
          </cell>
          <cell r="Q895">
            <v>5</v>
          </cell>
          <cell r="R895" t="str">
            <v>NA</v>
          </cell>
          <cell r="S895">
            <v>5</v>
          </cell>
        </row>
        <row r="896">
          <cell r="B896" t="str">
            <v>MNC</v>
          </cell>
          <cell r="C896" t="str">
            <v>HSLB14364</v>
          </cell>
          <cell r="D896">
            <v>204006</v>
          </cell>
          <cell r="E896" t="str">
            <v>Silla Ergonómica</v>
          </cell>
          <cell r="F896" t="str">
            <v>NO</v>
          </cell>
          <cell r="G896" t="str">
            <v>NO</v>
          </cell>
          <cell r="H896" t="str">
            <v>SECRETARÍA C/ARCHIVO Y FOTOCOPIADORA</v>
          </cell>
          <cell r="I896">
            <v>1</v>
          </cell>
          <cell r="J896" t="str">
            <v>C.5.1.5</v>
          </cell>
          <cell r="K896" t="str">
            <v>Administración y apoyo general</v>
          </cell>
          <cell r="L896">
            <v>3</v>
          </cell>
          <cell r="M896">
            <v>46031</v>
          </cell>
          <cell r="N896">
            <v>46034</v>
          </cell>
          <cell r="O896">
            <v>1</v>
          </cell>
          <cell r="P896">
            <v>46035</v>
          </cell>
          <cell r="Q896">
            <v>5</v>
          </cell>
          <cell r="R896" t="str">
            <v>NA</v>
          </cell>
          <cell r="S896">
            <v>5</v>
          </cell>
        </row>
        <row r="897">
          <cell r="B897" t="str">
            <v>MNC</v>
          </cell>
          <cell r="C897" t="str">
            <v>HSLB14810</v>
          </cell>
          <cell r="D897">
            <v>204012</v>
          </cell>
          <cell r="E897" t="str">
            <v>Silla Visita</v>
          </cell>
          <cell r="F897" t="str">
            <v>NO</v>
          </cell>
          <cell r="G897" t="str">
            <v>NO</v>
          </cell>
          <cell r="H897" t="str">
            <v>SECRETARÍA C/ARCHIVO Y FOTOCOPIADORA</v>
          </cell>
          <cell r="I897">
            <v>2</v>
          </cell>
          <cell r="J897" t="str">
            <v>C.5.1.5</v>
          </cell>
          <cell r="K897" t="str">
            <v>Administración y apoyo general</v>
          </cell>
          <cell r="L897">
            <v>3</v>
          </cell>
          <cell r="M897">
            <v>46031</v>
          </cell>
          <cell r="N897">
            <v>46034</v>
          </cell>
          <cell r="O897">
            <v>1</v>
          </cell>
          <cell r="P897">
            <v>46035</v>
          </cell>
          <cell r="Q897">
            <v>5</v>
          </cell>
          <cell r="R897" t="str">
            <v>NA</v>
          </cell>
          <cell r="S897">
            <v>5</v>
          </cell>
        </row>
        <row r="898">
          <cell r="B898" t="str">
            <v>MNC</v>
          </cell>
          <cell r="C898" t="str">
            <v>HSLB14811</v>
          </cell>
          <cell r="D898">
            <v>204012</v>
          </cell>
          <cell r="E898" t="str">
            <v>Silla Visita</v>
          </cell>
          <cell r="F898" t="str">
            <v>NO</v>
          </cell>
          <cell r="G898" t="str">
            <v>NO</v>
          </cell>
          <cell r="H898" t="str">
            <v>SALA DE REUNIONES (20 ppm)</v>
          </cell>
          <cell r="I898">
            <v>20</v>
          </cell>
          <cell r="J898" t="str">
            <v>C.5.10.1</v>
          </cell>
          <cell r="K898" t="str">
            <v>Administración y apoyo general</v>
          </cell>
          <cell r="L898">
            <v>3</v>
          </cell>
          <cell r="M898">
            <v>46031</v>
          </cell>
          <cell r="N898">
            <v>46034</v>
          </cell>
          <cell r="O898">
            <v>1</v>
          </cell>
          <cell r="P898">
            <v>46035</v>
          </cell>
          <cell r="Q898">
            <v>5</v>
          </cell>
          <cell r="R898" t="str">
            <v>NA</v>
          </cell>
          <cell r="S898">
            <v>5</v>
          </cell>
        </row>
        <row r="899">
          <cell r="B899" t="str">
            <v>MNC</v>
          </cell>
          <cell r="C899" t="str">
            <v>HSLB14410</v>
          </cell>
          <cell r="D899">
            <v>204006</v>
          </cell>
          <cell r="E899" t="str">
            <v>Silla Ergonómica</v>
          </cell>
          <cell r="F899" t="str">
            <v>NO</v>
          </cell>
          <cell r="G899" t="str">
            <v>NO</v>
          </cell>
          <cell r="H899" t="str">
            <v>OFICINA COORDINADOR ESTERILIZACIÓN</v>
          </cell>
          <cell r="I899">
            <v>1</v>
          </cell>
          <cell r="J899" t="str">
            <v>C.5.5.1</v>
          </cell>
          <cell r="K899" t="str">
            <v>Esterilización</v>
          </cell>
          <cell r="L899">
            <v>3</v>
          </cell>
          <cell r="M899">
            <v>46044</v>
          </cell>
          <cell r="N899">
            <v>46045</v>
          </cell>
          <cell r="O899">
            <v>3</v>
          </cell>
          <cell r="P899">
            <v>46050</v>
          </cell>
          <cell r="Q899">
            <v>5</v>
          </cell>
          <cell r="R899" t="str">
            <v>NA</v>
          </cell>
          <cell r="S899">
            <v>5</v>
          </cell>
        </row>
        <row r="900">
          <cell r="B900" t="str">
            <v>MNC</v>
          </cell>
          <cell r="C900" t="str">
            <v>HSLB14832</v>
          </cell>
          <cell r="D900">
            <v>204012</v>
          </cell>
          <cell r="E900" t="str">
            <v>Silla Visita</v>
          </cell>
          <cell r="F900" t="str">
            <v>NO</v>
          </cell>
          <cell r="G900" t="str">
            <v>NO</v>
          </cell>
          <cell r="H900" t="str">
            <v>OFICINA COORDINADOR ESTERILIZACIÓN</v>
          </cell>
          <cell r="I900">
            <v>2</v>
          </cell>
          <cell r="J900" t="str">
            <v>C.5.5.1</v>
          </cell>
          <cell r="K900" t="str">
            <v>Esterilización</v>
          </cell>
          <cell r="L900">
            <v>3</v>
          </cell>
          <cell r="M900">
            <v>46044</v>
          </cell>
          <cell r="N900">
            <v>46045</v>
          </cell>
          <cell r="O900">
            <v>3</v>
          </cell>
          <cell r="P900">
            <v>46050</v>
          </cell>
          <cell r="Q900">
            <v>5</v>
          </cell>
          <cell r="R900" t="str">
            <v>NA</v>
          </cell>
          <cell r="S900">
            <v>5</v>
          </cell>
        </row>
        <row r="901">
          <cell r="B901" t="str">
            <v>MNC</v>
          </cell>
          <cell r="C901" t="str">
            <v>HSLB14411</v>
          </cell>
          <cell r="D901">
            <v>204006</v>
          </cell>
          <cell r="E901" t="str">
            <v>Silla Ergonómica</v>
          </cell>
          <cell r="F901" t="str">
            <v>NO</v>
          </cell>
          <cell r="G901" t="str">
            <v>NO</v>
          </cell>
          <cell r="H901" t="str">
            <v>MESÓN RECEPCIÓN MATERIAL</v>
          </cell>
          <cell r="I901">
            <v>1</v>
          </cell>
          <cell r="J901" t="str">
            <v>C.5.5.10</v>
          </cell>
          <cell r="K901" t="str">
            <v>Esterilización</v>
          </cell>
          <cell r="L901">
            <v>3</v>
          </cell>
          <cell r="M901">
            <v>46044</v>
          </cell>
          <cell r="N901">
            <v>46045</v>
          </cell>
          <cell r="O901">
            <v>3</v>
          </cell>
          <cell r="P901">
            <v>46050</v>
          </cell>
          <cell r="Q901">
            <v>5</v>
          </cell>
          <cell r="R901" t="str">
            <v>NA</v>
          </cell>
          <cell r="S901">
            <v>5</v>
          </cell>
        </row>
        <row r="902">
          <cell r="B902" t="str">
            <v>MNC</v>
          </cell>
          <cell r="C902" t="str">
            <v>HSLB14412</v>
          </cell>
          <cell r="D902">
            <v>204006</v>
          </cell>
          <cell r="E902" t="str">
            <v>Silla Ergonómica</v>
          </cell>
          <cell r="F902" t="str">
            <v>NO</v>
          </cell>
          <cell r="G902" t="str">
            <v>NO</v>
          </cell>
          <cell r="H902" t="str">
            <v>ÁREA CLASIFICACIÓN MATERIAL</v>
          </cell>
          <cell r="I902">
            <v>2</v>
          </cell>
          <cell r="J902" t="str">
            <v>C.5.5.11</v>
          </cell>
          <cell r="K902" t="str">
            <v>Esterilización</v>
          </cell>
          <cell r="L902">
            <v>3</v>
          </cell>
          <cell r="M902">
            <v>46044</v>
          </cell>
          <cell r="N902">
            <v>46045</v>
          </cell>
          <cell r="O902">
            <v>3</v>
          </cell>
          <cell r="P902">
            <v>46050</v>
          </cell>
          <cell r="Q902">
            <v>5</v>
          </cell>
          <cell r="R902" t="str">
            <v>NA</v>
          </cell>
          <cell r="S902">
            <v>5</v>
          </cell>
        </row>
        <row r="903">
          <cell r="B903" t="str">
            <v>MNC</v>
          </cell>
          <cell r="C903" t="str">
            <v>HSLB14413</v>
          </cell>
          <cell r="D903">
            <v>204006</v>
          </cell>
          <cell r="E903" t="str">
            <v>Silla Ergonómica</v>
          </cell>
          <cell r="F903" t="str">
            <v>NO</v>
          </cell>
          <cell r="G903" t="str">
            <v>NO</v>
          </cell>
          <cell r="H903" t="str">
            <v xml:space="preserve">ÁREA DESCONTAMINACIÓN </v>
          </cell>
          <cell r="I903">
            <v>1</v>
          </cell>
          <cell r="J903" t="str">
            <v>C.5.5.12</v>
          </cell>
          <cell r="K903" t="str">
            <v>Esterilización</v>
          </cell>
          <cell r="L903">
            <v>3</v>
          </cell>
          <cell r="M903">
            <v>46044</v>
          </cell>
          <cell r="N903">
            <v>46045</v>
          </cell>
          <cell r="O903">
            <v>3</v>
          </cell>
          <cell r="P903">
            <v>46050</v>
          </cell>
          <cell r="Q903">
            <v>5</v>
          </cell>
          <cell r="R903" t="str">
            <v>NA</v>
          </cell>
          <cell r="S903">
            <v>5</v>
          </cell>
        </row>
        <row r="904">
          <cell r="B904" t="str">
            <v>MNC</v>
          </cell>
          <cell r="C904" t="str">
            <v>HSLB15385</v>
          </cell>
          <cell r="D904">
            <v>204006</v>
          </cell>
          <cell r="E904" t="str">
            <v>Silla Ergonómica</v>
          </cell>
          <cell r="F904" t="str">
            <v>NO</v>
          </cell>
          <cell r="G904" t="str">
            <v>NO</v>
          </cell>
          <cell r="H904" t="str">
            <v>ÁREA EQUIPO AIRE COMPRIMIDO- OSMOSIS INVERSA</v>
          </cell>
          <cell r="I904">
            <v>2</v>
          </cell>
          <cell r="J904" t="str">
            <v>C.5.5.17</v>
          </cell>
          <cell r="K904" t="str">
            <v>Esterilización</v>
          </cell>
          <cell r="L904">
            <v>3</v>
          </cell>
          <cell r="M904">
            <v>46044</v>
          </cell>
          <cell r="N904">
            <v>46045</v>
          </cell>
          <cell r="O904">
            <v>3</v>
          </cell>
          <cell r="P904">
            <v>46050</v>
          </cell>
          <cell r="Q904">
            <v>5</v>
          </cell>
          <cell r="R904" t="str">
            <v>NA</v>
          </cell>
          <cell r="S904">
            <v>5</v>
          </cell>
        </row>
        <row r="905">
          <cell r="B905" t="str">
            <v>MNC</v>
          </cell>
          <cell r="C905" t="str">
            <v>HSLB14414</v>
          </cell>
          <cell r="D905">
            <v>204006</v>
          </cell>
          <cell r="E905" t="str">
            <v>Silla Ergonómica</v>
          </cell>
          <cell r="F905" t="str">
            <v>NO</v>
          </cell>
          <cell r="G905" t="str">
            <v>NO</v>
          </cell>
          <cell r="H905" t="str">
            <v>SECRETARIA C/ARCH. Y FOTO</v>
          </cell>
          <cell r="I905">
            <v>1</v>
          </cell>
          <cell r="J905" t="str">
            <v>C.5.5.2</v>
          </cell>
          <cell r="K905" t="str">
            <v>Esterilización</v>
          </cell>
          <cell r="L905">
            <v>3</v>
          </cell>
          <cell r="M905">
            <v>46044</v>
          </cell>
          <cell r="N905">
            <v>46045</v>
          </cell>
          <cell r="O905">
            <v>3</v>
          </cell>
          <cell r="P905">
            <v>46050</v>
          </cell>
          <cell r="Q905">
            <v>5</v>
          </cell>
          <cell r="R905" t="str">
            <v>NA</v>
          </cell>
          <cell r="S905">
            <v>5</v>
          </cell>
        </row>
        <row r="906">
          <cell r="B906" t="str">
            <v>MNC</v>
          </cell>
          <cell r="C906" t="str">
            <v>HSLB14833</v>
          </cell>
          <cell r="D906">
            <v>204012</v>
          </cell>
          <cell r="E906" t="str">
            <v>Silla Visita</v>
          </cell>
          <cell r="F906" t="str">
            <v>NO</v>
          </cell>
          <cell r="G906" t="str">
            <v>NO</v>
          </cell>
          <cell r="H906" t="str">
            <v>SECRETARIA C/ARCH. Y FOTO</v>
          </cell>
          <cell r="I906">
            <v>2</v>
          </cell>
          <cell r="J906" t="str">
            <v>C.5.5.2</v>
          </cell>
          <cell r="K906" t="str">
            <v>Esterilización</v>
          </cell>
          <cell r="L906">
            <v>3</v>
          </cell>
          <cell r="M906">
            <v>46044</v>
          </cell>
          <cell r="N906">
            <v>46045</v>
          </cell>
          <cell r="O906">
            <v>3</v>
          </cell>
          <cell r="P906">
            <v>46050</v>
          </cell>
          <cell r="Q906">
            <v>5</v>
          </cell>
          <cell r="R906" t="str">
            <v>NA</v>
          </cell>
          <cell r="S906">
            <v>5</v>
          </cell>
        </row>
        <row r="907">
          <cell r="B907" t="str">
            <v>MNC</v>
          </cell>
          <cell r="C907" t="str">
            <v>HSLB15386</v>
          </cell>
          <cell r="D907">
            <v>204006</v>
          </cell>
          <cell r="E907" t="str">
            <v>Silla Ergonómica</v>
          </cell>
          <cell r="F907" t="str">
            <v>NO</v>
          </cell>
          <cell r="G907" t="str">
            <v>NO</v>
          </cell>
          <cell r="H907" t="str">
            <v>RECEPCIÓN ROPA PREPARADA</v>
          </cell>
          <cell r="I907">
            <v>1</v>
          </cell>
          <cell r="J907" t="str">
            <v>C.5.5.24</v>
          </cell>
          <cell r="K907" t="str">
            <v>Esterilización</v>
          </cell>
          <cell r="L907">
            <v>3</v>
          </cell>
          <cell r="M907">
            <v>46044</v>
          </cell>
          <cell r="N907">
            <v>46045</v>
          </cell>
          <cell r="O907">
            <v>3</v>
          </cell>
          <cell r="P907">
            <v>46050</v>
          </cell>
          <cell r="Q907">
            <v>5</v>
          </cell>
          <cell r="R907" t="str">
            <v>NA</v>
          </cell>
          <cell r="S907">
            <v>5</v>
          </cell>
        </row>
        <row r="908">
          <cell r="B908" t="str">
            <v>MNC</v>
          </cell>
          <cell r="C908" t="str">
            <v>HSLB14415</v>
          </cell>
          <cell r="D908">
            <v>204006</v>
          </cell>
          <cell r="E908" t="str">
            <v>Silla Ergonómica</v>
          </cell>
          <cell r="F908" t="str">
            <v>NO</v>
          </cell>
          <cell r="G908" t="str">
            <v>NO</v>
          </cell>
          <cell r="H908" t="str">
            <v>ÁREA CARGA Y DESCARGA</v>
          </cell>
          <cell r="I908">
            <v>2</v>
          </cell>
          <cell r="J908" t="str">
            <v>C.5.5.26.1</v>
          </cell>
          <cell r="K908" t="str">
            <v>Esterilización</v>
          </cell>
          <cell r="L908">
            <v>3</v>
          </cell>
          <cell r="M908">
            <v>46044</v>
          </cell>
          <cell r="N908">
            <v>46045</v>
          </cell>
          <cell r="O908">
            <v>3</v>
          </cell>
          <cell r="P908">
            <v>46050</v>
          </cell>
          <cell r="Q908">
            <v>5</v>
          </cell>
          <cell r="R908" t="str">
            <v>NA</v>
          </cell>
          <cell r="S908">
            <v>5</v>
          </cell>
        </row>
        <row r="909">
          <cell r="B909" t="str">
            <v>MNC</v>
          </cell>
          <cell r="C909" t="str">
            <v>HSLB14608</v>
          </cell>
          <cell r="D909">
            <v>204010</v>
          </cell>
          <cell r="E909" t="str">
            <v>Silla tipo Casino</v>
          </cell>
          <cell r="F909" t="str">
            <v>NO</v>
          </cell>
          <cell r="G909" t="str">
            <v>NO</v>
          </cell>
          <cell r="H909" t="str">
            <v>ESTAR PERSONAL C/ KITCHENETTE</v>
          </cell>
          <cell r="I909">
            <v>4</v>
          </cell>
          <cell r="J909" t="str">
            <v>C.5.5.3</v>
          </cell>
          <cell r="K909" t="str">
            <v>Esterilización</v>
          </cell>
          <cell r="L909">
            <v>3</v>
          </cell>
          <cell r="M909">
            <v>46044</v>
          </cell>
          <cell r="N909">
            <v>46045</v>
          </cell>
          <cell r="O909">
            <v>3</v>
          </cell>
          <cell r="P909">
            <v>46050</v>
          </cell>
          <cell r="Q909">
            <v>5</v>
          </cell>
          <cell r="R909" t="str">
            <v>NA</v>
          </cell>
          <cell r="S909">
            <v>5</v>
          </cell>
        </row>
        <row r="910">
          <cell r="B910" t="str">
            <v>MNC</v>
          </cell>
          <cell r="C910" t="str">
            <v>HSLB15024</v>
          </cell>
          <cell r="D910">
            <v>204014</v>
          </cell>
          <cell r="E910" t="str">
            <v>Sillón 2 Cuerpo</v>
          </cell>
          <cell r="F910" t="str">
            <v>NO</v>
          </cell>
          <cell r="G910" t="str">
            <v>NO</v>
          </cell>
          <cell r="H910" t="str">
            <v>ESTAR PERSONAL C/ KITCHENETTE</v>
          </cell>
          <cell r="I910">
            <v>1</v>
          </cell>
          <cell r="J910" t="str">
            <v>C.5.5.3</v>
          </cell>
          <cell r="K910" t="str">
            <v>Esterilización</v>
          </cell>
          <cell r="L910">
            <v>3</v>
          </cell>
          <cell r="M910">
            <v>46044</v>
          </cell>
          <cell r="N910">
            <v>46045</v>
          </cell>
          <cell r="O910">
            <v>3</v>
          </cell>
          <cell r="P910">
            <v>46050</v>
          </cell>
          <cell r="Q910">
            <v>5</v>
          </cell>
          <cell r="R910" t="str">
            <v>NA</v>
          </cell>
          <cell r="S910">
            <v>5</v>
          </cell>
        </row>
        <row r="911">
          <cell r="B911" t="str">
            <v>MNC</v>
          </cell>
          <cell r="C911" t="str">
            <v>HSLB15387</v>
          </cell>
          <cell r="D911">
            <v>204006</v>
          </cell>
          <cell r="E911" t="str">
            <v>Silla Ergonómica</v>
          </cell>
          <cell r="F911" t="str">
            <v>NO</v>
          </cell>
          <cell r="G911" t="str">
            <v>NO</v>
          </cell>
          <cell r="H911" t="str">
            <v>ÁREA MESÓN  DESPACHO</v>
          </cell>
          <cell r="I911">
            <v>2</v>
          </cell>
          <cell r="J911" t="str">
            <v>C.5.5.31</v>
          </cell>
          <cell r="K911" t="str">
            <v>Esterilización</v>
          </cell>
          <cell r="L911">
            <v>3</v>
          </cell>
          <cell r="M911">
            <v>46044</v>
          </cell>
          <cell r="N911">
            <v>46045</v>
          </cell>
          <cell r="O911">
            <v>3</v>
          </cell>
          <cell r="P911">
            <v>46050</v>
          </cell>
          <cell r="Q911">
            <v>5</v>
          </cell>
          <cell r="R911" t="str">
            <v>NA</v>
          </cell>
          <cell r="S911">
            <v>5</v>
          </cell>
        </row>
        <row r="912">
          <cell r="B912" t="str">
            <v>MNC</v>
          </cell>
          <cell r="C912" t="str">
            <v>HSLB15388</v>
          </cell>
          <cell r="D912">
            <v>204002</v>
          </cell>
          <cell r="E912" t="str">
            <v>Banca Madera</v>
          </cell>
          <cell r="F912" t="str">
            <v>NO</v>
          </cell>
          <cell r="G912" t="str">
            <v>NO</v>
          </cell>
          <cell r="H912" t="str">
            <v>VESTIDOR C/DUCHA Y LOCKERS (1)</v>
          </cell>
          <cell r="I912">
            <v>1</v>
          </cell>
          <cell r="J912" t="str">
            <v>C.5.5.6.1</v>
          </cell>
          <cell r="K912" t="str">
            <v>Esterilización</v>
          </cell>
          <cell r="L912">
            <v>3</v>
          </cell>
          <cell r="M912">
            <v>46044</v>
          </cell>
          <cell r="N912">
            <v>46045</v>
          </cell>
          <cell r="O912">
            <v>3</v>
          </cell>
          <cell r="P912">
            <v>46050</v>
          </cell>
          <cell r="Q912">
            <v>5</v>
          </cell>
          <cell r="R912" t="str">
            <v>NA</v>
          </cell>
          <cell r="S912">
            <v>5</v>
          </cell>
        </row>
        <row r="913">
          <cell r="B913" t="str">
            <v>MNC</v>
          </cell>
          <cell r="C913" t="str">
            <v>HSLB15389</v>
          </cell>
          <cell r="D913">
            <v>204002</v>
          </cell>
          <cell r="E913" t="str">
            <v>Banca Madera</v>
          </cell>
          <cell r="F913" t="str">
            <v>NO</v>
          </cell>
          <cell r="G913" t="str">
            <v>NO</v>
          </cell>
          <cell r="H913" t="str">
            <v>VESTIDOR C/DUCHA Y LOCKERS (2)</v>
          </cell>
          <cell r="I913">
            <v>1</v>
          </cell>
          <cell r="J913" t="str">
            <v>C.5.5.6.2</v>
          </cell>
          <cell r="K913" t="str">
            <v>Esterilización</v>
          </cell>
          <cell r="L913">
            <v>3</v>
          </cell>
          <cell r="M913">
            <v>46044</v>
          </cell>
          <cell r="N913">
            <v>46045</v>
          </cell>
          <cell r="O913">
            <v>3</v>
          </cell>
          <cell r="P913">
            <v>46050</v>
          </cell>
          <cell r="Q913">
            <v>5</v>
          </cell>
          <cell r="R913" t="str">
            <v>NA</v>
          </cell>
          <cell r="S913">
            <v>5</v>
          </cell>
        </row>
        <row r="914">
          <cell r="B914" t="str">
            <v>MNC</v>
          </cell>
          <cell r="C914" t="str">
            <v>HSLB15390</v>
          </cell>
          <cell r="D914">
            <v>204020</v>
          </cell>
          <cell r="E914" t="str">
            <v>Silla Butaca Espera 3 Cuerpos</v>
          </cell>
          <cell r="F914" t="str">
            <v>NO</v>
          </cell>
          <cell r="G914" t="str">
            <v>NO</v>
          </cell>
          <cell r="H914" t="str">
            <v>SALA DE ESPERA</v>
          </cell>
          <cell r="I914">
            <v>5</v>
          </cell>
          <cell r="J914" t="str">
            <v>C.5.6.1.1</v>
          </cell>
          <cell r="K914" t="str">
            <v>Pabellones</v>
          </cell>
          <cell r="L914">
            <v>3</v>
          </cell>
          <cell r="M914">
            <v>46039</v>
          </cell>
          <cell r="N914">
            <v>46041</v>
          </cell>
          <cell r="O914">
            <v>3</v>
          </cell>
          <cell r="P914">
            <v>46044</v>
          </cell>
          <cell r="Q914">
            <v>5</v>
          </cell>
          <cell r="R914" t="str">
            <v>NA</v>
          </cell>
          <cell r="S914">
            <v>5</v>
          </cell>
        </row>
        <row r="915">
          <cell r="B915" t="str">
            <v>MNC</v>
          </cell>
          <cell r="C915" t="str">
            <v>HSLB14416</v>
          </cell>
          <cell r="D915">
            <v>204006</v>
          </cell>
          <cell r="E915" t="str">
            <v>Silla Ergonómica</v>
          </cell>
          <cell r="F915" t="str">
            <v>NO</v>
          </cell>
          <cell r="G915" t="str">
            <v>NO</v>
          </cell>
          <cell r="H915" t="str">
            <v>MESÓN RECEPCIÓN</v>
          </cell>
          <cell r="I915">
            <v>1</v>
          </cell>
          <cell r="J915" t="str">
            <v>C.5.6.1.2</v>
          </cell>
          <cell r="K915" t="str">
            <v>Pabellones</v>
          </cell>
          <cell r="L915">
            <v>3</v>
          </cell>
          <cell r="M915">
            <v>46039</v>
          </cell>
          <cell r="N915">
            <v>46041</v>
          </cell>
          <cell r="O915">
            <v>3</v>
          </cell>
          <cell r="P915">
            <v>46044</v>
          </cell>
          <cell r="Q915">
            <v>5</v>
          </cell>
          <cell r="R915" t="str">
            <v>NA</v>
          </cell>
          <cell r="S915">
            <v>5</v>
          </cell>
        </row>
        <row r="916">
          <cell r="B916" t="str">
            <v>MNC</v>
          </cell>
          <cell r="C916" t="str">
            <v>HSLB14834</v>
          </cell>
          <cell r="D916">
            <v>204012</v>
          </cell>
          <cell r="E916" t="str">
            <v>Silla Visita</v>
          </cell>
          <cell r="F916" t="str">
            <v>NO</v>
          </cell>
          <cell r="G916" t="str">
            <v>NO</v>
          </cell>
          <cell r="H916" t="str">
            <v>SALA ENTREVISTAS FAMILIARES</v>
          </cell>
          <cell r="I916">
            <v>4</v>
          </cell>
          <cell r="J916" t="str">
            <v>C.5.6.1.5</v>
          </cell>
          <cell r="K916" t="str">
            <v>Pabellones</v>
          </cell>
          <cell r="L916">
            <v>3</v>
          </cell>
          <cell r="M916">
            <v>46039</v>
          </cell>
          <cell r="N916">
            <v>46041</v>
          </cell>
          <cell r="O916">
            <v>3</v>
          </cell>
          <cell r="P916">
            <v>46044</v>
          </cell>
          <cell r="Q916">
            <v>5</v>
          </cell>
          <cell r="R916" t="str">
            <v>NA</v>
          </cell>
          <cell r="S916">
            <v>5</v>
          </cell>
        </row>
        <row r="917">
          <cell r="B917" t="str">
            <v>MNC</v>
          </cell>
          <cell r="C917" t="str">
            <v>HSLB14417</v>
          </cell>
          <cell r="D917">
            <v>204006</v>
          </cell>
          <cell r="E917" t="str">
            <v>Silla Ergonómica</v>
          </cell>
          <cell r="F917" t="str">
            <v>NO</v>
          </cell>
          <cell r="G917" t="str">
            <v>NO</v>
          </cell>
          <cell r="H917" t="str">
            <v>OFICINA JEFE PABELLONES</v>
          </cell>
          <cell r="I917">
            <v>1</v>
          </cell>
          <cell r="J917" t="str">
            <v>C.5.6.1.6</v>
          </cell>
          <cell r="K917" t="str">
            <v>Pabellones</v>
          </cell>
          <cell r="L917">
            <v>3</v>
          </cell>
          <cell r="M917">
            <v>46039</v>
          </cell>
          <cell r="N917">
            <v>46041</v>
          </cell>
          <cell r="O917">
            <v>3</v>
          </cell>
          <cell r="P917">
            <v>46044</v>
          </cell>
          <cell r="Q917">
            <v>5</v>
          </cell>
          <cell r="R917" t="str">
            <v>NA</v>
          </cell>
          <cell r="S917">
            <v>5</v>
          </cell>
        </row>
        <row r="918">
          <cell r="B918" t="str">
            <v>MNC</v>
          </cell>
          <cell r="C918" t="str">
            <v>HSLB14835</v>
          </cell>
          <cell r="D918">
            <v>204012</v>
          </cell>
          <cell r="E918" t="str">
            <v>Silla Visita</v>
          </cell>
          <cell r="F918" t="str">
            <v>NO</v>
          </cell>
          <cell r="G918" t="str">
            <v>NO</v>
          </cell>
          <cell r="H918" t="str">
            <v>OFICINA JEFE PABELLONES</v>
          </cell>
          <cell r="I918">
            <v>2</v>
          </cell>
          <cell r="J918" t="str">
            <v>C.5.6.1.6</v>
          </cell>
          <cell r="K918" t="str">
            <v>Pabellones</v>
          </cell>
          <cell r="L918">
            <v>3</v>
          </cell>
          <cell r="M918">
            <v>46039</v>
          </cell>
          <cell r="N918">
            <v>46041</v>
          </cell>
          <cell r="O918">
            <v>3</v>
          </cell>
          <cell r="P918">
            <v>46044</v>
          </cell>
          <cell r="Q918">
            <v>5</v>
          </cell>
          <cell r="R918" t="str">
            <v>NA</v>
          </cell>
          <cell r="S918">
            <v>5</v>
          </cell>
        </row>
        <row r="919">
          <cell r="B919" t="str">
            <v>MNC</v>
          </cell>
          <cell r="C919" t="str">
            <v>HSLB14418</v>
          </cell>
          <cell r="D919">
            <v>204006</v>
          </cell>
          <cell r="E919" t="str">
            <v>Silla Ergonómica</v>
          </cell>
          <cell r="F919" t="str">
            <v>NO</v>
          </cell>
          <cell r="G919" t="str">
            <v>NO</v>
          </cell>
          <cell r="H919" t="str">
            <v>OFICINA COORDINADOR PABELLONES</v>
          </cell>
          <cell r="I919">
            <v>1</v>
          </cell>
          <cell r="J919" t="str">
            <v>C.5.6.1.7</v>
          </cell>
          <cell r="K919" t="str">
            <v>Pabellones</v>
          </cell>
          <cell r="L919">
            <v>3</v>
          </cell>
          <cell r="M919">
            <v>46039</v>
          </cell>
          <cell r="N919">
            <v>46041</v>
          </cell>
          <cell r="O919">
            <v>3</v>
          </cell>
          <cell r="P919">
            <v>46044</v>
          </cell>
          <cell r="Q919">
            <v>5</v>
          </cell>
          <cell r="R919" t="str">
            <v>NA</v>
          </cell>
          <cell r="S919">
            <v>5</v>
          </cell>
        </row>
        <row r="920">
          <cell r="B920" t="str">
            <v>MNC</v>
          </cell>
          <cell r="C920" t="str">
            <v>HSLB14836</v>
          </cell>
          <cell r="D920">
            <v>204012</v>
          </cell>
          <cell r="E920" t="str">
            <v>Silla Visita</v>
          </cell>
          <cell r="F920" t="str">
            <v>NO</v>
          </cell>
          <cell r="G920" t="str">
            <v>NO</v>
          </cell>
          <cell r="H920" t="str">
            <v>OFICINA COORDINADOR PABELLONES</v>
          </cell>
          <cell r="I920">
            <v>2</v>
          </cell>
          <cell r="J920" t="str">
            <v>C.5.6.1.7</v>
          </cell>
          <cell r="K920" t="str">
            <v>Pabellones</v>
          </cell>
          <cell r="L920">
            <v>3</v>
          </cell>
          <cell r="M920">
            <v>46039</v>
          </cell>
          <cell r="N920">
            <v>46041</v>
          </cell>
          <cell r="O920">
            <v>3</v>
          </cell>
          <cell r="P920">
            <v>46044</v>
          </cell>
          <cell r="Q920">
            <v>5</v>
          </cell>
          <cell r="R920" t="str">
            <v>NA</v>
          </cell>
          <cell r="S920">
            <v>5</v>
          </cell>
        </row>
        <row r="921">
          <cell r="B921" t="str">
            <v>MNC</v>
          </cell>
          <cell r="C921" t="str">
            <v>HSLB14419</v>
          </cell>
          <cell r="D921">
            <v>204006</v>
          </cell>
          <cell r="E921" t="str">
            <v>Silla Ergonómica</v>
          </cell>
          <cell r="F921" t="str">
            <v>NO</v>
          </cell>
          <cell r="G921" t="str">
            <v>NO</v>
          </cell>
          <cell r="H921" t="str">
            <v>SALA INFORMES PROFESIONALES MÉDICOS</v>
          </cell>
          <cell r="I921">
            <v>3</v>
          </cell>
          <cell r="J921" t="str">
            <v>C.5.6.1.8</v>
          </cell>
          <cell r="K921" t="str">
            <v>Pabellones</v>
          </cell>
          <cell r="L921">
            <v>3</v>
          </cell>
          <cell r="M921">
            <v>46039</v>
          </cell>
          <cell r="N921">
            <v>46041</v>
          </cell>
          <cell r="O921">
            <v>3</v>
          </cell>
          <cell r="P921">
            <v>46044</v>
          </cell>
          <cell r="Q921">
            <v>5</v>
          </cell>
          <cell r="R921" t="str">
            <v>NA</v>
          </cell>
          <cell r="S921">
            <v>5</v>
          </cell>
        </row>
        <row r="922">
          <cell r="B922" t="str">
            <v>MNC</v>
          </cell>
          <cell r="C922" t="str">
            <v>HSLB14420</v>
          </cell>
          <cell r="D922">
            <v>204006</v>
          </cell>
          <cell r="E922" t="str">
            <v>Silla Ergonómica</v>
          </cell>
          <cell r="F922" t="str">
            <v>NO</v>
          </cell>
          <cell r="G922" t="str">
            <v>NO</v>
          </cell>
          <cell r="H922" t="str">
            <v>BOX INGRESO PREPARACIÓN DE PACIENTES</v>
          </cell>
          <cell r="I922">
            <v>1</v>
          </cell>
          <cell r="J922" t="str">
            <v>C.5.6.2.1</v>
          </cell>
          <cell r="K922" t="str">
            <v>Pabellones</v>
          </cell>
          <cell r="L922">
            <v>3</v>
          </cell>
          <cell r="M922">
            <v>46039</v>
          </cell>
          <cell r="N922">
            <v>46041</v>
          </cell>
          <cell r="O922">
            <v>3</v>
          </cell>
          <cell r="P922">
            <v>46044</v>
          </cell>
          <cell r="Q922">
            <v>5</v>
          </cell>
          <cell r="R922" t="str">
            <v>NA</v>
          </cell>
          <cell r="S922">
            <v>5</v>
          </cell>
        </row>
        <row r="923">
          <cell r="B923" t="str">
            <v>MNC</v>
          </cell>
          <cell r="C923" t="str">
            <v>HSLB15393</v>
          </cell>
          <cell r="D923">
            <v>204002</v>
          </cell>
          <cell r="E923" t="str">
            <v>Banca Madera</v>
          </cell>
          <cell r="F923" t="str">
            <v>NO</v>
          </cell>
          <cell r="G923" t="str">
            <v>NO</v>
          </cell>
          <cell r="H923" t="str">
            <v>VESTIDOR PACIENTES</v>
          </cell>
          <cell r="I923">
            <v>1</v>
          </cell>
          <cell r="J923" t="str">
            <v>C.5.6.2.2.1</v>
          </cell>
          <cell r="K923" t="str">
            <v>Pabellones</v>
          </cell>
          <cell r="L923">
            <v>3</v>
          </cell>
          <cell r="M923">
            <v>46039</v>
          </cell>
          <cell r="N923">
            <v>46041</v>
          </cell>
          <cell r="O923">
            <v>3</v>
          </cell>
          <cell r="P923">
            <v>46044</v>
          </cell>
          <cell r="Q923">
            <v>5</v>
          </cell>
          <cell r="R923" t="str">
            <v>NA</v>
          </cell>
          <cell r="S923">
            <v>5</v>
          </cell>
        </row>
        <row r="924">
          <cell r="B924" t="str">
            <v>MNC</v>
          </cell>
          <cell r="C924" t="str">
            <v>HSLB15394</v>
          </cell>
          <cell r="D924">
            <v>204002</v>
          </cell>
          <cell r="E924" t="str">
            <v>Banca Madera</v>
          </cell>
          <cell r="F924" t="str">
            <v>NO</v>
          </cell>
          <cell r="G924" t="str">
            <v>NO</v>
          </cell>
          <cell r="H924" t="str">
            <v>VESTIDOR PACIENTES</v>
          </cell>
          <cell r="I924">
            <v>1</v>
          </cell>
          <cell r="J924" t="str">
            <v>C.5.6.2.2.2</v>
          </cell>
          <cell r="K924" t="str">
            <v>Pabellones</v>
          </cell>
          <cell r="L924">
            <v>3</v>
          </cell>
          <cell r="M924">
            <v>46039</v>
          </cell>
          <cell r="N924">
            <v>46041</v>
          </cell>
          <cell r="O924">
            <v>3</v>
          </cell>
          <cell r="P924">
            <v>46044</v>
          </cell>
          <cell r="Q924">
            <v>5</v>
          </cell>
          <cell r="R924" t="str">
            <v>NA</v>
          </cell>
          <cell r="S924">
            <v>5</v>
          </cell>
        </row>
        <row r="925">
          <cell r="B925" t="str">
            <v>MNC</v>
          </cell>
          <cell r="C925" t="str">
            <v>HSLB15397</v>
          </cell>
          <cell r="D925">
            <v>204002</v>
          </cell>
          <cell r="E925" t="str">
            <v>Banca Madera</v>
          </cell>
          <cell r="F925" t="str">
            <v>NO</v>
          </cell>
          <cell r="G925" t="str">
            <v>NO</v>
          </cell>
          <cell r="H925" t="str">
            <v>VESTIDOR HOMBRE</v>
          </cell>
          <cell r="I925">
            <v>4</v>
          </cell>
          <cell r="J925" t="str">
            <v>C.5.6.3.1</v>
          </cell>
          <cell r="K925" t="str">
            <v>Pabellones</v>
          </cell>
          <cell r="L925">
            <v>3</v>
          </cell>
          <cell r="M925">
            <v>46039</v>
          </cell>
          <cell r="N925">
            <v>46041</v>
          </cell>
          <cell r="O925">
            <v>3</v>
          </cell>
          <cell r="P925">
            <v>46044</v>
          </cell>
          <cell r="Q925">
            <v>5</v>
          </cell>
          <cell r="R925" t="str">
            <v>NA</v>
          </cell>
          <cell r="S925">
            <v>5</v>
          </cell>
        </row>
        <row r="926">
          <cell r="B926" t="str">
            <v>MNC</v>
          </cell>
          <cell r="C926" t="str">
            <v>HSLB15398</v>
          </cell>
          <cell r="D926">
            <v>204002</v>
          </cell>
          <cell r="E926" t="str">
            <v>Banca Madera</v>
          </cell>
          <cell r="F926" t="str">
            <v>NO</v>
          </cell>
          <cell r="G926" t="str">
            <v>NO</v>
          </cell>
          <cell r="H926" t="str">
            <v>VESTUARIO FAMILIARES</v>
          </cell>
          <cell r="I926">
            <v>1</v>
          </cell>
          <cell r="J926" t="str">
            <v>C.5.6.3.10.1</v>
          </cell>
          <cell r="K926" t="str">
            <v>Pabellones</v>
          </cell>
          <cell r="L926">
            <v>3</v>
          </cell>
          <cell r="M926">
            <v>46039</v>
          </cell>
          <cell r="N926">
            <v>46041</v>
          </cell>
          <cell r="O926">
            <v>3</v>
          </cell>
          <cell r="P926">
            <v>46044</v>
          </cell>
          <cell r="Q926">
            <v>5</v>
          </cell>
          <cell r="R926" t="str">
            <v>NA</v>
          </cell>
          <cell r="S926">
            <v>5</v>
          </cell>
        </row>
        <row r="927">
          <cell r="B927" t="str">
            <v>MNC</v>
          </cell>
          <cell r="C927" t="str">
            <v>HSLB15399</v>
          </cell>
          <cell r="D927">
            <v>204002</v>
          </cell>
          <cell r="E927" t="str">
            <v>Banca Madera</v>
          </cell>
          <cell r="F927" t="str">
            <v>NO</v>
          </cell>
          <cell r="G927" t="str">
            <v>NO</v>
          </cell>
          <cell r="H927" t="str">
            <v>VESTUARIO FAMILIARES</v>
          </cell>
          <cell r="I927">
            <v>1</v>
          </cell>
          <cell r="J927" t="str">
            <v>C.5.6.3.10.2</v>
          </cell>
          <cell r="K927" t="str">
            <v>Pabellones</v>
          </cell>
          <cell r="L927">
            <v>3</v>
          </cell>
          <cell r="M927">
            <v>46039</v>
          </cell>
          <cell r="N927">
            <v>46041</v>
          </cell>
          <cell r="O927">
            <v>3</v>
          </cell>
          <cell r="P927">
            <v>46044</v>
          </cell>
          <cell r="Q927">
            <v>5</v>
          </cell>
          <cell r="R927" t="str">
            <v>NA</v>
          </cell>
          <cell r="S927">
            <v>5</v>
          </cell>
        </row>
        <row r="928">
          <cell r="B928" t="str">
            <v>MNC</v>
          </cell>
          <cell r="C928" t="str">
            <v>HSLB14610</v>
          </cell>
          <cell r="D928">
            <v>204010</v>
          </cell>
          <cell r="E928" t="str">
            <v>Silla tipo Casino</v>
          </cell>
          <cell r="F928" t="str">
            <v>NO</v>
          </cell>
          <cell r="G928" t="str">
            <v>NO</v>
          </cell>
          <cell r="H928" t="str">
            <v>ESTAR PERSONAL C/ KITCHENETTE</v>
          </cell>
          <cell r="I928">
            <v>4</v>
          </cell>
          <cell r="J928" t="str">
            <v>C.5.6.3.12</v>
          </cell>
          <cell r="K928" t="str">
            <v>Pabellones</v>
          </cell>
          <cell r="L928">
            <v>3</v>
          </cell>
          <cell r="M928">
            <v>46039</v>
          </cell>
          <cell r="N928">
            <v>46041</v>
          </cell>
          <cell r="O928">
            <v>3</v>
          </cell>
          <cell r="P928">
            <v>46044</v>
          </cell>
          <cell r="Q928">
            <v>5</v>
          </cell>
          <cell r="R928" t="str">
            <v>NA</v>
          </cell>
          <cell r="S928">
            <v>5</v>
          </cell>
        </row>
        <row r="929">
          <cell r="B929" t="str">
            <v>MNC</v>
          </cell>
          <cell r="C929" t="str">
            <v>HSLB15026</v>
          </cell>
          <cell r="D929">
            <v>204014</v>
          </cell>
          <cell r="E929" t="str">
            <v>Sillón 2 Cuerpo</v>
          </cell>
          <cell r="F929" t="str">
            <v>NO</v>
          </cell>
          <cell r="G929" t="str">
            <v>NO</v>
          </cell>
          <cell r="H929" t="str">
            <v>ESTAR PERSONAL C/ KITCHENETTE</v>
          </cell>
          <cell r="I929">
            <v>1</v>
          </cell>
          <cell r="J929" t="str">
            <v>C.5.6.3.12</v>
          </cell>
          <cell r="K929" t="str">
            <v>Pabellones</v>
          </cell>
          <cell r="L929">
            <v>3</v>
          </cell>
          <cell r="M929">
            <v>46039</v>
          </cell>
          <cell r="N929">
            <v>46041</v>
          </cell>
          <cell r="O929">
            <v>3</v>
          </cell>
          <cell r="P929">
            <v>46044</v>
          </cell>
          <cell r="Q929">
            <v>5</v>
          </cell>
          <cell r="R929" t="str">
            <v>NA</v>
          </cell>
          <cell r="S929">
            <v>5</v>
          </cell>
        </row>
        <row r="930">
          <cell r="B930" t="str">
            <v>MNC</v>
          </cell>
          <cell r="C930" t="str">
            <v>HSLB14551</v>
          </cell>
          <cell r="D930">
            <v>204006</v>
          </cell>
          <cell r="E930" t="str">
            <v>Silla Ergonómica</v>
          </cell>
          <cell r="F930" t="str">
            <v>NO</v>
          </cell>
          <cell r="G930" t="str">
            <v>NO</v>
          </cell>
          <cell r="H930" t="str">
            <v>ESTACIÓN DE ENFERMERÍA</v>
          </cell>
          <cell r="I930">
            <v>3</v>
          </cell>
          <cell r="J930" t="str">
            <v>C.5.6.3.18.1</v>
          </cell>
          <cell r="K930" t="str">
            <v>Pabellones</v>
          </cell>
          <cell r="L930">
            <v>3</v>
          </cell>
          <cell r="M930">
            <v>46039</v>
          </cell>
          <cell r="N930">
            <v>46041</v>
          </cell>
          <cell r="O930">
            <v>3</v>
          </cell>
          <cell r="P930">
            <v>46044</v>
          </cell>
          <cell r="Q930">
            <v>5</v>
          </cell>
          <cell r="R930" t="str">
            <v>NA</v>
          </cell>
          <cell r="S930">
            <v>5</v>
          </cell>
        </row>
        <row r="931">
          <cell r="B931" t="str">
            <v>MNC</v>
          </cell>
          <cell r="C931" t="str">
            <v>HSLB14421</v>
          </cell>
          <cell r="D931">
            <v>204006</v>
          </cell>
          <cell r="E931" t="str">
            <v>Silla Ergonómica</v>
          </cell>
          <cell r="F931" t="str">
            <v>NO</v>
          </cell>
          <cell r="G931" t="str">
            <v>NO</v>
          </cell>
          <cell r="H931" t="str">
            <v>ESTACIÓN DE ENFERMERÍA</v>
          </cell>
          <cell r="I931">
            <v>3</v>
          </cell>
          <cell r="J931" t="str">
            <v>C.5.6.3.18.2</v>
          </cell>
          <cell r="K931" t="str">
            <v>Pabellones</v>
          </cell>
          <cell r="L931">
            <v>3</v>
          </cell>
          <cell r="M931">
            <v>46039</v>
          </cell>
          <cell r="N931">
            <v>46041</v>
          </cell>
          <cell r="O931">
            <v>3</v>
          </cell>
          <cell r="P931">
            <v>46044</v>
          </cell>
          <cell r="Q931">
            <v>5</v>
          </cell>
          <cell r="R931" t="str">
            <v>NA</v>
          </cell>
          <cell r="S931">
            <v>5</v>
          </cell>
        </row>
        <row r="932">
          <cell r="B932" t="str">
            <v>MNC</v>
          </cell>
          <cell r="C932" t="str">
            <v>HSLB15400</v>
          </cell>
          <cell r="D932">
            <v>204002</v>
          </cell>
          <cell r="E932" t="str">
            <v>Banca Madera</v>
          </cell>
          <cell r="F932" t="str">
            <v>NO</v>
          </cell>
          <cell r="G932" t="str">
            <v>NO</v>
          </cell>
          <cell r="H932" t="str">
            <v>VESTIDOR MUJER</v>
          </cell>
          <cell r="I932">
            <v>6</v>
          </cell>
          <cell r="J932" t="str">
            <v>C.5.6.3.5</v>
          </cell>
          <cell r="K932" t="str">
            <v>Pabellones</v>
          </cell>
          <cell r="L932">
            <v>3</v>
          </cell>
          <cell r="M932">
            <v>46039</v>
          </cell>
          <cell r="N932">
            <v>46041</v>
          </cell>
          <cell r="O932">
            <v>3</v>
          </cell>
          <cell r="P932">
            <v>46044</v>
          </cell>
          <cell r="Q932">
            <v>5</v>
          </cell>
          <cell r="R932" t="str">
            <v>NA</v>
          </cell>
          <cell r="S932">
            <v>5</v>
          </cell>
        </row>
        <row r="933">
          <cell r="B933" t="str">
            <v>MNC</v>
          </cell>
          <cell r="C933" t="str">
            <v>HSLB15401</v>
          </cell>
          <cell r="D933">
            <v>204006</v>
          </cell>
          <cell r="E933" t="str">
            <v>Silla Ergonómica</v>
          </cell>
          <cell r="F933" t="str">
            <v>NO</v>
          </cell>
          <cell r="G933" t="str">
            <v>NO</v>
          </cell>
          <cell r="H933" t="str">
            <v>RECEPCIÓN PACIENTES HOSPITALIZADOS</v>
          </cell>
          <cell r="I933">
            <v>1</v>
          </cell>
          <cell r="J933" t="str">
            <v>C.5.6.4.1</v>
          </cell>
          <cell r="K933" t="str">
            <v>Pabellones</v>
          </cell>
          <cell r="L933">
            <v>3</v>
          </cell>
          <cell r="M933">
            <v>46039</v>
          </cell>
          <cell r="N933">
            <v>46041</v>
          </cell>
          <cell r="O933">
            <v>3</v>
          </cell>
          <cell r="P933">
            <v>46044</v>
          </cell>
          <cell r="Q933">
            <v>5</v>
          </cell>
          <cell r="R933" t="str">
            <v>NA</v>
          </cell>
          <cell r="S933">
            <v>5</v>
          </cell>
        </row>
        <row r="934">
          <cell r="B934" t="str">
            <v>MNC</v>
          </cell>
          <cell r="C934" t="str">
            <v>HSLB15402</v>
          </cell>
          <cell r="D934">
            <v>204006</v>
          </cell>
          <cell r="E934" t="str">
            <v>Silla Ergonómica</v>
          </cell>
          <cell r="F934" t="str">
            <v>NO</v>
          </cell>
          <cell r="G934" t="str">
            <v>NO</v>
          </cell>
          <cell r="H934" t="str">
            <v>SALA REANIMACIÓN NEONATAL</v>
          </cell>
          <cell r="I934">
            <v>1</v>
          </cell>
          <cell r="J934" t="str">
            <v>C.5.6.4.11</v>
          </cell>
          <cell r="K934" t="str">
            <v>Pabellones</v>
          </cell>
          <cell r="L934">
            <v>3</v>
          </cell>
          <cell r="M934">
            <v>46039</v>
          </cell>
          <cell r="N934">
            <v>46041</v>
          </cell>
          <cell r="O934">
            <v>3</v>
          </cell>
          <cell r="P934">
            <v>46044</v>
          </cell>
          <cell r="Q934">
            <v>5</v>
          </cell>
          <cell r="R934" t="str">
            <v>NA</v>
          </cell>
          <cell r="S934">
            <v>5</v>
          </cell>
        </row>
        <row r="935">
          <cell r="B935" t="str">
            <v>MNC</v>
          </cell>
          <cell r="C935" t="str">
            <v>HSLB14422</v>
          </cell>
          <cell r="D935">
            <v>204006</v>
          </cell>
          <cell r="E935" t="str">
            <v>Silla Ergonómica</v>
          </cell>
          <cell r="F935" t="str">
            <v>NO</v>
          </cell>
          <cell r="G935" t="str">
            <v>NO</v>
          </cell>
          <cell r="H935" t="str">
            <v>SALA DE BIOPSIA RÁPIDA</v>
          </cell>
          <cell r="I935">
            <v>1</v>
          </cell>
          <cell r="J935" t="str">
            <v>C.5.6.4.12</v>
          </cell>
          <cell r="K935" t="str">
            <v>Pabellones</v>
          </cell>
          <cell r="L935">
            <v>3</v>
          </cell>
          <cell r="M935">
            <v>46039</v>
          </cell>
          <cell r="N935">
            <v>46041</v>
          </cell>
          <cell r="O935">
            <v>3</v>
          </cell>
          <cell r="P935">
            <v>46044</v>
          </cell>
          <cell r="Q935">
            <v>5</v>
          </cell>
          <cell r="R935" t="str">
            <v>NA</v>
          </cell>
          <cell r="S935">
            <v>5</v>
          </cell>
        </row>
        <row r="936">
          <cell r="B936" t="str">
            <v>MNC</v>
          </cell>
          <cell r="C936" t="str">
            <v>HSLB14423</v>
          </cell>
          <cell r="D936">
            <v>204006</v>
          </cell>
          <cell r="E936" t="str">
            <v>Silla Ergonómica</v>
          </cell>
          <cell r="F936" t="str">
            <v>NO</v>
          </cell>
          <cell r="G936" t="str">
            <v>NO</v>
          </cell>
          <cell r="H936" t="str">
            <v>SALA PREANESTESIA ADULTO</v>
          </cell>
          <cell r="I936">
            <v>0</v>
          </cell>
          <cell r="J936" t="str">
            <v>C.5.6.4.3.1</v>
          </cell>
          <cell r="K936" t="str">
            <v>Pabellones</v>
          </cell>
          <cell r="L936">
            <v>3</v>
          </cell>
          <cell r="M936">
            <v>46039</v>
          </cell>
          <cell r="N936">
            <v>46041</v>
          </cell>
          <cell r="O936">
            <v>3</v>
          </cell>
          <cell r="P936">
            <v>46044</v>
          </cell>
          <cell r="Q936">
            <v>5</v>
          </cell>
          <cell r="R936" t="str">
            <v>NA</v>
          </cell>
          <cell r="S936">
            <v>5</v>
          </cell>
        </row>
        <row r="937">
          <cell r="B937" t="str">
            <v>MNC</v>
          </cell>
          <cell r="C937" t="str">
            <v>HSLB14449</v>
          </cell>
          <cell r="D937">
            <v>204006</v>
          </cell>
          <cell r="E937" t="str">
            <v>Silla Ergonómica</v>
          </cell>
          <cell r="F937" t="str">
            <v>NO</v>
          </cell>
          <cell r="G937" t="str">
            <v>NO</v>
          </cell>
          <cell r="H937" t="str">
            <v>OF. COORDINADOR REGISTRO Y ESTADÍSTICA</v>
          </cell>
          <cell r="I937">
            <v>1</v>
          </cell>
          <cell r="J937" t="str">
            <v>D.1.1.2.1</v>
          </cell>
          <cell r="K937" t="str">
            <v>Administración y apoyo general</v>
          </cell>
          <cell r="L937">
            <v>3</v>
          </cell>
          <cell r="M937">
            <v>46031</v>
          </cell>
          <cell r="N937">
            <v>46034</v>
          </cell>
          <cell r="O937">
            <v>1</v>
          </cell>
          <cell r="P937">
            <v>46035</v>
          </cell>
          <cell r="Q937">
            <v>5</v>
          </cell>
          <cell r="R937" t="str">
            <v>NA</v>
          </cell>
          <cell r="S937">
            <v>5</v>
          </cell>
        </row>
        <row r="938">
          <cell r="B938" t="str">
            <v>MNC</v>
          </cell>
          <cell r="C938" t="str">
            <v>HSLB15423</v>
          </cell>
          <cell r="D938">
            <v>204012</v>
          </cell>
          <cell r="E938" t="str">
            <v>Silla Visita</v>
          </cell>
          <cell r="F938" t="str">
            <v>NO</v>
          </cell>
          <cell r="G938" t="str">
            <v>NO</v>
          </cell>
          <cell r="H938" t="str">
            <v>OF. COORDINADOR REGISTRO Y ESTADÍSTICA</v>
          </cell>
          <cell r="I938">
            <v>4</v>
          </cell>
          <cell r="J938" t="str">
            <v>D.1.1.2.1</v>
          </cell>
          <cell r="K938" t="str">
            <v>Administración y apoyo general</v>
          </cell>
          <cell r="L938">
            <v>3</v>
          </cell>
          <cell r="M938">
            <v>46031</v>
          </cell>
          <cell r="N938">
            <v>46034</v>
          </cell>
          <cell r="O938">
            <v>1</v>
          </cell>
          <cell r="P938">
            <v>46035</v>
          </cell>
          <cell r="Q938">
            <v>5</v>
          </cell>
          <cell r="R938" t="str">
            <v>NA</v>
          </cell>
          <cell r="S938">
            <v>5</v>
          </cell>
        </row>
        <row r="939">
          <cell r="B939" t="str">
            <v>MNC</v>
          </cell>
          <cell r="C939" t="str">
            <v>HSLB14450</v>
          </cell>
          <cell r="D939">
            <v>204006</v>
          </cell>
          <cell r="E939" t="str">
            <v>Silla Ergonómica</v>
          </cell>
          <cell r="F939" t="str">
            <v>NO</v>
          </cell>
          <cell r="G939" t="str">
            <v>NO</v>
          </cell>
          <cell r="H939" t="str">
            <v>MÓDULOS DE TRABAJO (sala de digitalización datos)</v>
          </cell>
          <cell r="I939">
            <v>4</v>
          </cell>
          <cell r="J939" t="str">
            <v>D.1.1.2.2</v>
          </cell>
          <cell r="K939" t="str">
            <v>Administración y apoyo general</v>
          </cell>
          <cell r="L939">
            <v>3</v>
          </cell>
          <cell r="M939">
            <v>46031</v>
          </cell>
          <cell r="N939">
            <v>46034</v>
          </cell>
          <cell r="O939">
            <v>1</v>
          </cell>
          <cell r="P939">
            <v>46035</v>
          </cell>
          <cell r="Q939">
            <v>5</v>
          </cell>
          <cell r="R939" t="str">
            <v>NA</v>
          </cell>
          <cell r="S939">
            <v>5</v>
          </cell>
        </row>
        <row r="940">
          <cell r="B940" t="str">
            <v>MNC</v>
          </cell>
          <cell r="C940" t="str">
            <v>HSLB14451</v>
          </cell>
          <cell r="D940">
            <v>204006</v>
          </cell>
          <cell r="E940" t="str">
            <v>Silla Ergonómica</v>
          </cell>
          <cell r="F940" t="str">
            <v>NO</v>
          </cell>
          <cell r="G940" t="str">
            <v>NO</v>
          </cell>
          <cell r="H940" t="str">
            <v>MÓDULO DE TRABAJO (encargado archivo)</v>
          </cell>
          <cell r="I940">
            <v>1</v>
          </cell>
          <cell r="J940" t="str">
            <v>D.1.1.3.1</v>
          </cell>
          <cell r="K940" t="str">
            <v>Administración y apoyo general</v>
          </cell>
          <cell r="L940">
            <v>3</v>
          </cell>
          <cell r="M940">
            <v>46031</v>
          </cell>
          <cell r="N940">
            <v>46034</v>
          </cell>
          <cell r="O940">
            <v>1</v>
          </cell>
          <cell r="P940">
            <v>46035</v>
          </cell>
          <cell r="Q940">
            <v>5</v>
          </cell>
          <cell r="R940" t="str">
            <v>NA</v>
          </cell>
          <cell r="S940">
            <v>5</v>
          </cell>
        </row>
        <row r="941">
          <cell r="B941" t="str">
            <v>MNC</v>
          </cell>
          <cell r="C941" t="str">
            <v>HSLB14859</v>
          </cell>
          <cell r="D941">
            <v>204012</v>
          </cell>
          <cell r="E941" t="str">
            <v>Silla Visita</v>
          </cell>
          <cell r="F941" t="str">
            <v>NO</v>
          </cell>
          <cell r="G941" t="str">
            <v>NO</v>
          </cell>
          <cell r="H941" t="str">
            <v>MÓDULO DE TRABAJO (encargado archivo)</v>
          </cell>
          <cell r="I941">
            <v>2</v>
          </cell>
          <cell r="J941" t="str">
            <v>D.1.1.3.1</v>
          </cell>
          <cell r="K941" t="str">
            <v>Administración y apoyo general</v>
          </cell>
          <cell r="L941">
            <v>3</v>
          </cell>
          <cell r="M941">
            <v>46031</v>
          </cell>
          <cell r="N941">
            <v>46034</v>
          </cell>
          <cell r="O941">
            <v>1</v>
          </cell>
          <cell r="P941">
            <v>46035</v>
          </cell>
          <cell r="Q941">
            <v>5</v>
          </cell>
          <cell r="R941" t="str">
            <v>NA</v>
          </cell>
          <cell r="S941">
            <v>5</v>
          </cell>
        </row>
        <row r="942">
          <cell r="B942" t="str">
            <v>MNC</v>
          </cell>
          <cell r="C942" t="str">
            <v>HSLB14452</v>
          </cell>
          <cell r="D942">
            <v>204006</v>
          </cell>
          <cell r="E942" t="str">
            <v>Silla Ergonómica</v>
          </cell>
          <cell r="F942" t="str">
            <v>NO</v>
          </cell>
          <cell r="G942" t="str">
            <v>NO</v>
          </cell>
          <cell r="H942" t="str">
            <v>MESÓN DE RECEPCIÓN</v>
          </cell>
          <cell r="I942">
            <v>1</v>
          </cell>
          <cell r="J942" t="str">
            <v>D.1.1.3.2</v>
          </cell>
          <cell r="K942" t="str">
            <v>Administración y apoyo general</v>
          </cell>
          <cell r="L942">
            <v>3</v>
          </cell>
          <cell r="M942">
            <v>46031</v>
          </cell>
          <cell r="N942">
            <v>46034</v>
          </cell>
          <cell r="O942">
            <v>1</v>
          </cell>
          <cell r="P942">
            <v>46035</v>
          </cell>
          <cell r="Q942">
            <v>5</v>
          </cell>
          <cell r="R942" t="str">
            <v>NA</v>
          </cell>
          <cell r="S942">
            <v>5</v>
          </cell>
        </row>
        <row r="943">
          <cell r="B943" t="str">
            <v>MNC</v>
          </cell>
          <cell r="C943" t="str">
            <v>HSLB14453</v>
          </cell>
          <cell r="D943">
            <v>204006</v>
          </cell>
          <cell r="E943" t="str">
            <v>Silla Ergonómica</v>
          </cell>
          <cell r="F943" t="str">
            <v>NO</v>
          </cell>
          <cell r="G943" t="str">
            <v>NO</v>
          </cell>
          <cell r="H943" t="str">
            <v>MÓD. DE TRABAJO</v>
          </cell>
          <cell r="I943">
            <v>2</v>
          </cell>
          <cell r="J943" t="str">
            <v>D.1.1.3.3</v>
          </cell>
          <cell r="K943" t="str">
            <v>Administración y apoyo general</v>
          </cell>
          <cell r="L943">
            <v>3</v>
          </cell>
          <cell r="M943">
            <v>46031</v>
          </cell>
          <cell r="N943">
            <v>46034</v>
          </cell>
          <cell r="O943">
            <v>1</v>
          </cell>
          <cell r="P943">
            <v>46035</v>
          </cell>
          <cell r="Q943">
            <v>5</v>
          </cell>
          <cell r="R943" t="str">
            <v>NA</v>
          </cell>
          <cell r="S943">
            <v>5</v>
          </cell>
        </row>
        <row r="944">
          <cell r="B944" t="str">
            <v>MNC</v>
          </cell>
          <cell r="C944" t="str">
            <v>HSLB14454</v>
          </cell>
          <cell r="D944">
            <v>204006</v>
          </cell>
          <cell r="E944" t="str">
            <v>Silla Ergonómica</v>
          </cell>
          <cell r="F944" t="str">
            <v>NO</v>
          </cell>
          <cell r="G944" t="str">
            <v>NO</v>
          </cell>
          <cell r="H944" t="str">
            <v>ÁREA DE CONSULTA FICHAS</v>
          </cell>
          <cell r="I944">
            <v>1</v>
          </cell>
          <cell r="J944" t="str">
            <v>D.1.1.3.6</v>
          </cell>
          <cell r="K944" t="str">
            <v>Administración y apoyo general</v>
          </cell>
          <cell r="L944">
            <v>3</v>
          </cell>
          <cell r="M944">
            <v>46031</v>
          </cell>
          <cell r="N944">
            <v>46034</v>
          </cell>
          <cell r="O944">
            <v>1</v>
          </cell>
          <cell r="P944">
            <v>46035</v>
          </cell>
          <cell r="Q944">
            <v>5</v>
          </cell>
          <cell r="R944" t="str">
            <v>NA</v>
          </cell>
          <cell r="S944">
            <v>5</v>
          </cell>
        </row>
        <row r="945">
          <cell r="B945" t="str">
            <v>MNC</v>
          </cell>
          <cell r="C945" t="str">
            <v>HSLB14458</v>
          </cell>
          <cell r="D945">
            <v>204006</v>
          </cell>
          <cell r="E945" t="str">
            <v>Silla Ergonómica</v>
          </cell>
          <cell r="F945" t="str">
            <v>NO</v>
          </cell>
          <cell r="G945" t="str">
            <v>NO</v>
          </cell>
          <cell r="H945" t="str">
            <v>SECRETARIA C/ARCHIVO, FOTOCOP.</v>
          </cell>
          <cell r="I945">
            <v>2</v>
          </cell>
          <cell r="J945" t="str">
            <v>D.2.1.1</v>
          </cell>
          <cell r="K945" t="str">
            <v>Administración y apoyo general</v>
          </cell>
          <cell r="L945">
            <v>3</v>
          </cell>
          <cell r="M945">
            <v>46031</v>
          </cell>
          <cell r="N945">
            <v>46034</v>
          </cell>
          <cell r="O945">
            <v>1</v>
          </cell>
          <cell r="P945">
            <v>46035</v>
          </cell>
          <cell r="Q945">
            <v>5</v>
          </cell>
          <cell r="R945" t="str">
            <v>NA</v>
          </cell>
          <cell r="S945">
            <v>5</v>
          </cell>
        </row>
        <row r="946">
          <cell r="B946" t="str">
            <v>MNC</v>
          </cell>
          <cell r="C946" t="str">
            <v>HSLB14864</v>
          </cell>
          <cell r="D946">
            <v>204012</v>
          </cell>
          <cell r="E946" t="str">
            <v>Silla Visita</v>
          </cell>
          <cell r="F946" t="str">
            <v>NO</v>
          </cell>
          <cell r="G946" t="str">
            <v>NO</v>
          </cell>
          <cell r="H946" t="str">
            <v>SECRETARIA C/ARCHIVO, FOTOCOP.</v>
          </cell>
          <cell r="I946">
            <v>2</v>
          </cell>
          <cell r="J946" t="str">
            <v>D.2.1.1</v>
          </cell>
          <cell r="K946" t="str">
            <v>Administración y apoyo general</v>
          </cell>
          <cell r="L946">
            <v>3</v>
          </cell>
          <cell r="M946">
            <v>46031</v>
          </cell>
          <cell r="N946">
            <v>46034</v>
          </cell>
          <cell r="O946">
            <v>1</v>
          </cell>
          <cell r="P946">
            <v>46035</v>
          </cell>
          <cell r="Q946">
            <v>5</v>
          </cell>
          <cell r="R946" t="str">
            <v>NA</v>
          </cell>
          <cell r="S946">
            <v>5</v>
          </cell>
        </row>
        <row r="947">
          <cell r="B947" t="str">
            <v>MNC</v>
          </cell>
          <cell r="C947" t="str">
            <v>HSLB14459</v>
          </cell>
          <cell r="D947">
            <v>204006</v>
          </cell>
          <cell r="E947" t="str">
            <v>Silla Ergonómica</v>
          </cell>
          <cell r="F947" t="str">
            <v>NO</v>
          </cell>
          <cell r="G947" t="str">
            <v>NO</v>
          </cell>
          <cell r="H947" t="str">
            <v>OF. JEFE CR GESTIÓN LOGÍSTICA</v>
          </cell>
          <cell r="I947">
            <v>1</v>
          </cell>
          <cell r="J947" t="str">
            <v>D.2.1.2</v>
          </cell>
          <cell r="K947" t="str">
            <v>Administración y apoyo general</v>
          </cell>
          <cell r="L947">
            <v>3</v>
          </cell>
          <cell r="M947">
            <v>46031</v>
          </cell>
          <cell r="N947">
            <v>46034</v>
          </cell>
          <cell r="O947">
            <v>1</v>
          </cell>
          <cell r="P947">
            <v>46035</v>
          </cell>
          <cell r="Q947">
            <v>5</v>
          </cell>
          <cell r="R947" t="str">
            <v>NA</v>
          </cell>
          <cell r="S947">
            <v>5</v>
          </cell>
        </row>
        <row r="948">
          <cell r="B948" t="str">
            <v>MNC</v>
          </cell>
          <cell r="C948" t="str">
            <v>HSLB14865</v>
          </cell>
          <cell r="D948">
            <v>204012</v>
          </cell>
          <cell r="E948" t="str">
            <v>Silla Visita</v>
          </cell>
          <cell r="F948" t="str">
            <v>NO</v>
          </cell>
          <cell r="G948" t="str">
            <v>NO</v>
          </cell>
          <cell r="H948" t="str">
            <v>OF. JEFE CR GESTIÓN LOGÍSTICA</v>
          </cell>
          <cell r="I948">
            <v>4</v>
          </cell>
          <cell r="J948" t="str">
            <v>D.2.1.2</v>
          </cell>
          <cell r="K948" t="str">
            <v>Administración y apoyo general</v>
          </cell>
          <cell r="L948">
            <v>3</v>
          </cell>
          <cell r="M948">
            <v>46031</v>
          </cell>
          <cell r="N948">
            <v>46034</v>
          </cell>
          <cell r="O948">
            <v>1</v>
          </cell>
          <cell r="P948">
            <v>46035</v>
          </cell>
          <cell r="Q948">
            <v>5</v>
          </cell>
          <cell r="R948" t="str">
            <v>NA</v>
          </cell>
          <cell r="S948">
            <v>5</v>
          </cell>
        </row>
        <row r="949">
          <cell r="B949" t="str">
            <v>MNC</v>
          </cell>
          <cell r="C949" t="str">
            <v>HSLB14460</v>
          </cell>
          <cell r="D949">
            <v>204006</v>
          </cell>
          <cell r="E949" t="str">
            <v>Silla Ergonómica</v>
          </cell>
          <cell r="F949" t="str">
            <v>NO</v>
          </cell>
          <cell r="G949" t="str">
            <v>NO</v>
          </cell>
          <cell r="H949" t="str">
            <v>OFICINA MEDIOAMBIENTAL</v>
          </cell>
          <cell r="I949">
            <v>1</v>
          </cell>
          <cell r="J949" t="str">
            <v>D.2.1.3</v>
          </cell>
          <cell r="K949" t="str">
            <v>Administración y apoyo general</v>
          </cell>
          <cell r="L949">
            <v>3</v>
          </cell>
          <cell r="M949">
            <v>46031</v>
          </cell>
          <cell r="N949">
            <v>46034</v>
          </cell>
          <cell r="O949">
            <v>1</v>
          </cell>
          <cell r="P949">
            <v>46035</v>
          </cell>
          <cell r="Q949">
            <v>5</v>
          </cell>
          <cell r="R949" t="str">
            <v>NA</v>
          </cell>
          <cell r="S949">
            <v>5</v>
          </cell>
        </row>
        <row r="950">
          <cell r="B950" t="str">
            <v>MNC</v>
          </cell>
          <cell r="C950" t="str">
            <v>HSLB14866</v>
          </cell>
          <cell r="D950">
            <v>204012</v>
          </cell>
          <cell r="E950" t="str">
            <v>Silla Visita</v>
          </cell>
          <cell r="F950" t="str">
            <v>NO</v>
          </cell>
          <cell r="G950" t="str">
            <v>NO</v>
          </cell>
          <cell r="H950" t="str">
            <v>OFICINA MEDIOAMBIENTAL</v>
          </cell>
          <cell r="I950">
            <v>2</v>
          </cell>
          <cell r="J950" t="str">
            <v>D.2.1.3</v>
          </cell>
          <cell r="K950" t="str">
            <v>Administración y apoyo general</v>
          </cell>
          <cell r="L950">
            <v>3</v>
          </cell>
          <cell r="M950">
            <v>46031</v>
          </cell>
          <cell r="N950">
            <v>46034</v>
          </cell>
          <cell r="O950">
            <v>1</v>
          </cell>
          <cell r="P950">
            <v>46035</v>
          </cell>
          <cell r="Q950">
            <v>5</v>
          </cell>
          <cell r="R950" t="str">
            <v>NA</v>
          </cell>
          <cell r="S950">
            <v>5</v>
          </cell>
        </row>
        <row r="951">
          <cell r="B951" t="str">
            <v>MNC</v>
          </cell>
          <cell r="C951" t="str">
            <v>HSLB14461</v>
          </cell>
          <cell r="D951">
            <v>204006</v>
          </cell>
          <cell r="E951" t="str">
            <v>Silla Ergonómica</v>
          </cell>
          <cell r="F951" t="str">
            <v>NO</v>
          </cell>
          <cell r="G951" t="str">
            <v>NO</v>
          </cell>
          <cell r="H951" t="str">
            <v>SECRETARIA C/ARCHIVO, FOTOCOP.</v>
          </cell>
          <cell r="I951">
            <v>1</v>
          </cell>
          <cell r="J951" t="str">
            <v>D.2.2.1.1</v>
          </cell>
          <cell r="K951" t="str">
            <v>Mantenimiento</v>
          </cell>
          <cell r="L951">
            <v>3</v>
          </cell>
          <cell r="M951">
            <v>46044</v>
          </cell>
          <cell r="N951">
            <v>46045</v>
          </cell>
          <cell r="O951">
            <v>3</v>
          </cell>
          <cell r="P951">
            <v>46050</v>
          </cell>
          <cell r="Q951">
            <v>5</v>
          </cell>
          <cell r="R951" t="str">
            <v>NA</v>
          </cell>
          <cell r="S951">
            <v>5</v>
          </cell>
        </row>
        <row r="952">
          <cell r="B952" t="str">
            <v>MNC</v>
          </cell>
          <cell r="C952" t="str">
            <v>HSLB14867</v>
          </cell>
          <cell r="D952">
            <v>204012</v>
          </cell>
          <cell r="E952" t="str">
            <v>Silla Visita</v>
          </cell>
          <cell r="F952" t="str">
            <v>NO</v>
          </cell>
          <cell r="G952" t="str">
            <v>NO</v>
          </cell>
          <cell r="H952" t="str">
            <v>SECRETARIA C/ARCHIVO, FOTOCOP.</v>
          </cell>
          <cell r="I952">
            <v>2</v>
          </cell>
          <cell r="J952" t="str">
            <v>D.2.2.1.1</v>
          </cell>
          <cell r="K952" t="str">
            <v>Mantenimiento</v>
          </cell>
          <cell r="L952">
            <v>3</v>
          </cell>
          <cell r="M952">
            <v>46044</v>
          </cell>
          <cell r="N952">
            <v>46045</v>
          </cell>
          <cell r="O952">
            <v>3</v>
          </cell>
          <cell r="P952">
            <v>46050</v>
          </cell>
          <cell r="Q952">
            <v>5</v>
          </cell>
          <cell r="R952" t="str">
            <v>NA</v>
          </cell>
          <cell r="S952">
            <v>5</v>
          </cell>
        </row>
        <row r="953">
          <cell r="B953" t="str">
            <v>MNC</v>
          </cell>
          <cell r="C953" t="str">
            <v>HSLB14462</v>
          </cell>
          <cell r="D953">
            <v>204006</v>
          </cell>
          <cell r="E953" t="str">
            <v>Silla Ergonómica</v>
          </cell>
          <cell r="F953" t="str">
            <v>NO</v>
          </cell>
          <cell r="G953" t="str">
            <v>NO</v>
          </cell>
          <cell r="H953" t="str">
            <v>OF. JEFE SERV. GENERALES</v>
          </cell>
          <cell r="I953">
            <v>1</v>
          </cell>
          <cell r="J953" t="str">
            <v>D.2.2.1.2</v>
          </cell>
          <cell r="K953" t="str">
            <v>Mantenimiento</v>
          </cell>
          <cell r="L953">
            <v>3</v>
          </cell>
          <cell r="M953">
            <v>46044</v>
          </cell>
          <cell r="N953">
            <v>46045</v>
          </cell>
          <cell r="O953">
            <v>3</v>
          </cell>
          <cell r="P953">
            <v>46050</v>
          </cell>
          <cell r="Q953">
            <v>5</v>
          </cell>
          <cell r="R953" t="str">
            <v>NA</v>
          </cell>
          <cell r="S953">
            <v>5</v>
          </cell>
        </row>
        <row r="954">
          <cell r="B954" t="str">
            <v>MNC</v>
          </cell>
          <cell r="C954" t="str">
            <v>HSLB14868</v>
          </cell>
          <cell r="D954">
            <v>204012</v>
          </cell>
          <cell r="E954" t="str">
            <v>Silla Visita</v>
          </cell>
          <cell r="F954" t="str">
            <v>NO</v>
          </cell>
          <cell r="G954" t="str">
            <v>NO</v>
          </cell>
          <cell r="H954" t="str">
            <v>OF. JEFE SERV. GENERALES</v>
          </cell>
          <cell r="I954">
            <v>4</v>
          </cell>
          <cell r="J954" t="str">
            <v>D.2.2.1.2</v>
          </cell>
          <cell r="K954" t="str">
            <v>Mantenimiento</v>
          </cell>
          <cell r="L954">
            <v>3</v>
          </cell>
          <cell r="M954">
            <v>46044</v>
          </cell>
          <cell r="N954">
            <v>46045</v>
          </cell>
          <cell r="O954">
            <v>3</v>
          </cell>
          <cell r="P954">
            <v>46050</v>
          </cell>
          <cell r="Q954">
            <v>5</v>
          </cell>
          <cell r="R954" t="str">
            <v>NA</v>
          </cell>
          <cell r="S954">
            <v>5</v>
          </cell>
        </row>
        <row r="955">
          <cell r="B955" t="str">
            <v>MNC</v>
          </cell>
          <cell r="C955" t="str">
            <v>HSLB14477</v>
          </cell>
          <cell r="D955">
            <v>204006</v>
          </cell>
          <cell r="E955" t="str">
            <v>Silla Ergonómica</v>
          </cell>
          <cell r="F955" t="str">
            <v>NO</v>
          </cell>
          <cell r="G955" t="str">
            <v>NO</v>
          </cell>
          <cell r="H955" t="str">
            <v>COORDINADOR EQUIPOS MÉDICOS</v>
          </cell>
          <cell r="I955">
            <v>1</v>
          </cell>
          <cell r="J955" t="str">
            <v>D.2.3.1</v>
          </cell>
          <cell r="K955" t="str">
            <v>Mantenimiento</v>
          </cell>
          <cell r="L955">
            <v>3</v>
          </cell>
          <cell r="M955">
            <v>46044</v>
          </cell>
          <cell r="N955">
            <v>46045</v>
          </cell>
          <cell r="O955">
            <v>3</v>
          </cell>
          <cell r="P955">
            <v>46050</v>
          </cell>
          <cell r="Q955">
            <v>5</v>
          </cell>
          <cell r="R955" t="str">
            <v>NA</v>
          </cell>
          <cell r="S955">
            <v>5</v>
          </cell>
        </row>
        <row r="956">
          <cell r="B956" t="str">
            <v>MNC</v>
          </cell>
          <cell r="C956" t="str">
            <v>HSLB14873</v>
          </cell>
          <cell r="D956">
            <v>204012</v>
          </cell>
          <cell r="E956" t="str">
            <v>Silla Visita</v>
          </cell>
          <cell r="F956" t="str">
            <v>NO</v>
          </cell>
          <cell r="G956" t="str">
            <v>NO</v>
          </cell>
          <cell r="H956" t="str">
            <v>COORDINADOR EQUIPOS MÉDICOS</v>
          </cell>
          <cell r="I956">
            <v>2</v>
          </cell>
          <cell r="J956" t="str">
            <v>D.2.3.1</v>
          </cell>
          <cell r="K956" t="str">
            <v>Mantenimiento</v>
          </cell>
          <cell r="L956">
            <v>3</v>
          </cell>
          <cell r="M956">
            <v>46044</v>
          </cell>
          <cell r="N956">
            <v>46045</v>
          </cell>
          <cell r="O956">
            <v>3</v>
          </cell>
          <cell r="P956">
            <v>46050</v>
          </cell>
          <cell r="Q956">
            <v>5</v>
          </cell>
          <cell r="R956" t="str">
            <v>NA</v>
          </cell>
          <cell r="S956">
            <v>5</v>
          </cell>
        </row>
        <row r="957">
          <cell r="B957" t="str">
            <v>MNC</v>
          </cell>
          <cell r="C957" t="str">
            <v>HSLB14478</v>
          </cell>
          <cell r="D957">
            <v>204006</v>
          </cell>
          <cell r="E957" t="str">
            <v>Silla Ergonómica</v>
          </cell>
          <cell r="F957" t="str">
            <v>NO</v>
          </cell>
          <cell r="G957" t="str">
            <v>NO</v>
          </cell>
          <cell r="H957" t="str">
            <v>MÓDULO DE TRABAJO INGENIERO</v>
          </cell>
          <cell r="I957">
            <v>1</v>
          </cell>
          <cell r="J957" t="str">
            <v>D.2.3.2</v>
          </cell>
          <cell r="K957" t="str">
            <v>Mantenimiento</v>
          </cell>
          <cell r="L957">
            <v>3</v>
          </cell>
          <cell r="M957">
            <v>46044</v>
          </cell>
          <cell r="N957">
            <v>46045</v>
          </cell>
          <cell r="O957">
            <v>3</v>
          </cell>
          <cell r="P957">
            <v>46050</v>
          </cell>
          <cell r="Q957">
            <v>5</v>
          </cell>
          <cell r="R957" t="str">
            <v>NA</v>
          </cell>
          <cell r="S957">
            <v>5</v>
          </cell>
        </row>
        <row r="958">
          <cell r="B958" t="str">
            <v>MNC</v>
          </cell>
          <cell r="C958" t="str">
            <v>HSLB14874</v>
          </cell>
          <cell r="D958">
            <v>204012</v>
          </cell>
          <cell r="E958" t="str">
            <v>Silla Visita</v>
          </cell>
          <cell r="F958" t="str">
            <v>NO</v>
          </cell>
          <cell r="G958" t="str">
            <v>NO</v>
          </cell>
          <cell r="H958" t="str">
            <v>MÓDULO DE TRABAJO INGENIERO</v>
          </cell>
          <cell r="I958">
            <v>2</v>
          </cell>
          <cell r="J958" t="str">
            <v>D.2.3.2</v>
          </cell>
          <cell r="K958" t="str">
            <v>Mantenimiento</v>
          </cell>
          <cell r="L958">
            <v>3</v>
          </cell>
          <cell r="M958">
            <v>46044</v>
          </cell>
          <cell r="N958">
            <v>46045</v>
          </cell>
          <cell r="O958">
            <v>3</v>
          </cell>
          <cell r="P958">
            <v>46050</v>
          </cell>
          <cell r="Q958">
            <v>5</v>
          </cell>
          <cell r="R958" t="str">
            <v>NA</v>
          </cell>
          <cell r="S958">
            <v>5</v>
          </cell>
        </row>
        <row r="959">
          <cell r="B959" t="str">
            <v>MNC</v>
          </cell>
          <cell r="C959" t="str">
            <v>HSLB14479</v>
          </cell>
          <cell r="D959">
            <v>204006</v>
          </cell>
          <cell r="E959" t="str">
            <v>Silla Ergonómica</v>
          </cell>
          <cell r="F959" t="str">
            <v>NO</v>
          </cell>
          <cell r="G959" t="str">
            <v>NO</v>
          </cell>
          <cell r="H959" t="str">
            <v>SECRETARIA C/ARCHIVO, FOTOCOP.</v>
          </cell>
          <cell r="I959">
            <v>1</v>
          </cell>
          <cell r="J959" t="str">
            <v>D.2.3.3</v>
          </cell>
          <cell r="K959" t="str">
            <v>Mantenimiento</v>
          </cell>
          <cell r="L959">
            <v>3</v>
          </cell>
          <cell r="M959">
            <v>46044</v>
          </cell>
          <cell r="N959">
            <v>46045</v>
          </cell>
          <cell r="O959">
            <v>3</v>
          </cell>
          <cell r="P959">
            <v>46050</v>
          </cell>
          <cell r="Q959">
            <v>5</v>
          </cell>
          <cell r="R959" t="str">
            <v>NA</v>
          </cell>
          <cell r="S959">
            <v>5</v>
          </cell>
        </row>
        <row r="960">
          <cell r="B960" t="str">
            <v>MNC</v>
          </cell>
          <cell r="C960" t="str">
            <v>HSLB14875</v>
          </cell>
          <cell r="D960">
            <v>204012</v>
          </cell>
          <cell r="E960" t="str">
            <v>Silla Visita</v>
          </cell>
          <cell r="F960" t="str">
            <v>NO</v>
          </cell>
          <cell r="G960" t="str">
            <v>NO</v>
          </cell>
          <cell r="H960" t="str">
            <v>SECRETARIA C/ARCHIVO, FOTOCOP.</v>
          </cell>
          <cell r="I960">
            <v>2</v>
          </cell>
          <cell r="J960" t="str">
            <v>D.2.3.3</v>
          </cell>
          <cell r="K960" t="str">
            <v>Mantenimiento</v>
          </cell>
          <cell r="L960">
            <v>3</v>
          </cell>
          <cell r="M960">
            <v>46044</v>
          </cell>
          <cell r="N960">
            <v>46045</v>
          </cell>
          <cell r="O960">
            <v>3</v>
          </cell>
          <cell r="P960">
            <v>46050</v>
          </cell>
          <cell r="Q960">
            <v>5</v>
          </cell>
          <cell r="R960" t="str">
            <v>NA</v>
          </cell>
          <cell r="S960">
            <v>5</v>
          </cell>
        </row>
        <row r="961">
          <cell r="B961" t="str">
            <v>MNC</v>
          </cell>
          <cell r="C961" t="str">
            <v>HSLB14480</v>
          </cell>
          <cell r="D961">
            <v>204006</v>
          </cell>
          <cell r="E961" t="str">
            <v>Silla Ergonómica</v>
          </cell>
          <cell r="F961" t="str">
            <v>NO</v>
          </cell>
          <cell r="G961" t="str">
            <v>NO</v>
          </cell>
          <cell r="H961" t="str">
            <v>TALLER DE MANTENIMIENTO EQUIP. MÉDICOS</v>
          </cell>
          <cell r="I961">
            <v>4</v>
          </cell>
          <cell r="J961" t="str">
            <v>D.2.3.4</v>
          </cell>
          <cell r="K961" t="str">
            <v>Mantenimiento</v>
          </cell>
          <cell r="L961">
            <v>3</v>
          </cell>
          <cell r="M961">
            <v>46044</v>
          </cell>
          <cell r="N961">
            <v>46045</v>
          </cell>
          <cell r="O961">
            <v>3</v>
          </cell>
          <cell r="P961">
            <v>46050</v>
          </cell>
          <cell r="Q961">
            <v>5</v>
          </cell>
          <cell r="R961" t="str">
            <v>NA</v>
          </cell>
          <cell r="S961">
            <v>5</v>
          </cell>
        </row>
        <row r="962">
          <cell r="B962" t="str">
            <v>MNC</v>
          </cell>
          <cell r="C962" t="str">
            <v>HSLB14481</v>
          </cell>
          <cell r="D962">
            <v>204006</v>
          </cell>
          <cell r="E962" t="str">
            <v>Silla Ergonómica</v>
          </cell>
          <cell r="F962" t="str">
            <v>NO</v>
          </cell>
          <cell r="G962" t="str">
            <v>NO</v>
          </cell>
          <cell r="H962" t="str">
            <v>ÁREA DE RECEP. Y ENTREGA EQUIP. MÉDICO</v>
          </cell>
          <cell r="I962">
            <v>1</v>
          </cell>
          <cell r="J962" t="str">
            <v>D.2.3.8</v>
          </cell>
          <cell r="K962" t="str">
            <v>Mantenimiento</v>
          </cell>
          <cell r="L962">
            <v>3</v>
          </cell>
          <cell r="M962">
            <v>46044</v>
          </cell>
          <cell r="N962">
            <v>46045</v>
          </cell>
          <cell r="O962">
            <v>3</v>
          </cell>
          <cell r="P962">
            <v>46050</v>
          </cell>
          <cell r="Q962">
            <v>5</v>
          </cell>
          <cell r="R962" t="str">
            <v>NA</v>
          </cell>
          <cell r="S962">
            <v>5</v>
          </cell>
        </row>
        <row r="963">
          <cell r="B963" t="str">
            <v>MNC</v>
          </cell>
          <cell r="C963" t="str">
            <v>HSLB14879</v>
          </cell>
          <cell r="D963">
            <v>204012</v>
          </cell>
          <cell r="E963" t="str">
            <v>Silla Visita</v>
          </cell>
          <cell r="F963" t="str">
            <v>NO</v>
          </cell>
          <cell r="G963" t="str">
            <v>NO</v>
          </cell>
          <cell r="H963" t="str">
            <v>SALA DE REUNIONES (20 ppm)</v>
          </cell>
          <cell r="I963">
            <v>15</v>
          </cell>
          <cell r="J963" t="str">
            <v>D.2.5.1</v>
          </cell>
          <cell r="K963" t="str">
            <v>Mantenimiento</v>
          </cell>
          <cell r="L963">
            <v>3</v>
          </cell>
          <cell r="M963">
            <v>46044</v>
          </cell>
          <cell r="N963">
            <v>46045</v>
          </cell>
          <cell r="O963">
            <v>3</v>
          </cell>
          <cell r="P963">
            <v>46050</v>
          </cell>
          <cell r="Q963">
            <v>5</v>
          </cell>
          <cell r="R963" t="str">
            <v>NA</v>
          </cell>
          <cell r="S963">
            <v>5</v>
          </cell>
        </row>
        <row r="964">
          <cell r="B964" t="str">
            <v>MNC</v>
          </cell>
          <cell r="C964" t="str">
            <v>HSLB15433</v>
          </cell>
          <cell r="D964">
            <v>204002</v>
          </cell>
          <cell r="E964" t="str">
            <v>Banca Madera</v>
          </cell>
          <cell r="F964" t="str">
            <v>NO</v>
          </cell>
          <cell r="G964" t="str">
            <v>NO</v>
          </cell>
          <cell r="H964" t="str">
            <v>VESTIDOR C/DUCHA Y LOCKERS</v>
          </cell>
          <cell r="I964">
            <v>1</v>
          </cell>
          <cell r="J964" t="str">
            <v>D.2.5.4.1</v>
          </cell>
          <cell r="K964" t="str">
            <v>Mantenimiento</v>
          </cell>
          <cell r="L964">
            <v>3</v>
          </cell>
          <cell r="M964">
            <v>46044</v>
          </cell>
          <cell r="N964">
            <v>46045</v>
          </cell>
          <cell r="O964">
            <v>3</v>
          </cell>
          <cell r="P964">
            <v>46050</v>
          </cell>
          <cell r="Q964">
            <v>5</v>
          </cell>
          <cell r="R964" t="str">
            <v>NA</v>
          </cell>
          <cell r="S964">
            <v>5</v>
          </cell>
        </row>
        <row r="965">
          <cell r="B965" t="str">
            <v>MNC</v>
          </cell>
          <cell r="C965" t="str">
            <v>HSLB15434</v>
          </cell>
          <cell r="D965">
            <v>204002</v>
          </cell>
          <cell r="E965" t="str">
            <v>Banca Madera</v>
          </cell>
          <cell r="F965" t="str">
            <v>NO</v>
          </cell>
          <cell r="G965" t="str">
            <v>NO</v>
          </cell>
          <cell r="H965" t="str">
            <v>VESTIDOR C/DUCHA Y LOCKERS</v>
          </cell>
          <cell r="I965">
            <v>1</v>
          </cell>
          <cell r="J965" t="str">
            <v>D.2.5.4.2</v>
          </cell>
          <cell r="K965" t="str">
            <v>Mantenimiento</v>
          </cell>
          <cell r="L965">
            <v>3</v>
          </cell>
          <cell r="M965">
            <v>46044</v>
          </cell>
          <cell r="N965">
            <v>46045</v>
          </cell>
          <cell r="O965">
            <v>3</v>
          </cell>
          <cell r="P965">
            <v>46050</v>
          </cell>
          <cell r="Q965">
            <v>5</v>
          </cell>
          <cell r="R965" t="str">
            <v>NA</v>
          </cell>
          <cell r="S965">
            <v>5</v>
          </cell>
        </row>
        <row r="966">
          <cell r="B966" t="str">
            <v>MNC</v>
          </cell>
          <cell r="C966" t="str">
            <v>HSLB14490</v>
          </cell>
          <cell r="D966">
            <v>204006</v>
          </cell>
          <cell r="E966" t="str">
            <v>Silla Ergonómica</v>
          </cell>
          <cell r="F966" t="str">
            <v>NO</v>
          </cell>
          <cell r="G966" t="str">
            <v>NO</v>
          </cell>
          <cell r="H966" t="str">
            <v>SECRETARÍA C/ARCHIVO Y FOTOCOPIADORA</v>
          </cell>
          <cell r="I966">
            <v>1</v>
          </cell>
          <cell r="J966" t="str">
            <v>D.3.1.1.1</v>
          </cell>
          <cell r="K966" t="str">
            <v>Administración y apoyo general</v>
          </cell>
          <cell r="L966">
            <v>3</v>
          </cell>
          <cell r="M966">
            <v>46031</v>
          </cell>
          <cell r="N966">
            <v>46034</v>
          </cell>
          <cell r="O966">
            <v>1</v>
          </cell>
          <cell r="P966">
            <v>46035</v>
          </cell>
          <cell r="Q966">
            <v>5</v>
          </cell>
          <cell r="R966" t="str">
            <v>NA</v>
          </cell>
          <cell r="S966">
            <v>5</v>
          </cell>
        </row>
        <row r="967">
          <cell r="B967" t="str">
            <v>MNC</v>
          </cell>
          <cell r="C967" t="str">
            <v>HSLB14880</v>
          </cell>
          <cell r="D967">
            <v>204012</v>
          </cell>
          <cell r="E967" t="str">
            <v>Silla Visita</v>
          </cell>
          <cell r="F967" t="str">
            <v>NO</v>
          </cell>
          <cell r="G967" t="str">
            <v>NO</v>
          </cell>
          <cell r="H967" t="str">
            <v>SECRETARÍA C/ARCHIVO Y FOTOCOPIADORA</v>
          </cell>
          <cell r="I967">
            <v>2</v>
          </cell>
          <cell r="J967" t="str">
            <v>D.3.1.1.1</v>
          </cell>
          <cell r="K967" t="str">
            <v>Administración y apoyo general</v>
          </cell>
          <cell r="L967">
            <v>3</v>
          </cell>
          <cell r="M967">
            <v>46031</v>
          </cell>
          <cell r="N967">
            <v>46034</v>
          </cell>
          <cell r="O967">
            <v>1</v>
          </cell>
          <cell r="P967">
            <v>46035</v>
          </cell>
          <cell r="Q967">
            <v>5</v>
          </cell>
          <cell r="R967" t="str">
            <v>NA</v>
          </cell>
          <cell r="S967">
            <v>5</v>
          </cell>
        </row>
        <row r="968">
          <cell r="B968" t="str">
            <v>MNC</v>
          </cell>
          <cell r="C968" t="str">
            <v>HSLB14492</v>
          </cell>
          <cell r="D968">
            <v>204006</v>
          </cell>
          <cell r="E968" t="str">
            <v>Silla Ergonómica</v>
          </cell>
          <cell r="F968" t="str">
            <v>NO</v>
          </cell>
          <cell r="G968" t="str">
            <v>NO</v>
          </cell>
          <cell r="H968" t="str">
            <v>OFICINA JEFE DE FINANZAS</v>
          </cell>
          <cell r="I968">
            <v>1</v>
          </cell>
          <cell r="J968" t="str">
            <v>D.3.1.2</v>
          </cell>
          <cell r="K968" t="str">
            <v>Administración y apoyo general</v>
          </cell>
          <cell r="L968">
            <v>3</v>
          </cell>
          <cell r="M968">
            <v>46031</v>
          </cell>
          <cell r="N968">
            <v>46034</v>
          </cell>
          <cell r="O968">
            <v>1</v>
          </cell>
          <cell r="P968">
            <v>46035</v>
          </cell>
          <cell r="Q968">
            <v>5</v>
          </cell>
          <cell r="R968" t="str">
            <v>NA</v>
          </cell>
          <cell r="S968">
            <v>5</v>
          </cell>
        </row>
        <row r="969">
          <cell r="B969" t="str">
            <v>MNC</v>
          </cell>
          <cell r="C969" t="str">
            <v>HSLB14882</v>
          </cell>
          <cell r="D969">
            <v>204012</v>
          </cell>
          <cell r="E969" t="str">
            <v>Silla Visita</v>
          </cell>
          <cell r="F969" t="str">
            <v>NO</v>
          </cell>
          <cell r="G969" t="str">
            <v>NO</v>
          </cell>
          <cell r="H969" t="str">
            <v>OFICINA JEFE DE FINANZAS</v>
          </cell>
          <cell r="I969">
            <v>4</v>
          </cell>
          <cell r="J969" t="str">
            <v>D.3.1.2</v>
          </cell>
          <cell r="K969" t="str">
            <v>Administración y apoyo general</v>
          </cell>
          <cell r="L969">
            <v>3</v>
          </cell>
          <cell r="M969">
            <v>46031</v>
          </cell>
          <cell r="N969">
            <v>46034</v>
          </cell>
          <cell r="O969">
            <v>1</v>
          </cell>
          <cell r="P969">
            <v>46035</v>
          </cell>
          <cell r="Q969">
            <v>5</v>
          </cell>
          <cell r="R969" t="str">
            <v>NA</v>
          </cell>
          <cell r="S969">
            <v>5</v>
          </cell>
        </row>
        <row r="970">
          <cell r="B970" t="str">
            <v>MNC</v>
          </cell>
          <cell r="C970" t="str">
            <v>HSLB14494</v>
          </cell>
          <cell r="D970">
            <v>204006</v>
          </cell>
          <cell r="E970" t="str">
            <v>Silla Ergonómica</v>
          </cell>
          <cell r="F970" t="str">
            <v>NO</v>
          </cell>
          <cell r="G970" t="str">
            <v>NO</v>
          </cell>
          <cell r="H970" t="str">
            <v>COORDINADOR CONTABILIDAD Y PRESUPUESTO</v>
          </cell>
          <cell r="I970">
            <v>2</v>
          </cell>
          <cell r="J970" t="str">
            <v>D.3.2.1.1</v>
          </cell>
          <cell r="K970" t="str">
            <v>Administración y apoyo general</v>
          </cell>
          <cell r="L970">
            <v>3</v>
          </cell>
          <cell r="M970">
            <v>46031</v>
          </cell>
          <cell r="N970">
            <v>46034</v>
          </cell>
          <cell r="O970">
            <v>1</v>
          </cell>
          <cell r="P970">
            <v>46035</v>
          </cell>
          <cell r="Q970">
            <v>5</v>
          </cell>
          <cell r="R970" t="str">
            <v>NA</v>
          </cell>
          <cell r="S970">
            <v>5</v>
          </cell>
        </row>
        <row r="971">
          <cell r="B971" t="str">
            <v>MNC</v>
          </cell>
          <cell r="C971" t="str">
            <v>HSLB14884</v>
          </cell>
          <cell r="D971">
            <v>204012</v>
          </cell>
          <cell r="E971" t="str">
            <v>Silla Visita</v>
          </cell>
          <cell r="F971" t="str">
            <v>NO</v>
          </cell>
          <cell r="G971" t="str">
            <v>NO</v>
          </cell>
          <cell r="H971" t="str">
            <v>COORDINADOR CONTABILIDAD Y PRESUPUESTO</v>
          </cell>
          <cell r="I971">
            <v>4</v>
          </cell>
          <cell r="J971" t="str">
            <v>D.3.2.1.1</v>
          </cell>
          <cell r="K971" t="str">
            <v>Administración y apoyo general</v>
          </cell>
          <cell r="L971">
            <v>3</v>
          </cell>
          <cell r="M971">
            <v>46031</v>
          </cell>
          <cell r="N971">
            <v>46034</v>
          </cell>
          <cell r="O971">
            <v>1</v>
          </cell>
          <cell r="P971">
            <v>46035</v>
          </cell>
          <cell r="Q971">
            <v>5</v>
          </cell>
          <cell r="R971" t="str">
            <v>NA</v>
          </cell>
          <cell r="S971">
            <v>5</v>
          </cell>
        </row>
        <row r="972">
          <cell r="B972" t="str">
            <v>MNC</v>
          </cell>
          <cell r="C972" t="str">
            <v>HSLB14495</v>
          </cell>
          <cell r="D972">
            <v>204006</v>
          </cell>
          <cell r="E972" t="str">
            <v>Silla Ergonómica</v>
          </cell>
          <cell r="F972" t="str">
            <v>NO</v>
          </cell>
          <cell r="G972" t="str">
            <v>SI</v>
          </cell>
          <cell r="H972" t="str">
            <v>MÓDULOS DE TRABAJO (control activos y existencia)</v>
          </cell>
          <cell r="I972">
            <v>6</v>
          </cell>
          <cell r="J972" t="str">
            <v>D.3.2.1.2</v>
          </cell>
          <cell r="K972" t="str">
            <v>Administración y apoyo general</v>
          </cell>
          <cell r="L972">
            <v>3</v>
          </cell>
          <cell r="M972">
            <v>46003</v>
          </cell>
          <cell r="N972">
            <v>46006</v>
          </cell>
          <cell r="O972">
            <v>1</v>
          </cell>
          <cell r="P972">
            <v>46007</v>
          </cell>
          <cell r="Q972">
            <v>5</v>
          </cell>
          <cell r="R972" t="str">
            <v>NA</v>
          </cell>
          <cell r="S972">
            <v>5</v>
          </cell>
        </row>
        <row r="973">
          <cell r="B973" t="str">
            <v>MNC</v>
          </cell>
          <cell r="C973" t="str">
            <v>HSLB14885</v>
          </cell>
          <cell r="D973">
            <v>204012</v>
          </cell>
          <cell r="E973" t="str">
            <v>Silla Visita</v>
          </cell>
          <cell r="F973" t="str">
            <v>NO</v>
          </cell>
          <cell r="G973" t="str">
            <v>SI</v>
          </cell>
          <cell r="H973" t="str">
            <v>MÓDULOS DE TRABAJO (control activos y existencia)</v>
          </cell>
          <cell r="I973">
            <v>6</v>
          </cell>
          <cell r="J973" t="str">
            <v>D.3.2.1.2</v>
          </cell>
          <cell r="K973" t="str">
            <v>Administración y apoyo general</v>
          </cell>
          <cell r="L973">
            <v>3</v>
          </cell>
          <cell r="M973">
            <v>46003</v>
          </cell>
          <cell r="N973">
            <v>46006</v>
          </cell>
          <cell r="O973">
            <v>1</v>
          </cell>
          <cell r="P973">
            <v>46007</v>
          </cell>
          <cell r="Q973">
            <v>5</v>
          </cell>
          <cell r="R973" t="str">
            <v>NA</v>
          </cell>
          <cell r="S973">
            <v>5</v>
          </cell>
        </row>
        <row r="974">
          <cell r="B974" t="str">
            <v>MNC</v>
          </cell>
          <cell r="C974" t="str">
            <v>HSLB14496</v>
          </cell>
          <cell r="D974">
            <v>204006</v>
          </cell>
          <cell r="E974" t="str">
            <v>Silla Ergonómica</v>
          </cell>
          <cell r="F974" t="str">
            <v>NO</v>
          </cell>
          <cell r="G974" t="str">
            <v>NO</v>
          </cell>
          <cell r="H974" t="str">
            <v>MÓDULO DE TRABAJO (presupuesto)</v>
          </cell>
          <cell r="I974">
            <v>1</v>
          </cell>
          <cell r="J974" t="str">
            <v>D.3.2.1.3</v>
          </cell>
          <cell r="K974" t="str">
            <v>Administración y apoyo general</v>
          </cell>
          <cell r="L974">
            <v>3</v>
          </cell>
          <cell r="M974">
            <v>46031</v>
          </cell>
          <cell r="N974">
            <v>46034</v>
          </cell>
          <cell r="O974">
            <v>1</v>
          </cell>
          <cell r="P974">
            <v>46035</v>
          </cell>
          <cell r="Q974">
            <v>5</v>
          </cell>
          <cell r="R974" t="str">
            <v>NA</v>
          </cell>
          <cell r="S974">
            <v>5</v>
          </cell>
        </row>
        <row r="975">
          <cell r="B975" t="str">
            <v>MNC</v>
          </cell>
          <cell r="C975" t="str">
            <v>HSLB14886</v>
          </cell>
          <cell r="D975">
            <v>204012</v>
          </cell>
          <cell r="E975" t="str">
            <v>Silla Visita</v>
          </cell>
          <cell r="F975" t="str">
            <v>NO</v>
          </cell>
          <cell r="G975" t="str">
            <v>NO</v>
          </cell>
          <cell r="H975" t="str">
            <v>MÓDULO DE TRABAJO (presupuesto)</v>
          </cell>
          <cell r="I975">
            <v>2</v>
          </cell>
          <cell r="J975" t="str">
            <v>D.3.2.1.3</v>
          </cell>
          <cell r="K975" t="str">
            <v>Administración y apoyo general</v>
          </cell>
          <cell r="L975">
            <v>3</v>
          </cell>
          <cell r="M975">
            <v>46031</v>
          </cell>
          <cell r="N975">
            <v>46034</v>
          </cell>
          <cell r="O975">
            <v>1</v>
          </cell>
          <cell r="P975">
            <v>46035</v>
          </cell>
          <cell r="Q975">
            <v>5</v>
          </cell>
          <cell r="R975" t="str">
            <v>NA</v>
          </cell>
          <cell r="S975">
            <v>5</v>
          </cell>
        </row>
        <row r="976">
          <cell r="B976" t="str">
            <v>MNC</v>
          </cell>
          <cell r="C976" t="str">
            <v>HSLB14497</v>
          </cell>
          <cell r="D976">
            <v>204006</v>
          </cell>
          <cell r="E976" t="str">
            <v>Silla Ergonómica</v>
          </cell>
          <cell r="F976" t="str">
            <v>NO</v>
          </cell>
          <cell r="G976" t="str">
            <v>NO</v>
          </cell>
          <cell r="H976" t="str">
            <v>MÓDULO DE TRABAJO (gestión financiera)</v>
          </cell>
          <cell r="I976">
            <v>1</v>
          </cell>
          <cell r="J976" t="str">
            <v>D.3.2.1.4</v>
          </cell>
          <cell r="K976" t="str">
            <v>Administración y apoyo general</v>
          </cell>
          <cell r="L976">
            <v>3</v>
          </cell>
          <cell r="M976">
            <v>46031</v>
          </cell>
          <cell r="N976">
            <v>46034</v>
          </cell>
          <cell r="O976">
            <v>1</v>
          </cell>
          <cell r="P976">
            <v>46035</v>
          </cell>
          <cell r="Q976">
            <v>5</v>
          </cell>
          <cell r="R976" t="str">
            <v>NA</v>
          </cell>
          <cell r="S976">
            <v>5</v>
          </cell>
        </row>
        <row r="977">
          <cell r="B977" t="str">
            <v>MNC</v>
          </cell>
          <cell r="C977" t="str">
            <v>HSLB14887</v>
          </cell>
          <cell r="D977">
            <v>204012</v>
          </cell>
          <cell r="E977" t="str">
            <v>Silla Visita</v>
          </cell>
          <cell r="F977" t="str">
            <v>NO</v>
          </cell>
          <cell r="G977" t="str">
            <v>NO</v>
          </cell>
          <cell r="H977" t="str">
            <v>MÓDULO DE TRABAJO (gestión financiera)</v>
          </cell>
          <cell r="I977">
            <v>2</v>
          </cell>
          <cell r="J977" t="str">
            <v>D.3.2.1.4</v>
          </cell>
          <cell r="K977" t="str">
            <v>Administración y apoyo general</v>
          </cell>
          <cell r="L977">
            <v>3</v>
          </cell>
          <cell r="M977">
            <v>46031</v>
          </cell>
          <cell r="N977">
            <v>46034</v>
          </cell>
          <cell r="O977">
            <v>1</v>
          </cell>
          <cell r="P977">
            <v>46035</v>
          </cell>
          <cell r="Q977">
            <v>5</v>
          </cell>
          <cell r="R977" t="str">
            <v>NA</v>
          </cell>
          <cell r="S977">
            <v>5</v>
          </cell>
        </row>
        <row r="978">
          <cell r="B978" t="str">
            <v>MNC</v>
          </cell>
          <cell r="C978" t="str">
            <v>HSLB15435</v>
          </cell>
          <cell r="D978">
            <v>204020</v>
          </cell>
          <cell r="E978" t="str">
            <v>Silla Butaca Espera 3 Cuerpos</v>
          </cell>
          <cell r="F978" t="str">
            <v>NO</v>
          </cell>
          <cell r="G978" t="str">
            <v>NO</v>
          </cell>
          <cell r="H978" t="str">
            <v>HALL DE ESPERA</v>
          </cell>
          <cell r="I978">
            <v>2</v>
          </cell>
          <cell r="J978" t="str">
            <v>D.3.2.2.1</v>
          </cell>
          <cell r="K978" t="str">
            <v>Administración y apoyo general</v>
          </cell>
          <cell r="L978">
            <v>3</v>
          </cell>
          <cell r="M978">
            <v>46031</v>
          </cell>
          <cell r="N978">
            <v>46034</v>
          </cell>
          <cell r="O978">
            <v>1</v>
          </cell>
          <cell r="P978">
            <v>46035</v>
          </cell>
          <cell r="Q978">
            <v>5</v>
          </cell>
          <cell r="R978" t="str">
            <v>NA</v>
          </cell>
          <cell r="S978">
            <v>5</v>
          </cell>
        </row>
        <row r="979">
          <cell r="B979" t="str">
            <v>MNC</v>
          </cell>
          <cell r="C979" t="str">
            <v>HSLB14498</v>
          </cell>
          <cell r="D979">
            <v>204006</v>
          </cell>
          <cell r="E979" t="str">
            <v>Silla Ergonómica</v>
          </cell>
          <cell r="F979" t="str">
            <v>NO</v>
          </cell>
          <cell r="G979" t="str">
            <v>NO</v>
          </cell>
          <cell r="H979" t="str">
            <v>COORDINADOR TESORERÍA</v>
          </cell>
          <cell r="I979">
            <v>1</v>
          </cell>
          <cell r="J979" t="str">
            <v>D.3.2.2.2</v>
          </cell>
          <cell r="K979" t="str">
            <v>Administración y apoyo general</v>
          </cell>
          <cell r="L979">
            <v>3</v>
          </cell>
          <cell r="M979">
            <v>46031</v>
          </cell>
          <cell r="N979">
            <v>46034</v>
          </cell>
          <cell r="O979">
            <v>1</v>
          </cell>
          <cell r="P979">
            <v>46035</v>
          </cell>
          <cell r="Q979">
            <v>5</v>
          </cell>
          <cell r="R979" t="str">
            <v>NA</v>
          </cell>
          <cell r="S979">
            <v>5</v>
          </cell>
        </row>
        <row r="980">
          <cell r="B980" t="str">
            <v>MNC</v>
          </cell>
          <cell r="C980" t="str">
            <v>HSLB14888</v>
          </cell>
          <cell r="D980">
            <v>204012</v>
          </cell>
          <cell r="E980" t="str">
            <v>Silla Visita</v>
          </cell>
          <cell r="F980" t="str">
            <v>NO</v>
          </cell>
          <cell r="G980" t="str">
            <v>NO</v>
          </cell>
          <cell r="H980" t="str">
            <v>COORDINADOR TESORERÍA</v>
          </cell>
          <cell r="I980">
            <v>2</v>
          </cell>
          <cell r="J980" t="str">
            <v>D.3.2.2.2</v>
          </cell>
          <cell r="K980" t="str">
            <v>Administración y apoyo general</v>
          </cell>
          <cell r="L980">
            <v>3</v>
          </cell>
          <cell r="M980">
            <v>46031</v>
          </cell>
          <cell r="N980">
            <v>46034</v>
          </cell>
          <cell r="O980">
            <v>1</v>
          </cell>
          <cell r="P980">
            <v>46035</v>
          </cell>
          <cell r="Q980">
            <v>5</v>
          </cell>
          <cell r="R980" t="str">
            <v>NA</v>
          </cell>
          <cell r="S980">
            <v>5</v>
          </cell>
        </row>
        <row r="981">
          <cell r="B981" t="str">
            <v>MNC</v>
          </cell>
          <cell r="C981" t="str">
            <v>HSLB14499</v>
          </cell>
          <cell r="D981">
            <v>204006</v>
          </cell>
          <cell r="E981" t="str">
            <v>Silla Ergonómica</v>
          </cell>
          <cell r="F981" t="str">
            <v>NO</v>
          </cell>
          <cell r="G981" t="str">
            <v>NO</v>
          </cell>
          <cell r="H981" t="str">
            <v>MÓDULOS DE TRABAJO (Caja central)</v>
          </cell>
          <cell r="I981">
            <v>2</v>
          </cell>
          <cell r="J981" t="str">
            <v>D.3.2.2.3</v>
          </cell>
          <cell r="K981" t="str">
            <v>Administración y apoyo general</v>
          </cell>
          <cell r="L981">
            <v>3</v>
          </cell>
          <cell r="M981">
            <v>46031</v>
          </cell>
          <cell r="N981">
            <v>46034</v>
          </cell>
          <cell r="O981">
            <v>1</v>
          </cell>
          <cell r="P981">
            <v>46035</v>
          </cell>
          <cell r="Q981">
            <v>5</v>
          </cell>
          <cell r="R981" t="str">
            <v>NA</v>
          </cell>
          <cell r="S981">
            <v>5</v>
          </cell>
        </row>
        <row r="982">
          <cell r="B982" t="str">
            <v>MNC</v>
          </cell>
          <cell r="C982" t="str">
            <v>HSLB14500</v>
          </cell>
          <cell r="D982">
            <v>204006</v>
          </cell>
          <cell r="E982" t="str">
            <v>Silla Ergonómica</v>
          </cell>
          <cell r="F982" t="str">
            <v>NO</v>
          </cell>
          <cell r="G982" t="str">
            <v>NO</v>
          </cell>
          <cell r="H982" t="str">
            <v>COORDINADOR FACTURACIÓN Y COBRANZA</v>
          </cell>
          <cell r="I982">
            <v>2</v>
          </cell>
          <cell r="J982" t="str">
            <v>D.3.2.3.1</v>
          </cell>
          <cell r="K982" t="str">
            <v>Administración y apoyo general</v>
          </cell>
          <cell r="L982">
            <v>3</v>
          </cell>
          <cell r="M982">
            <v>46031</v>
          </cell>
          <cell r="N982">
            <v>46034</v>
          </cell>
          <cell r="O982">
            <v>1</v>
          </cell>
          <cell r="P982">
            <v>46035</v>
          </cell>
          <cell r="Q982">
            <v>5</v>
          </cell>
          <cell r="R982" t="str">
            <v>NA</v>
          </cell>
          <cell r="S982">
            <v>5</v>
          </cell>
        </row>
        <row r="983">
          <cell r="B983" t="str">
            <v>MNC</v>
          </cell>
          <cell r="C983" t="str">
            <v>HSLB14889</v>
          </cell>
          <cell r="D983">
            <v>204012</v>
          </cell>
          <cell r="E983" t="str">
            <v>Silla Visita</v>
          </cell>
          <cell r="F983" t="str">
            <v>NO</v>
          </cell>
          <cell r="G983" t="str">
            <v>NO</v>
          </cell>
          <cell r="H983" t="str">
            <v>COORDINADOR FACTURACIÓN Y COBRANZA</v>
          </cell>
          <cell r="I983">
            <v>4</v>
          </cell>
          <cell r="J983" t="str">
            <v>D.3.2.3.1</v>
          </cell>
          <cell r="K983" t="str">
            <v>Administración y apoyo general</v>
          </cell>
          <cell r="L983">
            <v>3</v>
          </cell>
          <cell r="M983">
            <v>46031</v>
          </cell>
          <cell r="N983">
            <v>46034</v>
          </cell>
          <cell r="O983">
            <v>1</v>
          </cell>
          <cell r="P983">
            <v>46035</v>
          </cell>
          <cell r="Q983">
            <v>5</v>
          </cell>
          <cell r="R983" t="str">
            <v>NA</v>
          </cell>
          <cell r="S983">
            <v>5</v>
          </cell>
        </row>
        <row r="984">
          <cell r="B984" t="str">
            <v>MNC</v>
          </cell>
          <cell r="C984" t="str">
            <v>HSLB14501</v>
          </cell>
          <cell r="D984">
            <v>204006</v>
          </cell>
          <cell r="E984" t="str">
            <v>Silla Ergonómica</v>
          </cell>
          <cell r="F984" t="str">
            <v>NO</v>
          </cell>
          <cell r="G984" t="str">
            <v>NO</v>
          </cell>
          <cell r="H984" t="str">
            <v>MÓD. DE TRABAJO (facturación y cobranza)</v>
          </cell>
          <cell r="I984">
            <v>2</v>
          </cell>
          <cell r="J984" t="str">
            <v>D.3.2.3.2</v>
          </cell>
          <cell r="K984" t="str">
            <v>Administración y apoyo general</v>
          </cell>
          <cell r="L984">
            <v>3</v>
          </cell>
          <cell r="M984">
            <v>46031</v>
          </cell>
          <cell r="N984">
            <v>46034</v>
          </cell>
          <cell r="O984">
            <v>1</v>
          </cell>
          <cell r="P984">
            <v>46035</v>
          </cell>
          <cell r="Q984">
            <v>5</v>
          </cell>
          <cell r="R984" t="str">
            <v>NA</v>
          </cell>
          <cell r="S984">
            <v>5</v>
          </cell>
        </row>
        <row r="985">
          <cell r="B985" t="str">
            <v>MNC</v>
          </cell>
          <cell r="C985" t="str">
            <v>HSLB14890</v>
          </cell>
          <cell r="D985">
            <v>204012</v>
          </cell>
          <cell r="E985" t="str">
            <v>Silla Visita</v>
          </cell>
          <cell r="F985" t="str">
            <v>NO</v>
          </cell>
          <cell r="G985" t="str">
            <v>NO</v>
          </cell>
          <cell r="H985" t="str">
            <v>MÓD. DE TRABAJO (facturación y cobranza)</v>
          </cell>
          <cell r="I985">
            <v>4</v>
          </cell>
          <cell r="J985" t="str">
            <v>D.3.2.3.2</v>
          </cell>
          <cell r="K985" t="str">
            <v>Administración y apoyo general</v>
          </cell>
          <cell r="L985">
            <v>3</v>
          </cell>
          <cell r="M985">
            <v>46031</v>
          </cell>
          <cell r="N985">
            <v>46034</v>
          </cell>
          <cell r="O985">
            <v>1</v>
          </cell>
          <cell r="P985">
            <v>46035</v>
          </cell>
          <cell r="Q985">
            <v>5</v>
          </cell>
          <cell r="R985" t="str">
            <v>NA</v>
          </cell>
          <cell r="S985">
            <v>5</v>
          </cell>
        </row>
        <row r="986">
          <cell r="B986" t="str">
            <v>MNC</v>
          </cell>
          <cell r="C986" t="str">
            <v>HSLB14515</v>
          </cell>
          <cell r="D986">
            <v>204006</v>
          </cell>
          <cell r="E986" t="str">
            <v>Silla Ergonómica</v>
          </cell>
          <cell r="F986" t="str">
            <v>NO</v>
          </cell>
          <cell r="G986" t="str">
            <v>NO</v>
          </cell>
          <cell r="H986" t="str">
            <v>SECRETARIA C/ARCHIVO, FOTOCOP.</v>
          </cell>
          <cell r="I986">
            <v>1</v>
          </cell>
          <cell r="J986" t="str">
            <v>D.4.1.1</v>
          </cell>
          <cell r="K986" t="str">
            <v>Administración y apoyo general</v>
          </cell>
          <cell r="L986">
            <v>3</v>
          </cell>
          <cell r="M986">
            <v>46031</v>
          </cell>
          <cell r="N986">
            <v>46034</v>
          </cell>
          <cell r="O986">
            <v>1</v>
          </cell>
          <cell r="P986">
            <v>46035</v>
          </cell>
          <cell r="Q986">
            <v>5</v>
          </cell>
          <cell r="R986" t="str">
            <v>NA</v>
          </cell>
          <cell r="S986">
            <v>5</v>
          </cell>
        </row>
        <row r="987">
          <cell r="B987" t="str">
            <v>MNC</v>
          </cell>
          <cell r="C987" t="str">
            <v>HSLB14904</v>
          </cell>
          <cell r="D987">
            <v>204012</v>
          </cell>
          <cell r="E987" t="str">
            <v>Silla Visita</v>
          </cell>
          <cell r="F987" t="str">
            <v>NO</v>
          </cell>
          <cell r="G987" t="str">
            <v>NO</v>
          </cell>
          <cell r="H987" t="str">
            <v>SECRETARIA C/ARCHIVO, FOTOCOP.</v>
          </cell>
          <cell r="I987">
            <v>2</v>
          </cell>
          <cell r="J987" t="str">
            <v>D.4.1.1</v>
          </cell>
          <cell r="K987" t="str">
            <v>Administración y apoyo general</v>
          </cell>
          <cell r="L987">
            <v>3</v>
          </cell>
          <cell r="M987">
            <v>46031</v>
          </cell>
          <cell r="N987">
            <v>46034</v>
          </cell>
          <cell r="O987">
            <v>1</v>
          </cell>
          <cell r="P987">
            <v>46035</v>
          </cell>
          <cell r="Q987">
            <v>5</v>
          </cell>
          <cell r="R987" t="str">
            <v>NA</v>
          </cell>
          <cell r="S987">
            <v>5</v>
          </cell>
        </row>
        <row r="988">
          <cell r="B988" t="str">
            <v>MNC</v>
          </cell>
          <cell r="C988" t="str">
            <v>HSLB14516</v>
          </cell>
          <cell r="D988">
            <v>204006</v>
          </cell>
          <cell r="E988" t="str">
            <v>Silla Ergonómica</v>
          </cell>
          <cell r="F988" t="str">
            <v>NO</v>
          </cell>
          <cell r="G988" t="str">
            <v>NO</v>
          </cell>
          <cell r="H988" t="str">
            <v>OF. JEFE CR GESTIÓN DE LAS PERSONAS</v>
          </cell>
          <cell r="I988">
            <v>1</v>
          </cell>
          <cell r="J988" t="str">
            <v>D.4.1.2</v>
          </cell>
          <cell r="K988" t="str">
            <v>Administración y apoyo general</v>
          </cell>
          <cell r="L988">
            <v>3</v>
          </cell>
          <cell r="M988">
            <v>46031</v>
          </cell>
          <cell r="N988">
            <v>46034</v>
          </cell>
          <cell r="O988">
            <v>1</v>
          </cell>
          <cell r="P988">
            <v>46035</v>
          </cell>
          <cell r="Q988">
            <v>5</v>
          </cell>
          <cell r="R988" t="str">
            <v>NA</v>
          </cell>
          <cell r="S988">
            <v>5</v>
          </cell>
        </row>
        <row r="989">
          <cell r="B989" t="str">
            <v>MNC</v>
          </cell>
          <cell r="C989" t="str">
            <v>HSLB14905</v>
          </cell>
          <cell r="D989">
            <v>204012</v>
          </cell>
          <cell r="E989" t="str">
            <v>Silla Visita</v>
          </cell>
          <cell r="F989" t="str">
            <v>NO</v>
          </cell>
          <cell r="G989" t="str">
            <v>NO</v>
          </cell>
          <cell r="H989" t="str">
            <v>OF. JEFE CR GESTIÓN DE LAS PERSONAS</v>
          </cell>
          <cell r="I989">
            <v>4</v>
          </cell>
          <cell r="J989" t="str">
            <v>D.4.1.2</v>
          </cell>
          <cell r="K989" t="str">
            <v>Administración y apoyo general</v>
          </cell>
          <cell r="L989">
            <v>3</v>
          </cell>
          <cell r="M989">
            <v>46031</v>
          </cell>
          <cell r="N989">
            <v>46034</v>
          </cell>
          <cell r="O989">
            <v>1</v>
          </cell>
          <cell r="P989">
            <v>46035</v>
          </cell>
          <cell r="Q989">
            <v>5</v>
          </cell>
          <cell r="R989" t="str">
            <v>NA</v>
          </cell>
          <cell r="S989">
            <v>5</v>
          </cell>
        </row>
        <row r="990">
          <cell r="B990" t="str">
            <v>MNC</v>
          </cell>
          <cell r="C990" t="str">
            <v>HSLB14517</v>
          </cell>
          <cell r="D990">
            <v>204006</v>
          </cell>
          <cell r="E990" t="str">
            <v>Silla Ergonómica</v>
          </cell>
          <cell r="F990" t="str">
            <v>NO</v>
          </cell>
          <cell r="G990" t="str">
            <v>NO</v>
          </cell>
          <cell r="H990" t="str">
            <v>SECRETARÍA C/ARCHIVO Y FOTOCOPIADORA</v>
          </cell>
          <cell r="I990">
            <v>1</v>
          </cell>
          <cell r="J990" t="str">
            <v>D.4.2.1</v>
          </cell>
          <cell r="K990" t="str">
            <v>Administración y apoyo general</v>
          </cell>
          <cell r="L990">
            <v>3</v>
          </cell>
          <cell r="M990">
            <v>46031</v>
          </cell>
          <cell r="N990">
            <v>46034</v>
          </cell>
          <cell r="O990">
            <v>1</v>
          </cell>
          <cell r="P990">
            <v>46035</v>
          </cell>
          <cell r="Q990">
            <v>5</v>
          </cell>
          <cell r="R990" t="str">
            <v>NA</v>
          </cell>
          <cell r="S990">
            <v>5</v>
          </cell>
        </row>
        <row r="991">
          <cell r="B991" t="str">
            <v>MNC</v>
          </cell>
          <cell r="C991" t="str">
            <v>HSLB14906</v>
          </cell>
          <cell r="D991">
            <v>204012</v>
          </cell>
          <cell r="E991" t="str">
            <v>Silla Visita</v>
          </cell>
          <cell r="F991" t="str">
            <v>NO</v>
          </cell>
          <cell r="G991" t="str">
            <v>NO</v>
          </cell>
          <cell r="H991" t="str">
            <v>SECRETARÍA C/ARCHIVO Y FOTOCOPIADORA</v>
          </cell>
          <cell r="I991">
            <v>2</v>
          </cell>
          <cell r="J991" t="str">
            <v>D.4.2.1</v>
          </cell>
          <cell r="K991" t="str">
            <v>Administración y apoyo general</v>
          </cell>
          <cell r="L991">
            <v>3</v>
          </cell>
          <cell r="M991">
            <v>46031</v>
          </cell>
          <cell r="N991">
            <v>46034</v>
          </cell>
          <cell r="O991">
            <v>1</v>
          </cell>
          <cell r="P991">
            <v>46035</v>
          </cell>
          <cell r="Q991">
            <v>5</v>
          </cell>
          <cell r="R991" t="str">
            <v>NA</v>
          </cell>
          <cell r="S991">
            <v>5</v>
          </cell>
        </row>
        <row r="992">
          <cell r="B992" t="str">
            <v>MNC</v>
          </cell>
          <cell r="C992" t="str">
            <v>HSLB14518</v>
          </cell>
          <cell r="D992">
            <v>204006</v>
          </cell>
          <cell r="E992" t="str">
            <v>Silla Ergonómica</v>
          </cell>
          <cell r="F992" t="str">
            <v>NO</v>
          </cell>
          <cell r="G992" t="str">
            <v>NO</v>
          </cell>
          <cell r="H992" t="str">
            <v>COORDINADOR ADMNISTRACIÓN DE PERSONAL</v>
          </cell>
          <cell r="I992">
            <v>1</v>
          </cell>
          <cell r="J992" t="str">
            <v>D.4.2.2</v>
          </cell>
          <cell r="K992" t="str">
            <v>Administración y apoyo general</v>
          </cell>
          <cell r="L992">
            <v>3</v>
          </cell>
          <cell r="M992">
            <v>46031</v>
          </cell>
          <cell r="N992">
            <v>46034</v>
          </cell>
          <cell r="O992">
            <v>1</v>
          </cell>
          <cell r="P992">
            <v>46035</v>
          </cell>
          <cell r="Q992">
            <v>5</v>
          </cell>
          <cell r="R992" t="str">
            <v>NA</v>
          </cell>
          <cell r="S992">
            <v>5</v>
          </cell>
        </row>
        <row r="993">
          <cell r="B993" t="str">
            <v>MNC</v>
          </cell>
          <cell r="C993" t="str">
            <v>HSLB14907</v>
          </cell>
          <cell r="D993">
            <v>204012</v>
          </cell>
          <cell r="E993" t="str">
            <v>Silla Visita</v>
          </cell>
          <cell r="F993" t="str">
            <v>NO</v>
          </cell>
          <cell r="G993" t="str">
            <v>NO</v>
          </cell>
          <cell r="H993" t="str">
            <v>COORDINADOR ADMNISTRACIÓN DE PERSONAL</v>
          </cell>
          <cell r="I993">
            <v>2</v>
          </cell>
          <cell r="J993" t="str">
            <v>D.4.2.2</v>
          </cell>
          <cell r="K993" t="str">
            <v>Administración y apoyo general</v>
          </cell>
          <cell r="L993">
            <v>3</v>
          </cell>
          <cell r="M993">
            <v>46031</v>
          </cell>
          <cell r="N993">
            <v>46034</v>
          </cell>
          <cell r="O993">
            <v>1</v>
          </cell>
          <cell r="P993">
            <v>46035</v>
          </cell>
          <cell r="Q993">
            <v>5</v>
          </cell>
          <cell r="R993" t="str">
            <v>NA</v>
          </cell>
          <cell r="S993">
            <v>5</v>
          </cell>
        </row>
        <row r="994">
          <cell r="B994" t="str">
            <v>MNC</v>
          </cell>
          <cell r="C994" t="str">
            <v>HSLB14519</v>
          </cell>
          <cell r="D994">
            <v>204006</v>
          </cell>
          <cell r="E994" t="str">
            <v>Silla Ergonómica</v>
          </cell>
          <cell r="F994" t="str">
            <v>NO</v>
          </cell>
          <cell r="G994" t="str">
            <v>NO</v>
          </cell>
          <cell r="H994" t="str">
            <v>MÓD.TRABAJO EJECUT. DE PERSONAL Y REMUN.(5p)</v>
          </cell>
          <cell r="I994">
            <v>6</v>
          </cell>
          <cell r="J994" t="str">
            <v>D.4.2.3</v>
          </cell>
          <cell r="K994" t="str">
            <v>Administración y apoyo general</v>
          </cell>
          <cell r="L994">
            <v>3</v>
          </cell>
          <cell r="M994">
            <v>46031</v>
          </cell>
          <cell r="N994">
            <v>46034</v>
          </cell>
          <cell r="O994">
            <v>1</v>
          </cell>
          <cell r="P994">
            <v>46035</v>
          </cell>
          <cell r="Q994">
            <v>5</v>
          </cell>
          <cell r="R994" t="str">
            <v>NA</v>
          </cell>
          <cell r="S994">
            <v>5</v>
          </cell>
        </row>
        <row r="995">
          <cell r="B995" t="str">
            <v>MNC</v>
          </cell>
          <cell r="C995" t="str">
            <v>HSLB14908</v>
          </cell>
          <cell r="D995">
            <v>204012</v>
          </cell>
          <cell r="E995" t="str">
            <v>Silla Visita</v>
          </cell>
          <cell r="F995" t="str">
            <v>NO</v>
          </cell>
          <cell r="G995" t="str">
            <v>NO</v>
          </cell>
          <cell r="H995" t="str">
            <v>MÓD.TRABAJO EJECUT. DE PERSONAL Y REMUN.(5p)</v>
          </cell>
          <cell r="I995">
            <v>8</v>
          </cell>
          <cell r="J995" t="str">
            <v>D.4.2.3</v>
          </cell>
          <cell r="K995" t="str">
            <v>Administración y apoyo general</v>
          </cell>
          <cell r="L995">
            <v>3</v>
          </cell>
          <cell r="M995">
            <v>46031</v>
          </cell>
          <cell r="N995">
            <v>46034</v>
          </cell>
          <cell r="O995">
            <v>1</v>
          </cell>
          <cell r="P995">
            <v>46035</v>
          </cell>
          <cell r="Q995">
            <v>5</v>
          </cell>
          <cell r="R995" t="str">
            <v>NA</v>
          </cell>
          <cell r="S995">
            <v>5</v>
          </cell>
        </row>
        <row r="996">
          <cell r="B996" t="str">
            <v>MNC</v>
          </cell>
          <cell r="C996" t="str">
            <v>HSLB14520</v>
          </cell>
          <cell r="D996">
            <v>204006</v>
          </cell>
          <cell r="E996" t="str">
            <v>Silla Ergonómica</v>
          </cell>
          <cell r="F996" t="str">
            <v>NO</v>
          </cell>
          <cell r="G996" t="str">
            <v>NO</v>
          </cell>
          <cell r="H996" t="str">
            <v>MÓD. DE TRABAJO DESARROLLO ORGANIZACIONAL</v>
          </cell>
          <cell r="I996">
            <v>2</v>
          </cell>
          <cell r="J996" t="str">
            <v>D.4.3.1</v>
          </cell>
          <cell r="K996" t="str">
            <v>Administración y apoyo general</v>
          </cell>
          <cell r="L996">
            <v>3</v>
          </cell>
          <cell r="M996">
            <v>46031</v>
          </cell>
          <cell r="N996">
            <v>46034</v>
          </cell>
          <cell r="O996">
            <v>1</v>
          </cell>
          <cell r="P996">
            <v>46035</v>
          </cell>
          <cell r="Q996">
            <v>5</v>
          </cell>
          <cell r="R996" t="str">
            <v>NA</v>
          </cell>
          <cell r="S996">
            <v>5</v>
          </cell>
        </row>
        <row r="997">
          <cell r="B997" t="str">
            <v>MNC</v>
          </cell>
          <cell r="C997" t="str">
            <v>HSLB14909</v>
          </cell>
          <cell r="D997">
            <v>204012</v>
          </cell>
          <cell r="E997" t="str">
            <v>Silla Visita</v>
          </cell>
          <cell r="F997" t="str">
            <v>NO</v>
          </cell>
          <cell r="G997" t="str">
            <v>NO</v>
          </cell>
          <cell r="H997" t="str">
            <v>MÓD. DE TRABAJO DESARROLLO ORGANIZACIONAL</v>
          </cell>
          <cell r="I997">
            <v>4</v>
          </cell>
          <cell r="J997" t="str">
            <v>D.4.3.1</v>
          </cell>
          <cell r="K997" t="str">
            <v>Administración y apoyo general</v>
          </cell>
          <cell r="L997">
            <v>3</v>
          </cell>
          <cell r="M997">
            <v>46031</v>
          </cell>
          <cell r="N997">
            <v>46034</v>
          </cell>
          <cell r="O997">
            <v>1</v>
          </cell>
          <cell r="P997">
            <v>46035</v>
          </cell>
          <cell r="Q997">
            <v>5</v>
          </cell>
          <cell r="R997" t="str">
            <v>NA</v>
          </cell>
          <cell r="S997">
            <v>5</v>
          </cell>
        </row>
        <row r="998">
          <cell r="B998" t="str">
            <v>MNC</v>
          </cell>
          <cell r="C998" t="str">
            <v>HSLB14528</v>
          </cell>
          <cell r="D998">
            <v>204006</v>
          </cell>
          <cell r="E998" t="str">
            <v>Silla Ergonómica</v>
          </cell>
          <cell r="F998" t="str">
            <v>NO</v>
          </cell>
          <cell r="G998" t="str">
            <v>NO</v>
          </cell>
          <cell r="H998" t="str">
            <v>COORDINADOR BIENESTAR Y DESARROLLO SOCIAL</v>
          </cell>
          <cell r="I998">
            <v>1</v>
          </cell>
          <cell r="J998" t="str">
            <v>D.4.4.3.1</v>
          </cell>
          <cell r="K998" t="str">
            <v>Administración y apoyo general</v>
          </cell>
          <cell r="L998">
            <v>3</v>
          </cell>
          <cell r="M998">
            <v>46031</v>
          </cell>
          <cell r="N998">
            <v>46034</v>
          </cell>
          <cell r="O998">
            <v>1</v>
          </cell>
          <cell r="P998">
            <v>46035</v>
          </cell>
          <cell r="Q998">
            <v>5</v>
          </cell>
          <cell r="R998" t="str">
            <v>NA</v>
          </cell>
          <cell r="S998">
            <v>5</v>
          </cell>
        </row>
        <row r="999">
          <cell r="B999" t="str">
            <v>MNC</v>
          </cell>
          <cell r="C999" t="str">
            <v>HSLB14916</v>
          </cell>
          <cell r="D999">
            <v>204012</v>
          </cell>
          <cell r="E999" t="str">
            <v>Silla Visita</v>
          </cell>
          <cell r="F999" t="str">
            <v>NO</v>
          </cell>
          <cell r="G999" t="str">
            <v>NO</v>
          </cell>
          <cell r="H999" t="str">
            <v>COORDINADOR BIENESTAR Y DESARROLLO SOCIAL</v>
          </cell>
          <cell r="I999">
            <v>2</v>
          </cell>
          <cell r="J999" t="str">
            <v>D.4.4.3.1</v>
          </cell>
          <cell r="K999" t="str">
            <v>Administración y apoyo general</v>
          </cell>
          <cell r="L999">
            <v>3</v>
          </cell>
          <cell r="M999">
            <v>46031</v>
          </cell>
          <cell r="N999">
            <v>46034</v>
          </cell>
          <cell r="O999">
            <v>1</v>
          </cell>
          <cell r="P999">
            <v>46035</v>
          </cell>
          <cell r="Q999">
            <v>5</v>
          </cell>
          <cell r="R999" t="str">
            <v>NA</v>
          </cell>
          <cell r="S999">
            <v>5</v>
          </cell>
        </row>
        <row r="1000">
          <cell r="B1000" t="str">
            <v>MNC</v>
          </cell>
          <cell r="C1000" t="str">
            <v>HSLB14529</v>
          </cell>
          <cell r="D1000">
            <v>204006</v>
          </cell>
          <cell r="E1000" t="str">
            <v>Silla Ergonómica</v>
          </cell>
          <cell r="F1000" t="str">
            <v>NO</v>
          </cell>
          <cell r="G1000" t="str">
            <v>NO</v>
          </cell>
          <cell r="H1000" t="str">
            <v>MÓD. DE TRABAJO BIENESTAR</v>
          </cell>
          <cell r="I1000">
            <v>1</v>
          </cell>
          <cell r="J1000" t="str">
            <v>D.4.4.3.2</v>
          </cell>
          <cell r="K1000" t="str">
            <v>Administración y apoyo general</v>
          </cell>
          <cell r="L1000">
            <v>3</v>
          </cell>
          <cell r="M1000">
            <v>46031</v>
          </cell>
          <cell r="N1000">
            <v>46034</v>
          </cell>
          <cell r="O1000">
            <v>1</v>
          </cell>
          <cell r="P1000">
            <v>46035</v>
          </cell>
          <cell r="Q1000">
            <v>5</v>
          </cell>
          <cell r="R1000" t="str">
            <v>NA</v>
          </cell>
          <cell r="S1000">
            <v>5</v>
          </cell>
        </row>
        <row r="1001">
          <cell r="B1001" t="str">
            <v>MNC</v>
          </cell>
          <cell r="C1001" t="str">
            <v>HSLB14917</v>
          </cell>
          <cell r="D1001">
            <v>204012</v>
          </cell>
          <cell r="E1001" t="str">
            <v>Silla Visita</v>
          </cell>
          <cell r="F1001" t="str">
            <v>NO</v>
          </cell>
          <cell r="G1001" t="str">
            <v>NO</v>
          </cell>
          <cell r="H1001" t="str">
            <v>MÓD. DE TRABAJO BIENESTAR</v>
          </cell>
          <cell r="I1001">
            <v>2</v>
          </cell>
          <cell r="J1001" t="str">
            <v>D.4.4.3.2</v>
          </cell>
          <cell r="K1001" t="str">
            <v>Administración y apoyo general</v>
          </cell>
          <cell r="L1001">
            <v>3</v>
          </cell>
          <cell r="M1001">
            <v>46031</v>
          </cell>
          <cell r="N1001">
            <v>46034</v>
          </cell>
          <cell r="O1001">
            <v>1</v>
          </cell>
          <cell r="P1001">
            <v>46035</v>
          </cell>
          <cell r="Q1001">
            <v>5</v>
          </cell>
          <cell r="R1001" t="str">
            <v>NA</v>
          </cell>
          <cell r="S1001">
            <v>5</v>
          </cell>
        </row>
        <row r="1002">
          <cell r="B1002" t="str">
            <v>MNC</v>
          </cell>
          <cell r="C1002" t="str">
            <v>HSLB14530</v>
          </cell>
          <cell r="D1002">
            <v>204006</v>
          </cell>
          <cell r="E1002" t="str">
            <v>Silla Ergonómica</v>
          </cell>
          <cell r="F1002" t="str">
            <v>NO</v>
          </cell>
          <cell r="G1002" t="str">
            <v>NO</v>
          </cell>
          <cell r="H1002" t="str">
            <v>SECRETARÍA C/ARCHIVO Y FOTOCOPIADORA</v>
          </cell>
          <cell r="I1002">
            <v>1</v>
          </cell>
          <cell r="J1002" t="str">
            <v>D.4.5.1</v>
          </cell>
          <cell r="K1002" t="str">
            <v>Administración y apoyo general</v>
          </cell>
          <cell r="L1002">
            <v>3</v>
          </cell>
          <cell r="M1002">
            <v>46031</v>
          </cell>
          <cell r="N1002">
            <v>46034</v>
          </cell>
          <cell r="O1002">
            <v>1</v>
          </cell>
          <cell r="P1002">
            <v>46035</v>
          </cell>
          <cell r="Q1002">
            <v>5</v>
          </cell>
          <cell r="R1002" t="str">
            <v>NA</v>
          </cell>
          <cell r="S1002">
            <v>5</v>
          </cell>
        </row>
        <row r="1003">
          <cell r="B1003" t="str">
            <v>MNC</v>
          </cell>
          <cell r="C1003" t="str">
            <v>HSLB14918</v>
          </cell>
          <cell r="D1003">
            <v>204012</v>
          </cell>
          <cell r="E1003" t="str">
            <v>Silla Visita</v>
          </cell>
          <cell r="F1003" t="str">
            <v>NO</v>
          </cell>
          <cell r="G1003" t="str">
            <v>NO</v>
          </cell>
          <cell r="H1003" t="str">
            <v>SECRETARÍA C/ARCHIVO Y FOTOCOPIADORA</v>
          </cell>
          <cell r="I1003">
            <v>2</v>
          </cell>
          <cell r="J1003" t="str">
            <v>D.4.5.1</v>
          </cell>
          <cell r="K1003" t="str">
            <v>Administración y apoyo general</v>
          </cell>
          <cell r="L1003">
            <v>3</v>
          </cell>
          <cell r="M1003">
            <v>46031</v>
          </cell>
          <cell r="N1003">
            <v>46034</v>
          </cell>
          <cell r="O1003">
            <v>1</v>
          </cell>
          <cell r="P1003">
            <v>46035</v>
          </cell>
          <cell r="Q1003">
            <v>5</v>
          </cell>
          <cell r="R1003" t="str">
            <v>NA</v>
          </cell>
          <cell r="S1003">
            <v>5</v>
          </cell>
        </row>
        <row r="1004">
          <cell r="B1004" t="str">
            <v>MNC</v>
          </cell>
          <cell r="C1004" t="str">
            <v>HSLB14531</v>
          </cell>
          <cell r="D1004">
            <v>204006</v>
          </cell>
          <cell r="E1004" t="str">
            <v>Silla Ergonómica</v>
          </cell>
          <cell r="F1004" t="str">
            <v>NO</v>
          </cell>
          <cell r="G1004" t="str">
            <v>NO</v>
          </cell>
          <cell r="H1004" t="str">
            <v>COORDINADOR CAPACITACIÓN Y FORMACIÓN</v>
          </cell>
          <cell r="I1004">
            <v>1</v>
          </cell>
          <cell r="J1004" t="str">
            <v>D.4.5.2</v>
          </cell>
          <cell r="K1004" t="str">
            <v>Administración y apoyo general</v>
          </cell>
          <cell r="L1004">
            <v>3</v>
          </cell>
          <cell r="M1004">
            <v>46031</v>
          </cell>
          <cell r="N1004">
            <v>46034</v>
          </cell>
          <cell r="O1004">
            <v>1</v>
          </cell>
          <cell r="P1004">
            <v>46035</v>
          </cell>
          <cell r="Q1004">
            <v>5</v>
          </cell>
          <cell r="R1004" t="str">
            <v>NA</v>
          </cell>
          <cell r="S1004">
            <v>5</v>
          </cell>
        </row>
        <row r="1005">
          <cell r="B1005" t="str">
            <v>MNC</v>
          </cell>
          <cell r="C1005" t="str">
            <v>HSLB14919</v>
          </cell>
          <cell r="D1005">
            <v>204012</v>
          </cell>
          <cell r="E1005" t="str">
            <v>Silla Visita</v>
          </cell>
          <cell r="F1005" t="str">
            <v>NO</v>
          </cell>
          <cell r="G1005" t="str">
            <v>NO</v>
          </cell>
          <cell r="H1005" t="str">
            <v>COORDINADOR CAPACITACIÓN Y FORMACIÓN</v>
          </cell>
          <cell r="I1005">
            <v>2</v>
          </cell>
          <cell r="J1005" t="str">
            <v>D.4.5.2</v>
          </cell>
          <cell r="K1005" t="str">
            <v>Administración y apoyo general</v>
          </cell>
          <cell r="L1005">
            <v>3</v>
          </cell>
          <cell r="M1005">
            <v>46031</v>
          </cell>
          <cell r="N1005">
            <v>46034</v>
          </cell>
          <cell r="O1005">
            <v>1</v>
          </cell>
          <cell r="P1005">
            <v>46035</v>
          </cell>
          <cell r="Q1005">
            <v>5</v>
          </cell>
          <cell r="R1005" t="str">
            <v>NA</v>
          </cell>
          <cell r="S1005">
            <v>5</v>
          </cell>
        </row>
        <row r="1006">
          <cell r="B1006" t="str">
            <v>MNC</v>
          </cell>
          <cell r="C1006" t="str">
            <v>HSLB14532</v>
          </cell>
          <cell r="D1006">
            <v>204006</v>
          </cell>
          <cell r="E1006" t="str">
            <v>Silla Ergonómica</v>
          </cell>
          <cell r="F1006" t="str">
            <v>NO</v>
          </cell>
          <cell r="G1006" t="str">
            <v>NO</v>
          </cell>
          <cell r="H1006" t="str">
            <v>SALA DE CAPACITACIÓN PERSONALIZADA</v>
          </cell>
          <cell r="I1006">
            <v>15</v>
          </cell>
          <cell r="J1006" t="str">
            <v>D.4.5.3</v>
          </cell>
          <cell r="K1006" t="str">
            <v>Administración y apoyo general</v>
          </cell>
          <cell r="L1006">
            <v>3</v>
          </cell>
          <cell r="M1006">
            <v>46031</v>
          </cell>
          <cell r="N1006">
            <v>46034</v>
          </cell>
          <cell r="O1006">
            <v>1</v>
          </cell>
          <cell r="P1006">
            <v>46035</v>
          </cell>
          <cell r="Q1006">
            <v>5</v>
          </cell>
          <cell r="R1006" t="str">
            <v>NA</v>
          </cell>
          <cell r="S1006">
            <v>5</v>
          </cell>
        </row>
        <row r="1007">
          <cell r="B1007" t="str">
            <v>MNC</v>
          </cell>
          <cell r="C1007" t="str">
            <v>HSLB14625</v>
          </cell>
          <cell r="D1007">
            <v>204011</v>
          </cell>
          <cell r="E1007" t="str">
            <v>Silla Tipo Universitaria</v>
          </cell>
          <cell r="F1007" t="str">
            <v>NO</v>
          </cell>
          <cell r="G1007" t="str">
            <v>NO</v>
          </cell>
          <cell r="H1007" t="str">
            <v>SALA DE CAPACITACIÓN MASIVA</v>
          </cell>
          <cell r="I1007">
            <v>25</v>
          </cell>
          <cell r="J1007" t="str">
            <v>D.4.5.4</v>
          </cell>
          <cell r="K1007" t="str">
            <v>Administración y apoyo general</v>
          </cell>
          <cell r="L1007">
            <v>3</v>
          </cell>
          <cell r="M1007">
            <v>46031</v>
          </cell>
          <cell r="N1007">
            <v>46034</v>
          </cell>
          <cell r="O1007">
            <v>1</v>
          </cell>
          <cell r="P1007">
            <v>46035</v>
          </cell>
          <cell r="Q1007">
            <v>5</v>
          </cell>
          <cell r="R1007" t="str">
            <v>NA</v>
          </cell>
          <cell r="S1007">
            <v>5</v>
          </cell>
        </row>
        <row r="1008">
          <cell r="B1008" t="str">
            <v>MNC</v>
          </cell>
          <cell r="C1008" t="str">
            <v>HSLB14920</v>
          </cell>
          <cell r="D1008">
            <v>204012</v>
          </cell>
          <cell r="E1008" t="str">
            <v>Silla Visita</v>
          </cell>
          <cell r="F1008" t="str">
            <v>NO</v>
          </cell>
          <cell r="G1008" t="str">
            <v>NO</v>
          </cell>
          <cell r="H1008" t="str">
            <v>SALA DE CAPACITACIÓN MASIVA</v>
          </cell>
          <cell r="I1008">
            <v>1</v>
          </cell>
          <cell r="J1008" t="str">
            <v>D.4.5.4</v>
          </cell>
          <cell r="K1008" t="str">
            <v>Administración y apoyo general</v>
          </cell>
          <cell r="L1008">
            <v>3</v>
          </cell>
          <cell r="M1008">
            <v>46031</v>
          </cell>
          <cell r="N1008">
            <v>46034</v>
          </cell>
          <cell r="O1008">
            <v>1</v>
          </cell>
          <cell r="P1008">
            <v>46035</v>
          </cell>
          <cell r="Q1008">
            <v>5</v>
          </cell>
          <cell r="R1008" t="str">
            <v>NA</v>
          </cell>
          <cell r="S1008">
            <v>5</v>
          </cell>
        </row>
        <row r="1009">
          <cell r="B1009" t="str">
            <v>MNC</v>
          </cell>
          <cell r="C1009" t="str">
            <v>HSLB14921</v>
          </cell>
          <cell r="D1009">
            <v>204012</v>
          </cell>
          <cell r="E1009" t="str">
            <v>Silla Visita</v>
          </cell>
          <cell r="F1009" t="str">
            <v>NO</v>
          </cell>
          <cell r="G1009" t="str">
            <v>NO</v>
          </cell>
          <cell r="H1009" t="str">
            <v>SALA DE REUNIONES</v>
          </cell>
          <cell r="I1009">
            <v>20</v>
          </cell>
          <cell r="J1009" t="str">
            <v>D.4.6.1</v>
          </cell>
          <cell r="K1009" t="str">
            <v>Administración y apoyo general</v>
          </cell>
          <cell r="L1009">
            <v>3</v>
          </cell>
          <cell r="M1009">
            <v>46031</v>
          </cell>
          <cell r="N1009">
            <v>46034</v>
          </cell>
          <cell r="O1009">
            <v>1</v>
          </cell>
          <cell r="P1009">
            <v>46035</v>
          </cell>
          <cell r="Q1009">
            <v>5</v>
          </cell>
          <cell r="R1009" t="str">
            <v>NA</v>
          </cell>
          <cell r="S1009">
            <v>5</v>
          </cell>
        </row>
        <row r="1010">
          <cell r="B1010" t="str">
            <v>MNC</v>
          </cell>
          <cell r="C1010" t="str">
            <v>HSLB14922</v>
          </cell>
          <cell r="D1010">
            <v>204012</v>
          </cell>
          <cell r="E1010" t="str">
            <v>Silla Visita</v>
          </cell>
          <cell r="F1010" t="str">
            <v>NO</v>
          </cell>
          <cell r="G1010" t="str">
            <v>NO</v>
          </cell>
          <cell r="H1010" t="str">
            <v>AUDITORIO</v>
          </cell>
          <cell r="I1010">
            <v>4</v>
          </cell>
          <cell r="J1010" t="str">
            <v>E.1.2</v>
          </cell>
          <cell r="K1010" t="str">
            <v>Auditorio</v>
          </cell>
          <cell r="L1010">
            <v>3</v>
          </cell>
          <cell r="M1010">
            <v>46044</v>
          </cell>
          <cell r="N1010">
            <v>46045</v>
          </cell>
          <cell r="O1010">
            <v>3</v>
          </cell>
          <cell r="P1010">
            <v>46050</v>
          </cell>
          <cell r="Q1010">
            <v>5</v>
          </cell>
          <cell r="R1010" t="str">
            <v>NA</v>
          </cell>
          <cell r="S1010">
            <v>5</v>
          </cell>
        </row>
        <row r="1011">
          <cell r="B1011" t="str">
            <v>MNC</v>
          </cell>
          <cell r="C1011" t="str">
            <v>HSLB14923</v>
          </cell>
          <cell r="D1011">
            <v>204012</v>
          </cell>
          <cell r="E1011" t="str">
            <v>Silla Visita</v>
          </cell>
          <cell r="F1011" t="str">
            <v>NO</v>
          </cell>
          <cell r="G1011" t="str">
            <v>NO</v>
          </cell>
          <cell r="H1011" t="str">
            <v>AUDITORIO</v>
          </cell>
          <cell r="I1011">
            <v>20</v>
          </cell>
          <cell r="J1011" t="str">
            <v>E.1.3</v>
          </cell>
          <cell r="K1011" t="str">
            <v>Auditorio</v>
          </cell>
          <cell r="L1011">
            <v>3</v>
          </cell>
          <cell r="M1011">
            <v>46044</v>
          </cell>
          <cell r="N1011">
            <v>46045</v>
          </cell>
          <cell r="O1011">
            <v>3</v>
          </cell>
          <cell r="P1011">
            <v>46050</v>
          </cell>
          <cell r="Q1011">
            <v>5</v>
          </cell>
          <cell r="R1011" t="str">
            <v>NA</v>
          </cell>
          <cell r="S1011">
            <v>5</v>
          </cell>
        </row>
        <row r="1012">
          <cell r="B1012" t="str">
            <v>MNC</v>
          </cell>
          <cell r="C1012" t="str">
            <v>HSLB14533</v>
          </cell>
          <cell r="D1012">
            <v>204006</v>
          </cell>
          <cell r="E1012" t="str">
            <v>Silla Ergonómica</v>
          </cell>
          <cell r="F1012" t="str">
            <v>NO</v>
          </cell>
          <cell r="G1012" t="str">
            <v>NO</v>
          </cell>
          <cell r="H1012" t="str">
            <v>SALA DE EQUIPO AUDIOVISUAL</v>
          </cell>
          <cell r="I1012">
            <v>2</v>
          </cell>
          <cell r="J1012" t="str">
            <v>E.1.4</v>
          </cell>
          <cell r="K1012" t="str">
            <v>Auditorio</v>
          </cell>
          <cell r="L1012">
            <v>3</v>
          </cell>
          <cell r="M1012">
            <v>46044</v>
          </cell>
          <cell r="N1012">
            <v>46045</v>
          </cell>
          <cell r="O1012">
            <v>3</v>
          </cell>
          <cell r="P1012">
            <v>46050</v>
          </cell>
          <cell r="Q1012">
            <v>5</v>
          </cell>
          <cell r="R1012" t="str">
            <v>NA</v>
          </cell>
          <cell r="S1012">
            <v>5</v>
          </cell>
        </row>
        <row r="1013">
          <cell r="B1013" t="str">
            <v>MNC</v>
          </cell>
          <cell r="C1013" t="str">
            <v>HSLB14924</v>
          </cell>
          <cell r="D1013">
            <v>204012</v>
          </cell>
          <cell r="E1013" t="str">
            <v>Silla Visita</v>
          </cell>
          <cell r="F1013" t="str">
            <v>NO</v>
          </cell>
          <cell r="G1013" t="str">
            <v>NO</v>
          </cell>
          <cell r="H1013" t="str">
            <v>SALA PREPARACIÓN CONFERENCISTA</v>
          </cell>
          <cell r="I1013">
            <v>1</v>
          </cell>
          <cell r="J1013" t="str">
            <v>E.1.5</v>
          </cell>
          <cell r="K1013" t="str">
            <v>Auditorio</v>
          </cell>
          <cell r="L1013">
            <v>3</v>
          </cell>
          <cell r="M1013">
            <v>46044</v>
          </cell>
          <cell r="N1013">
            <v>46045</v>
          </cell>
          <cell r="O1013">
            <v>3</v>
          </cell>
          <cell r="P1013">
            <v>46050</v>
          </cell>
          <cell r="Q1013">
            <v>5</v>
          </cell>
          <cell r="R1013" t="str">
            <v>NA</v>
          </cell>
          <cell r="S1013">
            <v>5</v>
          </cell>
        </row>
        <row r="1014">
          <cell r="B1014" t="str">
            <v>MNC</v>
          </cell>
          <cell r="C1014" t="str">
            <v>HSLB15446</v>
          </cell>
          <cell r="D1014">
            <v>204002</v>
          </cell>
          <cell r="E1014" t="str">
            <v>Banca Madera</v>
          </cell>
          <cell r="F1014" t="str">
            <v>NO</v>
          </cell>
          <cell r="G1014" t="str">
            <v>NO</v>
          </cell>
          <cell r="H1014" t="str">
            <v>VESTIDOR C/DUCHA Y LOCKERS</v>
          </cell>
          <cell r="I1014">
            <v>1</v>
          </cell>
          <cell r="J1014" t="str">
            <v>E.1.9.1</v>
          </cell>
          <cell r="K1014" t="str">
            <v>Auditorio</v>
          </cell>
          <cell r="L1014">
            <v>3</v>
          </cell>
          <cell r="M1014">
            <v>46044</v>
          </cell>
          <cell r="N1014">
            <v>46045</v>
          </cell>
          <cell r="O1014">
            <v>3</v>
          </cell>
          <cell r="P1014">
            <v>46050</v>
          </cell>
          <cell r="Q1014">
            <v>5</v>
          </cell>
          <cell r="R1014" t="str">
            <v>NA</v>
          </cell>
          <cell r="S1014">
            <v>5</v>
          </cell>
        </row>
        <row r="1015">
          <cell r="B1015" t="str">
            <v>MNC</v>
          </cell>
          <cell r="C1015" t="str">
            <v>HSLB15447</v>
          </cell>
          <cell r="D1015">
            <v>204002</v>
          </cell>
          <cell r="E1015" t="str">
            <v>Banca Madera</v>
          </cell>
          <cell r="F1015" t="str">
            <v>NO</v>
          </cell>
          <cell r="G1015" t="str">
            <v>NO</v>
          </cell>
          <cell r="H1015" t="str">
            <v>VESTIDOR C/DUCHA Y LOCKERS</v>
          </cell>
          <cell r="I1015">
            <v>1</v>
          </cell>
          <cell r="J1015" t="str">
            <v>E.1.9.2</v>
          </cell>
          <cell r="K1015" t="str">
            <v>Auditorio</v>
          </cell>
          <cell r="L1015">
            <v>3</v>
          </cell>
          <cell r="M1015">
            <v>46044</v>
          </cell>
          <cell r="N1015">
            <v>46045</v>
          </cell>
          <cell r="O1015">
            <v>3</v>
          </cell>
          <cell r="P1015">
            <v>46050</v>
          </cell>
          <cell r="Q1015">
            <v>5</v>
          </cell>
          <cell r="R1015" t="str">
            <v>NA</v>
          </cell>
          <cell r="S1015">
            <v>5</v>
          </cell>
        </row>
        <row r="1016">
          <cell r="B1016" t="str">
            <v>MNC</v>
          </cell>
          <cell r="C1016" t="str">
            <v>HSLB15476</v>
          </cell>
          <cell r="D1016">
            <v>204020</v>
          </cell>
          <cell r="E1016" t="str">
            <v>Silla Butaca Espera 3 Cuerpos</v>
          </cell>
          <cell r="F1016" t="str">
            <v>NO</v>
          </cell>
          <cell r="G1016" t="str">
            <v>NO</v>
          </cell>
          <cell r="H1016" t="str">
            <v>CIRCULACIONES NIVEL3</v>
          </cell>
          <cell r="I1016">
            <v>6</v>
          </cell>
          <cell r="J1016" t="str">
            <v>K.1.3_B</v>
          </cell>
          <cell r="K1016" t="str">
            <v>Auditorio</v>
          </cell>
          <cell r="L1016">
            <v>3</v>
          </cell>
          <cell r="M1016">
            <v>46044</v>
          </cell>
          <cell r="N1016">
            <v>46045</v>
          </cell>
          <cell r="O1016">
            <v>3</v>
          </cell>
          <cell r="P1016">
            <v>46050</v>
          </cell>
          <cell r="Q1016">
            <v>5</v>
          </cell>
          <cell r="R1016" t="str">
            <v>NA</v>
          </cell>
          <cell r="S1016">
            <v>5</v>
          </cell>
        </row>
        <row r="1017">
          <cell r="B1017" t="str">
            <v>MNC</v>
          </cell>
          <cell r="C1017" t="str">
            <v>HSLB15477</v>
          </cell>
          <cell r="D1017">
            <v>204020</v>
          </cell>
          <cell r="E1017" t="str">
            <v>Silla Butaca Espera 3 Cuerpos</v>
          </cell>
          <cell r="F1017" t="str">
            <v>NO</v>
          </cell>
          <cell r="G1017" t="str">
            <v>NO</v>
          </cell>
          <cell r="H1017" t="str">
            <v>CIRCULACIONES NIVEL3</v>
          </cell>
          <cell r="I1017">
            <v>1</v>
          </cell>
          <cell r="J1017" t="str">
            <v>K.1.3_H</v>
          </cell>
          <cell r="K1017" t="str">
            <v>Administración y apoyo general</v>
          </cell>
          <cell r="L1017">
            <v>3</v>
          </cell>
          <cell r="M1017">
            <v>46031</v>
          </cell>
          <cell r="N1017">
            <v>46034</v>
          </cell>
          <cell r="O1017">
            <v>1</v>
          </cell>
          <cell r="P1017">
            <v>46035</v>
          </cell>
          <cell r="Q1017">
            <v>5</v>
          </cell>
          <cell r="R1017" t="str">
            <v>NA</v>
          </cell>
          <cell r="S1017">
            <v>5</v>
          </cell>
        </row>
        <row r="1018">
          <cell r="B1018" t="str">
            <v>MNC</v>
          </cell>
          <cell r="C1018" t="str">
            <v>HSLB13514</v>
          </cell>
          <cell r="D1018">
            <v>203016</v>
          </cell>
          <cell r="E1018" t="str">
            <v>Mueble Tipo Biblioteca</v>
          </cell>
          <cell r="F1018" t="str">
            <v>NO</v>
          </cell>
          <cell r="G1018" t="str">
            <v>NO</v>
          </cell>
          <cell r="H1018" t="str">
            <v>SECRETARÍA C/ARCHIVO Y FOTOCOPIADORA</v>
          </cell>
          <cell r="I1018">
            <v>1</v>
          </cell>
          <cell r="J1018" t="str">
            <v>B.1.1</v>
          </cell>
          <cell r="K1018" t="str">
            <v>Administración y apoyo general</v>
          </cell>
          <cell r="L1018">
            <v>3</v>
          </cell>
          <cell r="M1018">
            <v>46034</v>
          </cell>
          <cell r="N1018">
            <v>46035</v>
          </cell>
          <cell r="O1018">
            <v>7</v>
          </cell>
          <cell r="P1018">
            <v>46044</v>
          </cell>
          <cell r="Q1018">
            <v>5</v>
          </cell>
          <cell r="R1018" t="str">
            <v>NA</v>
          </cell>
          <cell r="S1018">
            <v>5</v>
          </cell>
        </row>
        <row r="1019">
          <cell r="B1019" t="str">
            <v>MNC</v>
          </cell>
          <cell r="C1019" t="str">
            <v>HSLB13515</v>
          </cell>
          <cell r="D1019">
            <v>203016</v>
          </cell>
          <cell r="E1019" t="str">
            <v>Mueble Tipo Biblioteca</v>
          </cell>
          <cell r="F1019" t="str">
            <v>NO</v>
          </cell>
          <cell r="G1019" t="str">
            <v>NO</v>
          </cell>
          <cell r="H1019" t="str">
            <v>OFICINA DIRECTOR C/BAÑO</v>
          </cell>
          <cell r="I1019">
            <v>1</v>
          </cell>
          <cell r="J1019" t="str">
            <v>B.1.3</v>
          </cell>
          <cell r="K1019" t="str">
            <v>Administración y apoyo general</v>
          </cell>
          <cell r="L1019">
            <v>3</v>
          </cell>
          <cell r="M1019">
            <v>46034</v>
          </cell>
          <cell r="N1019">
            <v>46035</v>
          </cell>
          <cell r="O1019">
            <v>7</v>
          </cell>
          <cell r="P1019">
            <v>46044</v>
          </cell>
          <cell r="Q1019">
            <v>5</v>
          </cell>
          <cell r="R1019" t="str">
            <v>NA</v>
          </cell>
          <cell r="S1019">
            <v>5</v>
          </cell>
        </row>
        <row r="1020">
          <cell r="B1020" t="str">
            <v>MNC</v>
          </cell>
          <cell r="C1020" t="str">
            <v>HSLB13516</v>
          </cell>
          <cell r="D1020">
            <v>203016</v>
          </cell>
          <cell r="E1020" t="str">
            <v>Mueble Tipo Biblioteca</v>
          </cell>
          <cell r="F1020" t="str">
            <v>NO</v>
          </cell>
          <cell r="G1020" t="str">
            <v>NO</v>
          </cell>
          <cell r="H1020" t="str">
            <v>SECRETARÍA C/ARCHIVO Y FOTOCOP.</v>
          </cell>
          <cell r="I1020">
            <v>2</v>
          </cell>
          <cell r="J1020" t="str">
            <v>B.2.1.1</v>
          </cell>
          <cell r="K1020" t="str">
            <v>Administración y apoyo general</v>
          </cell>
          <cell r="L1020">
            <v>3</v>
          </cell>
          <cell r="M1020">
            <v>46034</v>
          </cell>
          <cell r="N1020">
            <v>46035</v>
          </cell>
          <cell r="O1020">
            <v>7</v>
          </cell>
          <cell r="P1020">
            <v>46044</v>
          </cell>
          <cell r="Q1020">
            <v>5</v>
          </cell>
          <cell r="R1020" t="str">
            <v>NA</v>
          </cell>
          <cell r="S1020">
            <v>5</v>
          </cell>
        </row>
        <row r="1021">
          <cell r="B1021" t="str">
            <v>MNC</v>
          </cell>
          <cell r="C1021" t="str">
            <v>HSLB13517</v>
          </cell>
          <cell r="D1021">
            <v>203016</v>
          </cell>
          <cell r="E1021" t="str">
            <v>Mueble Tipo Biblioteca</v>
          </cell>
          <cell r="F1021" t="str">
            <v>NO</v>
          </cell>
          <cell r="G1021" t="str">
            <v>NO</v>
          </cell>
          <cell r="H1021" t="str">
            <v>SECRETARÍA C/ARCHIVO Y FOTOCOP.</v>
          </cell>
          <cell r="I1021">
            <v>2</v>
          </cell>
          <cell r="J1021" t="str">
            <v>B.2.1.2</v>
          </cell>
          <cell r="K1021" t="str">
            <v>Administración y apoyo general</v>
          </cell>
          <cell r="L1021">
            <v>3</v>
          </cell>
          <cell r="M1021">
            <v>46034</v>
          </cell>
          <cell r="N1021">
            <v>46035</v>
          </cell>
          <cell r="O1021">
            <v>7</v>
          </cell>
          <cell r="P1021">
            <v>46044</v>
          </cell>
          <cell r="Q1021">
            <v>5</v>
          </cell>
          <cell r="R1021" t="str">
            <v>NA</v>
          </cell>
          <cell r="S1021">
            <v>5</v>
          </cell>
        </row>
        <row r="1022">
          <cell r="B1022" t="str">
            <v>MNC</v>
          </cell>
          <cell r="C1022" t="str">
            <v>HSLB13518</v>
          </cell>
          <cell r="D1022">
            <v>203016</v>
          </cell>
          <cell r="E1022" t="str">
            <v>Mueble Tipo Biblioteca</v>
          </cell>
          <cell r="F1022" t="str">
            <v>NO</v>
          </cell>
          <cell r="G1022" t="str">
            <v>NO</v>
          </cell>
          <cell r="H1022" t="str">
            <v>OFICINA SUBDIRECTOR ADMINISTRATIVO</v>
          </cell>
          <cell r="I1022">
            <v>1</v>
          </cell>
          <cell r="J1022" t="str">
            <v>B.2.2</v>
          </cell>
          <cell r="K1022" t="str">
            <v>Administración y apoyo general</v>
          </cell>
          <cell r="L1022">
            <v>3</v>
          </cell>
          <cell r="M1022">
            <v>46034</v>
          </cell>
          <cell r="N1022">
            <v>46035</v>
          </cell>
          <cell r="O1022">
            <v>7</v>
          </cell>
          <cell r="P1022">
            <v>46044</v>
          </cell>
          <cell r="Q1022">
            <v>5</v>
          </cell>
          <cell r="R1022" t="str">
            <v>NA</v>
          </cell>
          <cell r="S1022">
            <v>5</v>
          </cell>
        </row>
        <row r="1023">
          <cell r="B1023" t="str">
            <v>MNC</v>
          </cell>
          <cell r="C1023" t="str">
            <v>HSLB13519</v>
          </cell>
          <cell r="D1023">
            <v>203016</v>
          </cell>
          <cell r="E1023" t="str">
            <v>Mueble Tipo Biblioteca</v>
          </cell>
          <cell r="F1023" t="str">
            <v>NO</v>
          </cell>
          <cell r="G1023" t="str">
            <v>NO</v>
          </cell>
          <cell r="H1023" t="str">
            <v>OFICINA SUBDIRECTOR MÉDICO</v>
          </cell>
          <cell r="I1023">
            <v>1</v>
          </cell>
          <cell r="J1023" t="str">
            <v>B.2.3</v>
          </cell>
          <cell r="K1023" t="str">
            <v>Administración y apoyo general</v>
          </cell>
          <cell r="L1023">
            <v>3</v>
          </cell>
          <cell r="M1023">
            <v>46034</v>
          </cell>
          <cell r="N1023">
            <v>46035</v>
          </cell>
          <cell r="O1023">
            <v>7</v>
          </cell>
          <cell r="P1023">
            <v>46044</v>
          </cell>
          <cell r="Q1023">
            <v>5</v>
          </cell>
          <cell r="R1023" t="str">
            <v>NA</v>
          </cell>
          <cell r="S1023">
            <v>5</v>
          </cell>
        </row>
        <row r="1024">
          <cell r="B1024" t="str">
            <v>MNC</v>
          </cell>
          <cell r="C1024" t="str">
            <v>HSLB13521</v>
          </cell>
          <cell r="D1024">
            <v>203016</v>
          </cell>
          <cell r="E1024" t="str">
            <v>Mueble Tipo Biblioteca</v>
          </cell>
          <cell r="F1024" t="str">
            <v>NO</v>
          </cell>
          <cell r="G1024" t="str">
            <v>NO</v>
          </cell>
          <cell r="H1024" t="str">
            <v>OF. JEFE CONTROL DE GESTIÓN</v>
          </cell>
          <cell r="I1024">
            <v>1</v>
          </cell>
          <cell r="J1024" t="str">
            <v>B.3.2.1</v>
          </cell>
          <cell r="K1024" t="str">
            <v>Administración y apoyo general</v>
          </cell>
          <cell r="L1024">
            <v>3</v>
          </cell>
          <cell r="M1024">
            <v>46034</v>
          </cell>
          <cell r="N1024">
            <v>46035</v>
          </cell>
          <cell r="O1024">
            <v>7</v>
          </cell>
          <cell r="P1024">
            <v>46044</v>
          </cell>
          <cell r="Q1024">
            <v>5</v>
          </cell>
          <cell r="R1024" t="str">
            <v>NA</v>
          </cell>
          <cell r="S1024">
            <v>5</v>
          </cell>
        </row>
        <row r="1025">
          <cell r="B1025" t="str">
            <v>MNC</v>
          </cell>
          <cell r="C1025" t="str">
            <v>HSLB13522</v>
          </cell>
          <cell r="D1025">
            <v>203016</v>
          </cell>
          <cell r="E1025" t="str">
            <v>Mueble Tipo Biblioteca</v>
          </cell>
          <cell r="F1025" t="str">
            <v>NO</v>
          </cell>
          <cell r="G1025" t="str">
            <v>NO</v>
          </cell>
          <cell r="H1025" t="str">
            <v>SECRETARÍA C/ARCHIVO Y FOTOCO.</v>
          </cell>
          <cell r="I1025">
            <v>1</v>
          </cell>
          <cell r="J1025" t="str">
            <v>B.3.2.2</v>
          </cell>
          <cell r="K1025" t="str">
            <v>Administración y apoyo general</v>
          </cell>
          <cell r="L1025">
            <v>3</v>
          </cell>
          <cell r="M1025">
            <v>46034</v>
          </cell>
          <cell r="N1025">
            <v>46035</v>
          </cell>
          <cell r="O1025">
            <v>7</v>
          </cell>
          <cell r="P1025">
            <v>46044</v>
          </cell>
          <cell r="Q1025">
            <v>5</v>
          </cell>
          <cell r="R1025" t="str">
            <v>NA</v>
          </cell>
          <cell r="S1025">
            <v>5</v>
          </cell>
        </row>
        <row r="1026">
          <cell r="B1026" t="str">
            <v>MNC</v>
          </cell>
          <cell r="C1026" t="str">
            <v>HSLB13523</v>
          </cell>
          <cell r="D1026">
            <v>203016</v>
          </cell>
          <cell r="E1026" t="str">
            <v>Mueble Tipo Biblioteca</v>
          </cell>
          <cell r="F1026" t="str">
            <v>NO</v>
          </cell>
          <cell r="G1026" t="str">
            <v>NO</v>
          </cell>
          <cell r="H1026" t="str">
            <v>MÓD. DE TRABAJO (GRD profesionales + administrativo)</v>
          </cell>
          <cell r="I1026">
            <v>4</v>
          </cell>
          <cell r="J1026" t="str">
            <v>B.3.2.3</v>
          </cell>
          <cell r="K1026" t="str">
            <v>Administración y apoyo general</v>
          </cell>
          <cell r="L1026">
            <v>3</v>
          </cell>
          <cell r="M1026">
            <v>46034</v>
          </cell>
          <cell r="N1026">
            <v>46035</v>
          </cell>
          <cell r="O1026">
            <v>7</v>
          </cell>
          <cell r="P1026">
            <v>46044</v>
          </cell>
          <cell r="Q1026">
            <v>5</v>
          </cell>
          <cell r="R1026" t="str">
            <v>NA</v>
          </cell>
          <cell r="S1026">
            <v>5</v>
          </cell>
        </row>
        <row r="1027">
          <cell r="B1027" t="str">
            <v>MNC</v>
          </cell>
          <cell r="C1027" t="str">
            <v>HSLB13524</v>
          </cell>
          <cell r="D1027">
            <v>203016</v>
          </cell>
          <cell r="E1027" t="str">
            <v>Mueble Tipo Biblioteca</v>
          </cell>
          <cell r="F1027" t="str">
            <v>NO</v>
          </cell>
          <cell r="G1027" t="str">
            <v>NO</v>
          </cell>
          <cell r="H1027" t="str">
            <v>MÓD. TRABAJO (Winsig)</v>
          </cell>
          <cell r="I1027">
            <v>1</v>
          </cell>
          <cell r="J1027" t="str">
            <v>B.3.2.4</v>
          </cell>
          <cell r="K1027" t="str">
            <v>Administración y apoyo general</v>
          </cell>
          <cell r="L1027">
            <v>3</v>
          </cell>
          <cell r="M1027">
            <v>46034</v>
          </cell>
          <cell r="N1027">
            <v>46035</v>
          </cell>
          <cell r="O1027">
            <v>7</v>
          </cell>
          <cell r="P1027">
            <v>46044</v>
          </cell>
          <cell r="Q1027">
            <v>5</v>
          </cell>
          <cell r="R1027" t="str">
            <v>NA</v>
          </cell>
          <cell r="S1027">
            <v>5</v>
          </cell>
        </row>
        <row r="1028">
          <cell r="B1028" t="str">
            <v>MNC</v>
          </cell>
          <cell r="C1028" t="str">
            <v>HSLB13525</v>
          </cell>
          <cell r="D1028">
            <v>203016</v>
          </cell>
          <cell r="E1028" t="str">
            <v>Mueble Tipo Biblioteca</v>
          </cell>
          <cell r="F1028" t="str">
            <v>NO</v>
          </cell>
          <cell r="G1028" t="str">
            <v>NO</v>
          </cell>
          <cell r="H1028" t="str">
            <v>SECRETARIA C/ARCHIVO, FOTOCOP.</v>
          </cell>
          <cell r="I1028">
            <v>1</v>
          </cell>
          <cell r="J1028" t="str">
            <v>B.3.3.1</v>
          </cell>
          <cell r="K1028" t="str">
            <v>Administración y apoyo general</v>
          </cell>
          <cell r="L1028">
            <v>3</v>
          </cell>
          <cell r="M1028">
            <v>46034</v>
          </cell>
          <cell r="N1028">
            <v>46035</v>
          </cell>
          <cell r="O1028">
            <v>7</v>
          </cell>
          <cell r="P1028">
            <v>46044</v>
          </cell>
          <cell r="Q1028">
            <v>5</v>
          </cell>
          <cell r="R1028" t="str">
            <v>NA</v>
          </cell>
          <cell r="S1028">
            <v>5</v>
          </cell>
        </row>
        <row r="1029">
          <cell r="B1029" t="str">
            <v>MNC</v>
          </cell>
          <cell r="C1029" t="str">
            <v>HSLB13526</v>
          </cell>
          <cell r="D1029">
            <v>203016</v>
          </cell>
          <cell r="E1029" t="str">
            <v>Mueble Tipo Biblioteca</v>
          </cell>
          <cell r="F1029" t="str">
            <v>NO</v>
          </cell>
          <cell r="G1029" t="str">
            <v>NO</v>
          </cell>
          <cell r="H1029" t="str">
            <v>MÓD. TRABAJO (calidad)</v>
          </cell>
          <cell r="I1029">
            <v>3</v>
          </cell>
          <cell r="J1029" t="str">
            <v>B.3.3.2</v>
          </cell>
          <cell r="K1029" t="str">
            <v>Administración y apoyo general</v>
          </cell>
          <cell r="L1029">
            <v>3</v>
          </cell>
          <cell r="M1029">
            <v>46034</v>
          </cell>
          <cell r="N1029">
            <v>46035</v>
          </cell>
          <cell r="O1029">
            <v>7</v>
          </cell>
          <cell r="P1029">
            <v>46044</v>
          </cell>
          <cell r="Q1029">
            <v>5</v>
          </cell>
          <cell r="R1029" t="str">
            <v>NA</v>
          </cell>
          <cell r="S1029">
            <v>5</v>
          </cell>
        </row>
        <row r="1030">
          <cell r="B1030" t="str">
            <v>MNC</v>
          </cell>
          <cell r="C1030" t="str">
            <v>HSLB13527</v>
          </cell>
          <cell r="D1030">
            <v>203016</v>
          </cell>
          <cell r="E1030" t="str">
            <v>Mueble Tipo Biblioteca</v>
          </cell>
          <cell r="F1030" t="str">
            <v>NO</v>
          </cell>
          <cell r="G1030" t="str">
            <v>NO</v>
          </cell>
          <cell r="H1030" t="str">
            <v>MÓD. TRABAJO (IAAS)</v>
          </cell>
          <cell r="I1030">
            <v>2</v>
          </cell>
          <cell r="J1030" t="str">
            <v>B.3.3.3</v>
          </cell>
          <cell r="K1030" t="str">
            <v>Administración y apoyo general</v>
          </cell>
          <cell r="L1030">
            <v>3</v>
          </cell>
          <cell r="M1030">
            <v>46034</v>
          </cell>
          <cell r="N1030">
            <v>46035</v>
          </cell>
          <cell r="O1030">
            <v>7</v>
          </cell>
          <cell r="P1030">
            <v>46044</v>
          </cell>
          <cell r="Q1030">
            <v>5</v>
          </cell>
          <cell r="R1030" t="str">
            <v>NA</v>
          </cell>
          <cell r="S1030">
            <v>5</v>
          </cell>
        </row>
        <row r="1031">
          <cell r="B1031" t="str">
            <v>MNC</v>
          </cell>
          <cell r="C1031" t="str">
            <v>HSLB15214</v>
          </cell>
          <cell r="D1031">
            <v>203016</v>
          </cell>
          <cell r="E1031" t="str">
            <v>Mueble Tipo Biblioteca</v>
          </cell>
          <cell r="F1031" t="str">
            <v>NO</v>
          </cell>
          <cell r="G1031" t="str">
            <v>NO</v>
          </cell>
          <cell r="H1031" t="str">
            <v>OFICINA COMUNICACIONES</v>
          </cell>
          <cell r="I1031">
            <v>3</v>
          </cell>
          <cell r="J1031" t="str">
            <v>B.3.4.1</v>
          </cell>
          <cell r="K1031" t="str">
            <v>Administración y apoyo general</v>
          </cell>
          <cell r="L1031">
            <v>3</v>
          </cell>
          <cell r="M1031">
            <v>46034</v>
          </cell>
          <cell r="N1031">
            <v>46035</v>
          </cell>
          <cell r="O1031">
            <v>7</v>
          </cell>
          <cell r="P1031">
            <v>46044</v>
          </cell>
          <cell r="Q1031">
            <v>5</v>
          </cell>
          <cell r="R1031" t="str">
            <v>NA</v>
          </cell>
          <cell r="S1031">
            <v>5</v>
          </cell>
        </row>
        <row r="1032">
          <cell r="B1032" t="str">
            <v>MNC</v>
          </cell>
          <cell r="C1032" t="str">
            <v>HSLB13528</v>
          </cell>
          <cell r="D1032">
            <v>203016</v>
          </cell>
          <cell r="E1032" t="str">
            <v>Mueble Tipo Biblioteca</v>
          </cell>
          <cell r="F1032" t="str">
            <v>NO</v>
          </cell>
          <cell r="G1032" t="str">
            <v>NO</v>
          </cell>
          <cell r="H1032" t="str">
            <v>OFICINA ASESOR JURÍDICO</v>
          </cell>
          <cell r="I1032">
            <v>1</v>
          </cell>
          <cell r="J1032" t="str">
            <v>B.3.5.1</v>
          </cell>
          <cell r="K1032" t="str">
            <v>Administración y apoyo general</v>
          </cell>
          <cell r="L1032">
            <v>3</v>
          </cell>
          <cell r="M1032">
            <v>46034</v>
          </cell>
          <cell r="N1032">
            <v>46035</v>
          </cell>
          <cell r="O1032">
            <v>7</v>
          </cell>
          <cell r="P1032">
            <v>46044</v>
          </cell>
          <cell r="Q1032">
            <v>5</v>
          </cell>
          <cell r="R1032" t="str">
            <v>NA</v>
          </cell>
          <cell r="S1032">
            <v>5</v>
          </cell>
        </row>
        <row r="1033">
          <cell r="B1033" t="str">
            <v>MNC</v>
          </cell>
          <cell r="C1033" t="str">
            <v>HSLB13529</v>
          </cell>
          <cell r="D1033">
            <v>203016</v>
          </cell>
          <cell r="E1033" t="str">
            <v>Mueble Tipo Biblioteca</v>
          </cell>
          <cell r="F1033" t="str">
            <v>NO</v>
          </cell>
          <cell r="G1033" t="str">
            <v>NO</v>
          </cell>
          <cell r="H1033" t="str">
            <v>OFICINA JEFE AUDITORIA</v>
          </cell>
          <cell r="I1033">
            <v>1</v>
          </cell>
          <cell r="J1033" t="str">
            <v>B.3.6.1</v>
          </cell>
          <cell r="K1033" t="str">
            <v>Administración y apoyo general</v>
          </cell>
          <cell r="L1033">
            <v>3</v>
          </cell>
          <cell r="M1033">
            <v>46034</v>
          </cell>
          <cell r="N1033">
            <v>46035</v>
          </cell>
          <cell r="O1033">
            <v>7</v>
          </cell>
          <cell r="P1033">
            <v>46044</v>
          </cell>
          <cell r="Q1033">
            <v>5</v>
          </cell>
          <cell r="R1033" t="str">
            <v>NA</v>
          </cell>
          <cell r="S1033">
            <v>5</v>
          </cell>
        </row>
        <row r="1034">
          <cell r="B1034" t="str">
            <v>MNC</v>
          </cell>
          <cell r="C1034" t="str">
            <v>HSLB13530</v>
          </cell>
          <cell r="D1034">
            <v>203016</v>
          </cell>
          <cell r="E1034" t="str">
            <v>Mueble Tipo Biblioteca</v>
          </cell>
          <cell r="F1034" t="str">
            <v>NO</v>
          </cell>
          <cell r="G1034" t="str">
            <v>NO</v>
          </cell>
          <cell r="H1034" t="str">
            <v>MÓD. DE TRABAJO</v>
          </cell>
          <cell r="I1034">
            <v>1</v>
          </cell>
          <cell r="J1034" t="str">
            <v>B.3.7.2</v>
          </cell>
          <cell r="K1034" t="str">
            <v>Administración y apoyo general</v>
          </cell>
          <cell r="L1034">
            <v>3</v>
          </cell>
          <cell r="M1034">
            <v>46034</v>
          </cell>
          <cell r="N1034">
            <v>46035</v>
          </cell>
          <cell r="O1034">
            <v>7</v>
          </cell>
          <cell r="P1034">
            <v>46044</v>
          </cell>
          <cell r="Q1034">
            <v>5</v>
          </cell>
          <cell r="R1034" t="str">
            <v>NA</v>
          </cell>
          <cell r="S1034">
            <v>5</v>
          </cell>
        </row>
        <row r="1035">
          <cell r="B1035" t="str">
            <v>MNC</v>
          </cell>
          <cell r="C1035" t="str">
            <v>HSLB13531</v>
          </cell>
          <cell r="D1035">
            <v>203016</v>
          </cell>
          <cell r="E1035" t="str">
            <v>Mueble Tipo Biblioteca</v>
          </cell>
          <cell r="F1035" t="str">
            <v>NO</v>
          </cell>
          <cell r="G1035" t="str">
            <v>NO</v>
          </cell>
          <cell r="H1035" t="str">
            <v>COORDINADOR GESTIÓN DEL CUIDADO AT. ABIERTA</v>
          </cell>
          <cell r="I1035">
            <v>2</v>
          </cell>
          <cell r="J1035" t="str">
            <v>B.4.1</v>
          </cell>
          <cell r="K1035" t="str">
            <v>Administración y apoyo general</v>
          </cell>
          <cell r="L1035">
            <v>3</v>
          </cell>
          <cell r="M1035">
            <v>46034</v>
          </cell>
          <cell r="N1035">
            <v>46035</v>
          </cell>
          <cell r="O1035">
            <v>7</v>
          </cell>
          <cell r="P1035">
            <v>46044</v>
          </cell>
          <cell r="Q1035">
            <v>5</v>
          </cell>
          <cell r="R1035" t="str">
            <v>NA</v>
          </cell>
          <cell r="S1035">
            <v>5</v>
          </cell>
        </row>
        <row r="1036">
          <cell r="B1036" t="str">
            <v>MNC</v>
          </cell>
          <cell r="C1036" t="str">
            <v>HSLB13532</v>
          </cell>
          <cell r="D1036">
            <v>203016</v>
          </cell>
          <cell r="E1036" t="str">
            <v>Mueble Tipo Biblioteca</v>
          </cell>
          <cell r="F1036" t="str">
            <v>NO</v>
          </cell>
          <cell r="G1036" t="str">
            <v>NO</v>
          </cell>
          <cell r="H1036" t="str">
            <v>COORDINADOR GESTIÓN DEL CUIDADO AT. CERRADA</v>
          </cell>
          <cell r="I1036">
            <v>1</v>
          </cell>
          <cell r="J1036" t="str">
            <v>B.4.2</v>
          </cell>
          <cell r="K1036" t="str">
            <v>Administración y apoyo general</v>
          </cell>
          <cell r="L1036">
            <v>3</v>
          </cell>
          <cell r="M1036">
            <v>46034</v>
          </cell>
          <cell r="N1036">
            <v>46035</v>
          </cell>
          <cell r="O1036">
            <v>7</v>
          </cell>
          <cell r="P1036">
            <v>46044</v>
          </cell>
          <cell r="Q1036">
            <v>5</v>
          </cell>
          <cell r="R1036" t="str">
            <v>NA</v>
          </cell>
          <cell r="S1036">
            <v>5</v>
          </cell>
        </row>
        <row r="1037">
          <cell r="B1037" t="str">
            <v>MNC</v>
          </cell>
          <cell r="C1037" t="str">
            <v>HSLB15185</v>
          </cell>
          <cell r="D1037">
            <v>203016</v>
          </cell>
          <cell r="E1037" t="str">
            <v>Mueble Tipo Biblioteca</v>
          </cell>
          <cell r="F1037" t="str">
            <v>NO</v>
          </cell>
          <cell r="G1037" t="str">
            <v>NO</v>
          </cell>
          <cell r="H1037" t="str">
            <v>SALA DE REUNIONES (25pp)</v>
          </cell>
          <cell r="I1037">
            <v>1</v>
          </cell>
          <cell r="J1037" t="str">
            <v>B.5.1</v>
          </cell>
          <cell r="K1037" t="str">
            <v>Administración y apoyo general</v>
          </cell>
          <cell r="L1037">
            <v>3</v>
          </cell>
          <cell r="M1037">
            <v>46034</v>
          </cell>
          <cell r="N1037">
            <v>46035</v>
          </cell>
          <cell r="O1037">
            <v>7</v>
          </cell>
          <cell r="P1037">
            <v>46044</v>
          </cell>
          <cell r="Q1037">
            <v>5</v>
          </cell>
          <cell r="R1037" t="str">
            <v>NA</v>
          </cell>
          <cell r="S1037">
            <v>5</v>
          </cell>
        </row>
        <row r="1038">
          <cell r="B1038" t="str">
            <v>MNC</v>
          </cell>
          <cell r="C1038" t="str">
            <v>HSLB13533</v>
          </cell>
          <cell r="D1038">
            <v>203016</v>
          </cell>
          <cell r="E1038" t="str">
            <v>Mueble Tipo Biblioteca</v>
          </cell>
          <cell r="F1038" t="str">
            <v>NO</v>
          </cell>
          <cell r="G1038" t="str">
            <v>NO</v>
          </cell>
          <cell r="H1038" t="str">
            <v>COORDINADOR GESTIÓN DE PACIENTES</v>
          </cell>
          <cell r="I1038">
            <v>1</v>
          </cell>
          <cell r="J1038" t="str">
            <v>C.1.1.1</v>
          </cell>
          <cell r="K1038" t="str">
            <v>Administración y apoyo general</v>
          </cell>
          <cell r="L1038">
            <v>3</v>
          </cell>
          <cell r="M1038">
            <v>46034</v>
          </cell>
          <cell r="N1038">
            <v>46035</v>
          </cell>
          <cell r="O1038">
            <v>7</v>
          </cell>
          <cell r="P1038">
            <v>46044</v>
          </cell>
          <cell r="Q1038">
            <v>5</v>
          </cell>
          <cell r="R1038" t="str">
            <v>NA</v>
          </cell>
          <cell r="S1038">
            <v>5</v>
          </cell>
        </row>
        <row r="1039">
          <cell r="B1039" t="str">
            <v>MNC</v>
          </cell>
          <cell r="C1039" t="str">
            <v>HSLB13536</v>
          </cell>
          <cell r="D1039">
            <v>203016</v>
          </cell>
          <cell r="E1039" t="str">
            <v>Mueble Tipo Biblioteca</v>
          </cell>
          <cell r="F1039" t="str">
            <v>NO</v>
          </cell>
          <cell r="G1039" t="str">
            <v>NO</v>
          </cell>
          <cell r="H1039" t="str">
            <v>OFICINA SECRETARÍA</v>
          </cell>
          <cell r="I1039">
            <v>1</v>
          </cell>
          <cell r="J1039" t="str">
            <v>C.2.1.2</v>
          </cell>
          <cell r="K1039" t="str">
            <v>Administración y apoyo general</v>
          </cell>
          <cell r="L1039">
            <v>3</v>
          </cell>
          <cell r="M1039">
            <v>46034</v>
          </cell>
          <cell r="N1039">
            <v>46035</v>
          </cell>
          <cell r="O1039">
            <v>7</v>
          </cell>
          <cell r="P1039">
            <v>46044</v>
          </cell>
          <cell r="Q1039">
            <v>5</v>
          </cell>
          <cell r="R1039" t="str">
            <v>NA</v>
          </cell>
          <cell r="S1039">
            <v>5</v>
          </cell>
        </row>
        <row r="1040">
          <cell r="B1040" t="str">
            <v>MNC</v>
          </cell>
          <cell r="C1040" t="str">
            <v>HSLB13537</v>
          </cell>
          <cell r="D1040">
            <v>203016</v>
          </cell>
          <cell r="E1040" t="str">
            <v>Mueble Tipo Biblioteca</v>
          </cell>
          <cell r="F1040" t="str">
            <v>NO</v>
          </cell>
          <cell r="G1040" t="str">
            <v>NO</v>
          </cell>
          <cell r="H1040" t="str">
            <v>OFICINA JEFE CR ATENCIÓN ABIERTA</v>
          </cell>
          <cell r="I1040">
            <v>1</v>
          </cell>
          <cell r="J1040" t="str">
            <v>C.2.1.3</v>
          </cell>
          <cell r="K1040" t="str">
            <v>Administración y apoyo general</v>
          </cell>
          <cell r="L1040">
            <v>3</v>
          </cell>
          <cell r="M1040">
            <v>46034</v>
          </cell>
          <cell r="N1040">
            <v>46035</v>
          </cell>
          <cell r="O1040">
            <v>7</v>
          </cell>
          <cell r="P1040">
            <v>46044</v>
          </cell>
          <cell r="Q1040">
            <v>5</v>
          </cell>
          <cell r="R1040" t="str">
            <v>NA</v>
          </cell>
          <cell r="S1040">
            <v>5</v>
          </cell>
        </row>
        <row r="1041">
          <cell r="B1041" t="str">
            <v>MNC</v>
          </cell>
          <cell r="C1041" t="str">
            <v>HSLB13538</v>
          </cell>
          <cell r="D1041">
            <v>203016</v>
          </cell>
          <cell r="E1041" t="str">
            <v>Mueble Tipo Biblioteca</v>
          </cell>
          <cell r="F1041" t="str">
            <v>NO</v>
          </cell>
          <cell r="G1041" t="str">
            <v>NO</v>
          </cell>
          <cell r="H1041" t="str">
            <v>SECRETARIA C/ARCH. Y FOTO</v>
          </cell>
          <cell r="I1041">
            <v>1</v>
          </cell>
          <cell r="J1041" t="str">
            <v>C.2.2.1.8</v>
          </cell>
          <cell r="K1041" t="str">
            <v>Administración y apoyo general</v>
          </cell>
          <cell r="L1041">
            <v>3</v>
          </cell>
          <cell r="M1041">
            <v>46034</v>
          </cell>
          <cell r="N1041">
            <v>46035</v>
          </cell>
          <cell r="O1041">
            <v>7</v>
          </cell>
          <cell r="P1041">
            <v>46044</v>
          </cell>
          <cell r="Q1041">
            <v>5</v>
          </cell>
          <cell r="R1041" t="str">
            <v>NA</v>
          </cell>
          <cell r="S1041">
            <v>5</v>
          </cell>
        </row>
        <row r="1042">
          <cell r="B1042" t="str">
            <v>MNC</v>
          </cell>
          <cell r="C1042" t="str">
            <v>HSLB13539</v>
          </cell>
          <cell r="D1042">
            <v>203016</v>
          </cell>
          <cell r="E1042" t="str">
            <v>Mueble Tipo Biblioteca</v>
          </cell>
          <cell r="F1042" t="str">
            <v>NO</v>
          </cell>
          <cell r="G1042" t="str">
            <v>NO</v>
          </cell>
          <cell r="H1042" t="str">
            <v>OFICINA JEFE CAE</v>
          </cell>
          <cell r="I1042">
            <v>1</v>
          </cell>
          <cell r="J1042" t="str">
            <v>C.2.2.1.9</v>
          </cell>
          <cell r="K1042" t="str">
            <v>Administración y apoyo general</v>
          </cell>
          <cell r="L1042">
            <v>3</v>
          </cell>
          <cell r="M1042">
            <v>46034</v>
          </cell>
          <cell r="N1042">
            <v>46035</v>
          </cell>
          <cell r="O1042">
            <v>7</v>
          </cell>
          <cell r="P1042">
            <v>46044</v>
          </cell>
          <cell r="Q1042">
            <v>5</v>
          </cell>
          <cell r="R1042" t="str">
            <v>NA</v>
          </cell>
          <cell r="S1042">
            <v>5</v>
          </cell>
        </row>
        <row r="1043">
          <cell r="B1043" t="str">
            <v>MNC</v>
          </cell>
          <cell r="C1043" t="str">
            <v>HSLB13595</v>
          </cell>
          <cell r="D1043">
            <v>203016</v>
          </cell>
          <cell r="E1043" t="str">
            <v>Mueble Tipo Biblioteca</v>
          </cell>
          <cell r="F1043" t="str">
            <v>NO</v>
          </cell>
          <cell r="G1043" t="str">
            <v>NO</v>
          </cell>
          <cell r="H1043" t="str">
            <v>OFICINA SUPERVISOR PARTO Y LEY IVE</v>
          </cell>
          <cell r="I1043">
            <v>1</v>
          </cell>
          <cell r="J1043" t="str">
            <v>C.3.6.3.2.1</v>
          </cell>
          <cell r="K1043" t="str">
            <v>Parto Integral</v>
          </cell>
          <cell r="L1043">
            <v>3</v>
          </cell>
          <cell r="M1043">
            <v>46043</v>
          </cell>
          <cell r="N1043">
            <v>46044</v>
          </cell>
          <cell r="O1043">
            <v>3</v>
          </cell>
          <cell r="P1043">
            <v>46049</v>
          </cell>
          <cell r="Q1043">
            <v>5</v>
          </cell>
          <cell r="R1043" t="str">
            <v>NA</v>
          </cell>
          <cell r="S1043">
            <v>5</v>
          </cell>
        </row>
        <row r="1044">
          <cell r="B1044" t="str">
            <v>MNC</v>
          </cell>
          <cell r="C1044" t="str">
            <v>HSLB13596</v>
          </cell>
          <cell r="D1044">
            <v>203016</v>
          </cell>
          <cell r="E1044" t="str">
            <v>Mueble Tipo Biblioteca</v>
          </cell>
          <cell r="F1044" t="str">
            <v>NO</v>
          </cell>
          <cell r="G1044" t="str">
            <v>NO</v>
          </cell>
          <cell r="H1044" t="str">
            <v>SALA DE ENTREVISTAS LEY IVE</v>
          </cell>
          <cell r="I1044">
            <v>1</v>
          </cell>
          <cell r="J1044" t="str">
            <v>C.3.6.3.2.2</v>
          </cell>
          <cell r="K1044" t="str">
            <v>Parto Integral</v>
          </cell>
          <cell r="L1044">
            <v>3</v>
          </cell>
          <cell r="M1044">
            <v>46043</v>
          </cell>
          <cell r="N1044">
            <v>46044</v>
          </cell>
          <cell r="O1044">
            <v>3</v>
          </cell>
          <cell r="P1044">
            <v>46049</v>
          </cell>
          <cell r="Q1044">
            <v>5</v>
          </cell>
          <cell r="R1044" t="str">
            <v>NA</v>
          </cell>
          <cell r="S1044">
            <v>5</v>
          </cell>
        </row>
        <row r="1045">
          <cell r="B1045" t="str">
            <v>MNC</v>
          </cell>
          <cell r="C1045" t="str">
            <v>HSLB13597</v>
          </cell>
          <cell r="D1045">
            <v>203016</v>
          </cell>
          <cell r="E1045" t="str">
            <v>Mueble Tipo Biblioteca</v>
          </cell>
          <cell r="F1045" t="str">
            <v>NO</v>
          </cell>
          <cell r="G1045" t="str">
            <v>NO</v>
          </cell>
          <cell r="H1045" t="str">
            <v>OFICINA JEFE UTI</v>
          </cell>
          <cell r="I1045">
            <v>1</v>
          </cell>
          <cell r="J1045" t="str">
            <v>C.3.7.1</v>
          </cell>
          <cell r="K1045" t="str">
            <v>UTI</v>
          </cell>
          <cell r="L1045">
            <v>3</v>
          </cell>
          <cell r="M1045">
            <v>46043</v>
          </cell>
          <cell r="N1045">
            <v>46044</v>
          </cell>
          <cell r="O1045">
            <v>3</v>
          </cell>
          <cell r="P1045">
            <v>46049</v>
          </cell>
          <cell r="Q1045">
            <v>5</v>
          </cell>
          <cell r="R1045" t="str">
            <v>NA</v>
          </cell>
          <cell r="S1045">
            <v>5</v>
          </cell>
        </row>
        <row r="1046">
          <cell r="B1046" t="str">
            <v>MNC</v>
          </cell>
          <cell r="C1046" t="str">
            <v>HSLB13598</v>
          </cell>
          <cell r="D1046">
            <v>203016</v>
          </cell>
          <cell r="E1046" t="str">
            <v>Mueble Tipo Biblioteca</v>
          </cell>
          <cell r="F1046" t="str">
            <v>NO</v>
          </cell>
          <cell r="G1046" t="str">
            <v>NO</v>
          </cell>
          <cell r="H1046" t="str">
            <v>MÓDULO SUPERVISOR UTI</v>
          </cell>
          <cell r="I1046">
            <v>1</v>
          </cell>
          <cell r="J1046" t="str">
            <v>C.3.7.11</v>
          </cell>
          <cell r="K1046" t="str">
            <v>UTI</v>
          </cell>
          <cell r="L1046">
            <v>3</v>
          </cell>
          <cell r="M1046">
            <v>46043</v>
          </cell>
          <cell r="N1046">
            <v>46044</v>
          </cell>
          <cell r="O1046">
            <v>3</v>
          </cell>
          <cell r="P1046">
            <v>46049</v>
          </cell>
          <cell r="Q1046">
            <v>5</v>
          </cell>
          <cell r="R1046" t="str">
            <v>NA</v>
          </cell>
          <cell r="S1046">
            <v>5</v>
          </cell>
        </row>
        <row r="1047">
          <cell r="B1047" t="str">
            <v>MNC</v>
          </cell>
          <cell r="C1047" t="str">
            <v>HSLB13599</v>
          </cell>
          <cell r="D1047">
            <v>203016</v>
          </cell>
          <cell r="E1047" t="str">
            <v>Mueble Tipo Biblioteca</v>
          </cell>
          <cell r="F1047" t="str">
            <v>NO</v>
          </cell>
          <cell r="G1047" t="str">
            <v>NO</v>
          </cell>
          <cell r="H1047" t="str">
            <v>OFICINA COORDINADOR UTI</v>
          </cell>
          <cell r="I1047">
            <v>1</v>
          </cell>
          <cell r="J1047" t="str">
            <v>C.3.7.2</v>
          </cell>
          <cell r="K1047" t="str">
            <v>UTI</v>
          </cell>
          <cell r="L1047">
            <v>3</v>
          </cell>
          <cell r="M1047">
            <v>46043</v>
          </cell>
          <cell r="N1047">
            <v>46044</v>
          </cell>
          <cell r="O1047">
            <v>3</v>
          </cell>
          <cell r="P1047">
            <v>46049</v>
          </cell>
          <cell r="Q1047">
            <v>5</v>
          </cell>
          <cell r="R1047" t="str">
            <v>NA</v>
          </cell>
          <cell r="S1047">
            <v>5</v>
          </cell>
        </row>
        <row r="1048">
          <cell r="B1048" t="str">
            <v>MNC</v>
          </cell>
          <cell r="C1048" t="str">
            <v>HSLB14130</v>
          </cell>
          <cell r="D1048">
            <v>203021</v>
          </cell>
          <cell r="E1048" t="str">
            <v>Velador</v>
          </cell>
          <cell r="F1048" t="str">
            <v>NO</v>
          </cell>
          <cell r="G1048" t="str">
            <v>NO</v>
          </cell>
          <cell r="H1048" t="str">
            <v>RESIDENCIA MÉDICA</v>
          </cell>
          <cell r="I1048">
            <v>1</v>
          </cell>
          <cell r="J1048" t="str">
            <v>C.3.7.28</v>
          </cell>
          <cell r="K1048" t="str">
            <v>UTI</v>
          </cell>
          <cell r="L1048">
            <v>3</v>
          </cell>
          <cell r="M1048">
            <v>46043</v>
          </cell>
          <cell r="N1048">
            <v>46044</v>
          </cell>
          <cell r="O1048">
            <v>3</v>
          </cell>
          <cell r="P1048">
            <v>46049</v>
          </cell>
          <cell r="Q1048">
            <v>5</v>
          </cell>
          <cell r="R1048" t="str">
            <v>NA</v>
          </cell>
          <cell r="S1048">
            <v>5</v>
          </cell>
        </row>
        <row r="1049">
          <cell r="B1049" t="str">
            <v>MNC</v>
          </cell>
          <cell r="C1049" t="str">
            <v>HSLB13719</v>
          </cell>
          <cell r="D1049">
            <v>203016</v>
          </cell>
          <cell r="E1049" t="str">
            <v>Mueble Tipo Biblioteca</v>
          </cell>
          <cell r="F1049" t="str">
            <v>NO</v>
          </cell>
          <cell r="G1049" t="str">
            <v>NO</v>
          </cell>
          <cell r="H1049" t="str">
            <v>SALA DE ENTREVISTAS</v>
          </cell>
          <cell r="I1049">
            <v>1</v>
          </cell>
          <cell r="J1049" t="str">
            <v>C.3.7.7.1</v>
          </cell>
          <cell r="K1049" t="str">
            <v>UTI</v>
          </cell>
          <cell r="L1049">
            <v>3</v>
          </cell>
          <cell r="M1049">
            <v>46043</v>
          </cell>
          <cell r="N1049">
            <v>46044</v>
          </cell>
          <cell r="O1049">
            <v>3</v>
          </cell>
          <cell r="P1049">
            <v>46049</v>
          </cell>
          <cell r="Q1049">
            <v>5</v>
          </cell>
          <cell r="R1049" t="str">
            <v>NA</v>
          </cell>
          <cell r="S1049">
            <v>5</v>
          </cell>
        </row>
        <row r="1050">
          <cell r="B1050" t="str">
            <v>MNC</v>
          </cell>
          <cell r="C1050" t="str">
            <v>HSLB14145</v>
          </cell>
          <cell r="D1050">
            <v>203021</v>
          </cell>
          <cell r="E1050" t="str">
            <v>Velador</v>
          </cell>
          <cell r="F1050" t="str">
            <v>NO</v>
          </cell>
          <cell r="G1050" t="str">
            <v>NO</v>
          </cell>
          <cell r="H1050" t="str">
            <v>RESIDENCIA MÉDICA C/BAÑO</v>
          </cell>
          <cell r="I1050">
            <v>1</v>
          </cell>
          <cell r="J1050" t="str">
            <v>C.3.8.3.2</v>
          </cell>
          <cell r="K1050" t="str">
            <v>Pabellones</v>
          </cell>
          <cell r="L1050">
            <v>3</v>
          </cell>
          <cell r="M1050">
            <v>46039</v>
          </cell>
          <cell r="N1050">
            <v>46041</v>
          </cell>
          <cell r="O1050">
            <v>3</v>
          </cell>
          <cell r="P1050">
            <v>46044</v>
          </cell>
          <cell r="Q1050">
            <v>5</v>
          </cell>
          <cell r="R1050" t="str">
            <v>NA</v>
          </cell>
          <cell r="S1050">
            <v>5</v>
          </cell>
        </row>
        <row r="1051">
          <cell r="B1051" t="str">
            <v>MNC</v>
          </cell>
          <cell r="C1051" t="str">
            <v>HSLB13607</v>
          </cell>
          <cell r="D1051">
            <v>203016</v>
          </cell>
          <cell r="E1051" t="str">
            <v>Mueble Tipo Biblioteca</v>
          </cell>
          <cell r="F1051" t="str">
            <v>NO</v>
          </cell>
          <cell r="G1051" t="str">
            <v>NO</v>
          </cell>
          <cell r="H1051" t="str">
            <v>OF. JEFE CR APOYO CLÍNICO</v>
          </cell>
          <cell r="I1051">
            <v>1</v>
          </cell>
          <cell r="J1051" t="str">
            <v>C.5.1.2</v>
          </cell>
          <cell r="K1051" t="str">
            <v>Administración y apoyo general</v>
          </cell>
          <cell r="L1051">
            <v>3</v>
          </cell>
          <cell r="M1051">
            <v>46034</v>
          </cell>
          <cell r="N1051">
            <v>46035</v>
          </cell>
          <cell r="O1051">
            <v>7</v>
          </cell>
          <cell r="P1051">
            <v>46044</v>
          </cell>
          <cell r="Q1051">
            <v>5</v>
          </cell>
          <cell r="R1051" t="str">
            <v>NA</v>
          </cell>
          <cell r="S1051">
            <v>5</v>
          </cell>
        </row>
        <row r="1052">
          <cell r="B1052" t="str">
            <v>MNC</v>
          </cell>
          <cell r="C1052" t="str">
            <v>HSLB13608</v>
          </cell>
          <cell r="D1052">
            <v>203016</v>
          </cell>
          <cell r="E1052" t="str">
            <v>Mueble Tipo Biblioteca</v>
          </cell>
          <cell r="F1052" t="str">
            <v>NO</v>
          </cell>
          <cell r="G1052" t="str">
            <v>NO</v>
          </cell>
          <cell r="H1052" t="str">
            <v>SECRETARÍA C/ARCHIVO Y FOTOCOPIADORA</v>
          </cell>
          <cell r="I1052">
            <v>1</v>
          </cell>
          <cell r="J1052" t="str">
            <v>C.5.1.5</v>
          </cell>
          <cell r="K1052" t="str">
            <v>Administración y apoyo general</v>
          </cell>
          <cell r="L1052">
            <v>3</v>
          </cell>
          <cell r="M1052">
            <v>46034</v>
          </cell>
          <cell r="N1052">
            <v>46035</v>
          </cell>
          <cell r="O1052">
            <v>7</v>
          </cell>
          <cell r="P1052">
            <v>46044</v>
          </cell>
          <cell r="Q1052">
            <v>5</v>
          </cell>
          <cell r="R1052" t="str">
            <v>NA</v>
          </cell>
          <cell r="S1052">
            <v>5</v>
          </cell>
        </row>
        <row r="1053">
          <cell r="B1053" t="str">
            <v>MNC</v>
          </cell>
          <cell r="C1053" t="str">
            <v>HSLB13609</v>
          </cell>
          <cell r="D1053">
            <v>203016</v>
          </cell>
          <cell r="E1053" t="str">
            <v>Mueble Tipo Biblioteca</v>
          </cell>
          <cell r="F1053" t="str">
            <v>NO</v>
          </cell>
          <cell r="G1053" t="str">
            <v>NO</v>
          </cell>
          <cell r="H1053" t="str">
            <v>SALA DE REUNIONES (20 ppm)</v>
          </cell>
          <cell r="I1053">
            <v>1</v>
          </cell>
          <cell r="J1053" t="str">
            <v>C.5.10.1</v>
          </cell>
          <cell r="K1053" t="str">
            <v>Administración y apoyo general</v>
          </cell>
          <cell r="L1053">
            <v>3</v>
          </cell>
          <cell r="M1053">
            <v>46034</v>
          </cell>
          <cell r="N1053">
            <v>46035</v>
          </cell>
          <cell r="O1053">
            <v>7</v>
          </cell>
          <cell r="P1053">
            <v>46044</v>
          </cell>
          <cell r="Q1053">
            <v>5</v>
          </cell>
          <cell r="R1053" t="str">
            <v>NA</v>
          </cell>
          <cell r="S1053">
            <v>5</v>
          </cell>
        </row>
        <row r="1054">
          <cell r="B1054" t="str">
            <v>MNC</v>
          </cell>
          <cell r="C1054" t="str">
            <v>HSLB13622</v>
          </cell>
          <cell r="D1054">
            <v>203016</v>
          </cell>
          <cell r="E1054" t="str">
            <v>Mueble Tipo Biblioteca</v>
          </cell>
          <cell r="F1054" t="str">
            <v>NO</v>
          </cell>
          <cell r="G1054" t="str">
            <v>NO</v>
          </cell>
          <cell r="H1054" t="str">
            <v>OFICINA COORDINADOR ESTERILIZACIÓN</v>
          </cell>
          <cell r="I1054">
            <v>1</v>
          </cell>
          <cell r="J1054" t="str">
            <v>C.5.5.1</v>
          </cell>
          <cell r="K1054" t="str">
            <v>Esterilización</v>
          </cell>
          <cell r="L1054">
            <v>3</v>
          </cell>
          <cell r="M1054">
            <v>46044</v>
          </cell>
          <cell r="N1054">
            <v>46045</v>
          </cell>
          <cell r="O1054">
            <v>3</v>
          </cell>
          <cell r="P1054">
            <v>46050</v>
          </cell>
          <cell r="Q1054">
            <v>5</v>
          </cell>
          <cell r="R1054" t="str">
            <v>NA</v>
          </cell>
          <cell r="S1054">
            <v>5</v>
          </cell>
        </row>
        <row r="1055">
          <cell r="B1055" t="str">
            <v>MNC</v>
          </cell>
          <cell r="C1055" t="str">
            <v>HSLB13623</v>
          </cell>
          <cell r="D1055">
            <v>203016</v>
          </cell>
          <cell r="E1055" t="str">
            <v>Mueble Tipo Biblioteca</v>
          </cell>
          <cell r="F1055" t="str">
            <v>NO</v>
          </cell>
          <cell r="G1055" t="str">
            <v>NO</v>
          </cell>
          <cell r="H1055" t="str">
            <v>SECRETARIA C/ARCH. Y FOTO</v>
          </cell>
          <cell r="I1055">
            <v>1</v>
          </cell>
          <cell r="J1055" t="str">
            <v>C.5.5.2</v>
          </cell>
          <cell r="K1055" t="str">
            <v>Esterilización</v>
          </cell>
          <cell r="L1055">
            <v>3</v>
          </cell>
          <cell r="M1055">
            <v>46044</v>
          </cell>
          <cell r="N1055">
            <v>46045</v>
          </cell>
          <cell r="O1055">
            <v>3</v>
          </cell>
          <cell r="P1055">
            <v>46050</v>
          </cell>
          <cell r="Q1055">
            <v>5</v>
          </cell>
          <cell r="R1055" t="str">
            <v>NA</v>
          </cell>
          <cell r="S1055">
            <v>5</v>
          </cell>
        </row>
        <row r="1056">
          <cell r="B1056" t="str">
            <v>MNC</v>
          </cell>
          <cell r="C1056" t="str">
            <v>HSLB14129</v>
          </cell>
          <cell r="D1056">
            <v>203020</v>
          </cell>
          <cell r="E1056" t="str">
            <v>Soporte de rollo doble</v>
          </cell>
          <cell r="F1056" t="str">
            <v>NO</v>
          </cell>
          <cell r="G1056" t="str">
            <v>NO</v>
          </cell>
          <cell r="H1056" t="str">
            <v>PREPARACIÓN Y EMPAQUE INSTRUMENTAL</v>
          </cell>
          <cell r="I1056">
            <v>2</v>
          </cell>
          <cell r="J1056" t="str">
            <v>C.5.5.23</v>
          </cell>
          <cell r="K1056" t="str">
            <v>Esterilización</v>
          </cell>
          <cell r="L1056">
            <v>3</v>
          </cell>
          <cell r="M1056">
            <v>46044</v>
          </cell>
          <cell r="N1056">
            <v>46045</v>
          </cell>
          <cell r="O1056">
            <v>3</v>
          </cell>
          <cell r="P1056">
            <v>46050</v>
          </cell>
          <cell r="Q1056">
            <v>5</v>
          </cell>
          <cell r="R1056" t="str">
            <v>NA</v>
          </cell>
          <cell r="S1056">
            <v>5</v>
          </cell>
        </row>
        <row r="1057">
          <cell r="B1057" t="str">
            <v>MNC</v>
          </cell>
          <cell r="C1057" t="str">
            <v>HSLB13624</v>
          </cell>
          <cell r="D1057">
            <v>203016</v>
          </cell>
          <cell r="E1057" t="str">
            <v>Mueble Tipo Biblioteca</v>
          </cell>
          <cell r="F1057" t="str">
            <v>NO</v>
          </cell>
          <cell r="G1057" t="str">
            <v>NO</v>
          </cell>
          <cell r="H1057" t="str">
            <v>SALA ENTREVISTAS FAMILIARES</v>
          </cell>
          <cell r="I1057">
            <v>1</v>
          </cell>
          <cell r="J1057" t="str">
            <v>C.5.6.1.5</v>
          </cell>
          <cell r="K1057" t="str">
            <v>Pabellones</v>
          </cell>
          <cell r="L1057">
            <v>3</v>
          </cell>
          <cell r="M1057">
            <v>46039</v>
          </cell>
          <cell r="N1057">
            <v>46041</v>
          </cell>
          <cell r="O1057">
            <v>3</v>
          </cell>
          <cell r="P1057">
            <v>46044</v>
          </cell>
          <cell r="Q1057">
            <v>5</v>
          </cell>
          <cell r="R1057" t="str">
            <v>NA</v>
          </cell>
          <cell r="S1057">
            <v>5</v>
          </cell>
        </row>
        <row r="1058">
          <cell r="B1058" t="str">
            <v>MNC</v>
          </cell>
          <cell r="C1058" t="str">
            <v>HSLB13625</v>
          </cell>
          <cell r="D1058">
            <v>203016</v>
          </cell>
          <cell r="E1058" t="str">
            <v>Mueble Tipo Biblioteca</v>
          </cell>
          <cell r="F1058" t="str">
            <v>NO</v>
          </cell>
          <cell r="G1058" t="str">
            <v>NO</v>
          </cell>
          <cell r="H1058" t="str">
            <v>OFICINA JEFE PABELLONES</v>
          </cell>
          <cell r="I1058">
            <v>1</v>
          </cell>
          <cell r="J1058" t="str">
            <v>C.5.6.1.6</v>
          </cell>
          <cell r="K1058" t="str">
            <v>Pabellones</v>
          </cell>
          <cell r="L1058">
            <v>3</v>
          </cell>
          <cell r="M1058">
            <v>46039</v>
          </cell>
          <cell r="N1058">
            <v>46041</v>
          </cell>
          <cell r="O1058">
            <v>3</v>
          </cell>
          <cell r="P1058">
            <v>46044</v>
          </cell>
          <cell r="Q1058">
            <v>5</v>
          </cell>
          <cell r="R1058" t="str">
            <v>NA</v>
          </cell>
          <cell r="S1058">
            <v>5</v>
          </cell>
        </row>
        <row r="1059">
          <cell r="B1059" t="str">
            <v>MNC</v>
          </cell>
          <cell r="C1059" t="str">
            <v>HSLB13626</v>
          </cell>
          <cell r="D1059">
            <v>203016</v>
          </cell>
          <cell r="E1059" t="str">
            <v>Mueble Tipo Biblioteca</v>
          </cell>
          <cell r="F1059" t="str">
            <v>NO</v>
          </cell>
          <cell r="G1059" t="str">
            <v>NO</v>
          </cell>
          <cell r="H1059" t="str">
            <v>OFICINA COORDINADOR PABELLONES</v>
          </cell>
          <cell r="I1059">
            <v>1</v>
          </cell>
          <cell r="J1059" t="str">
            <v>C.5.6.1.7</v>
          </cell>
          <cell r="K1059" t="str">
            <v>Pabellones</v>
          </cell>
          <cell r="L1059">
            <v>3</v>
          </cell>
          <cell r="M1059">
            <v>46039</v>
          </cell>
          <cell r="N1059">
            <v>46041</v>
          </cell>
          <cell r="O1059">
            <v>3</v>
          </cell>
          <cell r="P1059">
            <v>46044</v>
          </cell>
          <cell r="Q1059">
            <v>5</v>
          </cell>
          <cell r="R1059" t="str">
            <v>NA</v>
          </cell>
          <cell r="S1059">
            <v>5</v>
          </cell>
        </row>
        <row r="1060">
          <cell r="B1060" t="str">
            <v>MNC</v>
          </cell>
          <cell r="C1060" t="str">
            <v>HSLB15391</v>
          </cell>
          <cell r="D1060">
            <v>203016</v>
          </cell>
          <cell r="E1060" t="str">
            <v>Mueble Tipo Biblioteca</v>
          </cell>
          <cell r="F1060" t="str">
            <v>NO</v>
          </cell>
          <cell r="G1060" t="str">
            <v>NO</v>
          </cell>
          <cell r="H1060" t="str">
            <v>SALA INFORMES PROFESIONALES MÉDICOS</v>
          </cell>
          <cell r="I1060">
            <v>1</v>
          </cell>
          <cell r="J1060" t="str">
            <v>C.5.6.1.8</v>
          </cell>
          <cell r="K1060" t="str">
            <v>Pabellones</v>
          </cell>
          <cell r="L1060">
            <v>3</v>
          </cell>
          <cell r="M1060">
            <v>46039</v>
          </cell>
          <cell r="N1060">
            <v>46041</v>
          </cell>
          <cell r="O1060">
            <v>3</v>
          </cell>
          <cell r="P1060">
            <v>46044</v>
          </cell>
          <cell r="Q1060">
            <v>5</v>
          </cell>
          <cell r="R1060" t="str">
            <v>NA</v>
          </cell>
          <cell r="S1060">
            <v>5</v>
          </cell>
        </row>
        <row r="1061">
          <cell r="B1061" t="str">
            <v>MNC</v>
          </cell>
          <cell r="C1061" t="str">
            <v>HSLB13648</v>
          </cell>
          <cell r="D1061">
            <v>203016</v>
          </cell>
          <cell r="E1061" t="str">
            <v>Mueble Tipo Biblioteca</v>
          </cell>
          <cell r="F1061" t="str">
            <v>NO</v>
          </cell>
          <cell r="G1061" t="str">
            <v>NO</v>
          </cell>
          <cell r="H1061" t="str">
            <v>OF. COORDINADOR REGISTRO Y ESTADÍSTICA</v>
          </cell>
          <cell r="I1061">
            <v>1</v>
          </cell>
          <cell r="J1061" t="str">
            <v>D.1.1.2.1</v>
          </cell>
          <cell r="K1061" t="str">
            <v>Administración y apoyo general</v>
          </cell>
          <cell r="L1061">
            <v>3</v>
          </cell>
          <cell r="M1061">
            <v>46034</v>
          </cell>
          <cell r="N1061">
            <v>46035</v>
          </cell>
          <cell r="O1061">
            <v>7</v>
          </cell>
          <cell r="P1061">
            <v>46044</v>
          </cell>
          <cell r="Q1061">
            <v>5</v>
          </cell>
          <cell r="R1061" t="str">
            <v>NA</v>
          </cell>
          <cell r="S1061">
            <v>5</v>
          </cell>
        </row>
        <row r="1062">
          <cell r="B1062" t="str">
            <v>MNC</v>
          </cell>
          <cell r="C1062" t="str">
            <v>HSLB13649</v>
          </cell>
          <cell r="D1062">
            <v>203016</v>
          </cell>
          <cell r="E1062" t="str">
            <v>Mueble Tipo Biblioteca</v>
          </cell>
          <cell r="F1062" t="str">
            <v>NO</v>
          </cell>
          <cell r="G1062" t="str">
            <v>NO</v>
          </cell>
          <cell r="H1062" t="str">
            <v>MÓDULOS DE TRABAJO (sala de digitalización datos)</v>
          </cell>
          <cell r="I1062">
            <v>4</v>
          </cell>
          <cell r="J1062" t="str">
            <v>D.1.1.2.2</v>
          </cell>
          <cell r="K1062" t="str">
            <v>Administración y apoyo general</v>
          </cell>
          <cell r="L1062">
            <v>3</v>
          </cell>
          <cell r="M1062">
            <v>46034</v>
          </cell>
          <cell r="N1062">
            <v>46035</v>
          </cell>
          <cell r="O1062">
            <v>7</v>
          </cell>
          <cell r="P1062">
            <v>46044</v>
          </cell>
          <cell r="Q1062">
            <v>5</v>
          </cell>
          <cell r="R1062" t="str">
            <v>NA</v>
          </cell>
          <cell r="S1062">
            <v>5</v>
          </cell>
        </row>
        <row r="1063">
          <cell r="B1063" t="str">
            <v>MNC</v>
          </cell>
          <cell r="C1063" t="str">
            <v>HSLB13650</v>
          </cell>
          <cell r="D1063">
            <v>203016</v>
          </cell>
          <cell r="E1063" t="str">
            <v>Mueble Tipo Biblioteca</v>
          </cell>
          <cell r="F1063" t="str">
            <v>NO</v>
          </cell>
          <cell r="G1063" t="str">
            <v>NO</v>
          </cell>
          <cell r="H1063" t="str">
            <v>MÓDULO DE TRABAJO (encargado archivo)</v>
          </cell>
          <cell r="I1063">
            <v>1</v>
          </cell>
          <cell r="J1063" t="str">
            <v>D.1.1.3.1</v>
          </cell>
          <cell r="K1063" t="str">
            <v>Administración y apoyo general</v>
          </cell>
          <cell r="L1063">
            <v>3</v>
          </cell>
          <cell r="M1063">
            <v>46034</v>
          </cell>
          <cell r="N1063">
            <v>46035</v>
          </cell>
          <cell r="O1063">
            <v>7</v>
          </cell>
          <cell r="P1063">
            <v>46044</v>
          </cell>
          <cell r="Q1063">
            <v>5</v>
          </cell>
          <cell r="R1063" t="str">
            <v>NA</v>
          </cell>
          <cell r="S1063">
            <v>5</v>
          </cell>
        </row>
        <row r="1064">
          <cell r="B1064" t="str">
            <v>MNC</v>
          </cell>
          <cell r="C1064" t="str">
            <v>HSLB13651</v>
          </cell>
          <cell r="D1064">
            <v>203016</v>
          </cell>
          <cell r="E1064" t="str">
            <v>Mueble Tipo Biblioteca</v>
          </cell>
          <cell r="F1064" t="str">
            <v>NO</v>
          </cell>
          <cell r="G1064" t="str">
            <v>NO</v>
          </cell>
          <cell r="H1064" t="str">
            <v>MÓD. DE TRABAJO</v>
          </cell>
          <cell r="I1064">
            <v>2</v>
          </cell>
          <cell r="J1064" t="str">
            <v>D.1.1.3.3</v>
          </cell>
          <cell r="K1064" t="str">
            <v>Administración y apoyo general</v>
          </cell>
          <cell r="L1064">
            <v>3</v>
          </cell>
          <cell r="M1064">
            <v>46034</v>
          </cell>
          <cell r="N1064">
            <v>46035</v>
          </cell>
          <cell r="O1064">
            <v>7</v>
          </cell>
          <cell r="P1064">
            <v>46044</v>
          </cell>
          <cell r="Q1064">
            <v>5</v>
          </cell>
          <cell r="R1064" t="str">
            <v>NA</v>
          </cell>
          <cell r="S1064">
            <v>5</v>
          </cell>
        </row>
        <row r="1065">
          <cell r="B1065" t="str">
            <v>MNC</v>
          </cell>
          <cell r="C1065" t="str">
            <v>HSLB13655</v>
          </cell>
          <cell r="D1065">
            <v>203016</v>
          </cell>
          <cell r="E1065" t="str">
            <v>Mueble Tipo Biblioteca</v>
          </cell>
          <cell r="F1065" t="str">
            <v>NO</v>
          </cell>
          <cell r="G1065" t="str">
            <v>NO</v>
          </cell>
          <cell r="H1065" t="str">
            <v>SECRETARIA C/ARCHIVO, FOTOCOP.</v>
          </cell>
          <cell r="I1065">
            <v>1</v>
          </cell>
          <cell r="J1065" t="str">
            <v>D.2.1.1</v>
          </cell>
          <cell r="K1065" t="str">
            <v>Administración y apoyo general</v>
          </cell>
          <cell r="L1065">
            <v>3</v>
          </cell>
          <cell r="M1065">
            <v>46034</v>
          </cell>
          <cell r="N1065">
            <v>46035</v>
          </cell>
          <cell r="O1065">
            <v>7</v>
          </cell>
          <cell r="P1065">
            <v>46044</v>
          </cell>
          <cell r="Q1065">
            <v>5</v>
          </cell>
          <cell r="R1065" t="str">
            <v>NA</v>
          </cell>
          <cell r="S1065">
            <v>5</v>
          </cell>
        </row>
        <row r="1066">
          <cell r="B1066" t="str">
            <v>MNC</v>
          </cell>
          <cell r="C1066" t="str">
            <v>HSLB13656</v>
          </cell>
          <cell r="D1066">
            <v>203016</v>
          </cell>
          <cell r="E1066" t="str">
            <v>Mueble Tipo Biblioteca</v>
          </cell>
          <cell r="F1066" t="str">
            <v>NO</v>
          </cell>
          <cell r="G1066" t="str">
            <v>NO</v>
          </cell>
          <cell r="H1066" t="str">
            <v>OF. JEFE CR GESTIÓN LOGÍSTICA</v>
          </cell>
          <cell r="I1066">
            <v>1</v>
          </cell>
          <cell r="J1066" t="str">
            <v>D.2.1.2</v>
          </cell>
          <cell r="K1066" t="str">
            <v>Administración y apoyo general</v>
          </cell>
          <cell r="L1066">
            <v>3</v>
          </cell>
          <cell r="M1066">
            <v>46034</v>
          </cell>
          <cell r="N1066">
            <v>46035</v>
          </cell>
          <cell r="O1066">
            <v>7</v>
          </cell>
          <cell r="P1066">
            <v>46044</v>
          </cell>
          <cell r="Q1066">
            <v>5</v>
          </cell>
          <cell r="R1066" t="str">
            <v>NA</v>
          </cell>
          <cell r="S1066">
            <v>5</v>
          </cell>
        </row>
        <row r="1067">
          <cell r="B1067" t="str">
            <v>MNC</v>
          </cell>
          <cell r="C1067" t="str">
            <v>HSLB13657</v>
          </cell>
          <cell r="D1067">
            <v>203016</v>
          </cell>
          <cell r="E1067" t="str">
            <v>Mueble Tipo Biblioteca</v>
          </cell>
          <cell r="F1067" t="str">
            <v>NO</v>
          </cell>
          <cell r="G1067" t="str">
            <v>NO</v>
          </cell>
          <cell r="H1067" t="str">
            <v>OFICINA MEDIOAMBIENTAL</v>
          </cell>
          <cell r="I1067">
            <v>1</v>
          </cell>
          <cell r="J1067" t="str">
            <v>D.2.1.3</v>
          </cell>
          <cell r="K1067" t="str">
            <v>Administración y apoyo general</v>
          </cell>
          <cell r="L1067">
            <v>3</v>
          </cell>
          <cell r="M1067">
            <v>46034</v>
          </cell>
          <cell r="N1067">
            <v>46035</v>
          </cell>
          <cell r="O1067">
            <v>7</v>
          </cell>
          <cell r="P1067">
            <v>46044</v>
          </cell>
          <cell r="Q1067">
            <v>5</v>
          </cell>
          <cell r="R1067" t="str">
            <v>NA</v>
          </cell>
          <cell r="S1067">
            <v>5</v>
          </cell>
        </row>
        <row r="1068">
          <cell r="B1068" t="str">
            <v>MNC</v>
          </cell>
          <cell r="C1068" t="str">
            <v>HSLB13658</v>
          </cell>
          <cell r="D1068">
            <v>203016</v>
          </cell>
          <cell r="E1068" t="str">
            <v>Mueble Tipo Biblioteca</v>
          </cell>
          <cell r="F1068" t="str">
            <v>NO</v>
          </cell>
          <cell r="G1068" t="str">
            <v>NO</v>
          </cell>
          <cell r="H1068" t="str">
            <v>SECRETARIA C/ARCHIVO, FOTOCOP.</v>
          </cell>
          <cell r="I1068">
            <v>1</v>
          </cell>
          <cell r="J1068" t="str">
            <v>D.2.2.1.1</v>
          </cell>
          <cell r="K1068" t="str">
            <v>Mantenimiento</v>
          </cell>
          <cell r="L1068">
            <v>3</v>
          </cell>
          <cell r="M1068">
            <v>46044</v>
          </cell>
          <cell r="N1068">
            <v>46045</v>
          </cell>
          <cell r="O1068">
            <v>3</v>
          </cell>
          <cell r="P1068">
            <v>46050</v>
          </cell>
          <cell r="Q1068">
            <v>5</v>
          </cell>
          <cell r="R1068" t="str">
            <v>NA</v>
          </cell>
          <cell r="S1068">
            <v>5</v>
          </cell>
        </row>
        <row r="1069">
          <cell r="B1069" t="str">
            <v>MNC</v>
          </cell>
          <cell r="C1069" t="str">
            <v>HSLB13659</v>
          </cell>
          <cell r="D1069">
            <v>203016</v>
          </cell>
          <cell r="E1069" t="str">
            <v>Mueble Tipo Biblioteca</v>
          </cell>
          <cell r="F1069" t="str">
            <v>NO</v>
          </cell>
          <cell r="G1069" t="str">
            <v>NO</v>
          </cell>
          <cell r="H1069" t="str">
            <v>OF. JEFE SERV. GENERALES</v>
          </cell>
          <cell r="I1069">
            <v>1</v>
          </cell>
          <cell r="J1069" t="str">
            <v>D.2.2.1.2</v>
          </cell>
          <cell r="K1069" t="str">
            <v>Mantenimiento</v>
          </cell>
          <cell r="L1069">
            <v>3</v>
          </cell>
          <cell r="M1069">
            <v>46044</v>
          </cell>
          <cell r="N1069">
            <v>46045</v>
          </cell>
          <cell r="O1069">
            <v>3</v>
          </cell>
          <cell r="P1069">
            <v>46050</v>
          </cell>
          <cell r="Q1069">
            <v>5</v>
          </cell>
          <cell r="R1069" t="str">
            <v>NA</v>
          </cell>
          <cell r="S1069">
            <v>5</v>
          </cell>
        </row>
        <row r="1070">
          <cell r="B1070" t="str">
            <v>MNC</v>
          </cell>
          <cell r="C1070" t="str">
            <v>HSLB13665</v>
          </cell>
          <cell r="D1070">
            <v>203016</v>
          </cell>
          <cell r="E1070" t="str">
            <v>Mueble Tipo Biblioteca</v>
          </cell>
          <cell r="F1070" t="str">
            <v>NO</v>
          </cell>
          <cell r="G1070" t="str">
            <v>NO</v>
          </cell>
          <cell r="H1070" t="str">
            <v>COORDINADOR EQUIPOS MÉDICOS</v>
          </cell>
          <cell r="I1070">
            <v>1</v>
          </cell>
          <cell r="J1070" t="str">
            <v>D.2.3.1</v>
          </cell>
          <cell r="K1070" t="str">
            <v>Mantenimiento</v>
          </cell>
          <cell r="L1070">
            <v>3</v>
          </cell>
          <cell r="M1070">
            <v>46044</v>
          </cell>
          <cell r="N1070">
            <v>46045</v>
          </cell>
          <cell r="O1070">
            <v>3</v>
          </cell>
          <cell r="P1070">
            <v>46050</v>
          </cell>
          <cell r="Q1070">
            <v>5</v>
          </cell>
          <cell r="R1070" t="str">
            <v>NA</v>
          </cell>
          <cell r="S1070">
            <v>5</v>
          </cell>
        </row>
        <row r="1071">
          <cell r="B1071" t="str">
            <v>MNC</v>
          </cell>
          <cell r="C1071" t="str">
            <v>HSLB13666</v>
          </cell>
          <cell r="D1071">
            <v>203016</v>
          </cell>
          <cell r="E1071" t="str">
            <v>Mueble Tipo Biblioteca</v>
          </cell>
          <cell r="F1071" t="str">
            <v>NO</v>
          </cell>
          <cell r="G1071" t="str">
            <v>NO</v>
          </cell>
          <cell r="H1071" t="str">
            <v>MÓDULO DE TRABAJO INGENIERO</v>
          </cell>
          <cell r="I1071">
            <v>1</v>
          </cell>
          <cell r="J1071" t="str">
            <v>D.2.3.2</v>
          </cell>
          <cell r="K1071" t="str">
            <v>Mantenimiento</v>
          </cell>
          <cell r="L1071">
            <v>3</v>
          </cell>
          <cell r="M1071">
            <v>46044</v>
          </cell>
          <cell r="N1071">
            <v>46045</v>
          </cell>
          <cell r="O1071">
            <v>3</v>
          </cell>
          <cell r="P1071">
            <v>46050</v>
          </cell>
          <cell r="Q1071">
            <v>5</v>
          </cell>
          <cell r="R1071" t="str">
            <v>NA</v>
          </cell>
          <cell r="S1071">
            <v>5</v>
          </cell>
        </row>
        <row r="1072">
          <cell r="B1072" t="str">
            <v>MNC</v>
          </cell>
          <cell r="C1072" t="str">
            <v>HSLB13667</v>
          </cell>
          <cell r="D1072">
            <v>203016</v>
          </cell>
          <cell r="E1072" t="str">
            <v>Mueble Tipo Biblioteca</v>
          </cell>
          <cell r="F1072" t="str">
            <v>NO</v>
          </cell>
          <cell r="G1072" t="str">
            <v>NO</v>
          </cell>
          <cell r="H1072" t="str">
            <v>SECRETARIA C/ARCHIVO, FOTOCOP.</v>
          </cell>
          <cell r="I1072">
            <v>1</v>
          </cell>
          <cell r="J1072" t="str">
            <v>D.2.3.3</v>
          </cell>
          <cell r="K1072" t="str">
            <v>Mantenimiento</v>
          </cell>
          <cell r="L1072">
            <v>3</v>
          </cell>
          <cell r="M1072">
            <v>46044</v>
          </cell>
          <cell r="N1072">
            <v>46045</v>
          </cell>
          <cell r="O1072">
            <v>3</v>
          </cell>
          <cell r="P1072">
            <v>46050</v>
          </cell>
          <cell r="Q1072">
            <v>5</v>
          </cell>
          <cell r="R1072" t="str">
            <v>NA</v>
          </cell>
          <cell r="S1072">
            <v>5</v>
          </cell>
        </row>
        <row r="1073">
          <cell r="B1073" t="str">
            <v>MNC</v>
          </cell>
          <cell r="C1073" t="str">
            <v>HSLB15432</v>
          </cell>
          <cell r="D1073">
            <v>203016</v>
          </cell>
          <cell r="E1073" t="str">
            <v>Mueble Tipo Biblioteca</v>
          </cell>
          <cell r="F1073" t="str">
            <v>NO</v>
          </cell>
          <cell r="G1073" t="str">
            <v>NO</v>
          </cell>
          <cell r="H1073" t="str">
            <v>ÁREA DE RECEP. Y ENTREGA EQUIP. MÉDICO</v>
          </cell>
          <cell r="I1073">
            <v>1</v>
          </cell>
          <cell r="J1073" t="str">
            <v>D.2.3.8</v>
          </cell>
          <cell r="K1073" t="str">
            <v>Mantenimiento</v>
          </cell>
          <cell r="L1073">
            <v>3</v>
          </cell>
          <cell r="M1073">
            <v>46044</v>
          </cell>
          <cell r="N1073">
            <v>46045</v>
          </cell>
          <cell r="O1073">
            <v>3</v>
          </cell>
          <cell r="P1073">
            <v>46050</v>
          </cell>
          <cell r="Q1073">
            <v>5</v>
          </cell>
          <cell r="R1073" t="str">
            <v>NA</v>
          </cell>
          <cell r="S1073">
            <v>5</v>
          </cell>
        </row>
        <row r="1074">
          <cell r="B1074" t="str">
            <v>MNC</v>
          </cell>
          <cell r="C1074" t="str">
            <v>HSLB13671</v>
          </cell>
          <cell r="D1074">
            <v>203016</v>
          </cell>
          <cell r="E1074" t="str">
            <v>Mueble Tipo Biblioteca</v>
          </cell>
          <cell r="F1074" t="str">
            <v>NO</v>
          </cell>
          <cell r="G1074" t="str">
            <v>NO</v>
          </cell>
          <cell r="H1074" t="str">
            <v>SECRETARÍA C/ARCHIVO Y FOTOCOPIADORA</v>
          </cell>
          <cell r="I1074">
            <v>1</v>
          </cell>
          <cell r="J1074" t="str">
            <v>D.3.1.1.1</v>
          </cell>
          <cell r="K1074" t="str">
            <v>Administración y apoyo general</v>
          </cell>
          <cell r="L1074">
            <v>3</v>
          </cell>
          <cell r="M1074">
            <v>46034</v>
          </cell>
          <cell r="N1074">
            <v>46035</v>
          </cell>
          <cell r="O1074">
            <v>7</v>
          </cell>
          <cell r="P1074">
            <v>46044</v>
          </cell>
          <cell r="Q1074">
            <v>5</v>
          </cell>
          <cell r="R1074" t="str">
            <v>NA</v>
          </cell>
          <cell r="S1074">
            <v>5</v>
          </cell>
        </row>
        <row r="1075">
          <cell r="B1075" t="str">
            <v>MNC</v>
          </cell>
          <cell r="C1075" t="str">
            <v>HSLB13673</v>
          </cell>
          <cell r="D1075">
            <v>203016</v>
          </cell>
          <cell r="E1075" t="str">
            <v>Mueble Tipo Biblioteca</v>
          </cell>
          <cell r="F1075" t="str">
            <v>NO</v>
          </cell>
          <cell r="G1075" t="str">
            <v>NO</v>
          </cell>
          <cell r="H1075" t="str">
            <v>OFICINA JEFE DE FINANZAS</v>
          </cell>
          <cell r="I1075">
            <v>1</v>
          </cell>
          <cell r="J1075" t="str">
            <v>D.3.1.2</v>
          </cell>
          <cell r="K1075" t="str">
            <v>Administración y apoyo general</v>
          </cell>
          <cell r="L1075">
            <v>3</v>
          </cell>
          <cell r="M1075">
            <v>46034</v>
          </cell>
          <cell r="N1075">
            <v>46035</v>
          </cell>
          <cell r="O1075">
            <v>7</v>
          </cell>
          <cell r="P1075">
            <v>46044</v>
          </cell>
          <cell r="Q1075">
            <v>5</v>
          </cell>
          <cell r="R1075" t="str">
            <v>NA</v>
          </cell>
          <cell r="S1075">
            <v>5</v>
          </cell>
        </row>
        <row r="1076">
          <cell r="B1076" t="str">
            <v>MNC</v>
          </cell>
          <cell r="C1076" t="str">
            <v>HSLB13675</v>
          </cell>
          <cell r="D1076">
            <v>203016</v>
          </cell>
          <cell r="E1076" t="str">
            <v>Mueble Tipo Biblioteca</v>
          </cell>
          <cell r="F1076" t="str">
            <v>NO</v>
          </cell>
          <cell r="G1076" t="str">
            <v>NO</v>
          </cell>
          <cell r="H1076" t="str">
            <v>COORDINADOR CONTABILIDAD Y PRESUPUESTO</v>
          </cell>
          <cell r="I1076">
            <v>2</v>
          </cell>
          <cell r="J1076" t="str">
            <v>D.3.2.1.1</v>
          </cell>
          <cell r="K1076" t="str">
            <v>Administración y apoyo general</v>
          </cell>
          <cell r="L1076">
            <v>3</v>
          </cell>
          <cell r="M1076">
            <v>46034</v>
          </cell>
          <cell r="N1076">
            <v>46035</v>
          </cell>
          <cell r="O1076">
            <v>7</v>
          </cell>
          <cell r="P1076">
            <v>46044</v>
          </cell>
          <cell r="Q1076">
            <v>5</v>
          </cell>
          <cell r="R1076" t="str">
            <v>NA</v>
          </cell>
          <cell r="S1076">
            <v>5</v>
          </cell>
        </row>
        <row r="1077">
          <cell r="B1077" t="str">
            <v>MNC</v>
          </cell>
          <cell r="C1077" t="str">
            <v>HSLB13676</v>
          </cell>
          <cell r="D1077">
            <v>203016</v>
          </cell>
          <cell r="E1077" t="str">
            <v>Mueble Tipo Biblioteca</v>
          </cell>
          <cell r="F1077" t="str">
            <v>NO</v>
          </cell>
          <cell r="G1077" t="str">
            <v>SI</v>
          </cell>
          <cell r="H1077" t="str">
            <v>MÓDULOS DE TRABAJO (control activos y existencia)</v>
          </cell>
          <cell r="I1077">
            <v>4</v>
          </cell>
          <cell r="J1077" t="str">
            <v>D.3.2.1.2</v>
          </cell>
          <cell r="K1077" t="str">
            <v>Administración y apoyo general</v>
          </cell>
          <cell r="L1077">
            <v>3</v>
          </cell>
          <cell r="M1077">
            <v>46003</v>
          </cell>
          <cell r="N1077">
            <v>46006</v>
          </cell>
          <cell r="O1077">
            <v>1</v>
          </cell>
          <cell r="P1077">
            <v>46007</v>
          </cell>
          <cell r="Q1077">
            <v>5</v>
          </cell>
          <cell r="R1077" t="str">
            <v>NA</v>
          </cell>
          <cell r="S1077">
            <v>5</v>
          </cell>
        </row>
        <row r="1078">
          <cell r="B1078" t="str">
            <v>MNC</v>
          </cell>
          <cell r="C1078" t="str">
            <v>HSLB13677</v>
          </cell>
          <cell r="D1078">
            <v>203016</v>
          </cell>
          <cell r="E1078" t="str">
            <v>Mueble Tipo Biblioteca</v>
          </cell>
          <cell r="F1078" t="str">
            <v>NO</v>
          </cell>
          <cell r="G1078" t="str">
            <v>NO</v>
          </cell>
          <cell r="H1078" t="str">
            <v>MÓDULO DE TRABAJO (presupuesto)</v>
          </cell>
          <cell r="I1078">
            <v>1</v>
          </cell>
          <cell r="J1078" t="str">
            <v>D.3.2.1.3</v>
          </cell>
          <cell r="K1078" t="str">
            <v>Administración y apoyo general</v>
          </cell>
          <cell r="L1078">
            <v>3</v>
          </cell>
          <cell r="M1078">
            <v>46034</v>
          </cell>
          <cell r="N1078">
            <v>46035</v>
          </cell>
          <cell r="O1078">
            <v>7</v>
          </cell>
          <cell r="P1078">
            <v>46044</v>
          </cell>
          <cell r="Q1078">
            <v>5</v>
          </cell>
          <cell r="R1078" t="str">
            <v>NA</v>
          </cell>
          <cell r="S1078">
            <v>5</v>
          </cell>
        </row>
        <row r="1079">
          <cell r="B1079" t="str">
            <v>MNC</v>
          </cell>
          <cell r="C1079" t="str">
            <v>HSLB13678</v>
          </cell>
          <cell r="D1079">
            <v>203016</v>
          </cell>
          <cell r="E1079" t="str">
            <v>Mueble Tipo Biblioteca</v>
          </cell>
          <cell r="F1079" t="str">
            <v>NO</v>
          </cell>
          <cell r="G1079" t="str">
            <v>NO</v>
          </cell>
          <cell r="H1079" t="str">
            <v>MÓDULO DE TRABAJO (gestión financiera)</v>
          </cell>
          <cell r="I1079">
            <v>1</v>
          </cell>
          <cell r="J1079" t="str">
            <v>D.3.2.1.4</v>
          </cell>
          <cell r="K1079" t="str">
            <v>Administración y apoyo general</v>
          </cell>
          <cell r="L1079">
            <v>3</v>
          </cell>
          <cell r="M1079">
            <v>46034</v>
          </cell>
          <cell r="N1079">
            <v>46035</v>
          </cell>
          <cell r="O1079">
            <v>7</v>
          </cell>
          <cell r="P1079">
            <v>46044</v>
          </cell>
          <cell r="Q1079">
            <v>5</v>
          </cell>
          <cell r="R1079" t="str">
            <v>NA</v>
          </cell>
          <cell r="S1079">
            <v>5</v>
          </cell>
        </row>
        <row r="1080">
          <cell r="B1080" t="str">
            <v>MNC</v>
          </cell>
          <cell r="C1080" t="str">
            <v>HSLB13679</v>
          </cell>
          <cell r="D1080">
            <v>203016</v>
          </cell>
          <cell r="E1080" t="str">
            <v>Mueble Tipo Biblioteca</v>
          </cell>
          <cell r="F1080" t="str">
            <v>NO</v>
          </cell>
          <cell r="G1080" t="str">
            <v>NO</v>
          </cell>
          <cell r="H1080" t="str">
            <v>COORDINADOR TESORERÍA</v>
          </cell>
          <cell r="I1080">
            <v>1</v>
          </cell>
          <cell r="J1080" t="str">
            <v>D.3.2.2.2</v>
          </cell>
          <cell r="K1080" t="str">
            <v>Administración y apoyo general</v>
          </cell>
          <cell r="L1080">
            <v>3</v>
          </cell>
          <cell r="M1080">
            <v>46034</v>
          </cell>
          <cell r="N1080">
            <v>46035</v>
          </cell>
          <cell r="O1080">
            <v>7</v>
          </cell>
          <cell r="P1080">
            <v>46044</v>
          </cell>
          <cell r="Q1080">
            <v>5</v>
          </cell>
          <cell r="R1080" t="str">
            <v>NA</v>
          </cell>
          <cell r="S1080">
            <v>5</v>
          </cell>
        </row>
        <row r="1081">
          <cell r="B1081" t="str">
            <v>MNC</v>
          </cell>
          <cell r="C1081" t="str">
            <v>HSLB13680</v>
          </cell>
          <cell r="D1081">
            <v>203016</v>
          </cell>
          <cell r="E1081" t="str">
            <v>Mueble Tipo Biblioteca</v>
          </cell>
          <cell r="F1081" t="str">
            <v>NO</v>
          </cell>
          <cell r="G1081" t="str">
            <v>NO</v>
          </cell>
          <cell r="H1081" t="str">
            <v>MÓDULOS DE TRABAJO (Caja central)</v>
          </cell>
          <cell r="I1081">
            <v>1</v>
          </cell>
          <cell r="J1081" t="str">
            <v>D.3.2.2.3</v>
          </cell>
          <cell r="K1081" t="str">
            <v>Administración y apoyo general</v>
          </cell>
          <cell r="L1081">
            <v>3</v>
          </cell>
          <cell r="M1081">
            <v>46034</v>
          </cell>
          <cell r="N1081">
            <v>46035</v>
          </cell>
          <cell r="O1081">
            <v>7</v>
          </cell>
          <cell r="P1081">
            <v>46044</v>
          </cell>
          <cell r="Q1081">
            <v>5</v>
          </cell>
          <cell r="R1081" t="str">
            <v>NA</v>
          </cell>
          <cell r="S1081">
            <v>5</v>
          </cell>
        </row>
        <row r="1082">
          <cell r="B1082" t="str">
            <v>MNC</v>
          </cell>
          <cell r="C1082" t="str">
            <v>HSLB13681</v>
          </cell>
          <cell r="D1082">
            <v>203016</v>
          </cell>
          <cell r="E1082" t="str">
            <v>Mueble Tipo Biblioteca</v>
          </cell>
          <cell r="F1082" t="str">
            <v>NO</v>
          </cell>
          <cell r="G1082" t="str">
            <v>NO</v>
          </cell>
          <cell r="H1082" t="str">
            <v>COORDINADOR FACTURACIÓN Y COBRANZA</v>
          </cell>
          <cell r="I1082">
            <v>2</v>
          </cell>
          <cell r="J1082" t="str">
            <v>D.3.2.3.1</v>
          </cell>
          <cell r="K1082" t="str">
            <v>Administración y apoyo general</v>
          </cell>
          <cell r="L1082">
            <v>3</v>
          </cell>
          <cell r="M1082">
            <v>46034</v>
          </cell>
          <cell r="N1082">
            <v>46035</v>
          </cell>
          <cell r="O1082">
            <v>7</v>
          </cell>
          <cell r="P1082">
            <v>46044</v>
          </cell>
          <cell r="Q1082">
            <v>5</v>
          </cell>
          <cell r="R1082" t="str">
            <v>NA</v>
          </cell>
          <cell r="S1082">
            <v>5</v>
          </cell>
        </row>
        <row r="1083">
          <cell r="B1083" t="str">
            <v>MNC</v>
          </cell>
          <cell r="C1083" t="str">
            <v>HSLB13682</v>
          </cell>
          <cell r="D1083">
            <v>203016</v>
          </cell>
          <cell r="E1083" t="str">
            <v>Mueble Tipo Biblioteca</v>
          </cell>
          <cell r="F1083" t="str">
            <v>NO</v>
          </cell>
          <cell r="G1083" t="str">
            <v>NO</v>
          </cell>
          <cell r="H1083" t="str">
            <v>MÓD. DE TRABAJO (facturación y cobranza)</v>
          </cell>
          <cell r="I1083">
            <v>2</v>
          </cell>
          <cell r="J1083" t="str">
            <v>D.3.2.3.2</v>
          </cell>
          <cell r="K1083" t="str">
            <v>Administración y apoyo general</v>
          </cell>
          <cell r="L1083">
            <v>3</v>
          </cell>
          <cell r="M1083">
            <v>46034</v>
          </cell>
          <cell r="N1083">
            <v>46035</v>
          </cell>
          <cell r="O1083">
            <v>7</v>
          </cell>
          <cell r="P1083">
            <v>46044</v>
          </cell>
          <cell r="Q1083">
            <v>5</v>
          </cell>
          <cell r="R1083" t="str">
            <v>NA</v>
          </cell>
          <cell r="S1083">
            <v>5</v>
          </cell>
        </row>
        <row r="1084">
          <cell r="B1084" t="str">
            <v>MNC</v>
          </cell>
          <cell r="C1084" t="str">
            <v>HSLB13692</v>
          </cell>
          <cell r="D1084">
            <v>203016</v>
          </cell>
          <cell r="E1084" t="str">
            <v>Mueble Tipo Biblioteca</v>
          </cell>
          <cell r="F1084" t="str">
            <v>NO</v>
          </cell>
          <cell r="G1084" t="str">
            <v>NO</v>
          </cell>
          <cell r="H1084" t="str">
            <v>SECRETARIA C/ARCHIVO, FOTOCOP.</v>
          </cell>
          <cell r="I1084">
            <v>1</v>
          </cell>
          <cell r="J1084" t="str">
            <v>D.4.1.1</v>
          </cell>
          <cell r="K1084" t="str">
            <v>Administración y apoyo general</v>
          </cell>
          <cell r="L1084">
            <v>3</v>
          </cell>
          <cell r="M1084">
            <v>46034</v>
          </cell>
          <cell r="N1084">
            <v>46035</v>
          </cell>
          <cell r="O1084">
            <v>7</v>
          </cell>
          <cell r="P1084">
            <v>46044</v>
          </cell>
          <cell r="Q1084">
            <v>5</v>
          </cell>
          <cell r="R1084" t="str">
            <v>NA</v>
          </cell>
          <cell r="S1084">
            <v>5</v>
          </cell>
        </row>
        <row r="1085">
          <cell r="B1085" t="str">
            <v>MNC</v>
          </cell>
          <cell r="C1085" t="str">
            <v>HSLB13693</v>
          </cell>
          <cell r="D1085">
            <v>203016</v>
          </cell>
          <cell r="E1085" t="str">
            <v>Mueble Tipo Biblioteca</v>
          </cell>
          <cell r="F1085" t="str">
            <v>NO</v>
          </cell>
          <cell r="G1085" t="str">
            <v>NO</v>
          </cell>
          <cell r="H1085" t="str">
            <v>OF. JEFE CR GESTIÓN DE LAS PERSONAS</v>
          </cell>
          <cell r="I1085">
            <v>1</v>
          </cell>
          <cell r="J1085" t="str">
            <v>D.4.1.2</v>
          </cell>
          <cell r="K1085" t="str">
            <v>Administración y apoyo general</v>
          </cell>
          <cell r="L1085">
            <v>3</v>
          </cell>
          <cell r="M1085">
            <v>46034</v>
          </cell>
          <cell r="N1085">
            <v>46035</v>
          </cell>
          <cell r="O1085">
            <v>7</v>
          </cell>
          <cell r="P1085">
            <v>46044</v>
          </cell>
          <cell r="Q1085">
            <v>5</v>
          </cell>
          <cell r="R1085" t="str">
            <v>NA</v>
          </cell>
          <cell r="S1085">
            <v>5</v>
          </cell>
        </row>
        <row r="1086">
          <cell r="B1086" t="str">
            <v>MNC</v>
          </cell>
          <cell r="C1086" t="str">
            <v>HSLB13694</v>
          </cell>
          <cell r="D1086">
            <v>203016</v>
          </cell>
          <cell r="E1086" t="str">
            <v>Mueble Tipo Biblioteca</v>
          </cell>
          <cell r="F1086" t="str">
            <v>NO</v>
          </cell>
          <cell r="G1086" t="str">
            <v>NO</v>
          </cell>
          <cell r="H1086" t="str">
            <v>SECRETARÍA C/ARCHIVO Y FOTOCOPIADORA</v>
          </cell>
          <cell r="I1086">
            <v>1</v>
          </cell>
          <cell r="J1086" t="str">
            <v>D.4.2.1</v>
          </cell>
          <cell r="K1086" t="str">
            <v>Administración y apoyo general</v>
          </cell>
          <cell r="L1086">
            <v>3</v>
          </cell>
          <cell r="M1086">
            <v>46034</v>
          </cell>
          <cell r="N1086">
            <v>46035</v>
          </cell>
          <cell r="O1086">
            <v>7</v>
          </cell>
          <cell r="P1086">
            <v>46044</v>
          </cell>
          <cell r="Q1086">
            <v>5</v>
          </cell>
          <cell r="R1086" t="str">
            <v>NA</v>
          </cell>
          <cell r="S1086">
            <v>5</v>
          </cell>
        </row>
        <row r="1087">
          <cell r="B1087" t="str">
            <v>MNC</v>
          </cell>
          <cell r="C1087" t="str">
            <v>HSLB13695</v>
          </cell>
          <cell r="D1087">
            <v>203016</v>
          </cell>
          <cell r="E1087" t="str">
            <v>Mueble Tipo Biblioteca</v>
          </cell>
          <cell r="F1087" t="str">
            <v>NO</v>
          </cell>
          <cell r="G1087" t="str">
            <v>NO</v>
          </cell>
          <cell r="H1087" t="str">
            <v>COORDINADOR ADMNISTRACIÓN DE PERSONAL</v>
          </cell>
          <cell r="I1087">
            <v>1</v>
          </cell>
          <cell r="J1087" t="str">
            <v>D.4.2.2</v>
          </cell>
          <cell r="K1087" t="str">
            <v>Administración y apoyo general</v>
          </cell>
          <cell r="L1087">
            <v>3</v>
          </cell>
          <cell r="M1087">
            <v>46034</v>
          </cell>
          <cell r="N1087">
            <v>46035</v>
          </cell>
          <cell r="O1087">
            <v>7</v>
          </cell>
          <cell r="P1087">
            <v>46044</v>
          </cell>
          <cell r="Q1087">
            <v>5</v>
          </cell>
          <cell r="R1087" t="str">
            <v>NA</v>
          </cell>
          <cell r="S1087">
            <v>5</v>
          </cell>
        </row>
        <row r="1088">
          <cell r="B1088" t="str">
            <v>MNC</v>
          </cell>
          <cell r="C1088" t="str">
            <v>HSLB13696</v>
          </cell>
          <cell r="D1088">
            <v>203016</v>
          </cell>
          <cell r="E1088" t="str">
            <v>Mueble Tipo Biblioteca</v>
          </cell>
          <cell r="F1088" t="str">
            <v>NO</v>
          </cell>
          <cell r="G1088" t="str">
            <v>NO</v>
          </cell>
          <cell r="H1088" t="str">
            <v>MÓD.TRABAJO EJECUT. DE PERSONAL Y REMUN.(5p)</v>
          </cell>
          <cell r="I1088">
            <v>3</v>
          </cell>
          <cell r="J1088" t="str">
            <v>D.4.2.3</v>
          </cell>
          <cell r="K1088" t="str">
            <v>Administración y apoyo general</v>
          </cell>
          <cell r="L1088">
            <v>3</v>
          </cell>
          <cell r="M1088">
            <v>46034</v>
          </cell>
          <cell r="N1088">
            <v>46035</v>
          </cell>
          <cell r="O1088">
            <v>7</v>
          </cell>
          <cell r="P1088">
            <v>46044</v>
          </cell>
          <cell r="Q1088">
            <v>5</v>
          </cell>
          <cell r="R1088" t="str">
            <v>NA</v>
          </cell>
          <cell r="S1088">
            <v>5</v>
          </cell>
        </row>
        <row r="1089">
          <cell r="B1089" t="str">
            <v>MNC</v>
          </cell>
          <cell r="C1089" t="str">
            <v>HSLB13697</v>
          </cell>
          <cell r="D1089">
            <v>203016</v>
          </cell>
          <cell r="E1089" t="str">
            <v>Mueble Tipo Biblioteca</v>
          </cell>
          <cell r="F1089" t="str">
            <v>NO</v>
          </cell>
          <cell r="G1089" t="str">
            <v>NO</v>
          </cell>
          <cell r="H1089" t="str">
            <v>MÓD. DE TRABAJO DESARROLLO ORGANIZACIONAL</v>
          </cell>
          <cell r="I1089">
            <v>2</v>
          </cell>
          <cell r="J1089" t="str">
            <v>D.4.3.1</v>
          </cell>
          <cell r="K1089" t="str">
            <v>Administración y apoyo general</v>
          </cell>
          <cell r="L1089">
            <v>3</v>
          </cell>
          <cell r="M1089">
            <v>46034</v>
          </cell>
          <cell r="N1089">
            <v>46035</v>
          </cell>
          <cell r="O1089">
            <v>7</v>
          </cell>
          <cell r="P1089">
            <v>46044</v>
          </cell>
          <cell r="Q1089">
            <v>5</v>
          </cell>
          <cell r="R1089" t="str">
            <v>NA</v>
          </cell>
          <cell r="S1089">
            <v>5</v>
          </cell>
        </row>
        <row r="1090">
          <cell r="B1090" t="str">
            <v>MNC</v>
          </cell>
          <cell r="C1090" t="str">
            <v>HSLB13704</v>
          </cell>
          <cell r="D1090">
            <v>203016</v>
          </cell>
          <cell r="E1090" t="str">
            <v>Mueble Tipo Biblioteca</v>
          </cell>
          <cell r="F1090" t="str">
            <v>NO</v>
          </cell>
          <cell r="G1090" t="str">
            <v>NO</v>
          </cell>
          <cell r="H1090" t="str">
            <v>COORDINADOR BIENESTAR Y DESARROLLO SOCIAL</v>
          </cell>
          <cell r="I1090">
            <v>1</v>
          </cell>
          <cell r="J1090" t="str">
            <v>D.4.4.3.1</v>
          </cell>
          <cell r="K1090" t="str">
            <v>Administración y apoyo general</v>
          </cell>
          <cell r="L1090">
            <v>3</v>
          </cell>
          <cell r="M1090">
            <v>46034</v>
          </cell>
          <cell r="N1090">
            <v>46035</v>
          </cell>
          <cell r="O1090">
            <v>7</v>
          </cell>
          <cell r="P1090">
            <v>46044</v>
          </cell>
          <cell r="Q1090">
            <v>5</v>
          </cell>
          <cell r="R1090" t="str">
            <v>NA</v>
          </cell>
          <cell r="S1090">
            <v>5</v>
          </cell>
        </row>
        <row r="1091">
          <cell r="B1091" t="str">
            <v>MNC</v>
          </cell>
          <cell r="C1091" t="str">
            <v>HSLB13705</v>
          </cell>
          <cell r="D1091">
            <v>203016</v>
          </cell>
          <cell r="E1091" t="str">
            <v>Mueble Tipo Biblioteca</v>
          </cell>
          <cell r="F1091" t="str">
            <v>NO</v>
          </cell>
          <cell r="G1091" t="str">
            <v>NO</v>
          </cell>
          <cell r="H1091" t="str">
            <v>MÓD. DE TRABAJO BIENESTAR</v>
          </cell>
          <cell r="I1091">
            <v>1</v>
          </cell>
          <cell r="J1091" t="str">
            <v>D.4.4.3.2</v>
          </cell>
          <cell r="K1091" t="str">
            <v>Administración y apoyo general</v>
          </cell>
          <cell r="L1091">
            <v>3</v>
          </cell>
          <cell r="M1091">
            <v>46034</v>
          </cell>
          <cell r="N1091">
            <v>46035</v>
          </cell>
          <cell r="O1091">
            <v>7</v>
          </cell>
          <cell r="P1091">
            <v>46044</v>
          </cell>
          <cell r="Q1091">
            <v>5</v>
          </cell>
          <cell r="R1091" t="str">
            <v>NA</v>
          </cell>
          <cell r="S1091">
            <v>5</v>
          </cell>
        </row>
        <row r="1092">
          <cell r="B1092" t="str">
            <v>MNC</v>
          </cell>
          <cell r="C1092" t="str">
            <v>HSLB13706</v>
          </cell>
          <cell r="D1092">
            <v>203016</v>
          </cell>
          <cell r="E1092" t="str">
            <v>Mueble Tipo Biblioteca</v>
          </cell>
          <cell r="F1092" t="str">
            <v>NO</v>
          </cell>
          <cell r="G1092" t="str">
            <v>NO</v>
          </cell>
          <cell r="H1092" t="str">
            <v>SECRETARÍA C/ARCHIVO Y FOTOCOPIADORA</v>
          </cell>
          <cell r="I1092">
            <v>1</v>
          </cell>
          <cell r="J1092" t="str">
            <v>D.4.5.1</v>
          </cell>
          <cell r="K1092" t="str">
            <v>Administración y apoyo general</v>
          </cell>
          <cell r="L1092">
            <v>3</v>
          </cell>
          <cell r="M1092">
            <v>46034</v>
          </cell>
          <cell r="N1092">
            <v>46035</v>
          </cell>
          <cell r="O1092">
            <v>7</v>
          </cell>
          <cell r="P1092">
            <v>46044</v>
          </cell>
          <cell r="Q1092">
            <v>5</v>
          </cell>
          <cell r="R1092" t="str">
            <v>NA</v>
          </cell>
          <cell r="S1092">
            <v>5</v>
          </cell>
        </row>
        <row r="1093">
          <cell r="B1093" t="str">
            <v>MNC</v>
          </cell>
          <cell r="C1093" t="str">
            <v>HSLB13707</v>
          </cell>
          <cell r="D1093">
            <v>203016</v>
          </cell>
          <cell r="E1093" t="str">
            <v>Mueble Tipo Biblioteca</v>
          </cell>
          <cell r="F1093" t="str">
            <v>NO</v>
          </cell>
          <cell r="G1093" t="str">
            <v>NO</v>
          </cell>
          <cell r="H1093" t="str">
            <v>COORDINADOR CAPACITACIÓN Y FORMACIÓN</v>
          </cell>
          <cell r="I1093">
            <v>1</v>
          </cell>
          <cell r="J1093" t="str">
            <v>D.4.5.2</v>
          </cell>
          <cell r="K1093" t="str">
            <v>Administración y apoyo general</v>
          </cell>
          <cell r="L1093">
            <v>3</v>
          </cell>
          <cell r="M1093">
            <v>46034</v>
          </cell>
          <cell r="N1093">
            <v>46035</v>
          </cell>
          <cell r="O1093">
            <v>7</v>
          </cell>
          <cell r="P1093">
            <v>46044</v>
          </cell>
          <cell r="Q1093">
            <v>5</v>
          </cell>
          <cell r="R1093" t="str">
            <v>NA</v>
          </cell>
          <cell r="S1093">
            <v>5</v>
          </cell>
        </row>
        <row r="1094">
          <cell r="B1094" t="str">
            <v>MNC</v>
          </cell>
          <cell r="C1094" t="str">
            <v>HSLB15485</v>
          </cell>
          <cell r="D1094">
            <v>203045</v>
          </cell>
          <cell r="E1094" t="str">
            <v>Mueble Tipo Biblioteca</v>
          </cell>
          <cell r="F1094" t="str">
            <v>NO</v>
          </cell>
          <cell r="G1094" t="str">
            <v>SI</v>
          </cell>
          <cell r="H1094" t="str">
            <v>BODEGA DE EQUIPOS</v>
          </cell>
          <cell r="I1094">
            <v>0</v>
          </cell>
          <cell r="J1094" t="str">
            <v>C.3.7.20</v>
          </cell>
          <cell r="K1094" t="str">
            <v>UTI</v>
          </cell>
          <cell r="L1094">
            <v>3</v>
          </cell>
          <cell r="M1094">
            <v>46003</v>
          </cell>
          <cell r="N1094">
            <v>46006</v>
          </cell>
          <cell r="O1094">
            <v>1</v>
          </cell>
          <cell r="P1094">
            <v>46007</v>
          </cell>
          <cell r="Q1094">
            <v>5</v>
          </cell>
          <cell r="R1094" t="str">
            <v>NA</v>
          </cell>
          <cell r="S1094">
            <v>5</v>
          </cell>
        </row>
        <row r="1095">
          <cell r="B1095" t="str">
            <v>MNC</v>
          </cell>
          <cell r="C1095" t="str">
            <v>HSLB15486</v>
          </cell>
          <cell r="D1095">
            <v>203046</v>
          </cell>
          <cell r="E1095" t="str">
            <v>Mueble Tipo Biblioteca</v>
          </cell>
          <cell r="F1095" t="str">
            <v>NO</v>
          </cell>
          <cell r="G1095" t="str">
            <v>SI</v>
          </cell>
          <cell r="H1095" t="str">
            <v>BDEGA ROPA LIMPIA</v>
          </cell>
          <cell r="I1095">
            <v>0</v>
          </cell>
          <cell r="J1095" t="str">
            <v>C.3.7.21</v>
          </cell>
          <cell r="K1095" t="str">
            <v>UTI</v>
          </cell>
          <cell r="L1095">
            <v>3</v>
          </cell>
          <cell r="M1095">
            <v>46003</v>
          </cell>
          <cell r="N1095">
            <v>46006</v>
          </cell>
          <cell r="O1095">
            <v>1</v>
          </cell>
          <cell r="P1095">
            <v>46007</v>
          </cell>
          <cell r="Q1095">
            <v>5</v>
          </cell>
          <cell r="R1095" t="str">
            <v>NA</v>
          </cell>
          <cell r="S1095">
            <v>5</v>
          </cell>
        </row>
        <row r="1096">
          <cell r="B1096" t="str">
            <v>MNC</v>
          </cell>
          <cell r="C1096" t="str">
            <v>HSLB15487</v>
          </cell>
          <cell r="D1096">
            <v>203047</v>
          </cell>
          <cell r="E1096" t="str">
            <v>Mueble Tipo Biblioteca</v>
          </cell>
          <cell r="F1096" t="str">
            <v>NO</v>
          </cell>
          <cell r="G1096" t="str">
            <v>SI</v>
          </cell>
          <cell r="H1096" t="str">
            <v>BODEGA ARCHIVO</v>
          </cell>
          <cell r="I1096">
            <v>0</v>
          </cell>
          <cell r="J1096" t="str">
            <v>C.5.1.6</v>
          </cell>
          <cell r="K1096" t="str">
            <v>Administración y apoyo general</v>
          </cell>
          <cell r="L1096">
            <v>3</v>
          </cell>
          <cell r="M1096">
            <v>46003</v>
          </cell>
          <cell r="N1096">
            <v>46006</v>
          </cell>
          <cell r="O1096">
            <v>1</v>
          </cell>
          <cell r="P1096">
            <v>46007</v>
          </cell>
          <cell r="Q1096">
            <v>5</v>
          </cell>
          <cell r="R1096" t="str">
            <v>NA</v>
          </cell>
          <cell r="S1096">
            <v>5</v>
          </cell>
        </row>
        <row r="1097">
          <cell r="B1097" t="str">
            <v>MNC</v>
          </cell>
          <cell r="C1097" t="str">
            <v>HSLB15493</v>
          </cell>
          <cell r="D1097">
            <v>203053</v>
          </cell>
          <cell r="E1097" t="str">
            <v>Mueble Tipo Biblioteca</v>
          </cell>
          <cell r="F1097" t="str">
            <v>NO</v>
          </cell>
          <cell r="G1097" t="str">
            <v>SI</v>
          </cell>
          <cell r="H1097" t="str">
            <v>BODEGA DE INSUMOS</v>
          </cell>
          <cell r="I1097">
            <v>0</v>
          </cell>
          <cell r="J1097" t="str">
            <v>C.5.5.21</v>
          </cell>
          <cell r="K1097" t="str">
            <v>Esterilización</v>
          </cell>
          <cell r="L1097">
            <v>3</v>
          </cell>
          <cell r="M1097">
            <v>46003</v>
          </cell>
          <cell r="N1097">
            <v>46006</v>
          </cell>
          <cell r="O1097">
            <v>1</v>
          </cell>
          <cell r="P1097">
            <v>46007</v>
          </cell>
          <cell r="Q1097">
            <v>5</v>
          </cell>
          <cell r="R1097" t="str">
            <v>NA</v>
          </cell>
          <cell r="S1097">
            <v>5</v>
          </cell>
        </row>
        <row r="1098">
          <cell r="B1098" t="str">
            <v>MNC</v>
          </cell>
          <cell r="C1098" t="str">
            <v>HSLB15494</v>
          </cell>
          <cell r="D1098">
            <v>203054</v>
          </cell>
          <cell r="E1098" t="str">
            <v>Mueble Tipo Biblioteca</v>
          </cell>
          <cell r="F1098" t="str">
            <v>NO</v>
          </cell>
          <cell r="G1098" t="str">
            <v>SI</v>
          </cell>
          <cell r="H1098" t="str">
            <v>BODEGA INSUMOS</v>
          </cell>
          <cell r="I1098">
            <v>0</v>
          </cell>
          <cell r="J1098" t="str">
            <v>C.5.6.4.14</v>
          </cell>
          <cell r="K1098" t="str">
            <v>Pabellones</v>
          </cell>
          <cell r="L1098">
            <v>3</v>
          </cell>
          <cell r="M1098">
            <v>46003</v>
          </cell>
          <cell r="N1098">
            <v>46006</v>
          </cell>
          <cell r="O1098">
            <v>1</v>
          </cell>
          <cell r="P1098">
            <v>46007</v>
          </cell>
          <cell r="Q1098">
            <v>5</v>
          </cell>
          <cell r="R1098" t="str">
            <v>NA</v>
          </cell>
          <cell r="S1098">
            <v>5</v>
          </cell>
        </row>
        <row r="1099">
          <cell r="B1099" t="str">
            <v>MNC</v>
          </cell>
          <cell r="C1099" t="str">
            <v>HSLB15495</v>
          </cell>
          <cell r="D1099">
            <v>203055</v>
          </cell>
          <cell r="E1099" t="str">
            <v>Mueble Tipo Biblioteca</v>
          </cell>
          <cell r="F1099" t="str">
            <v>NO</v>
          </cell>
          <cell r="G1099" t="str">
            <v>SI</v>
          </cell>
          <cell r="H1099" t="str">
            <v>BODEGA INSUMOS</v>
          </cell>
          <cell r="I1099">
            <v>0</v>
          </cell>
          <cell r="J1099" t="str">
            <v>C.5.6.4.14.1</v>
          </cell>
          <cell r="K1099" t="str">
            <v>Pabellones</v>
          </cell>
          <cell r="L1099">
            <v>3</v>
          </cell>
          <cell r="M1099">
            <v>46003</v>
          </cell>
          <cell r="N1099">
            <v>46006</v>
          </cell>
          <cell r="O1099">
            <v>1</v>
          </cell>
          <cell r="P1099">
            <v>46007</v>
          </cell>
          <cell r="Q1099">
            <v>5</v>
          </cell>
          <cell r="R1099" t="str">
            <v>NA</v>
          </cell>
          <cell r="S1099">
            <v>5</v>
          </cell>
        </row>
        <row r="1100">
          <cell r="B1100" t="str">
            <v>MNC</v>
          </cell>
          <cell r="C1100" t="str">
            <v>HSLB15496</v>
          </cell>
          <cell r="D1100">
            <v>203056</v>
          </cell>
          <cell r="E1100" t="str">
            <v>Mueble Tipo Biblioteca</v>
          </cell>
          <cell r="F1100" t="str">
            <v>NO</v>
          </cell>
          <cell r="G1100" t="str">
            <v>SI</v>
          </cell>
          <cell r="H1100" t="str">
            <v>BODEGA EQUIPOS</v>
          </cell>
          <cell r="I1100">
            <v>0</v>
          </cell>
          <cell r="J1100" t="str">
            <v>C.5.6.4.17</v>
          </cell>
          <cell r="K1100" t="str">
            <v>Pabellones</v>
          </cell>
          <cell r="L1100">
            <v>3</v>
          </cell>
          <cell r="M1100">
            <v>46003</v>
          </cell>
          <cell r="N1100">
            <v>46006</v>
          </cell>
          <cell r="O1100">
            <v>1</v>
          </cell>
          <cell r="P1100">
            <v>46007</v>
          </cell>
          <cell r="Q1100">
            <v>5</v>
          </cell>
          <cell r="R1100" t="str">
            <v>NA</v>
          </cell>
          <cell r="S1100">
            <v>5</v>
          </cell>
        </row>
        <row r="1101">
          <cell r="B1101" t="str">
            <v>MNC</v>
          </cell>
          <cell r="C1101" t="str">
            <v>HSLB15501</v>
          </cell>
          <cell r="D1101">
            <v>203061</v>
          </cell>
          <cell r="E1101" t="str">
            <v>Mueble Tipo Biblioteca</v>
          </cell>
          <cell r="F1101" t="str">
            <v>NO</v>
          </cell>
          <cell r="G1101" t="str">
            <v>SI</v>
          </cell>
          <cell r="H1101" t="str">
            <v>BODEGA DE EQUIPAMIENTO EN TRÁNSITO</v>
          </cell>
          <cell r="I1101">
            <v>0</v>
          </cell>
          <cell r="J1101" t="str">
            <v>D.2.3.6</v>
          </cell>
          <cell r="K1101" t="str">
            <v>Mantenimiento</v>
          </cell>
          <cell r="L1101">
            <v>3</v>
          </cell>
          <cell r="M1101">
            <v>46003</v>
          </cell>
          <cell r="N1101">
            <v>46006</v>
          </cell>
          <cell r="O1101">
            <v>1</v>
          </cell>
          <cell r="P1101">
            <v>46007</v>
          </cell>
          <cell r="Q1101">
            <v>5</v>
          </cell>
          <cell r="R1101" t="str">
            <v>NA</v>
          </cell>
          <cell r="S1101">
            <v>5</v>
          </cell>
        </row>
      </sheetData>
      <sheetData sheetId="11">
        <row r="29">
          <cell r="C29" t="str">
            <v>EMMC</v>
          </cell>
          <cell r="D29" t="str">
            <v>HSLB11134</v>
          </cell>
          <cell r="E29">
            <v>107004</v>
          </cell>
          <cell r="F29" t="str">
            <v>Autoclave Mamadera</v>
          </cell>
          <cell r="G29" t="str">
            <v>SI</v>
          </cell>
          <cell r="H29" t="str">
            <v>NO</v>
          </cell>
          <cell r="I29" t="str">
            <v>ESTERILIZACION AUTOCLAVE</v>
          </cell>
          <cell r="J29">
            <v>1</v>
          </cell>
          <cell r="K29" t="str">
            <v>C.5.8.1.2.11</v>
          </cell>
          <cell r="L29" t="str">
            <v>Sedile</v>
          </cell>
          <cell r="M29">
            <v>4</v>
          </cell>
          <cell r="N29">
            <v>46029</v>
          </cell>
          <cell r="O29">
            <v>46030</v>
          </cell>
          <cell r="P29">
            <v>4</v>
          </cell>
          <cell r="Q29">
            <v>46036</v>
          </cell>
          <cell r="R29">
            <v>5</v>
          </cell>
          <cell r="S29" t="str">
            <v>NA</v>
          </cell>
          <cell r="T29">
            <v>5</v>
          </cell>
        </row>
        <row r="30">
          <cell r="C30" t="str">
            <v>EMMC</v>
          </cell>
          <cell r="D30" t="str">
            <v>HSLB11359</v>
          </cell>
          <cell r="E30">
            <v>110022</v>
          </cell>
          <cell r="F30" t="str">
            <v>Dispensador Automático de insumos y Medicamentos 2 Columnas</v>
          </cell>
          <cell r="G30" t="str">
            <v>SI</v>
          </cell>
          <cell r="H30" t="str">
            <v>NO</v>
          </cell>
          <cell r="I30" t="str">
            <v>DISPENSADOR DE MEDICAMENTOS</v>
          </cell>
          <cell r="J30">
            <v>1</v>
          </cell>
          <cell r="K30" t="str">
            <v>C.3.6.1.15.1</v>
          </cell>
          <cell r="L30" t="str">
            <v>Hospitalización</v>
          </cell>
          <cell r="M30">
            <v>4</v>
          </cell>
          <cell r="N30">
            <v>46043</v>
          </cell>
          <cell r="O30">
            <v>46044</v>
          </cell>
          <cell r="P30">
            <v>7</v>
          </cell>
          <cell r="Q30">
            <v>46055</v>
          </cell>
          <cell r="R30">
            <v>5</v>
          </cell>
          <cell r="S30" t="str">
            <v>NA</v>
          </cell>
          <cell r="T30">
            <v>5</v>
          </cell>
        </row>
        <row r="31">
          <cell r="C31" t="str">
            <v>EMMC</v>
          </cell>
          <cell r="D31" t="str">
            <v>HSLB11360</v>
          </cell>
          <cell r="E31">
            <v>110022</v>
          </cell>
          <cell r="F31" t="str">
            <v>Dispensador Automático de insumos y Medicamentos 2 Columnas</v>
          </cell>
          <cell r="G31" t="str">
            <v>SI</v>
          </cell>
          <cell r="H31" t="str">
            <v>NO</v>
          </cell>
          <cell r="I31" t="str">
            <v>DISPENSADOR DE MEDICAMENTOS</v>
          </cell>
          <cell r="J31">
            <v>1</v>
          </cell>
          <cell r="K31" t="str">
            <v>C.3.6.1.15.2</v>
          </cell>
          <cell r="L31" t="str">
            <v>Hospitalización</v>
          </cell>
          <cell r="M31">
            <v>4</v>
          </cell>
          <cell r="N31">
            <v>46043</v>
          </cell>
          <cell r="O31">
            <v>46044</v>
          </cell>
          <cell r="P31">
            <v>7</v>
          </cell>
          <cell r="Q31">
            <v>46055</v>
          </cell>
          <cell r="R31">
            <v>5</v>
          </cell>
          <cell r="S31" t="str">
            <v>NA</v>
          </cell>
          <cell r="T31">
            <v>5</v>
          </cell>
        </row>
        <row r="32">
          <cell r="C32" t="str">
            <v>EMMC</v>
          </cell>
          <cell r="D32" t="str">
            <v>HSLB10303</v>
          </cell>
          <cell r="E32">
            <v>103012</v>
          </cell>
          <cell r="F32" t="str">
            <v>Campana de Extracción de Gases</v>
          </cell>
          <cell r="G32" t="str">
            <v>NO</v>
          </cell>
          <cell r="H32" t="str">
            <v>NO</v>
          </cell>
          <cell r="I32" t="str">
            <v>PREPARACION FORMULAS</v>
          </cell>
          <cell r="J32">
            <v>1</v>
          </cell>
          <cell r="K32" t="str">
            <v>C.5.8.1.2.9</v>
          </cell>
          <cell r="L32" t="str">
            <v>Sedile</v>
          </cell>
          <cell r="M32">
            <v>4</v>
          </cell>
          <cell r="N32">
            <v>46055</v>
          </cell>
          <cell r="O32">
            <v>46056</v>
          </cell>
          <cell r="P32">
            <v>1</v>
          </cell>
          <cell r="Q32">
            <v>46057</v>
          </cell>
          <cell r="R32">
            <v>5</v>
          </cell>
          <cell r="S32" t="str">
            <v>NA</v>
          </cell>
          <cell r="T32">
            <v>5</v>
          </cell>
        </row>
        <row r="33">
          <cell r="C33" t="str">
            <v>EMMC</v>
          </cell>
          <cell r="D33" t="str">
            <v>HSLB10368</v>
          </cell>
          <cell r="E33">
            <v>103032</v>
          </cell>
          <cell r="F33" t="str">
            <v>Lavachatas Automático</v>
          </cell>
          <cell r="G33" t="str">
            <v>SI</v>
          </cell>
          <cell r="H33" t="str">
            <v>NO</v>
          </cell>
          <cell r="I33" t="str">
            <v>LAVACHATA AUTOMATICO</v>
          </cell>
          <cell r="J33">
            <v>1</v>
          </cell>
          <cell r="K33" t="str">
            <v>C.3.6.1.35.1</v>
          </cell>
          <cell r="L33" t="str">
            <v>Hospitalización</v>
          </cell>
          <cell r="M33">
            <v>4</v>
          </cell>
          <cell r="N33">
            <v>46043</v>
          </cell>
          <cell r="O33">
            <v>46044</v>
          </cell>
          <cell r="P33">
            <v>5</v>
          </cell>
          <cell r="Q33">
            <v>46051</v>
          </cell>
          <cell r="R33">
            <v>5</v>
          </cell>
          <cell r="S33" t="str">
            <v>NA</v>
          </cell>
          <cell r="T33">
            <v>5</v>
          </cell>
        </row>
        <row r="34">
          <cell r="C34" t="str">
            <v>EMMC</v>
          </cell>
          <cell r="D34" t="str">
            <v>HSLB10369</v>
          </cell>
          <cell r="E34">
            <v>103032</v>
          </cell>
          <cell r="F34" t="str">
            <v>Lavachatas Automático</v>
          </cell>
          <cell r="G34" t="str">
            <v>SI</v>
          </cell>
          <cell r="H34" t="str">
            <v>NO</v>
          </cell>
          <cell r="I34" t="str">
            <v>LAVACHATA AUTOMATICO</v>
          </cell>
          <cell r="J34">
            <v>1</v>
          </cell>
          <cell r="K34" t="str">
            <v>C.3.6.1.35.2</v>
          </cell>
          <cell r="L34" t="str">
            <v>Hospitalización</v>
          </cell>
          <cell r="M34">
            <v>4</v>
          </cell>
          <cell r="N34">
            <v>46043</v>
          </cell>
          <cell r="O34">
            <v>46044</v>
          </cell>
          <cell r="P34">
            <v>5</v>
          </cell>
          <cell r="Q34">
            <v>46051</v>
          </cell>
          <cell r="R34">
            <v>5</v>
          </cell>
          <cell r="S34" t="str">
            <v>NA</v>
          </cell>
          <cell r="T34">
            <v>5</v>
          </cell>
        </row>
        <row r="35">
          <cell r="C35" t="str">
            <v>EMMC</v>
          </cell>
          <cell r="D35" t="str">
            <v>HSLB11139</v>
          </cell>
          <cell r="E35">
            <v>107009</v>
          </cell>
          <cell r="F35" t="str">
            <v>Lavadora Termodesinfectadora de Mamaderas</v>
          </cell>
          <cell r="G35" t="str">
            <v>SI</v>
          </cell>
          <cell r="H35" t="str">
            <v>NO</v>
          </cell>
          <cell r="I35" t="str">
            <v>LAVADO Y SANITIZACION RETORNO (MAT.RETORNO)</v>
          </cell>
          <cell r="J35">
            <v>1</v>
          </cell>
          <cell r="K35" t="str">
            <v>C.5.8.1.2.17</v>
          </cell>
          <cell r="L35" t="str">
            <v>Sedile</v>
          </cell>
          <cell r="M35">
            <v>4</v>
          </cell>
          <cell r="N35">
            <v>46029</v>
          </cell>
          <cell r="O35">
            <v>46030</v>
          </cell>
          <cell r="P35">
            <v>4</v>
          </cell>
          <cell r="Q35">
            <v>46036</v>
          </cell>
          <cell r="R35">
            <v>5</v>
          </cell>
          <cell r="S35" t="str">
            <v>NA</v>
          </cell>
          <cell r="T35">
            <v>5</v>
          </cell>
        </row>
        <row r="36">
          <cell r="C36" t="str">
            <v>EMMC</v>
          </cell>
          <cell r="D36" t="str">
            <v>HSLB12787</v>
          </cell>
          <cell r="E36">
            <v>113009</v>
          </cell>
          <cell r="F36" t="str">
            <v>Monitor de Signos Vitales Básico</v>
          </cell>
          <cell r="G36" t="str">
            <v>NO</v>
          </cell>
          <cell r="H36" t="str">
            <v>NO</v>
          </cell>
          <cell r="I36" t="str">
            <v>ESTACIÓN DE ENFERMERÍA</v>
          </cell>
          <cell r="J36">
            <v>6</v>
          </cell>
          <cell r="K36" t="str">
            <v>C.3.6.1.13.2</v>
          </cell>
          <cell r="L36" t="str">
            <v>Hospitalización</v>
          </cell>
          <cell r="M36">
            <v>4</v>
          </cell>
          <cell r="N36">
            <v>46055</v>
          </cell>
          <cell r="O36">
            <v>46056</v>
          </cell>
          <cell r="P36">
            <v>1</v>
          </cell>
          <cell r="Q36">
            <v>46057</v>
          </cell>
          <cell r="R36">
            <v>5</v>
          </cell>
          <cell r="S36" t="str">
            <v>NA</v>
          </cell>
          <cell r="T36">
            <v>5</v>
          </cell>
        </row>
        <row r="37">
          <cell r="C37" t="str">
            <v>EMMC</v>
          </cell>
          <cell r="D37" t="str">
            <v>HSLB12257</v>
          </cell>
          <cell r="E37">
            <v>112060</v>
          </cell>
          <cell r="F37" t="str">
            <v>Mesa Comer en Cama</v>
          </cell>
          <cell r="G37" t="str">
            <v>NO</v>
          </cell>
          <cell r="H37" t="str">
            <v>NO</v>
          </cell>
          <cell r="I37" t="str">
            <v>SALA 4 CAMAS</v>
          </cell>
          <cell r="J37">
            <v>4</v>
          </cell>
          <cell r="K37" t="str">
            <v>C.3.6.1.18.1</v>
          </cell>
          <cell r="L37" t="str">
            <v>Neonatología</v>
          </cell>
          <cell r="M37">
            <v>4</v>
          </cell>
          <cell r="N37">
            <v>46055</v>
          </cell>
          <cell r="O37">
            <v>46056</v>
          </cell>
          <cell r="P37">
            <v>1</v>
          </cell>
          <cell r="Q37">
            <v>46057</v>
          </cell>
          <cell r="R37">
            <v>5</v>
          </cell>
          <cell r="S37" t="str">
            <v>NA</v>
          </cell>
          <cell r="T37">
            <v>5</v>
          </cell>
        </row>
        <row r="38">
          <cell r="C38" t="str">
            <v>EMMC</v>
          </cell>
          <cell r="D38" t="str">
            <v>HSLB12258</v>
          </cell>
          <cell r="E38">
            <v>112060</v>
          </cell>
          <cell r="F38" t="str">
            <v>Mesa Comer en Cama</v>
          </cell>
          <cell r="G38" t="str">
            <v>NO</v>
          </cell>
          <cell r="H38" t="str">
            <v>NO</v>
          </cell>
          <cell r="I38" t="str">
            <v>SALA 4 CAMAS</v>
          </cell>
          <cell r="J38">
            <v>4</v>
          </cell>
          <cell r="K38" t="str">
            <v>C.3.6.1.18.2</v>
          </cell>
          <cell r="L38" t="str">
            <v>Neonatología</v>
          </cell>
          <cell r="M38">
            <v>4</v>
          </cell>
          <cell r="N38">
            <v>46055</v>
          </cell>
          <cell r="O38">
            <v>46056</v>
          </cell>
          <cell r="P38">
            <v>1</v>
          </cell>
          <cell r="Q38">
            <v>46057</v>
          </cell>
          <cell r="R38">
            <v>5</v>
          </cell>
          <cell r="S38" t="str">
            <v>NA</v>
          </cell>
          <cell r="T38">
            <v>5</v>
          </cell>
        </row>
        <row r="39">
          <cell r="C39" t="str">
            <v>EMMC</v>
          </cell>
          <cell r="D39" t="str">
            <v>HSLB12259</v>
          </cell>
          <cell r="E39">
            <v>112060</v>
          </cell>
          <cell r="F39" t="str">
            <v>Mesa Comer en Cama</v>
          </cell>
          <cell r="G39" t="str">
            <v>NO</v>
          </cell>
          <cell r="H39" t="str">
            <v>NO</v>
          </cell>
          <cell r="I39" t="str">
            <v>SALA 4 CAMAS</v>
          </cell>
          <cell r="J39">
            <v>4</v>
          </cell>
          <cell r="K39" t="str">
            <v>C.3.6.1.18.3</v>
          </cell>
          <cell r="L39" t="str">
            <v>Neonatología</v>
          </cell>
          <cell r="M39">
            <v>4</v>
          </cell>
          <cell r="N39">
            <v>46055</v>
          </cell>
          <cell r="O39">
            <v>46056</v>
          </cell>
          <cell r="P39">
            <v>1</v>
          </cell>
          <cell r="Q39">
            <v>46057</v>
          </cell>
          <cell r="R39">
            <v>5</v>
          </cell>
          <cell r="S39" t="str">
            <v>NA</v>
          </cell>
          <cell r="T39">
            <v>5</v>
          </cell>
        </row>
        <row r="40">
          <cell r="C40" t="str">
            <v>EMMC</v>
          </cell>
          <cell r="D40" t="str">
            <v>HSLB12260</v>
          </cell>
          <cell r="E40">
            <v>112060</v>
          </cell>
          <cell r="F40" t="str">
            <v>Mesa Comer en Cama</v>
          </cell>
          <cell r="G40" t="str">
            <v>NO</v>
          </cell>
          <cell r="H40" t="str">
            <v>NO</v>
          </cell>
          <cell r="I40" t="str">
            <v>SALA 4 CAMAS</v>
          </cell>
          <cell r="J40">
            <v>4</v>
          </cell>
          <cell r="K40" t="str">
            <v>C.3.6.1.18.4</v>
          </cell>
          <cell r="L40" t="str">
            <v>Neonatología</v>
          </cell>
          <cell r="M40">
            <v>4</v>
          </cell>
          <cell r="N40">
            <v>46055</v>
          </cell>
          <cell r="O40">
            <v>46056</v>
          </cell>
          <cell r="P40">
            <v>1</v>
          </cell>
          <cell r="Q40">
            <v>46057</v>
          </cell>
          <cell r="R40">
            <v>5</v>
          </cell>
          <cell r="S40" t="str">
            <v>NA</v>
          </cell>
          <cell r="T40">
            <v>5</v>
          </cell>
        </row>
        <row r="41">
          <cell r="C41" t="str">
            <v>EMMC</v>
          </cell>
          <cell r="D41" t="str">
            <v>HSLB12261</v>
          </cell>
          <cell r="E41">
            <v>112060</v>
          </cell>
          <cell r="F41" t="str">
            <v>Mesa Comer en Cama</v>
          </cell>
          <cell r="G41" t="str">
            <v>NO</v>
          </cell>
          <cell r="H41" t="str">
            <v>NO</v>
          </cell>
          <cell r="I41" t="str">
            <v>SALA 1 CAMA</v>
          </cell>
          <cell r="J41">
            <v>1</v>
          </cell>
          <cell r="K41" t="str">
            <v>C.3.6.1.18.5</v>
          </cell>
          <cell r="L41" t="str">
            <v>Neonatología</v>
          </cell>
          <cell r="M41">
            <v>4</v>
          </cell>
          <cell r="N41">
            <v>46055</v>
          </cell>
          <cell r="O41">
            <v>46056</v>
          </cell>
          <cell r="P41">
            <v>1</v>
          </cell>
          <cell r="Q41">
            <v>46057</v>
          </cell>
          <cell r="R41">
            <v>5</v>
          </cell>
          <cell r="S41" t="str">
            <v>NA</v>
          </cell>
          <cell r="T41">
            <v>5</v>
          </cell>
        </row>
        <row r="42">
          <cell r="C42" t="str">
            <v>EMMC</v>
          </cell>
          <cell r="D42" t="str">
            <v>HSLB12262</v>
          </cell>
          <cell r="E42">
            <v>112060</v>
          </cell>
          <cell r="F42" t="str">
            <v>Mesa Comer en Cama</v>
          </cell>
          <cell r="G42" t="str">
            <v>NO</v>
          </cell>
          <cell r="H42" t="str">
            <v>NO</v>
          </cell>
          <cell r="I42" t="str">
            <v>SALA 1 CAMA</v>
          </cell>
          <cell r="J42">
            <v>1</v>
          </cell>
          <cell r="K42" t="str">
            <v>C.3.6.1.18.6</v>
          </cell>
          <cell r="L42" t="str">
            <v>Neonatología</v>
          </cell>
          <cell r="M42">
            <v>4</v>
          </cell>
          <cell r="N42">
            <v>46055</v>
          </cell>
          <cell r="O42">
            <v>46056</v>
          </cell>
          <cell r="P42">
            <v>1</v>
          </cell>
          <cell r="Q42">
            <v>46057</v>
          </cell>
          <cell r="R42">
            <v>5</v>
          </cell>
          <cell r="S42" t="str">
            <v>NA</v>
          </cell>
          <cell r="T42">
            <v>5</v>
          </cell>
        </row>
        <row r="43">
          <cell r="C43" t="str">
            <v>EMMC</v>
          </cell>
          <cell r="D43" t="str">
            <v>HSLB12263</v>
          </cell>
          <cell r="E43">
            <v>112060</v>
          </cell>
          <cell r="F43" t="str">
            <v>Mesa Comer en Cama</v>
          </cell>
          <cell r="G43" t="str">
            <v>NO</v>
          </cell>
          <cell r="H43" t="str">
            <v>NO</v>
          </cell>
          <cell r="I43" t="str">
            <v>SALA 4 CAMAS</v>
          </cell>
          <cell r="J43">
            <v>2</v>
          </cell>
          <cell r="K43" t="str">
            <v>C.3.6.1.19</v>
          </cell>
          <cell r="L43" t="str">
            <v>Neonatología</v>
          </cell>
          <cell r="M43">
            <v>4</v>
          </cell>
          <cell r="N43">
            <v>46055</v>
          </cell>
          <cell r="O43">
            <v>46056</v>
          </cell>
          <cell r="P43">
            <v>1</v>
          </cell>
          <cell r="Q43">
            <v>46057</v>
          </cell>
          <cell r="R43">
            <v>5</v>
          </cell>
          <cell r="S43" t="str">
            <v>NA</v>
          </cell>
          <cell r="T43">
            <v>5</v>
          </cell>
        </row>
        <row r="44">
          <cell r="C44" t="str">
            <v>EMMC</v>
          </cell>
          <cell r="D44" t="str">
            <v>HSLB12264</v>
          </cell>
          <cell r="E44">
            <v>112060</v>
          </cell>
          <cell r="F44" t="str">
            <v>Mesa Comer en Cama</v>
          </cell>
          <cell r="G44" t="str">
            <v>NO</v>
          </cell>
          <cell r="H44" t="str">
            <v>NO</v>
          </cell>
          <cell r="I44" t="str">
            <v>SALA 4 CAMAS</v>
          </cell>
          <cell r="J44">
            <v>4</v>
          </cell>
          <cell r="K44" t="str">
            <v>C.3.6.1.20.1</v>
          </cell>
          <cell r="L44" t="str">
            <v>Hospitalización</v>
          </cell>
          <cell r="M44">
            <v>4</v>
          </cell>
          <cell r="N44">
            <v>46055</v>
          </cell>
          <cell r="O44">
            <v>46056</v>
          </cell>
          <cell r="P44">
            <v>1</v>
          </cell>
          <cell r="Q44">
            <v>46057</v>
          </cell>
          <cell r="R44">
            <v>5</v>
          </cell>
          <cell r="S44" t="str">
            <v>NA</v>
          </cell>
          <cell r="T44">
            <v>5</v>
          </cell>
        </row>
        <row r="45">
          <cell r="C45" t="str">
            <v>EMMC</v>
          </cell>
          <cell r="D45" t="str">
            <v>HSLB12265</v>
          </cell>
          <cell r="E45">
            <v>112060</v>
          </cell>
          <cell r="F45" t="str">
            <v>Mesa Comer en Cama</v>
          </cell>
          <cell r="G45" t="str">
            <v>NO</v>
          </cell>
          <cell r="H45" t="str">
            <v>SI</v>
          </cell>
          <cell r="I45" t="str">
            <v>SALA 4 CAMAS</v>
          </cell>
          <cell r="J45">
            <v>4</v>
          </cell>
          <cell r="K45" t="str">
            <v>C.3.6.1.20.2</v>
          </cell>
          <cell r="L45" t="str">
            <v>Hospitalización</v>
          </cell>
          <cell r="M45">
            <v>4</v>
          </cell>
          <cell r="N45">
            <v>46003</v>
          </cell>
          <cell r="O45">
            <v>46006</v>
          </cell>
          <cell r="P45">
            <v>1</v>
          </cell>
          <cell r="Q45">
            <v>46007</v>
          </cell>
          <cell r="R45">
            <v>5</v>
          </cell>
          <cell r="S45" t="str">
            <v>NA</v>
          </cell>
          <cell r="T45">
            <v>5</v>
          </cell>
        </row>
        <row r="46">
          <cell r="C46" t="str">
            <v>EMMC</v>
          </cell>
          <cell r="D46" t="str">
            <v>HSLB12266</v>
          </cell>
          <cell r="E46">
            <v>112060</v>
          </cell>
          <cell r="F46" t="str">
            <v>Mesa Comer en Cama</v>
          </cell>
          <cell r="G46" t="str">
            <v>NO</v>
          </cell>
          <cell r="H46" t="str">
            <v>NO</v>
          </cell>
          <cell r="I46" t="str">
            <v>SALA 4 CAMAS</v>
          </cell>
          <cell r="J46">
            <v>4</v>
          </cell>
          <cell r="K46" t="str">
            <v>C.3.6.1.20.3</v>
          </cell>
          <cell r="L46" t="str">
            <v>Hospitalización</v>
          </cell>
          <cell r="M46">
            <v>4</v>
          </cell>
          <cell r="N46">
            <v>46055</v>
          </cell>
          <cell r="O46">
            <v>46056</v>
          </cell>
          <cell r="P46">
            <v>1</v>
          </cell>
          <cell r="Q46">
            <v>46057</v>
          </cell>
          <cell r="R46">
            <v>5</v>
          </cell>
          <cell r="S46" t="str">
            <v>NA</v>
          </cell>
          <cell r="T46">
            <v>5</v>
          </cell>
        </row>
        <row r="47">
          <cell r="C47" t="str">
            <v>EMMC</v>
          </cell>
          <cell r="D47" t="str">
            <v>HSLB12267</v>
          </cell>
          <cell r="E47">
            <v>112060</v>
          </cell>
          <cell r="F47" t="str">
            <v>Mesa Comer en Cama</v>
          </cell>
          <cell r="G47" t="str">
            <v>NO</v>
          </cell>
          <cell r="H47" t="str">
            <v>NO</v>
          </cell>
          <cell r="I47" t="str">
            <v>SALA 4 CAMAS</v>
          </cell>
          <cell r="J47">
            <v>2</v>
          </cell>
          <cell r="K47" t="str">
            <v>C.3.6.1.21.1</v>
          </cell>
          <cell r="L47" t="str">
            <v>Hospitalización</v>
          </cell>
          <cell r="M47">
            <v>4</v>
          </cell>
          <cell r="N47">
            <v>46055</v>
          </cell>
          <cell r="O47">
            <v>46056</v>
          </cell>
          <cell r="P47">
            <v>1</v>
          </cell>
          <cell r="Q47">
            <v>46057</v>
          </cell>
          <cell r="R47">
            <v>5</v>
          </cell>
          <cell r="S47" t="str">
            <v>NA</v>
          </cell>
          <cell r="T47">
            <v>5</v>
          </cell>
        </row>
        <row r="48">
          <cell r="C48" t="str">
            <v>EMMC</v>
          </cell>
          <cell r="D48" t="str">
            <v>HSLB12268</v>
          </cell>
          <cell r="E48">
            <v>112060</v>
          </cell>
          <cell r="F48" t="str">
            <v>Mesa Comer en Cama</v>
          </cell>
          <cell r="G48" t="str">
            <v>NO</v>
          </cell>
          <cell r="H48" t="str">
            <v>NO</v>
          </cell>
          <cell r="I48" t="str">
            <v>SALA 1 CAMA AISLAMIENTO</v>
          </cell>
          <cell r="J48">
            <v>1</v>
          </cell>
          <cell r="K48" t="str">
            <v>C.3.6.1.23.1</v>
          </cell>
          <cell r="L48" t="str">
            <v>Hospitalización</v>
          </cell>
          <cell r="M48">
            <v>4</v>
          </cell>
          <cell r="N48">
            <v>46055</v>
          </cell>
          <cell r="O48">
            <v>46056</v>
          </cell>
          <cell r="P48">
            <v>1</v>
          </cell>
          <cell r="Q48">
            <v>46057</v>
          </cell>
          <cell r="R48">
            <v>5</v>
          </cell>
          <cell r="S48" t="str">
            <v>NA</v>
          </cell>
          <cell r="T48">
            <v>5</v>
          </cell>
        </row>
        <row r="49">
          <cell r="C49" t="str">
            <v>EMMC</v>
          </cell>
          <cell r="D49" t="str">
            <v>HSLB12269</v>
          </cell>
          <cell r="E49">
            <v>112060</v>
          </cell>
          <cell r="F49" t="str">
            <v>Mesa Comer en Cama</v>
          </cell>
          <cell r="G49" t="str">
            <v>NO</v>
          </cell>
          <cell r="H49" t="str">
            <v>NO</v>
          </cell>
          <cell r="I49" t="str">
            <v>SALA 1 CAMA AISLAMIENTO</v>
          </cell>
          <cell r="J49">
            <v>1</v>
          </cell>
          <cell r="K49" t="str">
            <v>C.3.6.1.23.2</v>
          </cell>
          <cell r="L49" t="str">
            <v>Hospitalización</v>
          </cell>
          <cell r="M49">
            <v>4</v>
          </cell>
          <cell r="N49">
            <v>46055</v>
          </cell>
          <cell r="O49">
            <v>46056</v>
          </cell>
          <cell r="P49">
            <v>1</v>
          </cell>
          <cell r="Q49">
            <v>46057</v>
          </cell>
          <cell r="R49">
            <v>5</v>
          </cell>
          <cell r="S49" t="str">
            <v>NA</v>
          </cell>
          <cell r="T49">
            <v>5</v>
          </cell>
        </row>
        <row r="50">
          <cell r="C50" t="str">
            <v>EMMC</v>
          </cell>
          <cell r="D50" t="str">
            <v>HSLB12674</v>
          </cell>
          <cell r="E50">
            <v>112092</v>
          </cell>
          <cell r="F50" t="str">
            <v>Velador Clínico</v>
          </cell>
          <cell r="G50" t="str">
            <v>NO</v>
          </cell>
          <cell r="H50" t="str">
            <v>NO</v>
          </cell>
          <cell r="I50" t="str">
            <v>SALA 4 CAMAS</v>
          </cell>
          <cell r="J50">
            <v>4</v>
          </cell>
          <cell r="K50" t="str">
            <v>C.3.6.1.18.1</v>
          </cell>
          <cell r="L50" t="str">
            <v>Neonatología</v>
          </cell>
          <cell r="M50">
            <v>4</v>
          </cell>
          <cell r="N50">
            <v>46055</v>
          </cell>
          <cell r="O50">
            <v>46056</v>
          </cell>
          <cell r="P50">
            <v>1</v>
          </cell>
          <cell r="Q50">
            <v>46057</v>
          </cell>
          <cell r="R50">
            <v>5</v>
          </cell>
          <cell r="S50" t="str">
            <v>NA</v>
          </cell>
          <cell r="T50">
            <v>5</v>
          </cell>
        </row>
        <row r="51">
          <cell r="C51" t="str">
            <v>EMMC</v>
          </cell>
          <cell r="D51" t="str">
            <v>HSLB12675</v>
          </cell>
          <cell r="E51">
            <v>112092</v>
          </cell>
          <cell r="F51" t="str">
            <v>Velador Clínico</v>
          </cell>
          <cell r="G51" t="str">
            <v>NO</v>
          </cell>
          <cell r="H51" t="str">
            <v>NO</v>
          </cell>
          <cell r="I51" t="str">
            <v>SALA 4 CAMAS</v>
          </cell>
          <cell r="J51">
            <v>4</v>
          </cell>
          <cell r="K51" t="str">
            <v>C.3.6.1.18.2</v>
          </cell>
          <cell r="L51" t="str">
            <v>Neonatología</v>
          </cell>
          <cell r="M51">
            <v>4</v>
          </cell>
          <cell r="N51">
            <v>46055</v>
          </cell>
          <cell r="O51">
            <v>46056</v>
          </cell>
          <cell r="P51">
            <v>1</v>
          </cell>
          <cell r="Q51">
            <v>46057</v>
          </cell>
          <cell r="R51">
            <v>5</v>
          </cell>
          <cell r="S51" t="str">
            <v>NA</v>
          </cell>
          <cell r="T51">
            <v>5</v>
          </cell>
        </row>
        <row r="52">
          <cell r="C52" t="str">
            <v>EMMC</v>
          </cell>
          <cell r="D52" t="str">
            <v>HSLB12676</v>
          </cell>
          <cell r="E52">
            <v>112092</v>
          </cell>
          <cell r="F52" t="str">
            <v>Velador Clínico</v>
          </cell>
          <cell r="G52" t="str">
            <v>NO</v>
          </cell>
          <cell r="H52" t="str">
            <v>NO</v>
          </cell>
          <cell r="I52" t="str">
            <v>SALA 4 CAMAS</v>
          </cell>
          <cell r="J52">
            <v>4</v>
          </cell>
          <cell r="K52" t="str">
            <v>C.3.6.1.18.3</v>
          </cell>
          <cell r="L52" t="str">
            <v>Neonatología</v>
          </cell>
          <cell r="M52">
            <v>4</v>
          </cell>
          <cell r="N52">
            <v>46055</v>
          </cell>
          <cell r="O52">
            <v>46056</v>
          </cell>
          <cell r="P52">
            <v>1</v>
          </cell>
          <cell r="Q52">
            <v>46057</v>
          </cell>
          <cell r="R52">
            <v>5</v>
          </cell>
          <cell r="S52" t="str">
            <v>NA</v>
          </cell>
          <cell r="T52">
            <v>5</v>
          </cell>
        </row>
        <row r="53">
          <cell r="C53" t="str">
            <v>EMMC</v>
          </cell>
          <cell r="D53" t="str">
            <v>HSLB12677</v>
          </cell>
          <cell r="E53">
            <v>112092</v>
          </cell>
          <cell r="F53" t="str">
            <v>Velador Clínico</v>
          </cell>
          <cell r="G53" t="str">
            <v>NO</v>
          </cell>
          <cell r="H53" t="str">
            <v>NO</v>
          </cell>
          <cell r="I53" t="str">
            <v>SALA 4 CAMAS</v>
          </cell>
          <cell r="J53">
            <v>4</v>
          </cell>
          <cell r="K53" t="str">
            <v>C.3.6.1.18.4</v>
          </cell>
          <cell r="L53" t="str">
            <v>Neonatología</v>
          </cell>
          <cell r="M53">
            <v>4</v>
          </cell>
          <cell r="N53">
            <v>46055</v>
          </cell>
          <cell r="O53">
            <v>46056</v>
          </cell>
          <cell r="P53">
            <v>1</v>
          </cell>
          <cell r="Q53">
            <v>46057</v>
          </cell>
          <cell r="R53">
            <v>5</v>
          </cell>
          <cell r="S53" t="str">
            <v>NA</v>
          </cell>
          <cell r="T53">
            <v>5</v>
          </cell>
        </row>
        <row r="54">
          <cell r="C54" t="str">
            <v>EMMC</v>
          </cell>
          <cell r="D54" t="str">
            <v>HSLB12678</v>
          </cell>
          <cell r="E54">
            <v>112092</v>
          </cell>
          <cell r="F54" t="str">
            <v>Velador Clínico</v>
          </cell>
          <cell r="G54" t="str">
            <v>NO</v>
          </cell>
          <cell r="H54" t="str">
            <v>NO</v>
          </cell>
          <cell r="I54" t="str">
            <v>SALA 1 CAMA</v>
          </cell>
          <cell r="J54">
            <v>1</v>
          </cell>
          <cell r="K54" t="str">
            <v>C.3.6.1.18.5</v>
          </cell>
          <cell r="L54" t="str">
            <v>Neonatología</v>
          </cell>
          <cell r="M54">
            <v>4</v>
          </cell>
          <cell r="N54">
            <v>46055</v>
          </cell>
          <cell r="O54">
            <v>46056</v>
          </cell>
          <cell r="P54">
            <v>1</v>
          </cell>
          <cell r="Q54">
            <v>46057</v>
          </cell>
          <cell r="R54">
            <v>5</v>
          </cell>
          <cell r="S54" t="str">
            <v>NA</v>
          </cell>
          <cell r="T54">
            <v>5</v>
          </cell>
        </row>
        <row r="55">
          <cell r="C55" t="str">
            <v>EMMC</v>
          </cell>
          <cell r="D55" t="str">
            <v>HSLB12679</v>
          </cell>
          <cell r="E55">
            <v>112092</v>
          </cell>
          <cell r="F55" t="str">
            <v>Velador Clínico</v>
          </cell>
          <cell r="G55" t="str">
            <v>NO</v>
          </cell>
          <cell r="H55" t="str">
            <v>NO</v>
          </cell>
          <cell r="I55" t="str">
            <v>SALA 1 CAMA</v>
          </cell>
          <cell r="J55">
            <v>1</v>
          </cell>
          <cell r="K55" t="str">
            <v>C.3.6.1.18.6</v>
          </cell>
          <cell r="L55" t="str">
            <v>Neonatología</v>
          </cell>
          <cell r="M55">
            <v>4</v>
          </cell>
          <cell r="N55">
            <v>46055</v>
          </cell>
          <cell r="O55">
            <v>46056</v>
          </cell>
          <cell r="P55">
            <v>1</v>
          </cell>
          <cell r="Q55">
            <v>46057</v>
          </cell>
          <cell r="R55">
            <v>5</v>
          </cell>
          <cell r="S55" t="str">
            <v>NA</v>
          </cell>
          <cell r="T55">
            <v>5</v>
          </cell>
        </row>
        <row r="56">
          <cell r="C56" t="str">
            <v>EMMC</v>
          </cell>
          <cell r="D56" t="str">
            <v>HSLB12680</v>
          </cell>
          <cell r="E56">
            <v>112092</v>
          </cell>
          <cell r="F56" t="str">
            <v>Velador Clínico</v>
          </cell>
          <cell r="G56" t="str">
            <v>NO</v>
          </cell>
          <cell r="H56" t="str">
            <v>NO</v>
          </cell>
          <cell r="I56" t="str">
            <v>SALA 4 CAMAS</v>
          </cell>
          <cell r="J56">
            <v>2</v>
          </cell>
          <cell r="K56" t="str">
            <v>C.3.6.1.19</v>
          </cell>
          <cell r="L56" t="str">
            <v>Neonatología</v>
          </cell>
          <cell r="M56">
            <v>4</v>
          </cell>
          <cell r="N56">
            <v>46055</v>
          </cell>
          <cell r="O56">
            <v>46056</v>
          </cell>
          <cell r="P56">
            <v>1</v>
          </cell>
          <cell r="Q56">
            <v>46057</v>
          </cell>
          <cell r="R56">
            <v>5</v>
          </cell>
          <cell r="S56" t="str">
            <v>NA</v>
          </cell>
          <cell r="T56">
            <v>5</v>
          </cell>
        </row>
        <row r="57">
          <cell r="C57" t="str">
            <v>EMMC</v>
          </cell>
          <cell r="D57" t="str">
            <v>HSLB12681</v>
          </cell>
          <cell r="E57">
            <v>112092</v>
          </cell>
          <cell r="F57" t="str">
            <v>Velador Clínico</v>
          </cell>
          <cell r="G57" t="str">
            <v>NO</v>
          </cell>
          <cell r="H57" t="str">
            <v>NO</v>
          </cell>
          <cell r="I57" t="str">
            <v>SALA 4 CAMAS</v>
          </cell>
          <cell r="J57">
            <v>4</v>
          </cell>
          <cell r="K57" t="str">
            <v>C.3.6.1.20.1</v>
          </cell>
          <cell r="L57" t="str">
            <v>Hospitalización</v>
          </cell>
          <cell r="M57">
            <v>4</v>
          </cell>
          <cell r="N57">
            <v>46055</v>
          </cell>
          <cell r="O57">
            <v>46056</v>
          </cell>
          <cell r="P57">
            <v>1</v>
          </cell>
          <cell r="Q57">
            <v>46057</v>
          </cell>
          <cell r="R57">
            <v>5</v>
          </cell>
          <cell r="S57" t="str">
            <v>NA</v>
          </cell>
          <cell r="T57">
            <v>5</v>
          </cell>
        </row>
        <row r="58">
          <cell r="C58" t="str">
            <v>EMMC</v>
          </cell>
          <cell r="D58" t="str">
            <v>HSLB12682</v>
          </cell>
          <cell r="E58">
            <v>112092</v>
          </cell>
          <cell r="F58" t="str">
            <v>Velador Clínico</v>
          </cell>
          <cell r="G58" t="str">
            <v>NO</v>
          </cell>
          <cell r="H58" t="str">
            <v>SI</v>
          </cell>
          <cell r="I58" t="str">
            <v>SALA 4 CAMAS</v>
          </cell>
          <cell r="J58">
            <v>4</v>
          </cell>
          <cell r="K58" t="str">
            <v>C.3.6.1.20.2</v>
          </cell>
          <cell r="L58" t="str">
            <v>Hospitalización</v>
          </cell>
          <cell r="M58">
            <v>4</v>
          </cell>
          <cell r="N58">
            <v>46003</v>
          </cell>
          <cell r="O58">
            <v>46006</v>
          </cell>
          <cell r="P58">
            <v>1</v>
          </cell>
          <cell r="Q58">
            <v>46007</v>
          </cell>
          <cell r="R58">
            <v>5</v>
          </cell>
          <cell r="S58" t="str">
            <v>NA</v>
          </cell>
          <cell r="T58">
            <v>5</v>
          </cell>
        </row>
        <row r="59">
          <cell r="C59" t="str">
            <v>EMMC</v>
          </cell>
          <cell r="D59" t="str">
            <v>HSLB12683</v>
          </cell>
          <cell r="E59">
            <v>112092</v>
          </cell>
          <cell r="F59" t="str">
            <v>Velador Clínico</v>
          </cell>
          <cell r="G59" t="str">
            <v>NO</v>
          </cell>
          <cell r="H59" t="str">
            <v>NO</v>
          </cell>
          <cell r="I59" t="str">
            <v>SALA 4 CAMAS</v>
          </cell>
          <cell r="J59">
            <v>4</v>
          </cell>
          <cell r="K59" t="str">
            <v>C.3.6.1.20.3</v>
          </cell>
          <cell r="L59" t="str">
            <v>Hospitalización</v>
          </cell>
          <cell r="M59">
            <v>4</v>
          </cell>
          <cell r="N59">
            <v>46055</v>
          </cell>
          <cell r="O59">
            <v>46056</v>
          </cell>
          <cell r="P59">
            <v>1</v>
          </cell>
          <cell r="Q59">
            <v>46057</v>
          </cell>
          <cell r="R59">
            <v>5</v>
          </cell>
          <cell r="S59" t="str">
            <v>NA</v>
          </cell>
          <cell r="T59">
            <v>5</v>
          </cell>
        </row>
        <row r="60">
          <cell r="C60" t="str">
            <v>EMMC</v>
          </cell>
          <cell r="D60" t="str">
            <v>HSLB12684</v>
          </cell>
          <cell r="E60">
            <v>112092</v>
          </cell>
          <cell r="F60" t="str">
            <v>Velador Clínico</v>
          </cell>
          <cell r="G60" t="str">
            <v>NO</v>
          </cell>
          <cell r="H60" t="str">
            <v>NO</v>
          </cell>
          <cell r="I60" t="str">
            <v>SALA 4 CAMAS</v>
          </cell>
          <cell r="J60">
            <v>2</v>
          </cell>
          <cell r="K60" t="str">
            <v>C.3.6.1.21.1</v>
          </cell>
          <cell r="L60" t="str">
            <v>Hospitalización</v>
          </cell>
          <cell r="M60">
            <v>4</v>
          </cell>
          <cell r="N60">
            <v>46055</v>
          </cell>
          <cell r="O60">
            <v>46056</v>
          </cell>
          <cell r="P60">
            <v>1</v>
          </cell>
          <cell r="Q60">
            <v>46057</v>
          </cell>
          <cell r="R60">
            <v>5</v>
          </cell>
          <cell r="S60" t="str">
            <v>NA</v>
          </cell>
          <cell r="T60">
            <v>5</v>
          </cell>
        </row>
        <row r="61">
          <cell r="C61" t="str">
            <v>EMMC</v>
          </cell>
          <cell r="D61" t="str">
            <v>HSLB12685</v>
          </cell>
          <cell r="E61">
            <v>112092</v>
          </cell>
          <cell r="F61" t="str">
            <v>Velador Clínico</v>
          </cell>
          <cell r="G61" t="str">
            <v>NO</v>
          </cell>
          <cell r="H61" t="str">
            <v>NO</v>
          </cell>
          <cell r="I61" t="str">
            <v>SALA 1 CAMA AISLAMIENTO</v>
          </cell>
          <cell r="J61">
            <v>1</v>
          </cell>
          <cell r="K61" t="str">
            <v>C.3.6.1.23.1</v>
          </cell>
          <cell r="L61" t="str">
            <v>Hospitalización</v>
          </cell>
          <cell r="M61">
            <v>4</v>
          </cell>
          <cell r="N61">
            <v>46055</v>
          </cell>
          <cell r="O61">
            <v>46056</v>
          </cell>
          <cell r="P61">
            <v>1</v>
          </cell>
          <cell r="Q61">
            <v>46057</v>
          </cell>
          <cell r="R61">
            <v>5</v>
          </cell>
          <cell r="S61" t="str">
            <v>NA</v>
          </cell>
          <cell r="T61">
            <v>5</v>
          </cell>
        </row>
        <row r="62">
          <cell r="C62" t="str">
            <v>EMMC</v>
          </cell>
          <cell r="D62" t="str">
            <v>HSLB12686</v>
          </cell>
          <cell r="E62">
            <v>112092</v>
          </cell>
          <cell r="F62" t="str">
            <v>Velador Clínico</v>
          </cell>
          <cell r="G62" t="str">
            <v>NO</v>
          </cell>
          <cell r="H62" t="str">
            <v>NO</v>
          </cell>
          <cell r="I62" t="str">
            <v>SALA 1 CAMA AISLAMIENTO</v>
          </cell>
          <cell r="J62">
            <v>1</v>
          </cell>
          <cell r="K62" t="str">
            <v>C.3.6.1.23.2</v>
          </cell>
          <cell r="L62" t="str">
            <v>Hospitalización</v>
          </cell>
          <cell r="M62">
            <v>4</v>
          </cell>
          <cell r="N62">
            <v>46055</v>
          </cell>
          <cell r="O62">
            <v>46056</v>
          </cell>
          <cell r="P62">
            <v>1</v>
          </cell>
          <cell r="Q62">
            <v>46057</v>
          </cell>
          <cell r="R62">
            <v>5</v>
          </cell>
          <cell r="S62" t="str">
            <v>NA</v>
          </cell>
          <cell r="T62">
            <v>5</v>
          </cell>
        </row>
        <row r="63">
          <cell r="C63" t="str">
            <v>EMMC</v>
          </cell>
          <cell r="D63" t="str">
            <v>HSLB12687</v>
          </cell>
          <cell r="E63">
            <v>112092</v>
          </cell>
          <cell r="F63" t="str">
            <v>Velador Clínico</v>
          </cell>
          <cell r="G63" t="str">
            <v>NO</v>
          </cell>
          <cell r="H63" t="str">
            <v>SI</v>
          </cell>
          <cell r="I63" t="str">
            <v>SALA OBSERVACION NEONATOLOGIA</v>
          </cell>
          <cell r="J63">
            <v>4</v>
          </cell>
          <cell r="K63" t="str">
            <v>C.3.6.1.26</v>
          </cell>
          <cell r="L63" t="str">
            <v>Neonatología</v>
          </cell>
          <cell r="M63">
            <v>4</v>
          </cell>
          <cell r="N63">
            <v>46003</v>
          </cell>
          <cell r="O63">
            <v>46006</v>
          </cell>
          <cell r="P63">
            <v>1</v>
          </cell>
          <cell r="Q63">
            <v>46007</v>
          </cell>
          <cell r="R63">
            <v>5</v>
          </cell>
          <cell r="S63" t="str">
            <v>NA</v>
          </cell>
          <cell r="T63">
            <v>5</v>
          </cell>
        </row>
        <row r="64">
          <cell r="C64" t="str">
            <v>EMMC</v>
          </cell>
          <cell r="D64" t="str">
            <v>HSLB12710</v>
          </cell>
          <cell r="E64">
            <v>113004</v>
          </cell>
          <cell r="F64" t="str">
            <v>Monitor Apnea</v>
          </cell>
          <cell r="G64" t="str">
            <v>NO</v>
          </cell>
          <cell r="H64" t="str">
            <v>NO</v>
          </cell>
          <cell r="I64" t="str">
            <v>BODEGA DE EQUIPOS</v>
          </cell>
          <cell r="J64">
            <v>5</v>
          </cell>
          <cell r="K64" t="str">
            <v>C.3.6.1.31.5</v>
          </cell>
          <cell r="L64" t="str">
            <v>Neonatología</v>
          </cell>
          <cell r="M64">
            <v>4</v>
          </cell>
          <cell r="N64">
            <v>46055</v>
          </cell>
          <cell r="O64">
            <v>46056</v>
          </cell>
          <cell r="P64">
            <v>1</v>
          </cell>
          <cell r="Q64">
            <v>46057</v>
          </cell>
          <cell r="R64">
            <v>5</v>
          </cell>
          <cell r="S64" t="str">
            <v>NA</v>
          </cell>
          <cell r="T64">
            <v>5</v>
          </cell>
        </row>
        <row r="65">
          <cell r="C65" t="str">
            <v>EMMC</v>
          </cell>
          <cell r="D65" t="str">
            <v>HSLB10589</v>
          </cell>
          <cell r="E65">
            <v>105001</v>
          </cell>
          <cell r="F65" t="str">
            <v>Acelerador Infusión</v>
          </cell>
          <cell r="G65" t="str">
            <v>NO</v>
          </cell>
          <cell r="H65" t="str">
            <v>NO</v>
          </cell>
          <cell r="I65" t="str">
            <v>ESTACIÓN DE ENFERMERÍA</v>
          </cell>
          <cell r="J65">
            <v>2</v>
          </cell>
          <cell r="K65" t="str">
            <v>C.3.6.1.13.1</v>
          </cell>
          <cell r="L65" t="str">
            <v>Hospitalización</v>
          </cell>
          <cell r="M65">
            <v>4</v>
          </cell>
          <cell r="N65">
            <v>46055</v>
          </cell>
          <cell r="O65">
            <v>46056</v>
          </cell>
          <cell r="P65">
            <v>1</v>
          </cell>
          <cell r="Q65">
            <v>46057</v>
          </cell>
          <cell r="R65">
            <v>5</v>
          </cell>
          <cell r="S65" t="str">
            <v>NA</v>
          </cell>
          <cell r="T65">
            <v>5</v>
          </cell>
        </row>
        <row r="66">
          <cell r="C66" t="str">
            <v>EMMC</v>
          </cell>
          <cell r="D66" t="str">
            <v>HSLB10590</v>
          </cell>
          <cell r="E66">
            <v>105001</v>
          </cell>
          <cell r="F66" t="str">
            <v>Acelerador Infusión</v>
          </cell>
          <cell r="G66" t="str">
            <v>NO</v>
          </cell>
          <cell r="H66" t="str">
            <v>NO</v>
          </cell>
          <cell r="I66" t="str">
            <v>ESTACIÓN DE ENFERMERÍA</v>
          </cell>
          <cell r="J66">
            <v>1</v>
          </cell>
          <cell r="K66" t="str">
            <v>C.3.6.1.13.2</v>
          </cell>
          <cell r="L66" t="str">
            <v>Hospitalización</v>
          </cell>
          <cell r="M66">
            <v>4</v>
          </cell>
          <cell r="N66">
            <v>46055</v>
          </cell>
          <cell r="O66">
            <v>46056</v>
          </cell>
          <cell r="P66">
            <v>1</v>
          </cell>
          <cell r="Q66">
            <v>46057</v>
          </cell>
          <cell r="R66">
            <v>5</v>
          </cell>
          <cell r="S66" t="str">
            <v>NA</v>
          </cell>
          <cell r="T66">
            <v>5</v>
          </cell>
        </row>
        <row r="67">
          <cell r="C67" t="str">
            <v>EMMC</v>
          </cell>
          <cell r="D67" t="str">
            <v>HSLB10591</v>
          </cell>
          <cell r="E67">
            <v>105001</v>
          </cell>
          <cell r="F67" t="str">
            <v>Acelerador Infusión</v>
          </cell>
          <cell r="G67" t="str">
            <v>NO</v>
          </cell>
          <cell r="H67" t="str">
            <v>NO</v>
          </cell>
          <cell r="I67" t="str">
            <v>ESTACIÓN DE ENFERMERÍA</v>
          </cell>
          <cell r="J67">
            <v>1</v>
          </cell>
          <cell r="K67" t="str">
            <v>C.3.6.1.28</v>
          </cell>
          <cell r="L67" t="str">
            <v>Neonatología</v>
          </cell>
          <cell r="M67">
            <v>4</v>
          </cell>
          <cell r="N67">
            <v>46055</v>
          </cell>
          <cell r="O67">
            <v>46056</v>
          </cell>
          <cell r="P67">
            <v>1</v>
          </cell>
          <cell r="Q67">
            <v>46057</v>
          </cell>
          <cell r="R67">
            <v>5</v>
          </cell>
          <cell r="S67" t="str">
            <v>NA</v>
          </cell>
          <cell r="T67">
            <v>5</v>
          </cell>
        </row>
        <row r="68">
          <cell r="C68" t="str">
            <v>EMMC</v>
          </cell>
          <cell r="D68" t="str">
            <v>HSLB11609</v>
          </cell>
          <cell r="E68">
            <v>112001</v>
          </cell>
          <cell r="F68" t="str">
            <v>Alza Ropa</v>
          </cell>
          <cell r="G68" t="str">
            <v>NO</v>
          </cell>
          <cell r="H68" t="str">
            <v>NO</v>
          </cell>
          <cell r="I68" t="str">
            <v>ESTACIÓN DE ENFERMERÍA</v>
          </cell>
          <cell r="J68">
            <v>1</v>
          </cell>
          <cell r="K68" t="str">
            <v>C.3.6.1.13.1</v>
          </cell>
          <cell r="L68" t="str">
            <v>Hospitalización</v>
          </cell>
          <cell r="M68">
            <v>4</v>
          </cell>
          <cell r="N68">
            <v>46055</v>
          </cell>
          <cell r="O68">
            <v>46056</v>
          </cell>
          <cell r="P68">
            <v>1</v>
          </cell>
          <cell r="Q68">
            <v>46057</v>
          </cell>
          <cell r="R68">
            <v>5</v>
          </cell>
          <cell r="S68" t="str">
            <v>NA</v>
          </cell>
          <cell r="T68">
            <v>5</v>
          </cell>
        </row>
        <row r="69">
          <cell r="C69" t="str">
            <v>EMMC</v>
          </cell>
          <cell r="D69" t="str">
            <v>HSLB11610</v>
          </cell>
          <cell r="E69">
            <v>112001</v>
          </cell>
          <cell r="F69" t="str">
            <v>Alza Ropa</v>
          </cell>
          <cell r="G69" t="str">
            <v>NO</v>
          </cell>
          <cell r="H69" t="str">
            <v>NO</v>
          </cell>
          <cell r="I69" t="str">
            <v>ESTACIÓN DE ENFERMERÍA</v>
          </cell>
          <cell r="J69">
            <v>1</v>
          </cell>
          <cell r="K69" t="str">
            <v>C.3.6.1.13.2</v>
          </cell>
          <cell r="L69" t="str">
            <v>Hospitalización</v>
          </cell>
          <cell r="M69">
            <v>4</v>
          </cell>
          <cell r="N69">
            <v>46055</v>
          </cell>
          <cell r="O69">
            <v>46056</v>
          </cell>
          <cell r="P69">
            <v>1</v>
          </cell>
          <cell r="Q69">
            <v>46057</v>
          </cell>
          <cell r="R69">
            <v>5</v>
          </cell>
          <cell r="S69" t="str">
            <v>NA</v>
          </cell>
          <cell r="T69">
            <v>5</v>
          </cell>
        </row>
        <row r="70">
          <cell r="C70" t="str">
            <v>EMMC</v>
          </cell>
          <cell r="D70" t="str">
            <v>HSLB10000</v>
          </cell>
          <cell r="E70">
            <v>101001</v>
          </cell>
          <cell r="F70" t="str">
            <v>Amnioscopio de Luz Fría</v>
          </cell>
          <cell r="G70" t="str">
            <v>NO</v>
          </cell>
          <cell r="H70" t="str">
            <v>NO</v>
          </cell>
          <cell r="I70" t="str">
            <v>SALA DE PROCEDIMIENTOS</v>
          </cell>
          <cell r="J70">
            <v>1</v>
          </cell>
          <cell r="K70" t="str">
            <v>C.3.6.1.24</v>
          </cell>
          <cell r="L70" t="str">
            <v>Hospitalización</v>
          </cell>
          <cell r="M70">
            <v>4</v>
          </cell>
          <cell r="N70">
            <v>46055</v>
          </cell>
          <cell r="O70">
            <v>46056</v>
          </cell>
          <cell r="P70">
            <v>1</v>
          </cell>
          <cell r="Q70">
            <v>46057</v>
          </cell>
          <cell r="R70">
            <v>5</v>
          </cell>
          <cell r="S70" t="str">
            <v>NA</v>
          </cell>
          <cell r="T70">
            <v>5</v>
          </cell>
        </row>
        <row r="71">
          <cell r="C71" t="str">
            <v>EMMC</v>
          </cell>
          <cell r="D71" t="str">
            <v>HSLB10452</v>
          </cell>
          <cell r="E71">
            <v>103053</v>
          </cell>
          <cell r="F71" t="str">
            <v>Vitrina Refrigerada Vertical 150 l</v>
          </cell>
          <cell r="G71" t="str">
            <v>NO</v>
          </cell>
          <cell r="H71" t="str">
            <v>NO</v>
          </cell>
          <cell r="I71" t="str">
            <v>LACTARIO</v>
          </cell>
          <cell r="J71">
            <v>1</v>
          </cell>
          <cell r="K71" t="str">
            <v>C.3.6.1.31.4</v>
          </cell>
          <cell r="L71" t="str">
            <v>Neonatología</v>
          </cell>
          <cell r="M71">
            <v>4</v>
          </cell>
          <cell r="N71">
            <v>46055</v>
          </cell>
          <cell r="O71">
            <v>46056</v>
          </cell>
          <cell r="P71">
            <v>1</v>
          </cell>
          <cell r="Q71">
            <v>46057</v>
          </cell>
          <cell r="R71">
            <v>5</v>
          </cell>
          <cell r="S71" t="str">
            <v>NA</v>
          </cell>
          <cell r="T71">
            <v>5</v>
          </cell>
        </row>
        <row r="72">
          <cell r="C72" t="str">
            <v>EMMC</v>
          </cell>
          <cell r="D72" t="str">
            <v>HSLB10453</v>
          </cell>
          <cell r="E72">
            <v>103054</v>
          </cell>
          <cell r="F72" t="str">
            <v>Vitrina Refrigerada Vertical  450 l</v>
          </cell>
          <cell r="G72" t="str">
            <v>NO</v>
          </cell>
          <cell r="H72" t="str">
            <v>NO</v>
          </cell>
          <cell r="I72" t="str">
            <v>ROTULADO ENVASADO Y REFRIGERACION</v>
          </cell>
          <cell r="J72">
            <v>1</v>
          </cell>
          <cell r="K72" t="str">
            <v>C.5.8.1.2.10</v>
          </cell>
          <cell r="L72" t="str">
            <v>Sedile</v>
          </cell>
          <cell r="M72">
            <v>4</v>
          </cell>
          <cell r="N72">
            <v>46055</v>
          </cell>
          <cell r="O72">
            <v>46056</v>
          </cell>
          <cell r="P72">
            <v>1</v>
          </cell>
          <cell r="Q72">
            <v>46057</v>
          </cell>
          <cell r="R72">
            <v>5</v>
          </cell>
          <cell r="S72" t="str">
            <v>NA</v>
          </cell>
          <cell r="T72">
            <v>5</v>
          </cell>
        </row>
        <row r="73">
          <cell r="C73" t="str">
            <v>EMMC</v>
          </cell>
          <cell r="D73" t="str">
            <v>HSLB12786</v>
          </cell>
          <cell r="E73">
            <v>113009</v>
          </cell>
          <cell r="F73" t="str">
            <v>Monitor de Signos Vitales Básico</v>
          </cell>
          <cell r="G73" t="str">
            <v>NO</v>
          </cell>
          <cell r="H73" t="str">
            <v>NO</v>
          </cell>
          <cell r="I73" t="str">
            <v>ESTACIÓN DE ENFERMERÍA</v>
          </cell>
          <cell r="J73">
            <v>4</v>
          </cell>
          <cell r="K73" t="str">
            <v>C.3.6.1.13.1</v>
          </cell>
          <cell r="L73" t="str">
            <v>Hospitalización</v>
          </cell>
          <cell r="M73">
            <v>4</v>
          </cell>
          <cell r="N73">
            <v>46055</v>
          </cell>
          <cell r="O73">
            <v>46056</v>
          </cell>
          <cell r="P73">
            <v>1</v>
          </cell>
          <cell r="Q73">
            <v>46057</v>
          </cell>
          <cell r="R73">
            <v>5</v>
          </cell>
          <cell r="S73" t="str">
            <v>NA</v>
          </cell>
          <cell r="T73">
            <v>5</v>
          </cell>
        </row>
        <row r="74">
          <cell r="C74" t="str">
            <v>EMMC</v>
          </cell>
          <cell r="D74" t="str">
            <v>HSLB12788</v>
          </cell>
          <cell r="E74">
            <v>113009</v>
          </cell>
          <cell r="F74" t="str">
            <v>Monitor de Signos Vitales Básico</v>
          </cell>
          <cell r="G74" t="str">
            <v>NO</v>
          </cell>
          <cell r="H74" t="str">
            <v>SI</v>
          </cell>
          <cell r="I74" t="str">
            <v>SALA OBSERVACION NEONATOLOGIA</v>
          </cell>
          <cell r="J74">
            <v>4</v>
          </cell>
          <cell r="K74" t="str">
            <v>C.3.6.1.26</v>
          </cell>
          <cell r="L74" t="str">
            <v>Neonatología</v>
          </cell>
          <cell r="M74">
            <v>4</v>
          </cell>
          <cell r="N74">
            <v>46003</v>
          </cell>
          <cell r="O74">
            <v>46006</v>
          </cell>
          <cell r="P74">
            <v>1</v>
          </cell>
          <cell r="Q74">
            <v>46007</v>
          </cell>
          <cell r="R74">
            <v>5</v>
          </cell>
          <cell r="S74" t="str">
            <v>NA</v>
          </cell>
          <cell r="T74">
            <v>5</v>
          </cell>
        </row>
        <row r="75">
          <cell r="C75" t="str">
            <v>EMMC</v>
          </cell>
          <cell r="D75" t="str">
            <v>HSLB11967</v>
          </cell>
          <cell r="E75">
            <v>112046</v>
          </cell>
          <cell r="F75" t="str">
            <v>Catre Clínico Eléctrico</v>
          </cell>
          <cell r="G75" t="str">
            <v>NO</v>
          </cell>
          <cell r="H75" t="str">
            <v>NO</v>
          </cell>
          <cell r="I75" t="str">
            <v>SALA 4 CAMAS</v>
          </cell>
          <cell r="J75">
            <v>4</v>
          </cell>
          <cell r="K75" t="str">
            <v>C.3.6.1.18.1</v>
          </cell>
          <cell r="L75" t="str">
            <v>Neonatología</v>
          </cell>
          <cell r="M75">
            <v>4</v>
          </cell>
          <cell r="N75">
            <v>46055</v>
          </cell>
          <cell r="O75">
            <v>46056</v>
          </cell>
          <cell r="P75">
            <v>2</v>
          </cell>
          <cell r="Q75">
            <v>46058</v>
          </cell>
          <cell r="R75">
            <v>5</v>
          </cell>
          <cell r="S75" t="str">
            <v>NA</v>
          </cell>
          <cell r="T75">
            <v>5</v>
          </cell>
        </row>
        <row r="76">
          <cell r="C76" t="str">
            <v>EMMC</v>
          </cell>
          <cell r="D76" t="str">
            <v>HSLB11968</v>
          </cell>
          <cell r="E76">
            <v>112046</v>
          </cell>
          <cell r="F76" t="str">
            <v>Catre Clínico Eléctrico</v>
          </cell>
          <cell r="G76" t="str">
            <v>NO</v>
          </cell>
          <cell r="H76" t="str">
            <v>NO</v>
          </cell>
          <cell r="I76" t="str">
            <v>SALA 4 CAMAS</v>
          </cell>
          <cell r="J76">
            <v>4</v>
          </cell>
          <cell r="K76" t="str">
            <v>C.3.6.1.18.2</v>
          </cell>
          <cell r="L76" t="str">
            <v>Neonatología</v>
          </cell>
          <cell r="M76">
            <v>4</v>
          </cell>
          <cell r="N76">
            <v>46055</v>
          </cell>
          <cell r="O76">
            <v>46056</v>
          </cell>
          <cell r="P76">
            <v>2</v>
          </cell>
          <cell r="Q76">
            <v>46058</v>
          </cell>
          <cell r="R76">
            <v>5</v>
          </cell>
          <cell r="S76" t="str">
            <v>NA</v>
          </cell>
          <cell r="T76">
            <v>5</v>
          </cell>
        </row>
        <row r="77">
          <cell r="C77" t="str">
            <v>EMMC</v>
          </cell>
          <cell r="D77" t="str">
            <v>HSLB11969</v>
          </cell>
          <cell r="E77">
            <v>112046</v>
          </cell>
          <cell r="F77" t="str">
            <v>Catre Clínico Eléctrico</v>
          </cell>
          <cell r="G77" t="str">
            <v>NO</v>
          </cell>
          <cell r="H77" t="str">
            <v>NO</v>
          </cell>
          <cell r="I77" t="str">
            <v>SALA 4 CAMAS</v>
          </cell>
          <cell r="J77">
            <v>4</v>
          </cell>
          <cell r="K77" t="str">
            <v>C.3.6.1.18.3</v>
          </cell>
          <cell r="L77" t="str">
            <v>Neonatología</v>
          </cell>
          <cell r="M77">
            <v>4</v>
          </cell>
          <cell r="N77">
            <v>46055</v>
          </cell>
          <cell r="O77">
            <v>46056</v>
          </cell>
          <cell r="P77">
            <v>2</v>
          </cell>
          <cell r="Q77">
            <v>46058</v>
          </cell>
          <cell r="R77">
            <v>5</v>
          </cell>
          <cell r="S77" t="str">
            <v>NA</v>
          </cell>
          <cell r="T77">
            <v>5</v>
          </cell>
        </row>
        <row r="78">
          <cell r="C78" t="str">
            <v>EMMC</v>
          </cell>
          <cell r="D78" t="str">
            <v>HSLB11970</v>
          </cell>
          <cell r="E78">
            <v>112046</v>
          </cell>
          <cell r="F78" t="str">
            <v>Catre Clínico Eléctrico</v>
          </cell>
          <cell r="G78" t="str">
            <v>NO</v>
          </cell>
          <cell r="H78" t="str">
            <v>NO</v>
          </cell>
          <cell r="I78" t="str">
            <v>SALA 4 CAMAS</v>
          </cell>
          <cell r="J78">
            <v>4</v>
          </cell>
          <cell r="K78" t="str">
            <v>C.3.6.1.18.4</v>
          </cell>
          <cell r="L78" t="str">
            <v>Neonatología</v>
          </cell>
          <cell r="M78">
            <v>4</v>
          </cell>
          <cell r="N78">
            <v>46055</v>
          </cell>
          <cell r="O78">
            <v>46056</v>
          </cell>
          <cell r="P78">
            <v>2</v>
          </cell>
          <cell r="Q78">
            <v>46058</v>
          </cell>
          <cell r="R78">
            <v>5</v>
          </cell>
          <cell r="S78" t="str">
            <v>NA</v>
          </cell>
          <cell r="T78">
            <v>5</v>
          </cell>
        </row>
        <row r="79">
          <cell r="C79" t="str">
            <v>EMMC</v>
          </cell>
          <cell r="D79" t="str">
            <v>HSLB11971</v>
          </cell>
          <cell r="E79">
            <v>112046</v>
          </cell>
          <cell r="F79" t="str">
            <v>Catre Clínico Eléctrico</v>
          </cell>
          <cell r="G79" t="str">
            <v>NO</v>
          </cell>
          <cell r="H79" t="str">
            <v>NO</v>
          </cell>
          <cell r="I79" t="str">
            <v>SALA 1 CAMA</v>
          </cell>
          <cell r="J79">
            <v>1</v>
          </cell>
          <cell r="K79" t="str">
            <v>C.3.6.1.18.5</v>
          </cell>
          <cell r="L79" t="str">
            <v>Neonatología</v>
          </cell>
          <cell r="M79">
            <v>4</v>
          </cell>
          <cell r="N79">
            <v>46055</v>
          </cell>
          <cell r="O79">
            <v>46056</v>
          </cell>
          <cell r="P79">
            <v>2</v>
          </cell>
          <cell r="Q79">
            <v>46058</v>
          </cell>
          <cell r="R79">
            <v>5</v>
          </cell>
          <cell r="S79" t="str">
            <v>NA</v>
          </cell>
          <cell r="T79">
            <v>5</v>
          </cell>
        </row>
        <row r="80">
          <cell r="C80" t="str">
            <v>EMMC</v>
          </cell>
          <cell r="D80" t="str">
            <v>HSLB11972</v>
          </cell>
          <cell r="E80">
            <v>112046</v>
          </cell>
          <cell r="F80" t="str">
            <v>Catre Clínico Eléctrico</v>
          </cell>
          <cell r="G80" t="str">
            <v>NO</v>
          </cell>
          <cell r="H80" t="str">
            <v>NO</v>
          </cell>
          <cell r="I80" t="str">
            <v>SALA 1 CAMA</v>
          </cell>
          <cell r="J80">
            <v>1</v>
          </cell>
          <cell r="K80" t="str">
            <v>C.3.6.1.18.6</v>
          </cell>
          <cell r="L80" t="str">
            <v>Neonatología</v>
          </cell>
          <cell r="M80">
            <v>4</v>
          </cell>
          <cell r="N80">
            <v>46055</v>
          </cell>
          <cell r="O80">
            <v>46056</v>
          </cell>
          <cell r="P80">
            <v>2</v>
          </cell>
          <cell r="Q80">
            <v>46058</v>
          </cell>
          <cell r="R80">
            <v>5</v>
          </cell>
          <cell r="S80" t="str">
            <v>NA</v>
          </cell>
          <cell r="T80">
            <v>5</v>
          </cell>
        </row>
        <row r="81">
          <cell r="C81" t="str">
            <v>EMMC</v>
          </cell>
          <cell r="D81" t="str">
            <v>HSLB11973</v>
          </cell>
          <cell r="E81">
            <v>112046</v>
          </cell>
          <cell r="F81" t="str">
            <v>Catre Clínico Eléctrico</v>
          </cell>
          <cell r="G81" t="str">
            <v>NO</v>
          </cell>
          <cell r="H81" t="str">
            <v>NO</v>
          </cell>
          <cell r="I81" t="str">
            <v>SALA 4 CAMAS</v>
          </cell>
          <cell r="J81">
            <v>2</v>
          </cell>
          <cell r="K81" t="str">
            <v>C.3.6.1.19</v>
          </cell>
          <cell r="L81" t="str">
            <v>Neonatología</v>
          </cell>
          <cell r="M81">
            <v>4</v>
          </cell>
          <cell r="N81">
            <v>46055</v>
          </cell>
          <cell r="O81">
            <v>46056</v>
          </cell>
          <cell r="P81">
            <v>2</v>
          </cell>
          <cell r="Q81">
            <v>46058</v>
          </cell>
          <cell r="R81">
            <v>5</v>
          </cell>
          <cell r="S81" t="str">
            <v>NA</v>
          </cell>
          <cell r="T81">
            <v>5</v>
          </cell>
        </row>
        <row r="82">
          <cell r="C82" t="str">
            <v>EMMC</v>
          </cell>
          <cell r="D82" t="str">
            <v>HSLB12742</v>
          </cell>
          <cell r="E82">
            <v>113008</v>
          </cell>
          <cell r="F82" t="str">
            <v>Monitor de Signos Vitales Baja Complejidad</v>
          </cell>
          <cell r="G82" t="str">
            <v>NO</v>
          </cell>
          <cell r="H82" t="str">
            <v>NO</v>
          </cell>
          <cell r="I82" t="str">
            <v>ESTACIÓN DE ENFERMERÍA</v>
          </cell>
          <cell r="J82">
            <v>3</v>
          </cell>
          <cell r="K82" t="str">
            <v>C.3.6.1.13.2</v>
          </cell>
          <cell r="L82" t="str">
            <v>Hospitalización</v>
          </cell>
          <cell r="M82">
            <v>4</v>
          </cell>
          <cell r="N82">
            <v>46055</v>
          </cell>
          <cell r="O82">
            <v>46056</v>
          </cell>
          <cell r="P82">
            <v>1</v>
          </cell>
          <cell r="Q82">
            <v>46057</v>
          </cell>
          <cell r="R82">
            <v>5</v>
          </cell>
          <cell r="S82" t="str">
            <v>NA</v>
          </cell>
          <cell r="T82">
            <v>5</v>
          </cell>
        </row>
        <row r="83">
          <cell r="C83" t="str">
            <v>EMMC</v>
          </cell>
          <cell r="D83" t="str">
            <v>HSLB11974</v>
          </cell>
          <cell r="E83">
            <v>112046</v>
          </cell>
          <cell r="F83" t="str">
            <v>Catre Clínico Eléctrico</v>
          </cell>
          <cell r="G83" t="str">
            <v>NO</v>
          </cell>
          <cell r="H83" t="str">
            <v>NO</v>
          </cell>
          <cell r="I83" t="str">
            <v>SALA 4 CAMAS</v>
          </cell>
          <cell r="J83">
            <v>4</v>
          </cell>
          <cell r="K83" t="str">
            <v>C.3.6.1.20.1</v>
          </cell>
          <cell r="L83" t="str">
            <v>Hospitalización</v>
          </cell>
          <cell r="M83">
            <v>4</v>
          </cell>
          <cell r="N83">
            <v>46055</v>
          </cell>
          <cell r="O83">
            <v>46056</v>
          </cell>
          <cell r="P83">
            <v>2</v>
          </cell>
          <cell r="Q83">
            <v>46058</v>
          </cell>
          <cell r="R83">
            <v>5</v>
          </cell>
          <cell r="S83" t="str">
            <v>NA</v>
          </cell>
          <cell r="T83">
            <v>5</v>
          </cell>
        </row>
        <row r="84">
          <cell r="C84" t="str">
            <v>EMMC</v>
          </cell>
          <cell r="D84" t="str">
            <v>HSLB12741</v>
          </cell>
          <cell r="E84">
            <v>113008</v>
          </cell>
          <cell r="F84" t="str">
            <v>Monitor de Signos Vitales Baja Complejidad</v>
          </cell>
          <cell r="G84" t="str">
            <v>NO</v>
          </cell>
          <cell r="H84" t="str">
            <v>NO</v>
          </cell>
          <cell r="I84" t="str">
            <v>ESTACIÓN DE ENFERMERÍA</v>
          </cell>
          <cell r="J84">
            <v>2</v>
          </cell>
          <cell r="K84" t="str">
            <v>C.3.6.1.13.1</v>
          </cell>
          <cell r="L84" t="str">
            <v>Hospitalización</v>
          </cell>
          <cell r="M84">
            <v>4</v>
          </cell>
          <cell r="N84">
            <v>46055</v>
          </cell>
          <cell r="O84">
            <v>46056</v>
          </cell>
          <cell r="P84">
            <v>1</v>
          </cell>
          <cell r="Q84">
            <v>46057</v>
          </cell>
          <cell r="R84">
            <v>5</v>
          </cell>
          <cell r="S84" t="str">
            <v>NA</v>
          </cell>
          <cell r="T84">
            <v>5</v>
          </cell>
        </row>
        <row r="85">
          <cell r="C85" t="str">
            <v>EMMC</v>
          </cell>
          <cell r="D85" t="str">
            <v>HSLB11975</v>
          </cell>
          <cell r="E85">
            <v>112046</v>
          </cell>
          <cell r="F85" t="str">
            <v>Catre Clínico Eléctrico</v>
          </cell>
          <cell r="G85" t="str">
            <v>NO</v>
          </cell>
          <cell r="H85" t="str">
            <v>SI</v>
          </cell>
          <cell r="I85" t="str">
            <v>SALA 4 CAMAS</v>
          </cell>
          <cell r="J85">
            <v>4</v>
          </cell>
          <cell r="K85" t="str">
            <v>C.3.6.1.20.2</v>
          </cell>
          <cell r="L85" t="str">
            <v>Hospitalización</v>
          </cell>
          <cell r="M85">
            <v>4</v>
          </cell>
          <cell r="N85">
            <v>46003</v>
          </cell>
          <cell r="O85">
            <v>46006</v>
          </cell>
          <cell r="P85">
            <v>2</v>
          </cell>
          <cell r="Q85">
            <v>46008</v>
          </cell>
          <cell r="R85">
            <v>5</v>
          </cell>
          <cell r="S85" t="str">
            <v>NA</v>
          </cell>
          <cell r="T85">
            <v>5</v>
          </cell>
        </row>
        <row r="86">
          <cell r="C86" t="str">
            <v>EMMC</v>
          </cell>
          <cell r="D86" t="str">
            <v>HSLB11976</v>
          </cell>
          <cell r="E86">
            <v>112046</v>
          </cell>
          <cell r="F86" t="str">
            <v>Catre Clínico Eléctrico</v>
          </cell>
          <cell r="G86" t="str">
            <v>NO</v>
          </cell>
          <cell r="H86" t="str">
            <v>NO</v>
          </cell>
          <cell r="I86" t="str">
            <v>SALA 4 CAMAS</v>
          </cell>
          <cell r="J86">
            <v>4</v>
          </cell>
          <cell r="K86" t="str">
            <v>C.3.6.1.20.3</v>
          </cell>
          <cell r="L86" t="str">
            <v>Hospitalización</v>
          </cell>
          <cell r="M86">
            <v>4</v>
          </cell>
          <cell r="N86">
            <v>46055</v>
          </cell>
          <cell r="O86">
            <v>46056</v>
          </cell>
          <cell r="P86">
            <v>2</v>
          </cell>
          <cell r="Q86">
            <v>46058</v>
          </cell>
          <cell r="R86">
            <v>5</v>
          </cell>
          <cell r="S86" t="str">
            <v>NA</v>
          </cell>
          <cell r="T86">
            <v>5</v>
          </cell>
        </row>
        <row r="87">
          <cell r="C87" t="str">
            <v>EMMC</v>
          </cell>
          <cell r="D87" t="str">
            <v>HSLB11977</v>
          </cell>
          <cell r="E87">
            <v>112046</v>
          </cell>
          <cell r="F87" t="str">
            <v>Catre Clínico Eléctrico</v>
          </cell>
          <cell r="G87" t="str">
            <v>NO</v>
          </cell>
          <cell r="H87" t="str">
            <v>NO</v>
          </cell>
          <cell r="I87" t="str">
            <v>SALA 4 CAMAS</v>
          </cell>
          <cell r="J87">
            <v>2</v>
          </cell>
          <cell r="K87" t="str">
            <v>C.3.6.1.21.1</v>
          </cell>
          <cell r="L87" t="str">
            <v>Hospitalización</v>
          </cell>
          <cell r="M87">
            <v>4</v>
          </cell>
          <cell r="N87">
            <v>46055</v>
          </cell>
          <cell r="O87">
            <v>46056</v>
          </cell>
          <cell r="P87">
            <v>2</v>
          </cell>
          <cell r="Q87">
            <v>46058</v>
          </cell>
          <cell r="R87">
            <v>5</v>
          </cell>
          <cell r="S87" t="str">
            <v>NA</v>
          </cell>
          <cell r="T87">
            <v>5</v>
          </cell>
        </row>
        <row r="88">
          <cell r="C88" t="str">
            <v>EMMC</v>
          </cell>
          <cell r="D88" t="str">
            <v>HSLB11978</v>
          </cell>
          <cell r="E88">
            <v>112046</v>
          </cell>
          <cell r="F88" t="str">
            <v>Catre Clínico Eléctrico</v>
          </cell>
          <cell r="G88" t="str">
            <v>NO</v>
          </cell>
          <cell r="H88" t="str">
            <v>NO</v>
          </cell>
          <cell r="I88" t="str">
            <v>SALA 1 CAMA AISLAMIENTO</v>
          </cell>
          <cell r="J88">
            <v>1</v>
          </cell>
          <cell r="K88" t="str">
            <v>C.3.6.1.23.1</v>
          </cell>
          <cell r="L88" t="str">
            <v>Hospitalización</v>
          </cell>
          <cell r="M88">
            <v>4</v>
          </cell>
          <cell r="N88">
            <v>46055</v>
          </cell>
          <cell r="O88">
            <v>46056</v>
          </cell>
          <cell r="P88">
            <v>2</v>
          </cell>
          <cell r="Q88">
            <v>46058</v>
          </cell>
          <cell r="R88">
            <v>5</v>
          </cell>
          <cell r="S88" t="str">
            <v>NA</v>
          </cell>
          <cell r="T88">
            <v>5</v>
          </cell>
        </row>
        <row r="89">
          <cell r="C89" t="str">
            <v>EMMC</v>
          </cell>
          <cell r="D89" t="str">
            <v>HSLB11979</v>
          </cell>
          <cell r="E89">
            <v>112046</v>
          </cell>
          <cell r="F89" t="str">
            <v>Catre Clínico Eléctrico</v>
          </cell>
          <cell r="G89" t="str">
            <v>NO</v>
          </cell>
          <cell r="H89" t="str">
            <v>NO</v>
          </cell>
          <cell r="I89" t="str">
            <v>SALA 1 CAMA AISLAMIENTO</v>
          </cell>
          <cell r="J89">
            <v>1</v>
          </cell>
          <cell r="K89" t="str">
            <v>C.3.6.1.23.2</v>
          </cell>
          <cell r="L89" t="str">
            <v>Hospitalización</v>
          </cell>
          <cell r="M89">
            <v>4</v>
          </cell>
          <cell r="N89">
            <v>46055</v>
          </cell>
          <cell r="O89">
            <v>46056</v>
          </cell>
          <cell r="P89">
            <v>2</v>
          </cell>
          <cell r="Q89">
            <v>46058</v>
          </cell>
          <cell r="R89">
            <v>5</v>
          </cell>
          <cell r="S89" t="str">
            <v>NA</v>
          </cell>
          <cell r="T89">
            <v>5</v>
          </cell>
        </row>
        <row r="90">
          <cell r="C90" t="str">
            <v>EMMC</v>
          </cell>
          <cell r="D90" t="str">
            <v>HSLB12711</v>
          </cell>
          <cell r="E90">
            <v>113004</v>
          </cell>
          <cell r="F90" t="str">
            <v>Monitor Apnea</v>
          </cell>
          <cell r="G90" t="str">
            <v>NO</v>
          </cell>
          <cell r="H90" t="str">
            <v>SI</v>
          </cell>
          <cell r="I90" t="str">
            <v>BODEGA DE EQUIPOS Y CUNAS</v>
          </cell>
          <cell r="J90">
            <v>1</v>
          </cell>
          <cell r="K90" t="str">
            <v>C.3.6.1.37</v>
          </cell>
          <cell r="L90" t="str">
            <v>Hospitalización</v>
          </cell>
          <cell r="M90">
            <v>4</v>
          </cell>
          <cell r="N90">
            <v>46003</v>
          </cell>
          <cell r="O90">
            <v>46006</v>
          </cell>
          <cell r="P90">
            <v>1</v>
          </cell>
          <cell r="Q90">
            <v>46007</v>
          </cell>
          <cell r="R90">
            <v>5</v>
          </cell>
          <cell r="S90" t="str">
            <v>NA</v>
          </cell>
          <cell r="T90">
            <v>5</v>
          </cell>
        </row>
        <row r="91">
          <cell r="C91" t="str">
            <v>EMMC</v>
          </cell>
          <cell r="D91" t="str">
            <v>HSLB12713</v>
          </cell>
          <cell r="E91">
            <v>113005</v>
          </cell>
          <cell r="F91" t="str">
            <v>Monitor Cardiofetal</v>
          </cell>
          <cell r="G91" t="str">
            <v>NO</v>
          </cell>
          <cell r="H91" t="str">
            <v>NO</v>
          </cell>
          <cell r="I91" t="str">
            <v>SALA 4 CAMAS</v>
          </cell>
          <cell r="J91">
            <v>1</v>
          </cell>
          <cell r="K91" t="str">
            <v>C.3.6.1.20.1</v>
          </cell>
          <cell r="L91" t="str">
            <v>Hospitalización</v>
          </cell>
          <cell r="M91">
            <v>4</v>
          </cell>
          <cell r="N91">
            <v>46055</v>
          </cell>
          <cell r="O91">
            <v>46056</v>
          </cell>
          <cell r="P91">
            <v>1</v>
          </cell>
          <cell r="Q91">
            <v>46057</v>
          </cell>
          <cell r="R91">
            <v>5</v>
          </cell>
          <cell r="S91" t="str">
            <v>NA</v>
          </cell>
          <cell r="T91">
            <v>5</v>
          </cell>
        </row>
        <row r="92">
          <cell r="C92" t="str">
            <v>EMMC</v>
          </cell>
          <cell r="D92" t="str">
            <v>HSLB12714</v>
          </cell>
          <cell r="E92">
            <v>113005</v>
          </cell>
          <cell r="F92" t="str">
            <v>Monitor Cardiofetal</v>
          </cell>
          <cell r="G92" t="str">
            <v>NO</v>
          </cell>
          <cell r="H92" t="str">
            <v>SI</v>
          </cell>
          <cell r="I92" t="str">
            <v>SALA 4 CAMAS</v>
          </cell>
          <cell r="J92">
            <v>1</v>
          </cell>
          <cell r="K92" t="str">
            <v>C.3.6.1.20.2</v>
          </cell>
          <cell r="L92" t="str">
            <v>Hospitalización</v>
          </cell>
          <cell r="M92">
            <v>4</v>
          </cell>
          <cell r="N92">
            <v>46003</v>
          </cell>
          <cell r="O92">
            <v>46006</v>
          </cell>
          <cell r="P92">
            <v>1</v>
          </cell>
          <cell r="Q92">
            <v>46007</v>
          </cell>
          <cell r="R92">
            <v>5</v>
          </cell>
          <cell r="S92" t="str">
            <v>NA</v>
          </cell>
          <cell r="T92">
            <v>5</v>
          </cell>
        </row>
        <row r="93">
          <cell r="C93" t="str">
            <v>EMMC</v>
          </cell>
          <cell r="D93" t="str">
            <v>HSLB12715</v>
          </cell>
          <cell r="E93">
            <v>113005</v>
          </cell>
          <cell r="F93" t="str">
            <v>Monitor Cardiofetal</v>
          </cell>
          <cell r="G93" t="str">
            <v>NO</v>
          </cell>
          <cell r="H93" t="str">
            <v>NO</v>
          </cell>
          <cell r="I93" t="str">
            <v>SALA 4 CAMAS</v>
          </cell>
          <cell r="J93">
            <v>1</v>
          </cell>
          <cell r="K93" t="str">
            <v>C.3.6.1.20.3</v>
          </cell>
          <cell r="L93" t="str">
            <v>Hospitalización</v>
          </cell>
          <cell r="M93">
            <v>4</v>
          </cell>
          <cell r="N93">
            <v>46055</v>
          </cell>
          <cell r="O93">
            <v>46056</v>
          </cell>
          <cell r="P93">
            <v>1</v>
          </cell>
          <cell r="Q93">
            <v>46057</v>
          </cell>
          <cell r="R93">
            <v>5</v>
          </cell>
          <cell r="S93" t="str">
            <v>NA</v>
          </cell>
          <cell r="T93">
            <v>5</v>
          </cell>
        </row>
        <row r="94">
          <cell r="C94" t="str">
            <v>EMMC</v>
          </cell>
          <cell r="D94" t="str">
            <v>HSLB12716</v>
          </cell>
          <cell r="E94">
            <v>113005</v>
          </cell>
          <cell r="F94" t="str">
            <v>Monitor Cardiofetal</v>
          </cell>
          <cell r="G94" t="str">
            <v>NO</v>
          </cell>
          <cell r="H94" t="str">
            <v>NO</v>
          </cell>
          <cell r="I94" t="str">
            <v>SALA 4 CAMAS</v>
          </cell>
          <cell r="J94">
            <v>1</v>
          </cell>
          <cell r="K94" t="str">
            <v>C.3.6.1.21.1</v>
          </cell>
          <cell r="L94" t="str">
            <v>Hospitalización</v>
          </cell>
          <cell r="M94">
            <v>4</v>
          </cell>
          <cell r="N94">
            <v>46055</v>
          </cell>
          <cell r="O94">
            <v>46056</v>
          </cell>
          <cell r="P94">
            <v>1</v>
          </cell>
          <cell r="Q94">
            <v>46057</v>
          </cell>
          <cell r="R94">
            <v>5</v>
          </cell>
          <cell r="S94" t="str">
            <v>NA</v>
          </cell>
          <cell r="T94">
            <v>5</v>
          </cell>
        </row>
        <row r="95">
          <cell r="C95" t="str">
            <v>EMMC</v>
          </cell>
          <cell r="D95" t="str">
            <v>HSLB12717</v>
          </cell>
          <cell r="E95">
            <v>113005</v>
          </cell>
          <cell r="F95" t="str">
            <v>Monitor Cardiofetal</v>
          </cell>
          <cell r="G95" t="str">
            <v>NO</v>
          </cell>
          <cell r="H95" t="str">
            <v>SI</v>
          </cell>
          <cell r="I95" t="str">
            <v>BODEGA DE EQUIPOS Y CUNAS</v>
          </cell>
          <cell r="J95">
            <v>1</v>
          </cell>
          <cell r="K95" t="str">
            <v>C.3.6.1.37</v>
          </cell>
          <cell r="L95" t="str">
            <v>Hospitalización</v>
          </cell>
          <cell r="M95">
            <v>4</v>
          </cell>
          <cell r="N95">
            <v>46003</v>
          </cell>
          <cell r="O95">
            <v>46006</v>
          </cell>
          <cell r="P95">
            <v>1</v>
          </cell>
          <cell r="Q95">
            <v>46007</v>
          </cell>
          <cell r="R95">
            <v>5</v>
          </cell>
          <cell r="S95" t="str">
            <v>NA</v>
          </cell>
          <cell r="T95">
            <v>5</v>
          </cell>
        </row>
        <row r="96">
          <cell r="C96" t="str">
            <v>EMMC</v>
          </cell>
          <cell r="D96" t="str">
            <v>HSLB12723</v>
          </cell>
          <cell r="E96">
            <v>113006</v>
          </cell>
          <cell r="F96" t="str">
            <v>Monitor Cardiofetal Gemelar</v>
          </cell>
          <cell r="G96" t="str">
            <v>NO</v>
          </cell>
          <cell r="H96" t="str">
            <v>SI</v>
          </cell>
          <cell r="I96" t="str">
            <v>BODEGA DE EQUIPOS Y CUNAS</v>
          </cell>
          <cell r="J96">
            <v>1</v>
          </cell>
          <cell r="K96" t="str">
            <v>C.3.6.1.37</v>
          </cell>
          <cell r="L96" t="str">
            <v>Hospitalización</v>
          </cell>
          <cell r="M96">
            <v>4</v>
          </cell>
          <cell r="N96">
            <v>46003</v>
          </cell>
          <cell r="O96">
            <v>46006</v>
          </cell>
          <cell r="P96">
            <v>1</v>
          </cell>
          <cell r="Q96">
            <v>46007</v>
          </cell>
          <cell r="R96">
            <v>5</v>
          </cell>
          <cell r="S96" t="str">
            <v>NA</v>
          </cell>
          <cell r="T96">
            <v>5</v>
          </cell>
        </row>
        <row r="97">
          <cell r="C97" t="str">
            <v>EMMC</v>
          </cell>
          <cell r="D97" t="str">
            <v>HSLB12743</v>
          </cell>
          <cell r="E97">
            <v>113008</v>
          </cell>
          <cell r="F97" t="str">
            <v>Monitor de Signos Vitales Baja Complejidad</v>
          </cell>
          <cell r="G97" t="str">
            <v>NO</v>
          </cell>
          <cell r="H97" t="str">
            <v>NO</v>
          </cell>
          <cell r="I97" t="str">
            <v>ESTACIÓN DE ENFERMERÍA</v>
          </cell>
          <cell r="J97">
            <v>1</v>
          </cell>
          <cell r="K97" t="str">
            <v>C.3.6.1.28</v>
          </cell>
          <cell r="L97" t="str">
            <v>Neonatología</v>
          </cell>
          <cell r="M97">
            <v>4</v>
          </cell>
          <cell r="N97">
            <v>46055</v>
          </cell>
          <cell r="O97">
            <v>46056</v>
          </cell>
          <cell r="P97">
            <v>1</v>
          </cell>
          <cell r="Q97">
            <v>46057</v>
          </cell>
          <cell r="R97">
            <v>5</v>
          </cell>
          <cell r="S97" t="str">
            <v>NA</v>
          </cell>
          <cell r="T97">
            <v>5</v>
          </cell>
        </row>
        <row r="98">
          <cell r="C98" t="str">
            <v>EMMC</v>
          </cell>
          <cell r="D98" t="str">
            <v>HSLB12854</v>
          </cell>
          <cell r="E98">
            <v>113013</v>
          </cell>
          <cell r="F98" t="str">
            <v>Monitor Desfibrilador</v>
          </cell>
          <cell r="G98" t="str">
            <v>NO</v>
          </cell>
          <cell r="H98" t="str">
            <v>NO</v>
          </cell>
          <cell r="I98" t="str">
            <v>ESTACIÓN DE ENFERMERÍA</v>
          </cell>
          <cell r="J98">
            <v>1</v>
          </cell>
          <cell r="K98" t="str">
            <v>C.3.6.1.13.1</v>
          </cell>
          <cell r="L98" t="str">
            <v>Hospitalización</v>
          </cell>
          <cell r="M98">
            <v>4</v>
          </cell>
          <cell r="N98">
            <v>46055</v>
          </cell>
          <cell r="O98">
            <v>46056</v>
          </cell>
          <cell r="P98">
            <v>1</v>
          </cell>
          <cell r="Q98">
            <v>46057</v>
          </cell>
          <cell r="R98">
            <v>5</v>
          </cell>
          <cell r="S98" t="str">
            <v>NA</v>
          </cell>
          <cell r="T98">
            <v>5</v>
          </cell>
        </row>
        <row r="99">
          <cell r="C99" t="str">
            <v>EMMC</v>
          </cell>
          <cell r="D99" t="str">
            <v>HSLB12855</v>
          </cell>
          <cell r="E99">
            <v>113013</v>
          </cell>
          <cell r="F99" t="str">
            <v>Monitor Desfibrilador</v>
          </cell>
          <cell r="G99" t="str">
            <v>NO</v>
          </cell>
          <cell r="H99" t="str">
            <v>NO</v>
          </cell>
          <cell r="I99" t="str">
            <v>ESTACIÓN DE ENFERMERÍA</v>
          </cell>
          <cell r="J99">
            <v>1</v>
          </cell>
          <cell r="K99" t="str">
            <v>C.3.6.1.13.2</v>
          </cell>
          <cell r="L99" t="str">
            <v>Hospitalización</v>
          </cell>
          <cell r="M99">
            <v>4</v>
          </cell>
          <cell r="N99">
            <v>46055</v>
          </cell>
          <cell r="O99">
            <v>46056</v>
          </cell>
          <cell r="P99">
            <v>1</v>
          </cell>
          <cell r="Q99">
            <v>46057</v>
          </cell>
          <cell r="R99">
            <v>5</v>
          </cell>
          <cell r="S99" t="str">
            <v>NA</v>
          </cell>
          <cell r="T99">
            <v>5</v>
          </cell>
        </row>
        <row r="100">
          <cell r="C100" t="str">
            <v>EMMC</v>
          </cell>
          <cell r="D100" t="str">
            <v>HSLB12856</v>
          </cell>
          <cell r="E100">
            <v>113013</v>
          </cell>
          <cell r="F100" t="str">
            <v>Monitor Desfibrilador</v>
          </cell>
          <cell r="G100" t="str">
            <v>NO</v>
          </cell>
          <cell r="H100" t="str">
            <v>NO</v>
          </cell>
          <cell r="I100" t="str">
            <v>ESTACIÓN DE ENFERMERÍA</v>
          </cell>
          <cell r="J100">
            <v>1</v>
          </cell>
          <cell r="K100" t="str">
            <v>C.3.6.1.28</v>
          </cell>
          <cell r="L100" t="str">
            <v>Neonatología</v>
          </cell>
          <cell r="M100">
            <v>4</v>
          </cell>
          <cell r="N100">
            <v>46055</v>
          </cell>
          <cell r="O100">
            <v>46056</v>
          </cell>
          <cell r="P100">
            <v>1</v>
          </cell>
          <cell r="Q100">
            <v>46057</v>
          </cell>
          <cell r="R100">
            <v>5</v>
          </cell>
          <cell r="S100" t="str">
            <v>NA</v>
          </cell>
          <cell r="T100">
            <v>5</v>
          </cell>
        </row>
        <row r="101">
          <cell r="C101" t="str">
            <v>EMMC</v>
          </cell>
          <cell r="D101" t="str">
            <v>HSLB11004</v>
          </cell>
          <cell r="E101">
            <v>106019</v>
          </cell>
          <cell r="F101" t="str">
            <v>Televisor 32'</v>
          </cell>
          <cell r="G101" t="str">
            <v>NO</v>
          </cell>
          <cell r="H101" t="str">
            <v>NO</v>
          </cell>
          <cell r="I101" t="str">
            <v>SALA EDUCACIÓN AMAMANTAMIENTO</v>
          </cell>
          <cell r="J101">
            <v>1</v>
          </cell>
          <cell r="K101" t="str">
            <v>C.3.6.1.17</v>
          </cell>
          <cell r="L101" t="str">
            <v>Hospitalización</v>
          </cell>
          <cell r="M101">
            <v>4</v>
          </cell>
          <cell r="N101">
            <v>46055</v>
          </cell>
          <cell r="O101">
            <v>46056</v>
          </cell>
          <cell r="P101">
            <v>1</v>
          </cell>
          <cell r="Q101">
            <v>46057</v>
          </cell>
          <cell r="R101">
            <v>5</v>
          </cell>
          <cell r="S101" t="str">
            <v>NA</v>
          </cell>
          <cell r="T101">
            <v>5</v>
          </cell>
        </row>
        <row r="102">
          <cell r="C102" t="str">
            <v>EMMC</v>
          </cell>
          <cell r="D102" t="str">
            <v>HSLB11005</v>
          </cell>
          <cell r="E102">
            <v>106019</v>
          </cell>
          <cell r="F102" t="str">
            <v>Televisor 32'</v>
          </cell>
          <cell r="G102" t="str">
            <v>NO</v>
          </cell>
          <cell r="H102" t="str">
            <v>NO</v>
          </cell>
          <cell r="I102" t="str">
            <v>SALA 4 CAMAS</v>
          </cell>
          <cell r="J102">
            <v>2</v>
          </cell>
          <cell r="K102" t="str">
            <v>C.3.6.1.18.1</v>
          </cell>
          <cell r="L102" t="str">
            <v>Neonatología</v>
          </cell>
          <cell r="M102">
            <v>4</v>
          </cell>
          <cell r="N102">
            <v>46055</v>
          </cell>
          <cell r="O102">
            <v>46056</v>
          </cell>
          <cell r="P102">
            <v>1</v>
          </cell>
          <cell r="Q102">
            <v>46057</v>
          </cell>
          <cell r="R102">
            <v>5</v>
          </cell>
          <cell r="S102" t="str">
            <v>NA</v>
          </cell>
          <cell r="T102">
            <v>5</v>
          </cell>
        </row>
        <row r="103">
          <cell r="C103" t="str">
            <v>EMMC</v>
          </cell>
          <cell r="D103" t="str">
            <v>HSLB11006</v>
          </cell>
          <cell r="E103">
            <v>106019</v>
          </cell>
          <cell r="F103" t="str">
            <v>Televisor 32'</v>
          </cell>
          <cell r="G103" t="str">
            <v>NO</v>
          </cell>
          <cell r="H103" t="str">
            <v>NO</v>
          </cell>
          <cell r="I103" t="str">
            <v>SALA 4 CAMAS</v>
          </cell>
          <cell r="J103">
            <v>2</v>
          </cell>
          <cell r="K103" t="str">
            <v>C.3.6.1.18.2</v>
          </cell>
          <cell r="L103" t="str">
            <v>Neonatología</v>
          </cell>
          <cell r="M103">
            <v>4</v>
          </cell>
          <cell r="N103">
            <v>46055</v>
          </cell>
          <cell r="O103">
            <v>46056</v>
          </cell>
          <cell r="P103">
            <v>1</v>
          </cell>
          <cell r="Q103">
            <v>46057</v>
          </cell>
          <cell r="R103">
            <v>5</v>
          </cell>
          <cell r="S103" t="str">
            <v>NA</v>
          </cell>
          <cell r="T103">
            <v>5</v>
          </cell>
        </row>
        <row r="104">
          <cell r="C104" t="str">
            <v>EMMC</v>
          </cell>
          <cell r="D104" t="str">
            <v>HSLB11007</v>
          </cell>
          <cell r="E104">
            <v>106019</v>
          </cell>
          <cell r="F104" t="str">
            <v>Televisor 32'</v>
          </cell>
          <cell r="G104" t="str">
            <v>NO</v>
          </cell>
          <cell r="H104" t="str">
            <v>NO</v>
          </cell>
          <cell r="I104" t="str">
            <v>SALA 4 CAMAS</v>
          </cell>
          <cell r="J104">
            <v>2</v>
          </cell>
          <cell r="K104" t="str">
            <v>C.3.6.1.18.3</v>
          </cell>
          <cell r="L104" t="str">
            <v>Neonatología</v>
          </cell>
          <cell r="M104">
            <v>4</v>
          </cell>
          <cell r="N104">
            <v>46055</v>
          </cell>
          <cell r="O104">
            <v>46056</v>
          </cell>
          <cell r="P104">
            <v>1</v>
          </cell>
          <cell r="Q104">
            <v>46057</v>
          </cell>
          <cell r="R104">
            <v>5</v>
          </cell>
          <cell r="S104" t="str">
            <v>NA</v>
          </cell>
          <cell r="T104">
            <v>5</v>
          </cell>
        </row>
        <row r="105">
          <cell r="C105" t="str">
            <v>EMMC</v>
          </cell>
          <cell r="D105" t="str">
            <v>HSLB11008</v>
          </cell>
          <cell r="E105">
            <v>106019</v>
          </cell>
          <cell r="F105" t="str">
            <v>Televisor 32'</v>
          </cell>
          <cell r="G105" t="str">
            <v>NO</v>
          </cell>
          <cell r="H105" t="str">
            <v>NO</v>
          </cell>
          <cell r="I105" t="str">
            <v>SALA 4 CAMAS</v>
          </cell>
          <cell r="J105">
            <v>2</v>
          </cell>
          <cell r="K105" t="str">
            <v>C.3.6.1.18.4</v>
          </cell>
          <cell r="L105" t="str">
            <v>Neonatología</v>
          </cell>
          <cell r="M105">
            <v>4</v>
          </cell>
          <cell r="N105">
            <v>46055</v>
          </cell>
          <cell r="O105">
            <v>46056</v>
          </cell>
          <cell r="P105">
            <v>1</v>
          </cell>
          <cell r="Q105">
            <v>46057</v>
          </cell>
          <cell r="R105">
            <v>5</v>
          </cell>
          <cell r="S105" t="str">
            <v>NA</v>
          </cell>
          <cell r="T105">
            <v>5</v>
          </cell>
        </row>
        <row r="106">
          <cell r="C106" t="str">
            <v>EMMC</v>
          </cell>
          <cell r="D106" t="str">
            <v>HSLB11009</v>
          </cell>
          <cell r="E106">
            <v>106019</v>
          </cell>
          <cell r="F106" t="str">
            <v>Televisor 32'</v>
          </cell>
          <cell r="G106" t="str">
            <v>NO</v>
          </cell>
          <cell r="H106" t="str">
            <v>NO</v>
          </cell>
          <cell r="I106" t="str">
            <v>SALA 1 CAMA</v>
          </cell>
          <cell r="J106">
            <v>1</v>
          </cell>
          <cell r="K106" t="str">
            <v>C.3.6.1.18.5</v>
          </cell>
          <cell r="L106" t="str">
            <v>Neonatología</v>
          </cell>
          <cell r="M106">
            <v>4</v>
          </cell>
          <cell r="N106">
            <v>46055</v>
          </cell>
          <cell r="O106">
            <v>46056</v>
          </cell>
          <cell r="P106">
            <v>1</v>
          </cell>
          <cell r="Q106">
            <v>46057</v>
          </cell>
          <cell r="R106">
            <v>5</v>
          </cell>
          <cell r="S106" t="str">
            <v>NA</v>
          </cell>
          <cell r="T106">
            <v>5</v>
          </cell>
        </row>
        <row r="107">
          <cell r="C107" t="str">
            <v>EMMC</v>
          </cell>
          <cell r="D107" t="str">
            <v>HSLB11010</v>
          </cell>
          <cell r="E107">
            <v>106019</v>
          </cell>
          <cell r="F107" t="str">
            <v>Televisor 32'</v>
          </cell>
          <cell r="G107" t="str">
            <v>NO</v>
          </cell>
          <cell r="H107" t="str">
            <v>NO</v>
          </cell>
          <cell r="I107" t="str">
            <v>SALA 1 CAMA</v>
          </cell>
          <cell r="J107">
            <v>1</v>
          </cell>
          <cell r="K107" t="str">
            <v>C.3.6.1.18.6</v>
          </cell>
          <cell r="L107" t="str">
            <v>Neonatología</v>
          </cell>
          <cell r="M107">
            <v>4</v>
          </cell>
          <cell r="N107">
            <v>46055</v>
          </cell>
          <cell r="O107">
            <v>46056</v>
          </cell>
          <cell r="P107">
            <v>1</v>
          </cell>
          <cell r="Q107">
            <v>46057</v>
          </cell>
          <cell r="R107">
            <v>5</v>
          </cell>
          <cell r="S107" t="str">
            <v>NA</v>
          </cell>
          <cell r="T107">
            <v>5</v>
          </cell>
        </row>
        <row r="108">
          <cell r="C108" t="str">
            <v>EMMC</v>
          </cell>
          <cell r="D108" t="str">
            <v>HSLB11011</v>
          </cell>
          <cell r="E108">
            <v>106019</v>
          </cell>
          <cell r="F108" t="str">
            <v>Televisor 32'</v>
          </cell>
          <cell r="G108" t="str">
            <v>NO</v>
          </cell>
          <cell r="H108" t="str">
            <v>NO</v>
          </cell>
          <cell r="I108" t="str">
            <v>SALA 4 CAMAS</v>
          </cell>
          <cell r="J108">
            <v>1</v>
          </cell>
          <cell r="K108" t="str">
            <v>C.3.6.1.19</v>
          </cell>
          <cell r="L108" t="str">
            <v>Neonatología</v>
          </cell>
          <cell r="M108">
            <v>4</v>
          </cell>
          <cell r="N108">
            <v>46055</v>
          </cell>
          <cell r="O108">
            <v>46056</v>
          </cell>
          <cell r="P108">
            <v>1</v>
          </cell>
          <cell r="Q108">
            <v>46057</v>
          </cell>
          <cell r="R108">
            <v>5</v>
          </cell>
          <cell r="S108" t="str">
            <v>NA</v>
          </cell>
          <cell r="T108">
            <v>5</v>
          </cell>
        </row>
        <row r="109">
          <cell r="C109" t="str">
            <v>EMMC</v>
          </cell>
          <cell r="D109" t="str">
            <v>HSLB11012</v>
          </cell>
          <cell r="E109">
            <v>106019</v>
          </cell>
          <cell r="F109" t="str">
            <v>Televisor 32'</v>
          </cell>
          <cell r="G109" t="str">
            <v>NO</v>
          </cell>
          <cell r="H109" t="str">
            <v>NO</v>
          </cell>
          <cell r="I109" t="str">
            <v>SALA 4 CAMAS</v>
          </cell>
          <cell r="J109">
            <v>2</v>
          </cell>
          <cell r="K109" t="str">
            <v>C.3.6.1.20.1</v>
          </cell>
          <cell r="L109" t="str">
            <v>Hospitalización</v>
          </cell>
          <cell r="M109">
            <v>4</v>
          </cell>
          <cell r="N109">
            <v>46055</v>
          </cell>
          <cell r="O109">
            <v>46056</v>
          </cell>
          <cell r="P109">
            <v>1</v>
          </cell>
          <cell r="Q109">
            <v>46057</v>
          </cell>
          <cell r="R109">
            <v>5</v>
          </cell>
          <cell r="S109" t="str">
            <v>NA</v>
          </cell>
          <cell r="T109">
            <v>5</v>
          </cell>
        </row>
        <row r="110">
          <cell r="C110" t="str">
            <v>EMMC</v>
          </cell>
          <cell r="D110" t="str">
            <v>HSLB11013</v>
          </cell>
          <cell r="E110">
            <v>106019</v>
          </cell>
          <cell r="F110" t="str">
            <v>Televisor 32'</v>
          </cell>
          <cell r="G110" t="str">
            <v>NO</v>
          </cell>
          <cell r="H110" t="str">
            <v>SI</v>
          </cell>
          <cell r="I110" t="str">
            <v>SALA 4 CAMAS</v>
          </cell>
          <cell r="J110">
            <v>2</v>
          </cell>
          <cell r="K110" t="str">
            <v>C.3.6.1.20.2</v>
          </cell>
          <cell r="L110" t="str">
            <v>Hospitalización</v>
          </cell>
          <cell r="M110">
            <v>4</v>
          </cell>
          <cell r="N110">
            <v>46003</v>
          </cell>
          <cell r="O110">
            <v>46006</v>
          </cell>
          <cell r="P110">
            <v>1</v>
          </cell>
          <cell r="Q110">
            <v>46007</v>
          </cell>
          <cell r="R110">
            <v>5</v>
          </cell>
          <cell r="S110" t="str">
            <v>NA</v>
          </cell>
          <cell r="T110">
            <v>5</v>
          </cell>
        </row>
        <row r="111">
          <cell r="C111" t="str">
            <v>EMMC</v>
          </cell>
          <cell r="D111" t="str">
            <v>HSLB11014</v>
          </cell>
          <cell r="E111">
            <v>106019</v>
          </cell>
          <cell r="F111" t="str">
            <v>Televisor 32'</v>
          </cell>
          <cell r="G111" t="str">
            <v>NO</v>
          </cell>
          <cell r="H111" t="str">
            <v>NO</v>
          </cell>
          <cell r="I111" t="str">
            <v>SALA 4 CAMAS</v>
          </cell>
          <cell r="J111">
            <v>2</v>
          </cell>
          <cell r="K111" t="str">
            <v>C.3.6.1.20.3</v>
          </cell>
          <cell r="L111" t="str">
            <v>Hospitalización</v>
          </cell>
          <cell r="M111">
            <v>4</v>
          </cell>
          <cell r="N111">
            <v>46055</v>
          </cell>
          <cell r="O111">
            <v>46056</v>
          </cell>
          <cell r="P111">
            <v>1</v>
          </cell>
          <cell r="Q111">
            <v>46057</v>
          </cell>
          <cell r="R111">
            <v>5</v>
          </cell>
          <cell r="S111" t="str">
            <v>NA</v>
          </cell>
          <cell r="T111">
            <v>5</v>
          </cell>
        </row>
        <row r="112">
          <cell r="C112" t="str">
            <v>EMMC</v>
          </cell>
          <cell r="D112" t="str">
            <v>HSLB11015</v>
          </cell>
          <cell r="E112">
            <v>106019</v>
          </cell>
          <cell r="F112" t="str">
            <v>Televisor 32'</v>
          </cell>
          <cell r="G112" t="str">
            <v>NO</v>
          </cell>
          <cell r="H112" t="str">
            <v>NO</v>
          </cell>
          <cell r="I112" t="str">
            <v>SALA 4 CAMAS</v>
          </cell>
          <cell r="J112">
            <v>1</v>
          </cell>
          <cell r="K112" t="str">
            <v>C.3.6.1.21.1</v>
          </cell>
          <cell r="L112" t="str">
            <v>Hospitalización</v>
          </cell>
          <cell r="M112">
            <v>4</v>
          </cell>
          <cell r="N112">
            <v>46055</v>
          </cell>
          <cell r="O112">
            <v>46056</v>
          </cell>
          <cell r="P112">
            <v>1</v>
          </cell>
          <cell r="Q112">
            <v>46057</v>
          </cell>
          <cell r="R112">
            <v>5</v>
          </cell>
          <cell r="S112" t="str">
            <v>NA</v>
          </cell>
          <cell r="T112">
            <v>5</v>
          </cell>
        </row>
        <row r="113">
          <cell r="C113" t="str">
            <v>EMMC</v>
          </cell>
          <cell r="D113" t="str">
            <v>HSLB11016</v>
          </cell>
          <cell r="E113">
            <v>106019</v>
          </cell>
          <cell r="F113" t="str">
            <v>Televisor 32'</v>
          </cell>
          <cell r="G113" t="str">
            <v>NO</v>
          </cell>
          <cell r="H113" t="str">
            <v>NO</v>
          </cell>
          <cell r="I113" t="str">
            <v>SALA 1 CAMA AISLAMIENTO</v>
          </cell>
          <cell r="J113">
            <v>1</v>
          </cell>
          <cell r="K113" t="str">
            <v>C.3.6.1.23.1</v>
          </cell>
          <cell r="L113" t="str">
            <v>Hospitalización</v>
          </cell>
          <cell r="M113">
            <v>4</v>
          </cell>
          <cell r="N113">
            <v>46055</v>
          </cell>
          <cell r="O113">
            <v>46056</v>
          </cell>
          <cell r="P113">
            <v>1</v>
          </cell>
          <cell r="Q113">
            <v>46057</v>
          </cell>
          <cell r="R113">
            <v>5</v>
          </cell>
          <cell r="S113" t="str">
            <v>NA</v>
          </cell>
          <cell r="T113">
            <v>5</v>
          </cell>
        </row>
        <row r="114">
          <cell r="C114" t="str">
            <v>EMMC</v>
          </cell>
          <cell r="D114" t="str">
            <v>HSLB11017</v>
          </cell>
          <cell r="E114">
            <v>106019</v>
          </cell>
          <cell r="F114" t="str">
            <v>Televisor 32'</v>
          </cell>
          <cell r="G114" t="str">
            <v>NO</v>
          </cell>
          <cell r="H114" t="str">
            <v>NO</v>
          </cell>
          <cell r="I114" t="str">
            <v>SALA 1 CAMA AISLAMIENTO</v>
          </cell>
          <cell r="J114">
            <v>1</v>
          </cell>
          <cell r="K114" t="str">
            <v>C.3.6.1.23.2</v>
          </cell>
          <cell r="L114" t="str">
            <v>Hospitalización</v>
          </cell>
          <cell r="M114">
            <v>4</v>
          </cell>
          <cell r="N114">
            <v>46055</v>
          </cell>
          <cell r="O114">
            <v>46056</v>
          </cell>
          <cell r="P114">
            <v>1</v>
          </cell>
          <cell r="Q114">
            <v>46057</v>
          </cell>
          <cell r="R114">
            <v>5</v>
          </cell>
          <cell r="S114" t="str">
            <v>NA</v>
          </cell>
          <cell r="T114">
            <v>5</v>
          </cell>
        </row>
        <row r="115">
          <cell r="C115" t="str">
            <v>EMMC</v>
          </cell>
          <cell r="D115" t="str">
            <v>HSLB11018</v>
          </cell>
          <cell r="E115">
            <v>106019</v>
          </cell>
          <cell r="F115" t="str">
            <v>Televisor 32'</v>
          </cell>
          <cell r="G115" t="str">
            <v>NO</v>
          </cell>
          <cell r="H115" t="str">
            <v>NO</v>
          </cell>
          <cell r="I115" t="str">
            <v>LACTARIO</v>
          </cell>
          <cell r="J115">
            <v>1</v>
          </cell>
          <cell r="K115" t="str">
            <v>C.3.6.1.31.4</v>
          </cell>
          <cell r="L115" t="str">
            <v>Neonatología</v>
          </cell>
          <cell r="M115">
            <v>4</v>
          </cell>
          <cell r="N115">
            <v>46055</v>
          </cell>
          <cell r="O115">
            <v>46056</v>
          </cell>
          <cell r="P115">
            <v>1</v>
          </cell>
          <cell r="Q115">
            <v>46057</v>
          </cell>
          <cell r="R115">
            <v>5</v>
          </cell>
          <cell r="S115" t="str">
            <v>NA</v>
          </cell>
          <cell r="T115">
            <v>5</v>
          </cell>
        </row>
        <row r="116">
          <cell r="C116" t="str">
            <v>EMMC</v>
          </cell>
          <cell r="D116" t="str">
            <v>HSLB12031</v>
          </cell>
          <cell r="E116">
            <v>112052</v>
          </cell>
          <cell r="F116" t="str">
            <v>Cuna Recién Nacido</v>
          </cell>
          <cell r="G116" t="str">
            <v>NO</v>
          </cell>
          <cell r="H116" t="str">
            <v>NO</v>
          </cell>
          <cell r="I116" t="str">
            <v>SALA 4 CAMAS</v>
          </cell>
          <cell r="J116">
            <v>4</v>
          </cell>
          <cell r="K116" t="str">
            <v>C.3.6.1.18.1</v>
          </cell>
          <cell r="L116" t="str">
            <v>Neonatología</v>
          </cell>
          <cell r="M116">
            <v>4</v>
          </cell>
          <cell r="N116">
            <v>46055</v>
          </cell>
          <cell r="O116">
            <v>46056</v>
          </cell>
          <cell r="P116">
            <v>1</v>
          </cell>
          <cell r="Q116">
            <v>46057</v>
          </cell>
          <cell r="R116">
            <v>5</v>
          </cell>
          <cell r="S116" t="str">
            <v>NA</v>
          </cell>
          <cell r="T116">
            <v>5</v>
          </cell>
        </row>
        <row r="117">
          <cell r="C117" t="str">
            <v>EMMC</v>
          </cell>
          <cell r="D117" t="str">
            <v>HSLB12032</v>
          </cell>
          <cell r="E117">
            <v>112052</v>
          </cell>
          <cell r="F117" t="str">
            <v>Cuna Recién Nacido</v>
          </cell>
          <cell r="G117" t="str">
            <v>NO</v>
          </cell>
          <cell r="H117" t="str">
            <v>NO</v>
          </cell>
          <cell r="I117" t="str">
            <v>SALA 4 CAMAS</v>
          </cell>
          <cell r="J117">
            <v>4</v>
          </cell>
          <cell r="K117" t="str">
            <v>C.3.6.1.18.2</v>
          </cell>
          <cell r="L117" t="str">
            <v>Neonatología</v>
          </cell>
          <cell r="M117">
            <v>4</v>
          </cell>
          <cell r="N117">
            <v>46055</v>
          </cell>
          <cell r="O117">
            <v>46056</v>
          </cell>
          <cell r="P117">
            <v>1</v>
          </cell>
          <cell r="Q117">
            <v>46057</v>
          </cell>
          <cell r="R117">
            <v>5</v>
          </cell>
          <cell r="S117" t="str">
            <v>NA</v>
          </cell>
          <cell r="T117">
            <v>5</v>
          </cell>
        </row>
        <row r="118">
          <cell r="C118" t="str">
            <v>EMMC</v>
          </cell>
          <cell r="D118" t="str">
            <v>HSLB12033</v>
          </cell>
          <cell r="E118">
            <v>112052</v>
          </cell>
          <cell r="F118" t="str">
            <v>Cuna Recién Nacido</v>
          </cell>
          <cell r="G118" t="str">
            <v>NO</v>
          </cell>
          <cell r="H118" t="str">
            <v>NO</v>
          </cell>
          <cell r="I118" t="str">
            <v>SALA 4 CAMAS</v>
          </cell>
          <cell r="J118">
            <v>4</v>
          </cell>
          <cell r="K118" t="str">
            <v>C.3.6.1.18.3</v>
          </cell>
          <cell r="L118" t="str">
            <v>Neonatología</v>
          </cell>
          <cell r="M118">
            <v>4</v>
          </cell>
          <cell r="N118">
            <v>46055</v>
          </cell>
          <cell r="O118">
            <v>46056</v>
          </cell>
          <cell r="P118">
            <v>1</v>
          </cell>
          <cell r="Q118">
            <v>46057</v>
          </cell>
          <cell r="R118">
            <v>5</v>
          </cell>
          <cell r="S118" t="str">
            <v>NA</v>
          </cell>
          <cell r="T118">
            <v>5</v>
          </cell>
        </row>
        <row r="119">
          <cell r="C119" t="str">
            <v>EMMC</v>
          </cell>
          <cell r="D119" t="str">
            <v>HSLB12034</v>
          </cell>
          <cell r="E119">
            <v>112052</v>
          </cell>
          <cell r="F119" t="str">
            <v>Cuna Recién Nacido</v>
          </cell>
          <cell r="G119" t="str">
            <v>NO</v>
          </cell>
          <cell r="H119" t="str">
            <v>NO</v>
          </cell>
          <cell r="I119" t="str">
            <v>SALA 4 CAMAS</v>
          </cell>
          <cell r="J119">
            <v>4</v>
          </cell>
          <cell r="K119" t="str">
            <v>C.3.6.1.18.4</v>
          </cell>
          <cell r="L119" t="str">
            <v>Neonatología</v>
          </cell>
          <cell r="M119">
            <v>4</v>
          </cell>
          <cell r="N119">
            <v>46055</v>
          </cell>
          <cell r="O119">
            <v>46056</v>
          </cell>
          <cell r="P119">
            <v>1</v>
          </cell>
          <cell r="Q119">
            <v>46057</v>
          </cell>
          <cell r="R119">
            <v>5</v>
          </cell>
          <cell r="S119" t="str">
            <v>NA</v>
          </cell>
          <cell r="T119">
            <v>5</v>
          </cell>
        </row>
        <row r="120">
          <cell r="C120" t="str">
            <v>EMMC</v>
          </cell>
          <cell r="D120" t="str">
            <v>HSLB12035</v>
          </cell>
          <cell r="E120">
            <v>112052</v>
          </cell>
          <cell r="F120" t="str">
            <v>Cuna Recién Nacido</v>
          </cell>
          <cell r="G120" t="str">
            <v>NO</v>
          </cell>
          <cell r="H120" t="str">
            <v>SI</v>
          </cell>
          <cell r="I120" t="str">
            <v>SALA OBSERVACION NEONATOLOGIA</v>
          </cell>
          <cell r="J120">
            <v>3</v>
          </cell>
          <cell r="K120" t="str">
            <v>C.3.6.1.26</v>
          </cell>
          <cell r="L120" t="str">
            <v>Neonatología</v>
          </cell>
          <cell r="M120">
            <v>4</v>
          </cell>
          <cell r="N120">
            <v>46003</v>
          </cell>
          <cell r="O120">
            <v>46006</v>
          </cell>
          <cell r="P120">
            <v>1</v>
          </cell>
          <cell r="Q120">
            <v>46007</v>
          </cell>
          <cell r="R120">
            <v>5</v>
          </cell>
          <cell r="S120" t="str">
            <v>NA</v>
          </cell>
          <cell r="T120">
            <v>5</v>
          </cell>
        </row>
        <row r="121">
          <cell r="C121" t="str">
            <v>EMMC</v>
          </cell>
          <cell r="D121" t="str">
            <v>HSLB11824</v>
          </cell>
          <cell r="E121">
            <v>112022</v>
          </cell>
          <cell r="F121" t="str">
            <v>Carro de Paro</v>
          </cell>
          <cell r="G121" t="str">
            <v>NO</v>
          </cell>
          <cell r="H121" t="str">
            <v>NO</v>
          </cell>
          <cell r="I121" t="str">
            <v>ESTACIÓN DE ENFERMERÍA</v>
          </cell>
          <cell r="J121">
            <v>2</v>
          </cell>
          <cell r="K121" t="str">
            <v>C.3.6.1.28</v>
          </cell>
          <cell r="L121" t="str">
            <v>Neonatología</v>
          </cell>
          <cell r="M121">
            <v>4</v>
          </cell>
          <cell r="N121">
            <v>46055</v>
          </cell>
          <cell r="O121">
            <v>46056</v>
          </cell>
          <cell r="P121">
            <v>1</v>
          </cell>
          <cell r="Q121">
            <v>46057</v>
          </cell>
          <cell r="R121">
            <v>5</v>
          </cell>
          <cell r="S121" t="str">
            <v>NA</v>
          </cell>
          <cell r="T121">
            <v>5</v>
          </cell>
        </row>
        <row r="122">
          <cell r="C122" t="str">
            <v>EMMC</v>
          </cell>
          <cell r="D122" t="str">
            <v>HSLB10150</v>
          </cell>
          <cell r="E122">
            <v>101037</v>
          </cell>
          <cell r="F122" t="str">
            <v>LÁMPARA DE EXAMEN RODABLE</v>
          </cell>
          <cell r="G122" t="str">
            <v>NO</v>
          </cell>
          <cell r="H122" t="str">
            <v>SI</v>
          </cell>
          <cell r="I122" t="str">
            <v>BODEGA DE EQUIPOS Y CUNAS</v>
          </cell>
          <cell r="J122">
            <v>2</v>
          </cell>
          <cell r="K122" t="str">
            <v>C.3.6.1.37</v>
          </cell>
          <cell r="L122" t="str">
            <v>Hospitalización</v>
          </cell>
          <cell r="M122">
            <v>4</v>
          </cell>
          <cell r="N122">
            <v>46003</v>
          </cell>
          <cell r="O122">
            <v>46006</v>
          </cell>
          <cell r="P122">
            <v>1</v>
          </cell>
          <cell r="Q122">
            <v>46007</v>
          </cell>
          <cell r="R122">
            <v>5</v>
          </cell>
          <cell r="S122" t="str">
            <v>NA</v>
          </cell>
          <cell r="T122">
            <v>5</v>
          </cell>
        </row>
        <row r="123">
          <cell r="C123" t="str">
            <v>EMMC</v>
          </cell>
          <cell r="D123" t="str">
            <v>HSLB10676</v>
          </cell>
          <cell r="E123">
            <v>105015</v>
          </cell>
          <cell r="F123" t="str">
            <v>Lámpara de Fototerapia</v>
          </cell>
          <cell r="G123" t="str">
            <v>NO</v>
          </cell>
          <cell r="H123" t="str">
            <v>SI</v>
          </cell>
          <cell r="I123" t="str">
            <v>SALA OBSERVACION NEONATOLOGIA</v>
          </cell>
          <cell r="J123">
            <v>2</v>
          </cell>
          <cell r="K123" t="str">
            <v>C.3.6.1.26</v>
          </cell>
          <cell r="L123" t="str">
            <v>Neonatología</v>
          </cell>
          <cell r="M123">
            <v>4</v>
          </cell>
          <cell r="N123">
            <v>46003</v>
          </cell>
          <cell r="O123">
            <v>46006</v>
          </cell>
          <cell r="P123">
            <v>1</v>
          </cell>
          <cell r="Q123">
            <v>46007</v>
          </cell>
          <cell r="R123">
            <v>5</v>
          </cell>
          <cell r="S123" t="str">
            <v>NA</v>
          </cell>
          <cell r="T123">
            <v>5</v>
          </cell>
        </row>
        <row r="124">
          <cell r="C124" t="str">
            <v>EMMC</v>
          </cell>
          <cell r="D124" t="str">
            <v>HSLB11420</v>
          </cell>
          <cell r="E124">
            <v>110051</v>
          </cell>
          <cell r="F124" t="str">
            <v>Refrigerador Clínico 60 l</v>
          </cell>
          <cell r="G124" t="str">
            <v>NO</v>
          </cell>
          <cell r="H124" t="str">
            <v>NO</v>
          </cell>
          <cell r="I124" t="str">
            <v>AREA LIMPIA</v>
          </cell>
          <cell r="J124">
            <v>2</v>
          </cell>
          <cell r="K124" t="str">
            <v>C.3.6.1.14.1</v>
          </cell>
          <cell r="L124" t="str">
            <v>Hospitalización</v>
          </cell>
          <cell r="M124">
            <v>4</v>
          </cell>
          <cell r="N124">
            <v>46055</v>
          </cell>
          <cell r="O124">
            <v>46056</v>
          </cell>
          <cell r="P124">
            <v>1</v>
          </cell>
          <cell r="Q124">
            <v>46057</v>
          </cell>
          <cell r="R124">
            <v>5</v>
          </cell>
          <cell r="S124" t="str">
            <v>NA</v>
          </cell>
          <cell r="T124">
            <v>5</v>
          </cell>
        </row>
        <row r="125">
          <cell r="C125" t="str">
            <v>EMMC</v>
          </cell>
          <cell r="D125" t="str">
            <v>HSLB11422</v>
          </cell>
          <cell r="E125">
            <v>110051</v>
          </cell>
          <cell r="F125" t="str">
            <v>Refrigerador Clínico 60 l</v>
          </cell>
          <cell r="G125" t="str">
            <v>NO</v>
          </cell>
          <cell r="H125" t="str">
            <v>NO</v>
          </cell>
          <cell r="I125" t="str">
            <v>AREA LIMPIA</v>
          </cell>
          <cell r="J125">
            <v>2</v>
          </cell>
          <cell r="K125" t="str">
            <v>C.3.6.1.29.1</v>
          </cell>
          <cell r="L125" t="str">
            <v>Neonatología</v>
          </cell>
          <cell r="M125">
            <v>4</v>
          </cell>
          <cell r="N125">
            <v>46055</v>
          </cell>
          <cell r="O125">
            <v>46056</v>
          </cell>
          <cell r="P125">
            <v>1</v>
          </cell>
          <cell r="Q125">
            <v>46057</v>
          </cell>
          <cell r="R125">
            <v>5</v>
          </cell>
          <cell r="S125" t="str">
            <v>NA</v>
          </cell>
          <cell r="T125">
            <v>5</v>
          </cell>
        </row>
        <row r="126">
          <cell r="C126" t="str">
            <v>EMMC</v>
          </cell>
          <cell r="D126" t="str">
            <v>HSLB11151</v>
          </cell>
          <cell r="E126">
            <v>108003</v>
          </cell>
          <cell r="F126" t="str">
            <v>Ecotomógrafo Gineco- Obstétrico</v>
          </cell>
          <cell r="G126" t="str">
            <v>NO</v>
          </cell>
          <cell r="H126" t="str">
            <v>NO</v>
          </cell>
          <cell r="I126" t="str">
            <v>SALA DE PROCEDIMIENTOS</v>
          </cell>
          <cell r="J126">
            <v>1</v>
          </cell>
          <cell r="K126" t="str">
            <v>C.3.6.1.24</v>
          </cell>
          <cell r="L126" t="str">
            <v>Hospitalización</v>
          </cell>
          <cell r="M126">
            <v>4</v>
          </cell>
          <cell r="N126">
            <v>46055</v>
          </cell>
          <cell r="O126">
            <v>46056</v>
          </cell>
          <cell r="P126">
            <v>1</v>
          </cell>
          <cell r="Q126">
            <v>46057</v>
          </cell>
          <cell r="R126">
            <v>5</v>
          </cell>
          <cell r="S126" t="str">
            <v>NA</v>
          </cell>
          <cell r="T126">
            <v>5</v>
          </cell>
        </row>
        <row r="127">
          <cell r="C127" t="str">
            <v>EMMC</v>
          </cell>
          <cell r="D127" t="str">
            <v>HSLB10108</v>
          </cell>
          <cell r="E127">
            <v>101026</v>
          </cell>
          <cell r="F127" t="str">
            <v>Equipo Potencial Evocado y Emisión Otoacústica (BERA)</v>
          </cell>
          <cell r="G127" t="str">
            <v>NO</v>
          </cell>
          <cell r="H127" t="str">
            <v>NO</v>
          </cell>
          <cell r="I127" t="str">
            <v>SALA EXAMENES RECIÉN NACIDO</v>
          </cell>
          <cell r="J127">
            <v>1</v>
          </cell>
          <cell r="K127" t="str">
            <v>C.3.6.1.27</v>
          </cell>
          <cell r="L127" t="str">
            <v>Neonatología</v>
          </cell>
          <cell r="M127">
            <v>4</v>
          </cell>
          <cell r="N127">
            <v>46055</v>
          </cell>
          <cell r="O127">
            <v>46056</v>
          </cell>
          <cell r="P127">
            <v>1</v>
          </cell>
          <cell r="Q127">
            <v>46057</v>
          </cell>
          <cell r="R127">
            <v>5</v>
          </cell>
          <cell r="S127" t="str">
            <v>NA</v>
          </cell>
          <cell r="T127">
            <v>5</v>
          </cell>
        </row>
        <row r="128">
          <cell r="C128" t="str">
            <v>EMMC</v>
          </cell>
          <cell r="D128" t="str">
            <v>HSLB10672</v>
          </cell>
          <cell r="E128">
            <v>105012</v>
          </cell>
          <cell r="F128" t="str">
            <v>Incubadora de Transporte</v>
          </cell>
          <cell r="G128" t="str">
            <v>NO</v>
          </cell>
          <cell r="H128" t="str">
            <v>NO</v>
          </cell>
          <cell r="I128" t="str">
            <v>BODEGA DE EQUIPOS</v>
          </cell>
          <cell r="J128">
            <v>1</v>
          </cell>
          <cell r="K128" t="str">
            <v>C.3.6.1.31.5</v>
          </cell>
          <cell r="L128" t="str">
            <v>Neonatología</v>
          </cell>
          <cell r="M128">
            <v>4</v>
          </cell>
          <cell r="N128">
            <v>46055</v>
          </cell>
          <cell r="O128">
            <v>46056</v>
          </cell>
          <cell r="P128">
            <v>1</v>
          </cell>
          <cell r="Q128">
            <v>46057</v>
          </cell>
          <cell r="R128">
            <v>5</v>
          </cell>
          <cell r="S128" t="str">
            <v>NA</v>
          </cell>
          <cell r="T128">
            <v>5</v>
          </cell>
        </row>
        <row r="129">
          <cell r="C129" t="str">
            <v>EMMC</v>
          </cell>
          <cell r="D129" t="str">
            <v>HSLB10674</v>
          </cell>
          <cell r="E129">
            <v>105013</v>
          </cell>
          <cell r="F129" t="str">
            <v>Incubadora Estacionaria</v>
          </cell>
          <cell r="G129" t="str">
            <v>NO</v>
          </cell>
          <cell r="H129" t="str">
            <v>SI</v>
          </cell>
          <cell r="I129" t="str">
            <v>SALA OBSERVACION NEONATOLOGIA</v>
          </cell>
          <cell r="J129">
            <v>1</v>
          </cell>
          <cell r="K129" t="str">
            <v>C.3.6.1.26</v>
          </cell>
          <cell r="L129" t="str">
            <v>Neonatología</v>
          </cell>
          <cell r="M129">
            <v>4</v>
          </cell>
          <cell r="N129">
            <v>46003</v>
          </cell>
          <cell r="O129">
            <v>46006</v>
          </cell>
          <cell r="P129">
            <v>1</v>
          </cell>
          <cell r="Q129">
            <v>46007</v>
          </cell>
          <cell r="R129">
            <v>5</v>
          </cell>
          <cell r="S129" t="str">
            <v>NA</v>
          </cell>
          <cell r="T129">
            <v>5</v>
          </cell>
        </row>
        <row r="130">
          <cell r="C130" t="str">
            <v>EMMC</v>
          </cell>
          <cell r="D130" t="str">
            <v>HSLB11421</v>
          </cell>
          <cell r="E130">
            <v>110051</v>
          </cell>
          <cell r="F130" t="str">
            <v>Refrigerador Clínico 60 l</v>
          </cell>
          <cell r="G130" t="str">
            <v>NO</v>
          </cell>
          <cell r="H130" t="str">
            <v>NO</v>
          </cell>
          <cell r="I130" t="str">
            <v>AREA LIMPIA</v>
          </cell>
          <cell r="J130">
            <v>1</v>
          </cell>
          <cell r="K130" t="str">
            <v>C.3.6.1.14.3</v>
          </cell>
          <cell r="L130" t="str">
            <v>Hospitalización</v>
          </cell>
          <cell r="M130">
            <v>4</v>
          </cell>
          <cell r="N130">
            <v>46055</v>
          </cell>
          <cell r="O130">
            <v>46056</v>
          </cell>
          <cell r="P130">
            <v>1</v>
          </cell>
          <cell r="Q130">
            <v>46057</v>
          </cell>
          <cell r="R130">
            <v>5</v>
          </cell>
          <cell r="S130" t="str">
            <v>NA</v>
          </cell>
          <cell r="T130">
            <v>5</v>
          </cell>
        </row>
        <row r="131">
          <cell r="C131" t="str">
            <v>EMMC</v>
          </cell>
          <cell r="D131" t="str">
            <v>HSLB10406</v>
          </cell>
          <cell r="E131">
            <v>103048</v>
          </cell>
          <cell r="F131" t="str">
            <v>Refrigerador Doméstico</v>
          </cell>
          <cell r="G131" t="str">
            <v>NO</v>
          </cell>
          <cell r="H131" t="str">
            <v>NO</v>
          </cell>
          <cell r="I131" t="str">
            <v>ESTAR PERSONAL C/ KITCHENETTE</v>
          </cell>
          <cell r="J131">
            <v>1</v>
          </cell>
          <cell r="K131" t="str">
            <v>C.3.6.1.41.1</v>
          </cell>
          <cell r="L131" t="str">
            <v>Hospitalización</v>
          </cell>
          <cell r="M131">
            <v>4</v>
          </cell>
          <cell r="N131">
            <v>46055</v>
          </cell>
          <cell r="O131">
            <v>46056</v>
          </cell>
          <cell r="P131">
            <v>1</v>
          </cell>
          <cell r="Q131">
            <v>46057</v>
          </cell>
          <cell r="R131">
            <v>5</v>
          </cell>
          <cell r="S131" t="str">
            <v>NA</v>
          </cell>
          <cell r="T131">
            <v>5</v>
          </cell>
        </row>
        <row r="132">
          <cell r="C132" t="str">
            <v>EMMC</v>
          </cell>
          <cell r="D132" t="str">
            <v>HSLB10407</v>
          </cell>
          <cell r="E132">
            <v>103048</v>
          </cell>
          <cell r="F132" t="str">
            <v>Refrigerador Doméstico</v>
          </cell>
          <cell r="G132" t="str">
            <v>NO</v>
          </cell>
          <cell r="H132" t="str">
            <v>NO</v>
          </cell>
          <cell r="I132" t="str">
            <v>ESTAR PERSONAL C/ KITCHENETTE</v>
          </cell>
          <cell r="J132">
            <v>1</v>
          </cell>
          <cell r="K132" t="str">
            <v>C.3.6.1.41.2</v>
          </cell>
          <cell r="L132" t="str">
            <v>Hospitalización</v>
          </cell>
          <cell r="M132">
            <v>4</v>
          </cell>
          <cell r="N132">
            <v>46055</v>
          </cell>
          <cell r="O132">
            <v>46056</v>
          </cell>
          <cell r="P132">
            <v>1</v>
          </cell>
          <cell r="Q132">
            <v>46057</v>
          </cell>
          <cell r="R132">
            <v>5</v>
          </cell>
          <cell r="S132" t="str">
            <v>NA</v>
          </cell>
          <cell r="T132">
            <v>5</v>
          </cell>
        </row>
        <row r="133">
          <cell r="C133" t="str">
            <v>EMMC</v>
          </cell>
          <cell r="D133" t="str">
            <v>HSLB10411</v>
          </cell>
          <cell r="E133">
            <v>103048</v>
          </cell>
          <cell r="F133" t="str">
            <v>Refrigerador Doméstico</v>
          </cell>
          <cell r="G133" t="str">
            <v>NO</v>
          </cell>
          <cell r="H133" t="str">
            <v>NO</v>
          </cell>
          <cell r="I133" t="str">
            <v>ESTAR PERSONAL C/ KITCHENETTE</v>
          </cell>
          <cell r="J133">
            <v>1</v>
          </cell>
          <cell r="K133" t="str">
            <v>C.3.8.2.1</v>
          </cell>
          <cell r="L133" t="str">
            <v>Neonatología</v>
          </cell>
          <cell r="M133">
            <v>4</v>
          </cell>
          <cell r="N133">
            <v>46055</v>
          </cell>
          <cell r="O133">
            <v>46056</v>
          </cell>
          <cell r="P133">
            <v>1</v>
          </cell>
          <cell r="Q133">
            <v>46057</v>
          </cell>
          <cell r="R133">
            <v>5</v>
          </cell>
          <cell r="S133" t="str">
            <v>NA</v>
          </cell>
          <cell r="T133">
            <v>5</v>
          </cell>
        </row>
        <row r="134">
          <cell r="C134" t="str">
            <v>EMMC</v>
          </cell>
          <cell r="D134" t="str">
            <v>HSLB10424</v>
          </cell>
          <cell r="E134">
            <v>103048</v>
          </cell>
          <cell r="F134" t="str">
            <v>Refrigerador Doméstico</v>
          </cell>
          <cell r="G134" t="str">
            <v>NO</v>
          </cell>
          <cell r="H134" t="str">
            <v>NO</v>
          </cell>
          <cell r="I134" t="str">
            <v>ESTAR PERSONAL C/ KITCHENETTE</v>
          </cell>
          <cell r="J134">
            <v>1</v>
          </cell>
          <cell r="K134" t="str">
            <v>C.5.8.1.2.2</v>
          </cell>
          <cell r="L134" t="str">
            <v>Sedile</v>
          </cell>
          <cell r="M134">
            <v>4</v>
          </cell>
          <cell r="N134">
            <v>46055</v>
          </cell>
          <cell r="O134">
            <v>46056</v>
          </cell>
          <cell r="P134">
            <v>1</v>
          </cell>
          <cell r="Q134">
            <v>46057</v>
          </cell>
          <cell r="R134">
            <v>5</v>
          </cell>
          <cell r="S134" t="str">
            <v>NA</v>
          </cell>
          <cell r="T134">
            <v>5</v>
          </cell>
        </row>
        <row r="135">
          <cell r="C135" t="str">
            <v>EMMC</v>
          </cell>
          <cell r="D135" t="str">
            <v>HSLB10686</v>
          </cell>
          <cell r="E135">
            <v>105019</v>
          </cell>
          <cell r="F135" t="str">
            <v>Ventilador de Transporte neonatal</v>
          </cell>
          <cell r="G135" t="str">
            <v>NO</v>
          </cell>
          <cell r="H135" t="str">
            <v>NO</v>
          </cell>
          <cell r="I135" t="str">
            <v>BODEGA DE EQUIPOS</v>
          </cell>
          <cell r="J135">
            <v>1</v>
          </cell>
          <cell r="K135" t="str">
            <v>C.3.6.1.31.5</v>
          </cell>
          <cell r="L135" t="str">
            <v>Neonatología</v>
          </cell>
          <cell r="M135">
            <v>4</v>
          </cell>
          <cell r="N135">
            <v>46055</v>
          </cell>
          <cell r="O135">
            <v>46056</v>
          </cell>
          <cell r="P135">
            <v>1</v>
          </cell>
          <cell r="Q135">
            <v>46057</v>
          </cell>
          <cell r="R135">
            <v>5</v>
          </cell>
          <cell r="S135" t="str">
            <v>NA</v>
          </cell>
          <cell r="T135">
            <v>5</v>
          </cell>
        </row>
        <row r="136">
          <cell r="C136" t="str">
            <v>EMMC</v>
          </cell>
          <cell r="D136" t="str">
            <v>HSLB11767</v>
          </cell>
          <cell r="E136">
            <v>112019</v>
          </cell>
          <cell r="F136" t="str">
            <v>Carro Aseo Paciente</v>
          </cell>
          <cell r="G136" t="str">
            <v>NO</v>
          </cell>
          <cell r="H136" t="str">
            <v>NO</v>
          </cell>
          <cell r="I136" t="str">
            <v>ESTACIÓN DE ENFERMERÍA</v>
          </cell>
          <cell r="J136">
            <v>1</v>
          </cell>
          <cell r="K136" t="str">
            <v>C.3.6.1.13.1</v>
          </cell>
          <cell r="L136" t="str">
            <v>Hospitalización</v>
          </cell>
          <cell r="M136">
            <v>4</v>
          </cell>
          <cell r="N136">
            <v>46055</v>
          </cell>
          <cell r="O136">
            <v>46056</v>
          </cell>
          <cell r="P136">
            <v>1</v>
          </cell>
          <cell r="Q136">
            <v>46057</v>
          </cell>
          <cell r="R136">
            <v>5</v>
          </cell>
          <cell r="S136" t="str">
            <v>NA</v>
          </cell>
          <cell r="T136">
            <v>5</v>
          </cell>
        </row>
        <row r="137">
          <cell r="C137" t="str">
            <v>EMMC</v>
          </cell>
          <cell r="D137" t="str">
            <v>HSLB11768</v>
          </cell>
          <cell r="E137">
            <v>112019</v>
          </cell>
          <cell r="F137" t="str">
            <v>Carro Aseo Paciente</v>
          </cell>
          <cell r="G137" t="str">
            <v>NO</v>
          </cell>
          <cell r="H137" t="str">
            <v>NO</v>
          </cell>
          <cell r="I137" t="str">
            <v>ESTACIÓN DE ENFERMERÍA</v>
          </cell>
          <cell r="J137">
            <v>1</v>
          </cell>
          <cell r="K137" t="str">
            <v>C.3.6.1.13.2</v>
          </cell>
          <cell r="L137" t="str">
            <v>Hospitalización</v>
          </cell>
          <cell r="M137">
            <v>4</v>
          </cell>
          <cell r="N137">
            <v>46055</v>
          </cell>
          <cell r="O137">
            <v>46056</v>
          </cell>
          <cell r="P137">
            <v>1</v>
          </cell>
          <cell r="Q137">
            <v>46057</v>
          </cell>
          <cell r="R137">
            <v>5</v>
          </cell>
          <cell r="S137" t="str">
            <v>NA</v>
          </cell>
          <cell r="T137">
            <v>5</v>
          </cell>
        </row>
        <row r="138">
          <cell r="C138" t="str">
            <v>EMMC</v>
          </cell>
          <cell r="D138" t="str">
            <v>HSLB11795</v>
          </cell>
          <cell r="E138">
            <v>112021</v>
          </cell>
          <cell r="F138" t="str">
            <v>Carro Curación</v>
          </cell>
          <cell r="G138" t="str">
            <v>NO</v>
          </cell>
          <cell r="H138" t="str">
            <v>NO</v>
          </cell>
          <cell r="I138" t="str">
            <v>ESTACIÓN DE ENFERMERÍA</v>
          </cell>
          <cell r="J138">
            <v>1</v>
          </cell>
          <cell r="K138" t="str">
            <v>C.3.6.1.13.1</v>
          </cell>
          <cell r="L138" t="str">
            <v>Hospitalización</v>
          </cell>
          <cell r="M138">
            <v>4</v>
          </cell>
          <cell r="N138">
            <v>46055</v>
          </cell>
          <cell r="O138">
            <v>46056</v>
          </cell>
          <cell r="P138">
            <v>1</v>
          </cell>
          <cell r="Q138">
            <v>46057</v>
          </cell>
          <cell r="R138">
            <v>5</v>
          </cell>
          <cell r="S138" t="str">
            <v>NA</v>
          </cell>
          <cell r="T138">
            <v>5</v>
          </cell>
        </row>
        <row r="139">
          <cell r="C139" t="str">
            <v>EMMC</v>
          </cell>
          <cell r="D139" t="str">
            <v>HSLB11796</v>
          </cell>
          <cell r="E139">
            <v>112021</v>
          </cell>
          <cell r="F139" t="str">
            <v>Carro Curación</v>
          </cell>
          <cell r="G139" t="str">
            <v>NO</v>
          </cell>
          <cell r="H139" t="str">
            <v>NO</v>
          </cell>
          <cell r="I139" t="str">
            <v>ESTACIÓN DE ENFERMERÍA</v>
          </cell>
          <cell r="J139">
            <v>1</v>
          </cell>
          <cell r="K139" t="str">
            <v>C.3.6.1.13.2</v>
          </cell>
          <cell r="L139" t="str">
            <v>Hospitalización</v>
          </cell>
          <cell r="M139">
            <v>4</v>
          </cell>
          <cell r="N139">
            <v>46055</v>
          </cell>
          <cell r="O139">
            <v>46056</v>
          </cell>
          <cell r="P139">
            <v>1</v>
          </cell>
          <cell r="Q139">
            <v>46057</v>
          </cell>
          <cell r="R139">
            <v>5</v>
          </cell>
          <cell r="S139" t="str">
            <v>NA</v>
          </cell>
          <cell r="T139">
            <v>5</v>
          </cell>
        </row>
        <row r="140">
          <cell r="C140" t="str">
            <v>EMMC</v>
          </cell>
          <cell r="D140" t="str">
            <v>HSLB11797</v>
          </cell>
          <cell r="E140">
            <v>112021</v>
          </cell>
          <cell r="F140" t="str">
            <v>Carro Curación</v>
          </cell>
          <cell r="G140" t="str">
            <v>NO</v>
          </cell>
          <cell r="H140" t="str">
            <v>NO</v>
          </cell>
          <cell r="I140" t="str">
            <v>ESTACIÓN DE ENFERMERÍA</v>
          </cell>
          <cell r="J140">
            <v>1</v>
          </cell>
          <cell r="K140" t="str">
            <v>C.3.6.1.28</v>
          </cell>
          <cell r="L140" t="str">
            <v>Neonatología</v>
          </cell>
          <cell r="M140">
            <v>4</v>
          </cell>
          <cell r="N140">
            <v>46055</v>
          </cell>
          <cell r="O140">
            <v>46056</v>
          </cell>
          <cell r="P140">
            <v>1</v>
          </cell>
          <cell r="Q140">
            <v>46057</v>
          </cell>
          <cell r="R140">
            <v>5</v>
          </cell>
          <cell r="S140" t="str">
            <v>NA</v>
          </cell>
          <cell r="T140">
            <v>5</v>
          </cell>
        </row>
        <row r="141">
          <cell r="C141" t="str">
            <v>EMMC</v>
          </cell>
          <cell r="D141" t="str">
            <v>HSLB11855</v>
          </cell>
          <cell r="E141">
            <v>112023</v>
          </cell>
          <cell r="F141" t="str">
            <v>Carro de Procedimientos</v>
          </cell>
          <cell r="G141" t="str">
            <v>NO</v>
          </cell>
          <cell r="H141" t="str">
            <v>NO</v>
          </cell>
          <cell r="I141" t="str">
            <v>SALA DE PROCEDIMIENTOS</v>
          </cell>
          <cell r="J141">
            <v>1</v>
          </cell>
          <cell r="K141" t="str">
            <v>C.3.6.1.24</v>
          </cell>
          <cell r="L141" t="str">
            <v>Hospitalización</v>
          </cell>
          <cell r="M141">
            <v>4</v>
          </cell>
          <cell r="N141">
            <v>46055</v>
          </cell>
          <cell r="O141">
            <v>46056</v>
          </cell>
          <cell r="P141">
            <v>1</v>
          </cell>
          <cell r="Q141">
            <v>46057</v>
          </cell>
          <cell r="R141">
            <v>5</v>
          </cell>
          <cell r="S141" t="str">
            <v>NA</v>
          </cell>
          <cell r="T141">
            <v>5</v>
          </cell>
        </row>
        <row r="142">
          <cell r="C142" t="str">
            <v>EMMC</v>
          </cell>
          <cell r="D142" t="str">
            <v>HSLB11856</v>
          </cell>
          <cell r="E142">
            <v>112023</v>
          </cell>
          <cell r="F142" t="str">
            <v>Carro de Procedimientos</v>
          </cell>
          <cell r="G142" t="str">
            <v>NO</v>
          </cell>
          <cell r="H142" t="str">
            <v>NO</v>
          </cell>
          <cell r="I142" t="str">
            <v>ESTACIÓN DE ENFERMERÍA</v>
          </cell>
          <cell r="J142">
            <v>1</v>
          </cell>
          <cell r="K142" t="str">
            <v>C.3.6.1.28</v>
          </cell>
          <cell r="L142" t="str">
            <v>Neonatología</v>
          </cell>
          <cell r="M142">
            <v>4</v>
          </cell>
          <cell r="N142">
            <v>46055</v>
          </cell>
          <cell r="O142">
            <v>46056</v>
          </cell>
          <cell r="P142">
            <v>1</v>
          </cell>
          <cell r="Q142">
            <v>46057</v>
          </cell>
          <cell r="R142">
            <v>5</v>
          </cell>
          <cell r="S142" t="str">
            <v>NA</v>
          </cell>
          <cell r="T142">
            <v>5</v>
          </cell>
        </row>
        <row r="143">
          <cell r="C143" t="str">
            <v>EMMC</v>
          </cell>
          <cell r="D143" t="str">
            <v>HSLB11884</v>
          </cell>
          <cell r="E143">
            <v>112028</v>
          </cell>
          <cell r="F143" t="str">
            <v>Carro Dosis Unitaria 2x9</v>
          </cell>
          <cell r="G143" t="str">
            <v>NO</v>
          </cell>
          <cell r="H143" t="str">
            <v>NO</v>
          </cell>
          <cell r="I143" t="str">
            <v>ESTACIÓN DE ENFERMERÍA</v>
          </cell>
          <cell r="J143">
            <v>1</v>
          </cell>
          <cell r="K143" t="str">
            <v>C.3.6.1.28</v>
          </cell>
          <cell r="L143" t="str">
            <v>Neonatología</v>
          </cell>
          <cell r="M143">
            <v>4</v>
          </cell>
          <cell r="N143">
            <v>46055</v>
          </cell>
          <cell r="O143">
            <v>46056</v>
          </cell>
          <cell r="P143">
            <v>1</v>
          </cell>
          <cell r="Q143">
            <v>46057</v>
          </cell>
          <cell r="R143">
            <v>5</v>
          </cell>
          <cell r="S143" t="str">
            <v>NA</v>
          </cell>
          <cell r="T143">
            <v>5</v>
          </cell>
        </row>
        <row r="144">
          <cell r="C144" t="str">
            <v>EMMC</v>
          </cell>
          <cell r="D144" t="str">
            <v>HSLB10307</v>
          </cell>
          <cell r="E144">
            <v>103016</v>
          </cell>
          <cell r="F144" t="str">
            <v>Carro Transporte Mamaderas</v>
          </cell>
          <cell r="G144" t="str">
            <v>NO</v>
          </cell>
          <cell r="H144" t="str">
            <v>SI</v>
          </cell>
          <cell r="I144" t="str">
            <v>ESTACIONAMIENTO DE CARROS PREPARADOS</v>
          </cell>
          <cell r="J144">
            <v>2</v>
          </cell>
          <cell r="K144" t="str">
            <v>C.5.8.1.2.13</v>
          </cell>
          <cell r="L144" t="str">
            <v>Sedile</v>
          </cell>
          <cell r="M144">
            <v>4</v>
          </cell>
          <cell r="N144">
            <v>46003</v>
          </cell>
          <cell r="O144">
            <v>46006</v>
          </cell>
          <cell r="P144">
            <v>1</v>
          </cell>
          <cell r="Q144">
            <v>46007</v>
          </cell>
          <cell r="R144">
            <v>5</v>
          </cell>
          <cell r="S144" t="str">
            <v>NA</v>
          </cell>
          <cell r="T144">
            <v>5</v>
          </cell>
        </row>
        <row r="145">
          <cell r="C145" t="str">
            <v>EMMC</v>
          </cell>
          <cell r="D145" t="str">
            <v>HSLB11917</v>
          </cell>
          <cell r="E145">
            <v>112039</v>
          </cell>
          <cell r="F145" t="str">
            <v>Carro Transporte Ropa Sucia Tipo I</v>
          </cell>
          <cell r="G145" t="str">
            <v>NO</v>
          </cell>
          <cell r="H145" t="str">
            <v>NO</v>
          </cell>
          <cell r="I145" t="str">
            <v>BODEGA ROPA SUCIA</v>
          </cell>
          <cell r="J145">
            <v>2</v>
          </cell>
          <cell r="K145" t="str">
            <v>C.3.6.1.34.1</v>
          </cell>
          <cell r="L145" t="str">
            <v>Hospitalización</v>
          </cell>
          <cell r="M145">
            <v>4</v>
          </cell>
          <cell r="N145">
            <v>46055</v>
          </cell>
          <cell r="O145">
            <v>46056</v>
          </cell>
          <cell r="P145">
            <v>1</v>
          </cell>
          <cell r="Q145">
            <v>46057</v>
          </cell>
          <cell r="R145">
            <v>5</v>
          </cell>
          <cell r="S145" t="str">
            <v>NA</v>
          </cell>
          <cell r="T145">
            <v>5</v>
          </cell>
        </row>
        <row r="146">
          <cell r="C146" t="str">
            <v>EMMC</v>
          </cell>
          <cell r="D146" t="str">
            <v>HSLB11918</v>
          </cell>
          <cell r="E146">
            <v>112039</v>
          </cell>
          <cell r="F146" t="str">
            <v>Carro Transporte Ropa Sucia Tipo I</v>
          </cell>
          <cell r="G146" t="str">
            <v>NO</v>
          </cell>
          <cell r="H146" t="str">
            <v>NO</v>
          </cell>
          <cell r="I146" t="str">
            <v>BODEGA ROPA SUCIA</v>
          </cell>
          <cell r="J146">
            <v>2</v>
          </cell>
          <cell r="K146" t="str">
            <v>C.3.6.1.34.2</v>
          </cell>
          <cell r="L146" t="str">
            <v>Hospitalización</v>
          </cell>
          <cell r="M146">
            <v>4</v>
          </cell>
          <cell r="N146">
            <v>46055</v>
          </cell>
          <cell r="O146">
            <v>46056</v>
          </cell>
          <cell r="P146">
            <v>1</v>
          </cell>
          <cell r="Q146">
            <v>46057</v>
          </cell>
          <cell r="R146">
            <v>5</v>
          </cell>
          <cell r="S146" t="str">
            <v>NA</v>
          </cell>
          <cell r="T146">
            <v>5</v>
          </cell>
        </row>
        <row r="147">
          <cell r="C147" t="str">
            <v>EMMC</v>
          </cell>
          <cell r="D147" t="str">
            <v>HSLB10308</v>
          </cell>
          <cell r="E147">
            <v>103017</v>
          </cell>
          <cell r="F147" t="str">
            <v>Carro Utilitario</v>
          </cell>
          <cell r="G147" t="str">
            <v>NO</v>
          </cell>
          <cell r="H147" t="str">
            <v>NO</v>
          </cell>
          <cell r="I147" t="str">
            <v>PREPARACION FROMULAS</v>
          </cell>
          <cell r="J147">
            <v>2</v>
          </cell>
          <cell r="K147" t="str">
            <v>C.5.8.1.2.9</v>
          </cell>
          <cell r="L147" t="str">
            <v>Sedile</v>
          </cell>
          <cell r="M147">
            <v>4</v>
          </cell>
          <cell r="N147">
            <v>46055</v>
          </cell>
          <cell r="O147">
            <v>46056</v>
          </cell>
          <cell r="P147">
            <v>1</v>
          </cell>
          <cell r="Q147">
            <v>46057</v>
          </cell>
          <cell r="R147">
            <v>5</v>
          </cell>
          <cell r="S147" t="str">
            <v>NA</v>
          </cell>
          <cell r="T147">
            <v>5</v>
          </cell>
        </row>
        <row r="148">
          <cell r="C148" t="str">
            <v>EMMC</v>
          </cell>
          <cell r="D148" t="str">
            <v>HSLB12438</v>
          </cell>
          <cell r="E148">
            <v>112071</v>
          </cell>
          <cell r="F148" t="str">
            <v>Rodillo Transferencia</v>
          </cell>
          <cell r="G148" t="str">
            <v>NO</v>
          </cell>
          <cell r="H148" t="str">
            <v>SI</v>
          </cell>
          <cell r="I148" t="str">
            <v>BODEGA DE EQUIPOS Y CUNAS</v>
          </cell>
          <cell r="J148">
            <v>1</v>
          </cell>
          <cell r="K148" t="str">
            <v>C.3.6.1.37</v>
          </cell>
          <cell r="L148" t="str">
            <v>Hospitalización</v>
          </cell>
          <cell r="M148">
            <v>4</v>
          </cell>
          <cell r="N148">
            <v>46003</v>
          </cell>
          <cell r="O148">
            <v>46006</v>
          </cell>
          <cell r="P148">
            <v>1</v>
          </cell>
          <cell r="Q148">
            <v>46007</v>
          </cell>
          <cell r="R148">
            <v>5</v>
          </cell>
          <cell r="S148" t="str">
            <v>NA</v>
          </cell>
          <cell r="T148">
            <v>5</v>
          </cell>
        </row>
        <row r="149">
          <cell r="C149" t="str">
            <v>EMMC</v>
          </cell>
          <cell r="D149" t="str">
            <v>HSLB12571</v>
          </cell>
          <cell r="E149">
            <v>112089</v>
          </cell>
          <cell r="F149" t="str">
            <v>Soporte Universal</v>
          </cell>
          <cell r="G149" t="str">
            <v>NO</v>
          </cell>
          <cell r="H149" t="str">
            <v>NO</v>
          </cell>
          <cell r="I149" t="str">
            <v>SALA 4 CAMAS</v>
          </cell>
          <cell r="J149">
            <v>4</v>
          </cell>
          <cell r="K149" t="str">
            <v>C.3.6.1.18.1</v>
          </cell>
          <cell r="L149" t="str">
            <v>Neonatología</v>
          </cell>
          <cell r="M149">
            <v>4</v>
          </cell>
          <cell r="N149">
            <v>46055</v>
          </cell>
          <cell r="O149">
            <v>46056</v>
          </cell>
          <cell r="P149">
            <v>1</v>
          </cell>
          <cell r="Q149">
            <v>46057</v>
          </cell>
          <cell r="R149">
            <v>5</v>
          </cell>
          <cell r="S149" t="str">
            <v>NA</v>
          </cell>
          <cell r="T149">
            <v>5</v>
          </cell>
        </row>
        <row r="150">
          <cell r="C150" t="str">
            <v>EMMC</v>
          </cell>
          <cell r="D150" t="str">
            <v>HSLB12572</v>
          </cell>
          <cell r="E150">
            <v>112089</v>
          </cell>
          <cell r="F150" t="str">
            <v>Soporte Universal</v>
          </cell>
          <cell r="G150" t="str">
            <v>NO</v>
          </cell>
          <cell r="H150" t="str">
            <v>NO</v>
          </cell>
          <cell r="I150" t="str">
            <v>SALA 4 CAMAS</v>
          </cell>
          <cell r="J150">
            <v>4</v>
          </cell>
          <cell r="K150" t="str">
            <v>C.3.6.1.18.2</v>
          </cell>
          <cell r="L150" t="str">
            <v>Neonatología</v>
          </cell>
          <cell r="M150">
            <v>4</v>
          </cell>
          <cell r="N150">
            <v>46055</v>
          </cell>
          <cell r="O150">
            <v>46056</v>
          </cell>
          <cell r="P150">
            <v>1</v>
          </cell>
          <cell r="Q150">
            <v>46057</v>
          </cell>
          <cell r="R150">
            <v>5</v>
          </cell>
          <cell r="S150" t="str">
            <v>NA</v>
          </cell>
          <cell r="T150">
            <v>5</v>
          </cell>
        </row>
        <row r="151">
          <cell r="C151" t="str">
            <v>EMMC</v>
          </cell>
          <cell r="D151" t="str">
            <v>HSLB12573</v>
          </cell>
          <cell r="E151">
            <v>112089</v>
          </cell>
          <cell r="F151" t="str">
            <v>Soporte Universal</v>
          </cell>
          <cell r="G151" t="str">
            <v>NO</v>
          </cell>
          <cell r="H151" t="str">
            <v>NO</v>
          </cell>
          <cell r="I151" t="str">
            <v>SALA 4 CAMAS</v>
          </cell>
          <cell r="J151">
            <v>4</v>
          </cell>
          <cell r="K151" t="str">
            <v>C.3.6.1.18.3</v>
          </cell>
          <cell r="L151" t="str">
            <v>Neonatología</v>
          </cell>
          <cell r="M151">
            <v>4</v>
          </cell>
          <cell r="N151">
            <v>46055</v>
          </cell>
          <cell r="O151">
            <v>46056</v>
          </cell>
          <cell r="P151">
            <v>1</v>
          </cell>
          <cell r="Q151">
            <v>46057</v>
          </cell>
          <cell r="R151">
            <v>5</v>
          </cell>
          <cell r="S151" t="str">
            <v>NA</v>
          </cell>
          <cell r="T151">
            <v>5</v>
          </cell>
        </row>
        <row r="152">
          <cell r="C152" t="str">
            <v>EMMC</v>
          </cell>
          <cell r="D152" t="str">
            <v>HSLB12574</v>
          </cell>
          <cell r="E152">
            <v>112089</v>
          </cell>
          <cell r="F152" t="str">
            <v>Soporte Universal</v>
          </cell>
          <cell r="G152" t="str">
            <v>NO</v>
          </cell>
          <cell r="H152" t="str">
            <v>NO</v>
          </cell>
          <cell r="I152" t="str">
            <v>SALA 4 CAMAS</v>
          </cell>
          <cell r="J152">
            <v>4</v>
          </cell>
          <cell r="K152" t="str">
            <v>C.3.6.1.18.4</v>
          </cell>
          <cell r="L152" t="str">
            <v>Neonatología</v>
          </cell>
          <cell r="M152">
            <v>4</v>
          </cell>
          <cell r="N152">
            <v>46055</v>
          </cell>
          <cell r="O152">
            <v>46056</v>
          </cell>
          <cell r="P152">
            <v>1</v>
          </cell>
          <cell r="Q152">
            <v>46057</v>
          </cell>
          <cell r="R152">
            <v>5</v>
          </cell>
          <cell r="S152" t="str">
            <v>NA</v>
          </cell>
          <cell r="T152">
            <v>5</v>
          </cell>
        </row>
        <row r="153">
          <cell r="C153" t="str">
            <v>EMMC</v>
          </cell>
          <cell r="D153" t="str">
            <v>HSLB12575</v>
          </cell>
          <cell r="E153">
            <v>112089</v>
          </cell>
          <cell r="F153" t="str">
            <v>Soporte Universal</v>
          </cell>
          <cell r="G153" t="str">
            <v>NO</v>
          </cell>
          <cell r="H153" t="str">
            <v>NO</v>
          </cell>
          <cell r="I153" t="str">
            <v>SALA 1 CAMA</v>
          </cell>
          <cell r="J153">
            <v>1</v>
          </cell>
          <cell r="K153" t="str">
            <v>C.3.6.1.18.5</v>
          </cell>
          <cell r="L153" t="str">
            <v>Neonatología</v>
          </cell>
          <cell r="M153">
            <v>4</v>
          </cell>
          <cell r="N153">
            <v>46055</v>
          </cell>
          <cell r="O153">
            <v>46056</v>
          </cell>
          <cell r="P153">
            <v>1</v>
          </cell>
          <cell r="Q153">
            <v>46057</v>
          </cell>
          <cell r="R153">
            <v>5</v>
          </cell>
          <cell r="S153" t="str">
            <v>NA</v>
          </cell>
          <cell r="T153">
            <v>5</v>
          </cell>
        </row>
        <row r="154">
          <cell r="C154" t="str">
            <v>EMMC</v>
          </cell>
          <cell r="D154" t="str">
            <v>HSLB12576</v>
          </cell>
          <cell r="E154">
            <v>112089</v>
          </cell>
          <cell r="F154" t="str">
            <v>Soporte Universal</v>
          </cell>
          <cell r="G154" t="str">
            <v>NO</v>
          </cell>
          <cell r="H154" t="str">
            <v>NO</v>
          </cell>
          <cell r="I154" t="str">
            <v>SALA 1 CAMA</v>
          </cell>
          <cell r="J154">
            <v>1</v>
          </cell>
          <cell r="K154" t="str">
            <v>C.3.6.1.18.6</v>
          </cell>
          <cell r="L154" t="str">
            <v>Neonatología</v>
          </cell>
          <cell r="M154">
            <v>4</v>
          </cell>
          <cell r="N154">
            <v>46055</v>
          </cell>
          <cell r="O154">
            <v>46056</v>
          </cell>
          <cell r="P154">
            <v>1</v>
          </cell>
          <cell r="Q154">
            <v>46057</v>
          </cell>
          <cell r="R154">
            <v>5</v>
          </cell>
          <cell r="S154" t="str">
            <v>NA</v>
          </cell>
          <cell r="T154">
            <v>5</v>
          </cell>
        </row>
        <row r="155">
          <cell r="C155" t="str">
            <v>EMMC</v>
          </cell>
          <cell r="D155" t="str">
            <v>HSLB12577</v>
          </cell>
          <cell r="E155">
            <v>112089</v>
          </cell>
          <cell r="F155" t="str">
            <v>Soporte Universal</v>
          </cell>
          <cell r="G155" t="str">
            <v>NO</v>
          </cell>
          <cell r="H155" t="str">
            <v>NO</v>
          </cell>
          <cell r="I155" t="str">
            <v>SALA 4 CAMAS</v>
          </cell>
          <cell r="J155">
            <v>2</v>
          </cell>
          <cell r="K155" t="str">
            <v>C.3.6.1.19</v>
          </cell>
          <cell r="L155" t="str">
            <v>Neonatología</v>
          </cell>
          <cell r="M155">
            <v>4</v>
          </cell>
          <cell r="N155">
            <v>46055</v>
          </cell>
          <cell r="O155">
            <v>46056</v>
          </cell>
          <cell r="P155">
            <v>1</v>
          </cell>
          <cell r="Q155">
            <v>46057</v>
          </cell>
          <cell r="R155">
            <v>5</v>
          </cell>
          <cell r="S155" t="str">
            <v>NA</v>
          </cell>
          <cell r="T155">
            <v>5</v>
          </cell>
        </row>
        <row r="156">
          <cell r="C156" t="str">
            <v>EMMC</v>
          </cell>
          <cell r="D156" t="str">
            <v>HSLB12578</v>
          </cell>
          <cell r="E156">
            <v>112089</v>
          </cell>
          <cell r="F156" t="str">
            <v>Soporte Universal</v>
          </cell>
          <cell r="G156" t="str">
            <v>NO</v>
          </cell>
          <cell r="H156" t="str">
            <v>NO</v>
          </cell>
          <cell r="I156" t="str">
            <v>SALA 4 CAMAS</v>
          </cell>
          <cell r="J156">
            <v>4</v>
          </cell>
          <cell r="K156" t="str">
            <v>C.3.6.1.20.1</v>
          </cell>
          <cell r="L156" t="str">
            <v>Hospitalización</v>
          </cell>
          <cell r="M156">
            <v>4</v>
          </cell>
          <cell r="N156">
            <v>46055</v>
          </cell>
          <cell r="O156">
            <v>46056</v>
          </cell>
          <cell r="P156">
            <v>1</v>
          </cell>
          <cell r="Q156">
            <v>46057</v>
          </cell>
          <cell r="R156">
            <v>5</v>
          </cell>
          <cell r="S156" t="str">
            <v>NA</v>
          </cell>
          <cell r="T156">
            <v>5</v>
          </cell>
        </row>
        <row r="157">
          <cell r="C157" t="str">
            <v>EMMC</v>
          </cell>
          <cell r="D157" t="str">
            <v>HSLB12579</v>
          </cell>
          <cell r="E157">
            <v>112089</v>
          </cell>
          <cell r="F157" t="str">
            <v>Soporte Universal</v>
          </cell>
          <cell r="G157" t="str">
            <v>NO</v>
          </cell>
          <cell r="H157" t="str">
            <v>SI</v>
          </cell>
          <cell r="I157" t="str">
            <v>SALA 4 CAMAS</v>
          </cell>
          <cell r="J157">
            <v>4</v>
          </cell>
          <cell r="K157" t="str">
            <v>C.3.6.1.20.2</v>
          </cell>
          <cell r="L157" t="str">
            <v>Hospitalización</v>
          </cell>
          <cell r="M157">
            <v>4</v>
          </cell>
          <cell r="N157">
            <v>46003</v>
          </cell>
          <cell r="O157">
            <v>46006</v>
          </cell>
          <cell r="P157">
            <v>1</v>
          </cell>
          <cell r="Q157">
            <v>46007</v>
          </cell>
          <cell r="R157">
            <v>5</v>
          </cell>
          <cell r="S157" t="str">
            <v>NA</v>
          </cell>
          <cell r="T157">
            <v>5</v>
          </cell>
        </row>
        <row r="158">
          <cell r="C158" t="str">
            <v>EMMC</v>
          </cell>
          <cell r="D158" t="str">
            <v>HSLB12580</v>
          </cell>
          <cell r="E158">
            <v>112089</v>
          </cell>
          <cell r="F158" t="str">
            <v>Soporte Universal</v>
          </cell>
          <cell r="G158" t="str">
            <v>NO</v>
          </cell>
          <cell r="H158" t="str">
            <v>NO</v>
          </cell>
          <cell r="I158" t="str">
            <v>SALA 4 CAMAS</v>
          </cell>
          <cell r="J158">
            <v>4</v>
          </cell>
          <cell r="K158" t="str">
            <v>C.3.6.1.20.3</v>
          </cell>
          <cell r="L158" t="str">
            <v>Hospitalización</v>
          </cell>
          <cell r="M158">
            <v>4</v>
          </cell>
          <cell r="N158">
            <v>46055</v>
          </cell>
          <cell r="O158">
            <v>46056</v>
          </cell>
          <cell r="P158">
            <v>1</v>
          </cell>
          <cell r="Q158">
            <v>46057</v>
          </cell>
          <cell r="R158">
            <v>5</v>
          </cell>
          <cell r="S158" t="str">
            <v>NA</v>
          </cell>
          <cell r="T158">
            <v>5</v>
          </cell>
        </row>
        <row r="159">
          <cell r="C159" t="str">
            <v>EMMC</v>
          </cell>
          <cell r="D159" t="str">
            <v>HSLB12581</v>
          </cell>
          <cell r="E159">
            <v>112089</v>
          </cell>
          <cell r="F159" t="str">
            <v>Soporte Universal</v>
          </cell>
          <cell r="G159" t="str">
            <v>NO</v>
          </cell>
          <cell r="H159" t="str">
            <v>NO</v>
          </cell>
          <cell r="I159" t="str">
            <v>SALA 4 CAMAS</v>
          </cell>
          <cell r="J159">
            <v>2</v>
          </cell>
          <cell r="K159" t="str">
            <v>C.3.6.1.21.1</v>
          </cell>
          <cell r="L159" t="str">
            <v>Hospitalización</v>
          </cell>
          <cell r="M159">
            <v>4</v>
          </cell>
          <cell r="N159">
            <v>46055</v>
          </cell>
          <cell r="O159">
            <v>46056</v>
          </cell>
          <cell r="P159">
            <v>1</v>
          </cell>
          <cell r="Q159">
            <v>46057</v>
          </cell>
          <cell r="R159">
            <v>5</v>
          </cell>
          <cell r="S159" t="str">
            <v>NA</v>
          </cell>
          <cell r="T159">
            <v>5</v>
          </cell>
        </row>
        <row r="160">
          <cell r="C160" t="str">
            <v>EMMC</v>
          </cell>
          <cell r="D160" t="str">
            <v>HSLB12582</v>
          </cell>
          <cell r="E160">
            <v>112089</v>
          </cell>
          <cell r="F160" t="str">
            <v>Soporte Universal</v>
          </cell>
          <cell r="G160" t="str">
            <v>NO</v>
          </cell>
          <cell r="H160" t="str">
            <v>NO</v>
          </cell>
          <cell r="I160" t="str">
            <v>SALA 1 CAMA AISLAMIENTO</v>
          </cell>
          <cell r="J160">
            <v>1</v>
          </cell>
          <cell r="K160" t="str">
            <v>C.3.6.1.23.1</v>
          </cell>
          <cell r="L160" t="str">
            <v>Hospitalización</v>
          </cell>
          <cell r="M160">
            <v>4</v>
          </cell>
          <cell r="N160">
            <v>46055</v>
          </cell>
          <cell r="O160">
            <v>46056</v>
          </cell>
          <cell r="P160">
            <v>1</v>
          </cell>
          <cell r="Q160">
            <v>46057</v>
          </cell>
          <cell r="R160">
            <v>5</v>
          </cell>
          <cell r="S160" t="str">
            <v>NA</v>
          </cell>
          <cell r="T160">
            <v>5</v>
          </cell>
        </row>
        <row r="161">
          <cell r="C161" t="str">
            <v>EMMC</v>
          </cell>
          <cell r="D161" t="str">
            <v>HSLB12583</v>
          </cell>
          <cell r="E161">
            <v>112089</v>
          </cell>
          <cell r="F161" t="str">
            <v>Soporte Universal</v>
          </cell>
          <cell r="G161" t="str">
            <v>NO</v>
          </cell>
          <cell r="H161" t="str">
            <v>NO</v>
          </cell>
          <cell r="I161" t="str">
            <v>SALA 1 CAMA AISLAMIENTO</v>
          </cell>
          <cell r="J161">
            <v>1</v>
          </cell>
          <cell r="K161" t="str">
            <v>C.3.6.1.23.2</v>
          </cell>
          <cell r="L161" t="str">
            <v>Hospitalización</v>
          </cell>
          <cell r="M161">
            <v>4</v>
          </cell>
          <cell r="N161">
            <v>46055</v>
          </cell>
          <cell r="O161">
            <v>46056</v>
          </cell>
          <cell r="P161">
            <v>1</v>
          </cell>
          <cell r="Q161">
            <v>46057</v>
          </cell>
          <cell r="R161">
            <v>5</v>
          </cell>
          <cell r="S161" t="str">
            <v>NA</v>
          </cell>
          <cell r="T161">
            <v>5</v>
          </cell>
        </row>
        <row r="162">
          <cell r="C162" t="str">
            <v>EMMC</v>
          </cell>
          <cell r="D162" t="str">
            <v>HSLB12584</v>
          </cell>
          <cell r="E162">
            <v>112089</v>
          </cell>
          <cell r="F162" t="str">
            <v>Soporte Universal</v>
          </cell>
          <cell r="G162" t="str">
            <v>NO</v>
          </cell>
          <cell r="H162" t="str">
            <v>NO</v>
          </cell>
          <cell r="I162" t="str">
            <v>SALA EXAMENES RECIÉN NACIDO</v>
          </cell>
          <cell r="J162">
            <v>1</v>
          </cell>
          <cell r="K162" t="str">
            <v>C.3.6.1.27</v>
          </cell>
          <cell r="L162" t="str">
            <v>Neonatología</v>
          </cell>
          <cell r="M162">
            <v>4</v>
          </cell>
          <cell r="N162">
            <v>46055</v>
          </cell>
          <cell r="O162">
            <v>46056</v>
          </cell>
          <cell r="P162">
            <v>1</v>
          </cell>
          <cell r="Q162">
            <v>46057</v>
          </cell>
          <cell r="R162">
            <v>5</v>
          </cell>
          <cell r="S162" t="str">
            <v>NA</v>
          </cell>
          <cell r="T162">
            <v>5</v>
          </cell>
        </row>
        <row r="163">
          <cell r="C163" t="str">
            <v>EMMC</v>
          </cell>
          <cell r="D163" t="str">
            <v>HSLB11066</v>
          </cell>
          <cell r="E163">
            <v>106020</v>
          </cell>
          <cell r="F163" t="str">
            <v>Televisor 42'</v>
          </cell>
          <cell r="G163" t="str">
            <v>NO</v>
          </cell>
          <cell r="H163" t="str">
            <v>NO</v>
          </cell>
          <cell r="I163" t="str">
            <v>SALA DE ESPERA</v>
          </cell>
          <cell r="J163">
            <v>1</v>
          </cell>
          <cell r="K163" t="str">
            <v>C.3.6.1.3</v>
          </cell>
          <cell r="L163" t="str">
            <v>Hospitalización</v>
          </cell>
          <cell r="M163">
            <v>4</v>
          </cell>
          <cell r="N163">
            <v>46055</v>
          </cell>
          <cell r="O163">
            <v>46056</v>
          </cell>
          <cell r="P163">
            <v>1</v>
          </cell>
          <cell r="Q163">
            <v>46057</v>
          </cell>
          <cell r="R163">
            <v>5</v>
          </cell>
          <cell r="S163" t="str">
            <v>NA</v>
          </cell>
          <cell r="T163">
            <v>5</v>
          </cell>
        </row>
        <row r="164">
          <cell r="C164" t="str">
            <v>EMMC</v>
          </cell>
          <cell r="D164" t="str">
            <v>HSLB11095</v>
          </cell>
          <cell r="E164">
            <v>106021</v>
          </cell>
          <cell r="F164" t="str">
            <v>Telón</v>
          </cell>
          <cell r="G164" t="str">
            <v>NO</v>
          </cell>
          <cell r="H164" t="str">
            <v>SI</v>
          </cell>
          <cell r="I164" t="str">
            <v>SALA TALLER CHILE CRECE CONTIGO</v>
          </cell>
          <cell r="J164">
            <v>1</v>
          </cell>
          <cell r="K164" t="str">
            <v>C.3.6.1.10</v>
          </cell>
          <cell r="L164" t="str">
            <v>Chile Crece Contigo</v>
          </cell>
          <cell r="M164">
            <v>4</v>
          </cell>
          <cell r="N164">
            <v>46003</v>
          </cell>
          <cell r="O164">
            <v>46006</v>
          </cell>
          <cell r="P164">
            <v>1</v>
          </cell>
          <cell r="Q164">
            <v>46007</v>
          </cell>
          <cell r="R164">
            <v>5</v>
          </cell>
          <cell r="S164" t="str">
            <v>NA</v>
          </cell>
          <cell r="T164">
            <v>5</v>
          </cell>
        </row>
        <row r="165">
          <cell r="C165" t="str">
            <v>EMMC</v>
          </cell>
          <cell r="D165" t="str">
            <v>HSLB11096</v>
          </cell>
          <cell r="E165">
            <v>106021</v>
          </cell>
          <cell r="F165" t="str">
            <v>Telón</v>
          </cell>
          <cell r="G165" t="str">
            <v>NO</v>
          </cell>
          <cell r="H165" t="str">
            <v>NO</v>
          </cell>
          <cell r="I165" t="str">
            <v>SALA EDUCACIÓN AMAMANTAMIENTO</v>
          </cell>
          <cell r="J165">
            <v>1</v>
          </cell>
          <cell r="K165" t="str">
            <v>C.3.6.1.17</v>
          </cell>
          <cell r="L165" t="str">
            <v>Hospitalización</v>
          </cell>
          <cell r="M165">
            <v>4</v>
          </cell>
          <cell r="N165">
            <v>46055</v>
          </cell>
          <cell r="O165">
            <v>46056</v>
          </cell>
          <cell r="P165">
            <v>1</v>
          </cell>
          <cell r="Q165">
            <v>46057</v>
          </cell>
          <cell r="R165">
            <v>5</v>
          </cell>
          <cell r="S165" t="str">
            <v>NA</v>
          </cell>
          <cell r="T165">
            <v>5</v>
          </cell>
        </row>
        <row r="166">
          <cell r="C166" t="str">
            <v>EMMC</v>
          </cell>
          <cell r="D166" t="str">
            <v>HSLB11190</v>
          </cell>
          <cell r="E166">
            <v>109004</v>
          </cell>
          <cell r="F166" t="str">
            <v>Espéculo Vaginal Mediano</v>
          </cell>
          <cell r="G166" t="str">
            <v>NO</v>
          </cell>
          <cell r="H166" t="str">
            <v>NO</v>
          </cell>
          <cell r="I166" t="str">
            <v>SALA DE PROCEDIMIENTOS</v>
          </cell>
          <cell r="J166">
            <v>10</v>
          </cell>
          <cell r="K166" t="str">
            <v>C.3.6.1.24</v>
          </cell>
          <cell r="L166" t="str">
            <v>Hospitalización</v>
          </cell>
          <cell r="M166">
            <v>4</v>
          </cell>
          <cell r="N166">
            <v>46055</v>
          </cell>
          <cell r="O166">
            <v>46056</v>
          </cell>
          <cell r="P166">
            <v>1</v>
          </cell>
          <cell r="Q166">
            <v>46057</v>
          </cell>
          <cell r="R166">
            <v>5</v>
          </cell>
          <cell r="S166" t="str">
            <v>NA</v>
          </cell>
          <cell r="T166">
            <v>5</v>
          </cell>
        </row>
        <row r="167">
          <cell r="C167" t="str">
            <v>EMMC</v>
          </cell>
          <cell r="D167" t="str">
            <v>HSLB11284</v>
          </cell>
          <cell r="E167">
            <v>109015</v>
          </cell>
          <cell r="F167" t="str">
            <v>Set Instrumental Ginecológico</v>
          </cell>
          <cell r="G167" t="str">
            <v>NO</v>
          </cell>
          <cell r="H167" t="str">
            <v>NO</v>
          </cell>
          <cell r="I167" t="str">
            <v>SALA DE PROCEDIMIENTOS</v>
          </cell>
          <cell r="J167">
            <v>10</v>
          </cell>
          <cell r="K167" t="str">
            <v>C.3.6.1.24</v>
          </cell>
          <cell r="L167" t="str">
            <v>Hospitalización</v>
          </cell>
          <cell r="M167">
            <v>4</v>
          </cell>
          <cell r="N167">
            <v>46055</v>
          </cell>
          <cell r="O167">
            <v>46056</v>
          </cell>
          <cell r="P167">
            <v>1</v>
          </cell>
          <cell r="Q167">
            <v>46057</v>
          </cell>
          <cell r="R167">
            <v>5</v>
          </cell>
          <cell r="S167" t="str">
            <v>NA</v>
          </cell>
          <cell r="T167">
            <v>5</v>
          </cell>
        </row>
        <row r="168">
          <cell r="C168" t="str">
            <v>EMMC</v>
          </cell>
          <cell r="D168" t="str">
            <v>HSLB11182</v>
          </cell>
          <cell r="E168">
            <v>109003</v>
          </cell>
          <cell r="F168" t="str">
            <v>Espéculo Vaginal Grande</v>
          </cell>
          <cell r="G168" t="str">
            <v>NO</v>
          </cell>
          <cell r="H168" t="str">
            <v>NO</v>
          </cell>
          <cell r="I168" t="str">
            <v>SALA DE PROCEDIMIENTOS</v>
          </cell>
          <cell r="J168">
            <v>7</v>
          </cell>
          <cell r="K168" t="str">
            <v>C.3.6.1.24</v>
          </cell>
          <cell r="L168" t="str">
            <v>Hospitalización</v>
          </cell>
          <cell r="M168">
            <v>4</v>
          </cell>
          <cell r="N168">
            <v>46055</v>
          </cell>
          <cell r="O168">
            <v>46056</v>
          </cell>
          <cell r="P168">
            <v>1</v>
          </cell>
          <cell r="Q168">
            <v>46057</v>
          </cell>
          <cell r="R168">
            <v>5</v>
          </cell>
          <cell r="S168" t="str">
            <v>NA</v>
          </cell>
          <cell r="T168">
            <v>5</v>
          </cell>
        </row>
        <row r="169">
          <cell r="C169" t="str">
            <v>EMMC</v>
          </cell>
          <cell r="D169" t="str">
            <v>HSLB11198</v>
          </cell>
          <cell r="E169">
            <v>109005</v>
          </cell>
          <cell r="F169" t="str">
            <v>Espéculo Vaginal Pequeño</v>
          </cell>
          <cell r="G169" t="str">
            <v>NO</v>
          </cell>
          <cell r="H169" t="str">
            <v>NO</v>
          </cell>
          <cell r="I169" t="str">
            <v>SALA DE PROCEDIMIENTOS</v>
          </cell>
          <cell r="J169">
            <v>5</v>
          </cell>
          <cell r="K169" t="str">
            <v>C.3.6.1.24</v>
          </cell>
          <cell r="L169" t="str">
            <v>Hospitalización</v>
          </cell>
          <cell r="M169">
            <v>4</v>
          </cell>
          <cell r="N169">
            <v>46055</v>
          </cell>
          <cell r="O169">
            <v>46056</v>
          </cell>
          <cell r="P169">
            <v>1</v>
          </cell>
          <cell r="Q169">
            <v>46057</v>
          </cell>
          <cell r="R169">
            <v>5</v>
          </cell>
          <cell r="S169" t="str">
            <v>NA</v>
          </cell>
          <cell r="T169">
            <v>5</v>
          </cell>
        </row>
        <row r="170">
          <cell r="C170" t="str">
            <v>EMMC</v>
          </cell>
          <cell r="D170" t="str">
            <v>HSLB11174</v>
          </cell>
          <cell r="E170">
            <v>109002</v>
          </cell>
          <cell r="F170" t="str">
            <v>Contenedor instrumental en tránsito</v>
          </cell>
          <cell r="G170" t="str">
            <v>NO</v>
          </cell>
          <cell r="H170" t="str">
            <v>NO</v>
          </cell>
          <cell r="I170" t="str">
            <v>SALA DE PROCEDIMIENTOS</v>
          </cell>
          <cell r="J170">
            <v>3</v>
          </cell>
          <cell r="K170" t="str">
            <v>C.3.6.1.24</v>
          </cell>
          <cell r="L170" t="str">
            <v>Hospitalización</v>
          </cell>
          <cell r="M170">
            <v>4</v>
          </cell>
          <cell r="N170">
            <v>46055</v>
          </cell>
          <cell r="O170">
            <v>46056</v>
          </cell>
          <cell r="P170">
            <v>1</v>
          </cell>
          <cell r="Q170">
            <v>46057</v>
          </cell>
          <cell r="R170">
            <v>5</v>
          </cell>
          <cell r="S170" t="str">
            <v>NA</v>
          </cell>
          <cell r="T170">
            <v>5</v>
          </cell>
        </row>
        <row r="171">
          <cell r="C171" t="str">
            <v>EMMC</v>
          </cell>
          <cell r="D171" t="str">
            <v>HSLB11206</v>
          </cell>
          <cell r="E171">
            <v>109006</v>
          </cell>
          <cell r="F171" t="str">
            <v>Espéculo Vaginal Virginal</v>
          </cell>
          <cell r="G171" t="str">
            <v>NO</v>
          </cell>
          <cell r="H171" t="str">
            <v>NO</v>
          </cell>
          <cell r="I171" t="str">
            <v>SALA DE PROCEDIMIENTOS</v>
          </cell>
          <cell r="J171">
            <v>5</v>
          </cell>
          <cell r="K171" t="str">
            <v>C.3.6.1.24</v>
          </cell>
          <cell r="L171" t="str">
            <v>Hospitalización</v>
          </cell>
          <cell r="M171">
            <v>4</v>
          </cell>
          <cell r="N171">
            <v>46055</v>
          </cell>
          <cell r="O171">
            <v>46056</v>
          </cell>
          <cell r="P171">
            <v>1</v>
          </cell>
          <cell r="Q171">
            <v>46057</v>
          </cell>
          <cell r="R171">
            <v>5</v>
          </cell>
          <cell r="S171" t="str">
            <v>NA</v>
          </cell>
          <cell r="T171">
            <v>5</v>
          </cell>
        </row>
        <row r="172">
          <cell r="C172" t="str">
            <v>EMMC</v>
          </cell>
          <cell r="D172" t="str">
            <v>HSLB11240</v>
          </cell>
          <cell r="E172">
            <v>109010</v>
          </cell>
          <cell r="F172" t="str">
            <v>Set Instrumental Curación</v>
          </cell>
          <cell r="G172" t="str">
            <v>NO</v>
          </cell>
          <cell r="H172" t="str">
            <v>NO</v>
          </cell>
          <cell r="I172" t="str">
            <v>SALA DE PROCEDIMIENTOS</v>
          </cell>
          <cell r="J172">
            <v>3</v>
          </cell>
          <cell r="K172" t="str">
            <v>C.3.6.1.24</v>
          </cell>
          <cell r="L172" t="str">
            <v>Hospitalización</v>
          </cell>
          <cell r="M172">
            <v>4</v>
          </cell>
          <cell r="N172">
            <v>46055</v>
          </cell>
          <cell r="O172">
            <v>46056</v>
          </cell>
          <cell r="P172">
            <v>1</v>
          </cell>
          <cell r="Q172">
            <v>46057</v>
          </cell>
          <cell r="R172">
            <v>5</v>
          </cell>
          <cell r="S172" t="str">
            <v>NA</v>
          </cell>
          <cell r="T172">
            <v>5</v>
          </cell>
        </row>
        <row r="173">
          <cell r="C173" t="str">
            <v>EMMC</v>
          </cell>
          <cell r="D173" t="str">
            <v>HSLB10638</v>
          </cell>
          <cell r="E173">
            <v>105004</v>
          </cell>
          <cell r="F173" t="str">
            <v>Calentador de Paciente</v>
          </cell>
          <cell r="G173" t="str">
            <v>NO</v>
          </cell>
          <cell r="H173" t="str">
            <v>SI</v>
          </cell>
          <cell r="I173" t="str">
            <v>BODEGA DE EQUIPOS Y CUNAS</v>
          </cell>
          <cell r="J173">
            <v>2</v>
          </cell>
          <cell r="K173" t="str">
            <v>C.3.6.1.37</v>
          </cell>
          <cell r="L173" t="str">
            <v>Hospitalización</v>
          </cell>
          <cell r="M173">
            <v>4</v>
          </cell>
          <cell r="N173">
            <v>46003</v>
          </cell>
          <cell r="O173">
            <v>46006</v>
          </cell>
          <cell r="P173">
            <v>1</v>
          </cell>
          <cell r="Q173">
            <v>46007</v>
          </cell>
          <cell r="R173">
            <v>5</v>
          </cell>
          <cell r="S173" t="str">
            <v>NA</v>
          </cell>
          <cell r="T173">
            <v>5</v>
          </cell>
        </row>
        <row r="174">
          <cell r="C174" t="str">
            <v>EMMC</v>
          </cell>
          <cell r="D174" t="str">
            <v>HSLB11716</v>
          </cell>
          <cell r="E174">
            <v>112016</v>
          </cell>
          <cell r="F174" t="str">
            <v>Camilla Transporte Paciente</v>
          </cell>
          <cell r="G174" t="str">
            <v>NO</v>
          </cell>
          <cell r="H174" t="str">
            <v>NO</v>
          </cell>
          <cell r="I174" t="str">
            <v>ESTACIONAMIENTO CAMILLAS Y SILLAS DE RUEDAS</v>
          </cell>
          <cell r="J174">
            <v>2</v>
          </cell>
          <cell r="K174" t="str">
            <v>C.3.6.1.40</v>
          </cell>
          <cell r="L174" t="str">
            <v>Hospitalización</v>
          </cell>
          <cell r="M174">
            <v>4</v>
          </cell>
          <cell r="N174">
            <v>46055</v>
          </cell>
          <cell r="O174">
            <v>46056</v>
          </cell>
          <cell r="P174">
            <v>1</v>
          </cell>
          <cell r="Q174">
            <v>46057</v>
          </cell>
          <cell r="R174">
            <v>5</v>
          </cell>
          <cell r="S174" t="str">
            <v>NA</v>
          </cell>
          <cell r="T174">
            <v>5</v>
          </cell>
        </row>
        <row r="175">
          <cell r="C175" t="str">
            <v>EMMC</v>
          </cell>
          <cell r="D175" t="str">
            <v>HSLB10021</v>
          </cell>
          <cell r="E175">
            <v>101005</v>
          </cell>
          <cell r="F175" t="str">
            <v>Balanza Adulto con Tallímetro</v>
          </cell>
          <cell r="G175" t="str">
            <v>NO</v>
          </cell>
          <cell r="H175" t="str">
            <v>NO</v>
          </cell>
          <cell r="I175" t="str">
            <v>SALA DE PROCEDIMIENTOS</v>
          </cell>
          <cell r="J175">
            <v>1</v>
          </cell>
          <cell r="K175" t="str">
            <v>C.3.6.1.24</v>
          </cell>
          <cell r="L175" t="str">
            <v>Hospitalización</v>
          </cell>
          <cell r="M175">
            <v>4</v>
          </cell>
          <cell r="N175">
            <v>46055</v>
          </cell>
          <cell r="O175">
            <v>46056</v>
          </cell>
          <cell r="P175">
            <v>1</v>
          </cell>
          <cell r="Q175">
            <v>46057</v>
          </cell>
          <cell r="R175">
            <v>5</v>
          </cell>
          <cell r="S175" t="str">
            <v>NA</v>
          </cell>
          <cell r="T175">
            <v>5</v>
          </cell>
        </row>
        <row r="176">
          <cell r="C176" t="str">
            <v>EMMC</v>
          </cell>
          <cell r="D176" t="str">
            <v>HSLB10037</v>
          </cell>
          <cell r="E176">
            <v>101008</v>
          </cell>
          <cell r="F176" t="str">
            <v>Balanza de Pañales</v>
          </cell>
          <cell r="G176" t="str">
            <v>NO</v>
          </cell>
          <cell r="H176" t="str">
            <v>NO</v>
          </cell>
          <cell r="I176" t="str">
            <v>ESTACIÓN DE ENFERMERÍA</v>
          </cell>
          <cell r="J176">
            <v>1</v>
          </cell>
          <cell r="K176" t="str">
            <v>C.3.6.1.28</v>
          </cell>
          <cell r="L176" t="str">
            <v>Neonatología</v>
          </cell>
          <cell r="M176">
            <v>4</v>
          </cell>
          <cell r="N176">
            <v>46055</v>
          </cell>
          <cell r="O176">
            <v>46056</v>
          </cell>
          <cell r="P176">
            <v>1</v>
          </cell>
          <cell r="Q176">
            <v>46057</v>
          </cell>
          <cell r="R176">
            <v>5</v>
          </cell>
          <cell r="S176" t="str">
            <v>NA</v>
          </cell>
          <cell r="T176">
            <v>5</v>
          </cell>
        </row>
        <row r="177">
          <cell r="C177" t="str">
            <v>EMMC</v>
          </cell>
          <cell r="D177" t="str">
            <v>HSLB10293</v>
          </cell>
          <cell r="E177">
            <v>103005</v>
          </cell>
          <cell r="F177" t="str">
            <v>Balanza Digital 5 kg</v>
          </cell>
          <cell r="G177" t="str">
            <v>NO</v>
          </cell>
          <cell r="H177" t="str">
            <v>NO</v>
          </cell>
          <cell r="I177" t="str">
            <v>PREPARACION FROMULAS</v>
          </cell>
          <cell r="J177">
            <v>1</v>
          </cell>
          <cell r="K177" t="str">
            <v>C.5.8.1.2.9</v>
          </cell>
          <cell r="L177" t="str">
            <v>Sedile</v>
          </cell>
          <cell r="M177">
            <v>4</v>
          </cell>
          <cell r="N177">
            <v>46055</v>
          </cell>
          <cell r="O177">
            <v>46056</v>
          </cell>
          <cell r="P177">
            <v>1</v>
          </cell>
          <cell r="Q177">
            <v>46057</v>
          </cell>
          <cell r="R177">
            <v>5</v>
          </cell>
          <cell r="S177" t="str">
            <v>NA</v>
          </cell>
          <cell r="T177">
            <v>5</v>
          </cell>
        </row>
        <row r="178">
          <cell r="C178" t="str">
            <v>EMMC</v>
          </cell>
          <cell r="D178" t="str">
            <v>HSLB10040</v>
          </cell>
          <cell r="E178">
            <v>101009</v>
          </cell>
          <cell r="F178" t="str">
            <v>Balanza Lactante con Cartabón</v>
          </cell>
          <cell r="G178" t="str">
            <v>NO</v>
          </cell>
          <cell r="H178" t="str">
            <v>NO</v>
          </cell>
          <cell r="I178" t="str">
            <v>ESTACIÓN DE ENFERMERÍA</v>
          </cell>
          <cell r="J178">
            <v>1</v>
          </cell>
          <cell r="K178" t="str">
            <v>C.3.6.1.28</v>
          </cell>
          <cell r="L178" t="str">
            <v>Neonatología</v>
          </cell>
          <cell r="M178">
            <v>4</v>
          </cell>
          <cell r="N178">
            <v>46055</v>
          </cell>
          <cell r="O178">
            <v>46056</v>
          </cell>
          <cell r="P178">
            <v>1</v>
          </cell>
          <cell r="Q178">
            <v>46057</v>
          </cell>
          <cell r="R178">
            <v>5</v>
          </cell>
          <cell r="S178" t="str">
            <v>NA</v>
          </cell>
          <cell r="T178">
            <v>5</v>
          </cell>
        </row>
        <row r="179">
          <cell r="C179" t="str">
            <v>EMMC</v>
          </cell>
          <cell r="D179" t="str">
            <v>HSLB10300</v>
          </cell>
          <cell r="E179">
            <v>103010</v>
          </cell>
          <cell r="F179" t="str">
            <v>Calentador de Mamaderas</v>
          </cell>
          <cell r="G179" t="str">
            <v>NO</v>
          </cell>
          <cell r="H179" t="str">
            <v>NO</v>
          </cell>
          <cell r="I179" t="str">
            <v>DISTRIBUCIÓN</v>
          </cell>
          <cell r="J179">
            <v>1</v>
          </cell>
          <cell r="K179" t="str">
            <v>C.5.8.1.2.12</v>
          </cell>
          <cell r="L179" t="str">
            <v>Sedile</v>
          </cell>
          <cell r="M179">
            <v>4</v>
          </cell>
          <cell r="N179">
            <v>46055</v>
          </cell>
          <cell r="O179">
            <v>46056</v>
          </cell>
          <cell r="P179">
            <v>1</v>
          </cell>
          <cell r="Q179">
            <v>46057</v>
          </cell>
          <cell r="R179">
            <v>5</v>
          </cell>
          <cell r="S179" t="str">
            <v>NA</v>
          </cell>
          <cell r="T179">
            <v>5</v>
          </cell>
        </row>
        <row r="180">
          <cell r="C180" t="str">
            <v>EMMC</v>
          </cell>
          <cell r="D180" t="str">
            <v>HSLB10301</v>
          </cell>
          <cell r="E180">
            <v>103010</v>
          </cell>
          <cell r="F180" t="str">
            <v>Calentador de Mamaderas</v>
          </cell>
          <cell r="G180" t="str">
            <v>NO</v>
          </cell>
          <cell r="H180" t="str">
            <v>NO</v>
          </cell>
          <cell r="I180" t="str">
            <v>DISTRIBUCIÓN</v>
          </cell>
          <cell r="J180">
            <v>1</v>
          </cell>
          <cell r="K180" t="str">
            <v>C.5.8.1.2.12</v>
          </cell>
          <cell r="L180" t="str">
            <v>Sedile</v>
          </cell>
          <cell r="M180">
            <v>4</v>
          </cell>
          <cell r="N180">
            <v>46055</v>
          </cell>
          <cell r="O180">
            <v>46056</v>
          </cell>
          <cell r="P180">
            <v>1</v>
          </cell>
          <cell r="Q180">
            <v>46057</v>
          </cell>
          <cell r="R180">
            <v>5</v>
          </cell>
          <cell r="S180" t="str">
            <v>NA</v>
          </cell>
          <cell r="T180">
            <v>5</v>
          </cell>
        </row>
        <row r="181">
          <cell r="C181" t="str">
            <v>EMMC</v>
          </cell>
          <cell r="D181" t="str">
            <v>HSLB11680</v>
          </cell>
          <cell r="E181">
            <v>112011</v>
          </cell>
          <cell r="F181" t="str">
            <v>Camilla Ginecológica Convertible</v>
          </cell>
          <cell r="G181" t="str">
            <v>NO</v>
          </cell>
          <cell r="H181" t="str">
            <v>NO</v>
          </cell>
          <cell r="I181" t="str">
            <v>SALA DE PROCEDIMIENTOS</v>
          </cell>
          <cell r="J181">
            <v>1</v>
          </cell>
          <cell r="K181" t="str">
            <v>C.3.6.1.24</v>
          </cell>
          <cell r="L181" t="str">
            <v>Hospitalización</v>
          </cell>
          <cell r="M181">
            <v>4</v>
          </cell>
          <cell r="N181">
            <v>46055</v>
          </cell>
          <cell r="O181">
            <v>46056</v>
          </cell>
          <cell r="P181">
            <v>1</v>
          </cell>
          <cell r="Q181">
            <v>46057</v>
          </cell>
          <cell r="R181">
            <v>5</v>
          </cell>
          <cell r="S181" t="str">
            <v>NA</v>
          </cell>
          <cell r="T181">
            <v>5</v>
          </cell>
        </row>
        <row r="182">
          <cell r="C182" t="str">
            <v>EMMC</v>
          </cell>
          <cell r="D182" t="str">
            <v>HSLB11822</v>
          </cell>
          <cell r="E182">
            <v>112022</v>
          </cell>
          <cell r="F182" t="str">
            <v>Carro de Paro</v>
          </cell>
          <cell r="G182" t="str">
            <v>NO</v>
          </cell>
          <cell r="H182" t="str">
            <v>NO</v>
          </cell>
          <cell r="I182" t="str">
            <v>ESTACIÓN DE ENFERMERÍA</v>
          </cell>
          <cell r="J182">
            <v>1</v>
          </cell>
          <cell r="K182" t="str">
            <v>C.3.6.1.13.1</v>
          </cell>
          <cell r="L182" t="str">
            <v>Hospitalización</v>
          </cell>
          <cell r="M182">
            <v>4</v>
          </cell>
          <cell r="N182">
            <v>46055</v>
          </cell>
          <cell r="O182">
            <v>46056</v>
          </cell>
          <cell r="P182">
            <v>1</v>
          </cell>
          <cell r="Q182">
            <v>46057</v>
          </cell>
          <cell r="R182">
            <v>5</v>
          </cell>
          <cell r="S182" t="str">
            <v>NA</v>
          </cell>
          <cell r="T182">
            <v>5</v>
          </cell>
        </row>
        <row r="183">
          <cell r="C183" t="str">
            <v>EMMC</v>
          </cell>
          <cell r="D183" t="str">
            <v>HSLB11823</v>
          </cell>
          <cell r="E183">
            <v>112022</v>
          </cell>
          <cell r="F183" t="str">
            <v>Carro de Paro</v>
          </cell>
          <cell r="G183" t="str">
            <v>NO</v>
          </cell>
          <cell r="H183" t="str">
            <v>NO</v>
          </cell>
          <cell r="I183" t="str">
            <v>ESTACIÓN DE ENFERMERÍA</v>
          </cell>
          <cell r="J183">
            <v>1</v>
          </cell>
          <cell r="K183" t="str">
            <v>C.3.6.1.13.2</v>
          </cell>
          <cell r="L183" t="str">
            <v>Hospitalización</v>
          </cell>
          <cell r="M183">
            <v>4</v>
          </cell>
          <cell r="N183">
            <v>46055</v>
          </cell>
          <cell r="O183">
            <v>46056</v>
          </cell>
          <cell r="P183">
            <v>1</v>
          </cell>
          <cell r="Q183">
            <v>46057</v>
          </cell>
          <cell r="R183">
            <v>5</v>
          </cell>
          <cell r="S183" t="str">
            <v>NA</v>
          </cell>
          <cell r="T183">
            <v>5</v>
          </cell>
        </row>
        <row r="184">
          <cell r="C184" t="str">
            <v>EMMC</v>
          </cell>
          <cell r="D184" t="str">
            <v>HSLB10657</v>
          </cell>
          <cell r="E184">
            <v>105007</v>
          </cell>
          <cell r="F184" t="str">
            <v>Cuna de Procedimientos Básica</v>
          </cell>
          <cell r="G184" t="str">
            <v>NO</v>
          </cell>
          <cell r="H184" t="str">
            <v>SI</v>
          </cell>
          <cell r="I184" t="str">
            <v>SALA OBSERVACION NEONATOLOGIA</v>
          </cell>
          <cell r="J184">
            <v>1</v>
          </cell>
          <cell r="K184" t="str">
            <v>C.3.6.1.26</v>
          </cell>
          <cell r="L184" t="str">
            <v>Neonatología</v>
          </cell>
          <cell r="M184">
            <v>4</v>
          </cell>
          <cell r="N184">
            <v>46003</v>
          </cell>
          <cell r="O184">
            <v>46006</v>
          </cell>
          <cell r="P184">
            <v>1</v>
          </cell>
          <cell r="Q184">
            <v>46007</v>
          </cell>
          <cell r="R184">
            <v>5</v>
          </cell>
          <cell r="S184" t="str">
            <v>NA</v>
          </cell>
          <cell r="T184">
            <v>5</v>
          </cell>
        </row>
        <row r="185">
          <cell r="C185" t="str">
            <v>EMMC</v>
          </cell>
          <cell r="D185" t="str">
            <v>HSLB10658</v>
          </cell>
          <cell r="E185">
            <v>105007</v>
          </cell>
          <cell r="F185" t="str">
            <v>Cuna de Procedimientos Básica</v>
          </cell>
          <cell r="G185" t="str">
            <v>NO</v>
          </cell>
          <cell r="H185" t="str">
            <v>NO</v>
          </cell>
          <cell r="I185" t="str">
            <v>SALA EXAMENES RECIÉN NACIDO</v>
          </cell>
          <cell r="J185">
            <v>1</v>
          </cell>
          <cell r="K185" t="str">
            <v>C.3.6.1.27</v>
          </cell>
          <cell r="L185" t="str">
            <v>Neonatología</v>
          </cell>
          <cell r="M185">
            <v>4</v>
          </cell>
          <cell r="N185">
            <v>46055</v>
          </cell>
          <cell r="O185">
            <v>46056</v>
          </cell>
          <cell r="P185">
            <v>1</v>
          </cell>
          <cell r="Q185">
            <v>46057</v>
          </cell>
          <cell r="R185">
            <v>5</v>
          </cell>
          <cell r="S185" t="str">
            <v>NA</v>
          </cell>
          <cell r="T185">
            <v>5</v>
          </cell>
        </row>
        <row r="186">
          <cell r="C186" t="str">
            <v>EMMC</v>
          </cell>
          <cell r="D186" t="str">
            <v>HSLB10075</v>
          </cell>
          <cell r="E186">
            <v>101023</v>
          </cell>
          <cell r="F186" t="str">
            <v>DETECTOR DE LATIDOS CARDIOFETALES</v>
          </cell>
          <cell r="G186" t="str">
            <v>NO</v>
          </cell>
          <cell r="H186" t="str">
            <v>NO</v>
          </cell>
          <cell r="I186" t="str">
            <v>ESTACIÓN DE ENFERMERÍA</v>
          </cell>
          <cell r="J186">
            <v>1</v>
          </cell>
          <cell r="K186" t="str">
            <v>C.3.6.1.13.1</v>
          </cell>
          <cell r="L186" t="str">
            <v>Hospitalización</v>
          </cell>
          <cell r="M186">
            <v>4</v>
          </cell>
          <cell r="N186">
            <v>46055</v>
          </cell>
          <cell r="O186">
            <v>46056</v>
          </cell>
          <cell r="P186">
            <v>1</v>
          </cell>
          <cell r="Q186">
            <v>46057</v>
          </cell>
          <cell r="R186">
            <v>5</v>
          </cell>
          <cell r="S186" t="str">
            <v>NA</v>
          </cell>
          <cell r="T186">
            <v>5</v>
          </cell>
        </row>
        <row r="187">
          <cell r="C187" t="str">
            <v>EMMC</v>
          </cell>
          <cell r="D187" t="str">
            <v>HSLB10076</v>
          </cell>
          <cell r="E187">
            <v>101023</v>
          </cell>
          <cell r="F187" t="str">
            <v>DETECTOR DE LATIDOS CARDIOFETALES</v>
          </cell>
          <cell r="G187" t="str">
            <v>NO</v>
          </cell>
          <cell r="H187" t="str">
            <v>NO</v>
          </cell>
          <cell r="I187" t="str">
            <v>ESTACIÓN DE ENFERMERÍA</v>
          </cell>
          <cell r="J187">
            <v>1</v>
          </cell>
          <cell r="K187" t="str">
            <v>C.3.6.1.13.2</v>
          </cell>
          <cell r="L187" t="str">
            <v>Hospitalización</v>
          </cell>
          <cell r="M187">
            <v>4</v>
          </cell>
          <cell r="N187">
            <v>46055</v>
          </cell>
          <cell r="O187">
            <v>46056</v>
          </cell>
          <cell r="P187">
            <v>1</v>
          </cell>
          <cell r="Q187">
            <v>46057</v>
          </cell>
          <cell r="R187">
            <v>5</v>
          </cell>
          <cell r="S187" t="str">
            <v>NA</v>
          </cell>
          <cell r="T187">
            <v>5</v>
          </cell>
        </row>
        <row r="188">
          <cell r="C188" t="str">
            <v>EMMC</v>
          </cell>
          <cell r="D188" t="str">
            <v>HSLB10092</v>
          </cell>
          <cell r="E188">
            <v>101024</v>
          </cell>
          <cell r="F188" t="str">
            <v>Electrocardiógrafo</v>
          </cell>
          <cell r="G188" t="str">
            <v>NO</v>
          </cell>
          <cell r="H188" t="str">
            <v>NO</v>
          </cell>
          <cell r="I188" t="str">
            <v>ESTACIÓN DE ENFERMERÍA</v>
          </cell>
          <cell r="J188">
            <v>1</v>
          </cell>
          <cell r="K188" t="str">
            <v>C.3.6.1.13.1</v>
          </cell>
          <cell r="L188" t="str">
            <v>Hospitalización</v>
          </cell>
          <cell r="M188">
            <v>4</v>
          </cell>
          <cell r="N188">
            <v>46055</v>
          </cell>
          <cell r="O188">
            <v>46056</v>
          </cell>
          <cell r="P188">
            <v>1</v>
          </cell>
          <cell r="Q188">
            <v>46057</v>
          </cell>
          <cell r="R188">
            <v>5</v>
          </cell>
          <cell r="S188" t="str">
            <v>NA</v>
          </cell>
          <cell r="T188">
            <v>5</v>
          </cell>
        </row>
        <row r="189">
          <cell r="C189" t="str">
            <v>EMMC</v>
          </cell>
          <cell r="D189" t="str">
            <v>HSLB10093</v>
          </cell>
          <cell r="E189">
            <v>101024</v>
          </cell>
          <cell r="F189" t="str">
            <v>Electrocardiógrafo</v>
          </cell>
          <cell r="G189" t="str">
            <v>NO</v>
          </cell>
          <cell r="H189" t="str">
            <v>NO</v>
          </cell>
          <cell r="I189" t="str">
            <v>ESTACIÓN DE ENFERMERÍA</v>
          </cell>
          <cell r="J189">
            <v>1</v>
          </cell>
          <cell r="K189" t="str">
            <v>C.3.6.1.13.2</v>
          </cell>
          <cell r="L189" t="str">
            <v>Hospitalización</v>
          </cell>
          <cell r="M189">
            <v>4</v>
          </cell>
          <cell r="N189">
            <v>46055</v>
          </cell>
          <cell r="O189">
            <v>46056</v>
          </cell>
          <cell r="P189">
            <v>1</v>
          </cell>
          <cell r="Q189">
            <v>46057</v>
          </cell>
          <cell r="R189">
            <v>5</v>
          </cell>
          <cell r="S189" t="str">
            <v>NA</v>
          </cell>
          <cell r="T189">
            <v>5</v>
          </cell>
        </row>
        <row r="190">
          <cell r="C190" t="str">
            <v>EMMC</v>
          </cell>
          <cell r="D190" t="str">
            <v>HSLB10094</v>
          </cell>
          <cell r="E190">
            <v>101024</v>
          </cell>
          <cell r="F190" t="str">
            <v>Electrocardiógrafo</v>
          </cell>
          <cell r="G190" t="str">
            <v>NO</v>
          </cell>
          <cell r="H190" t="str">
            <v>NO</v>
          </cell>
          <cell r="I190" t="str">
            <v>ESTACIÓN DE ENFERMERÍA</v>
          </cell>
          <cell r="J190">
            <v>1</v>
          </cell>
          <cell r="K190" t="str">
            <v>C.3.6.1.28</v>
          </cell>
          <cell r="L190" t="str">
            <v>Neonatología</v>
          </cell>
          <cell r="M190">
            <v>4</v>
          </cell>
          <cell r="N190">
            <v>46055</v>
          </cell>
          <cell r="O190">
            <v>46056</v>
          </cell>
          <cell r="P190">
            <v>1</v>
          </cell>
          <cell r="Q190">
            <v>46057</v>
          </cell>
          <cell r="R190">
            <v>5</v>
          </cell>
          <cell r="S190" t="str">
            <v>NA</v>
          </cell>
          <cell r="T190">
            <v>5</v>
          </cell>
        </row>
        <row r="191">
          <cell r="C191" t="str">
            <v>EMMC</v>
          </cell>
          <cell r="D191" t="str">
            <v>HSLB10344</v>
          </cell>
          <cell r="E191">
            <v>103024</v>
          </cell>
          <cell r="F191" t="str">
            <v>Encimera Eléctrica</v>
          </cell>
          <cell r="G191" t="str">
            <v>SI</v>
          </cell>
          <cell r="H191" t="str">
            <v>NO</v>
          </cell>
          <cell r="I191" t="str">
            <v>PREPARACION FROMULAS</v>
          </cell>
          <cell r="J191">
            <v>1</v>
          </cell>
          <cell r="K191" t="str">
            <v>C.5.8.1.2.9</v>
          </cell>
          <cell r="L191" t="str">
            <v>Sedile</v>
          </cell>
          <cell r="M191">
            <v>4</v>
          </cell>
          <cell r="N191">
            <v>46029</v>
          </cell>
          <cell r="O191">
            <v>46030</v>
          </cell>
          <cell r="P191">
            <v>4</v>
          </cell>
          <cell r="Q191">
            <v>46036</v>
          </cell>
          <cell r="R191">
            <v>5</v>
          </cell>
          <cell r="S191" t="str">
            <v>NA</v>
          </cell>
          <cell r="T191">
            <v>5</v>
          </cell>
        </row>
        <row r="192">
          <cell r="C192" t="str">
            <v>EMMC</v>
          </cell>
          <cell r="D192" t="str">
            <v>HSLB10349</v>
          </cell>
          <cell r="E192">
            <v>103027</v>
          </cell>
          <cell r="F192" t="str">
            <v>Hervidor Eléctrico Mantenedor de Agua 20 l</v>
          </cell>
          <cell r="G192" t="str">
            <v>NO</v>
          </cell>
          <cell r="H192" t="str">
            <v>NO</v>
          </cell>
          <cell r="I192" t="str">
            <v>PREPARACION FROMULAS</v>
          </cell>
          <cell r="J192">
            <v>1</v>
          </cell>
          <cell r="K192" t="str">
            <v>C.5.8.1.2.9</v>
          </cell>
          <cell r="L192" t="str">
            <v>Sedile</v>
          </cell>
          <cell r="M192">
            <v>4</v>
          </cell>
          <cell r="N192">
            <v>46055</v>
          </cell>
          <cell r="O192">
            <v>46056</v>
          </cell>
          <cell r="P192">
            <v>1</v>
          </cell>
          <cell r="Q192">
            <v>46057</v>
          </cell>
          <cell r="R192">
            <v>5</v>
          </cell>
          <cell r="S192" t="str">
            <v>NA</v>
          </cell>
          <cell r="T192">
            <v>5</v>
          </cell>
        </row>
        <row r="193">
          <cell r="C193" t="str">
            <v>EMMC</v>
          </cell>
          <cell r="D193" t="str">
            <v>HSLB10353</v>
          </cell>
          <cell r="E193">
            <v>103029</v>
          </cell>
          <cell r="F193" t="str">
            <v>Hervidor Eléctrico Mantenedor de Agua 5 l</v>
          </cell>
          <cell r="G193" t="str">
            <v>NO</v>
          </cell>
          <cell r="H193" t="str">
            <v>NO</v>
          </cell>
          <cell r="I193" t="str">
            <v>PREPARACION FROMULAS</v>
          </cell>
          <cell r="J193">
            <v>1</v>
          </cell>
          <cell r="K193" t="str">
            <v>C.5.8.1.2.9</v>
          </cell>
          <cell r="L193" t="str">
            <v>Sedile</v>
          </cell>
          <cell r="M193">
            <v>4</v>
          </cell>
          <cell r="N193">
            <v>46055</v>
          </cell>
          <cell r="O193">
            <v>46056</v>
          </cell>
          <cell r="P193">
            <v>1</v>
          </cell>
          <cell r="Q193">
            <v>46057</v>
          </cell>
          <cell r="R193">
            <v>5</v>
          </cell>
          <cell r="S193" t="str">
            <v>NA</v>
          </cell>
          <cell r="T193">
            <v>5</v>
          </cell>
        </row>
        <row r="194">
          <cell r="C194" t="str">
            <v>EMMC</v>
          </cell>
          <cell r="D194" t="str">
            <v>HSLB10149</v>
          </cell>
          <cell r="E194">
            <v>101037</v>
          </cell>
          <cell r="F194" t="str">
            <v>LÁMPARA DE EXAMEN RODABLE</v>
          </cell>
          <cell r="G194" t="str">
            <v>NO</v>
          </cell>
          <cell r="H194" t="str">
            <v>NO</v>
          </cell>
          <cell r="I194" t="str">
            <v>ESTACIÓN DE ENFERMERÍA</v>
          </cell>
          <cell r="J194">
            <v>1</v>
          </cell>
          <cell r="K194" t="str">
            <v>C.3.6.1.28</v>
          </cell>
          <cell r="L194" t="str">
            <v>Neonatología</v>
          </cell>
          <cell r="M194">
            <v>4</v>
          </cell>
          <cell r="N194">
            <v>46055</v>
          </cell>
          <cell r="O194">
            <v>46056</v>
          </cell>
          <cell r="P194">
            <v>1</v>
          </cell>
          <cell r="Q194">
            <v>46057</v>
          </cell>
          <cell r="R194">
            <v>5</v>
          </cell>
          <cell r="S194" t="str">
            <v>NA</v>
          </cell>
          <cell r="T194">
            <v>5</v>
          </cell>
        </row>
        <row r="195">
          <cell r="C195" t="str">
            <v>EMMC</v>
          </cell>
          <cell r="D195" t="str">
            <v>HSLB10526</v>
          </cell>
          <cell r="E195">
            <v>104010</v>
          </cell>
          <cell r="F195" t="str">
            <v>Lámpara de Procedimientos Rodable</v>
          </cell>
          <cell r="G195" t="str">
            <v>NO</v>
          </cell>
          <cell r="H195" t="str">
            <v>NO</v>
          </cell>
          <cell r="I195" t="str">
            <v>SALA DE PROCEDIMIENTOS</v>
          </cell>
          <cell r="J195">
            <v>1</v>
          </cell>
          <cell r="K195" t="str">
            <v>C.3.6.1.24</v>
          </cell>
          <cell r="L195" t="str">
            <v>Hospitalización</v>
          </cell>
          <cell r="M195">
            <v>4</v>
          </cell>
          <cell r="N195">
            <v>46055</v>
          </cell>
          <cell r="O195">
            <v>46056</v>
          </cell>
          <cell r="P195">
            <v>1</v>
          </cell>
          <cell r="Q195">
            <v>46057</v>
          </cell>
          <cell r="R195">
            <v>5</v>
          </cell>
          <cell r="S195" t="str">
            <v>NA</v>
          </cell>
          <cell r="T195">
            <v>5</v>
          </cell>
        </row>
        <row r="196">
          <cell r="C196" t="str">
            <v>EMMC</v>
          </cell>
          <cell r="D196" t="str">
            <v>HSLB10379</v>
          </cell>
          <cell r="E196">
            <v>103036</v>
          </cell>
          <cell r="F196" t="str">
            <v>Licuadora Industrial 4 l</v>
          </cell>
          <cell r="G196" t="str">
            <v>NO</v>
          </cell>
          <cell r="H196" t="str">
            <v>NO</v>
          </cell>
          <cell r="I196" t="str">
            <v>PREPARACION FROMULAS</v>
          </cell>
          <cell r="J196">
            <v>1</v>
          </cell>
          <cell r="K196" t="str">
            <v>C.5.8.1.2.9</v>
          </cell>
          <cell r="L196" t="str">
            <v>Sedile</v>
          </cell>
          <cell r="M196">
            <v>4</v>
          </cell>
          <cell r="N196">
            <v>46055</v>
          </cell>
          <cell r="O196">
            <v>46056</v>
          </cell>
          <cell r="P196">
            <v>1</v>
          </cell>
          <cell r="Q196">
            <v>46057</v>
          </cell>
          <cell r="R196">
            <v>5</v>
          </cell>
          <cell r="S196" t="str">
            <v>NA</v>
          </cell>
          <cell r="T196">
            <v>5</v>
          </cell>
        </row>
        <row r="197">
          <cell r="C197" t="str">
            <v>EMMC</v>
          </cell>
          <cell r="D197" t="str">
            <v>HSLB10677</v>
          </cell>
          <cell r="E197">
            <v>105016</v>
          </cell>
          <cell r="F197" t="str">
            <v>Nebulizador Ultrasónico</v>
          </cell>
          <cell r="G197" t="str">
            <v>NO</v>
          </cell>
          <cell r="H197" t="str">
            <v>SI</v>
          </cell>
          <cell r="I197" t="str">
            <v>BODEGA DE EQUIPOS Y CUNAS</v>
          </cell>
          <cell r="J197">
            <v>1</v>
          </cell>
          <cell r="K197" t="str">
            <v>C.3.6.1.37</v>
          </cell>
          <cell r="L197" t="str">
            <v>Hospitalización</v>
          </cell>
          <cell r="M197">
            <v>4</v>
          </cell>
          <cell r="N197">
            <v>46003</v>
          </cell>
          <cell r="O197">
            <v>46006</v>
          </cell>
          <cell r="P197">
            <v>1</v>
          </cell>
          <cell r="Q197">
            <v>46007</v>
          </cell>
          <cell r="R197">
            <v>5</v>
          </cell>
          <cell r="S197" t="str">
            <v>NA</v>
          </cell>
          <cell r="T197">
            <v>5</v>
          </cell>
        </row>
        <row r="198">
          <cell r="C198" t="str">
            <v>EMMC</v>
          </cell>
          <cell r="D198" t="str">
            <v>HSLB10473</v>
          </cell>
          <cell r="E198">
            <v>104002</v>
          </cell>
          <cell r="F198" t="str">
            <v>BOMBA ASPIRACIÓN UNIVERSAL</v>
          </cell>
          <cell r="G198" t="str">
            <v>NO</v>
          </cell>
          <cell r="H198" t="str">
            <v>NO</v>
          </cell>
          <cell r="I198" t="str">
            <v>ESTACIÓN DE ENFERMERÍA</v>
          </cell>
          <cell r="J198">
            <v>0</v>
          </cell>
          <cell r="K198" t="str">
            <v>C.3.6.1.13.1</v>
          </cell>
          <cell r="L198" t="str">
            <v>Hospitalización</v>
          </cell>
          <cell r="M198">
            <v>4</v>
          </cell>
          <cell r="N198">
            <v>46055</v>
          </cell>
          <cell r="O198">
            <v>46056</v>
          </cell>
          <cell r="P198">
            <v>1</v>
          </cell>
          <cell r="Q198">
            <v>46057</v>
          </cell>
          <cell r="R198">
            <v>5</v>
          </cell>
          <cell r="S198" t="str">
            <v>NA</v>
          </cell>
          <cell r="T198">
            <v>5</v>
          </cell>
        </row>
        <row r="199">
          <cell r="C199" t="str">
            <v>EMMC</v>
          </cell>
          <cell r="D199" t="str">
            <v>HSLB10474</v>
          </cell>
          <cell r="E199">
            <v>104002</v>
          </cell>
          <cell r="F199" t="str">
            <v>BOMBA ASPIRACIÓN UNIVERSAL</v>
          </cell>
          <cell r="G199" t="str">
            <v>NO</v>
          </cell>
          <cell r="H199" t="str">
            <v>NO</v>
          </cell>
          <cell r="I199" t="str">
            <v>ESTACIÓN DE ENFERMERÍA</v>
          </cell>
          <cell r="J199">
            <v>0</v>
          </cell>
          <cell r="K199" t="str">
            <v>C.3.6.1.13.2</v>
          </cell>
          <cell r="L199" t="str">
            <v>Hospitalización</v>
          </cell>
          <cell r="M199">
            <v>4</v>
          </cell>
          <cell r="N199">
            <v>46055</v>
          </cell>
          <cell r="O199">
            <v>46056</v>
          </cell>
          <cell r="P199">
            <v>1</v>
          </cell>
          <cell r="Q199">
            <v>46057</v>
          </cell>
          <cell r="R199">
            <v>5</v>
          </cell>
          <cell r="S199" t="str">
            <v>NA</v>
          </cell>
          <cell r="T199">
            <v>5</v>
          </cell>
        </row>
        <row r="200">
          <cell r="C200" t="str">
            <v>EMMC</v>
          </cell>
          <cell r="D200" t="str">
            <v>HSLB10059</v>
          </cell>
          <cell r="E200">
            <v>101013</v>
          </cell>
          <cell r="F200" t="str">
            <v>Bilirrubinómetro</v>
          </cell>
          <cell r="G200" t="str">
            <v>NO</v>
          </cell>
          <cell r="H200" t="str">
            <v>NO</v>
          </cell>
          <cell r="I200" t="str">
            <v>ESTACIÓN DE ENFERMERÍA</v>
          </cell>
          <cell r="J200">
            <v>1</v>
          </cell>
          <cell r="K200" t="str">
            <v>C.3.6.1.28</v>
          </cell>
          <cell r="L200" t="str">
            <v>Neonatología</v>
          </cell>
          <cell r="M200">
            <v>4</v>
          </cell>
          <cell r="N200">
            <v>46055</v>
          </cell>
          <cell r="O200">
            <v>46056</v>
          </cell>
          <cell r="P200">
            <v>1</v>
          </cell>
          <cell r="Q200">
            <v>46057</v>
          </cell>
          <cell r="R200">
            <v>5</v>
          </cell>
          <cell r="S200" t="str">
            <v>NA</v>
          </cell>
          <cell r="T200">
            <v>5</v>
          </cell>
        </row>
        <row r="201">
          <cell r="C201" t="str">
            <v>EMMC</v>
          </cell>
          <cell r="D201" t="str">
            <v>HSLB10654</v>
          </cell>
          <cell r="E201">
            <v>105005</v>
          </cell>
          <cell r="F201" t="str">
            <v>Calentador de Sueros</v>
          </cell>
          <cell r="G201" t="str">
            <v>NO</v>
          </cell>
          <cell r="H201" t="str">
            <v>NO</v>
          </cell>
          <cell r="I201" t="str">
            <v>ESTACIÓN DE ENFERMERÍA</v>
          </cell>
          <cell r="J201">
            <v>1</v>
          </cell>
          <cell r="K201" t="str">
            <v>C.3.6.1.13.1</v>
          </cell>
          <cell r="L201" t="str">
            <v>Hospitalización</v>
          </cell>
          <cell r="M201">
            <v>4</v>
          </cell>
          <cell r="N201">
            <v>46055</v>
          </cell>
          <cell r="O201">
            <v>46056</v>
          </cell>
          <cell r="P201">
            <v>1</v>
          </cell>
          <cell r="Q201">
            <v>46057</v>
          </cell>
          <cell r="R201">
            <v>5</v>
          </cell>
          <cell r="S201" t="str">
            <v>NA</v>
          </cell>
          <cell r="T201">
            <v>5</v>
          </cell>
        </row>
        <row r="202">
          <cell r="C202" t="str">
            <v>EMMC</v>
          </cell>
          <cell r="D202" t="str">
            <v>HSLB10655</v>
          </cell>
          <cell r="E202">
            <v>105005</v>
          </cell>
          <cell r="F202" t="str">
            <v>Calentador de Sueros</v>
          </cell>
          <cell r="G202" t="str">
            <v>NO</v>
          </cell>
          <cell r="H202" t="str">
            <v>NO</v>
          </cell>
          <cell r="I202" t="str">
            <v>ESTACIÓN DE ENFERMERÍA</v>
          </cell>
          <cell r="J202">
            <v>1</v>
          </cell>
          <cell r="K202" t="str">
            <v>C.3.6.1.13.2</v>
          </cell>
          <cell r="L202" t="str">
            <v>Hospitalización</v>
          </cell>
          <cell r="M202">
            <v>4</v>
          </cell>
          <cell r="N202">
            <v>46055</v>
          </cell>
          <cell r="O202">
            <v>46056</v>
          </cell>
          <cell r="P202">
            <v>1</v>
          </cell>
          <cell r="Q202">
            <v>46057</v>
          </cell>
          <cell r="R202">
            <v>5</v>
          </cell>
          <cell r="S202" t="str">
            <v>NA</v>
          </cell>
          <cell r="T202">
            <v>5</v>
          </cell>
        </row>
        <row r="203">
          <cell r="C203" t="str">
            <v>EMMC</v>
          </cell>
          <cell r="D203" t="str">
            <v>HSLB10734</v>
          </cell>
          <cell r="E203">
            <v>106002</v>
          </cell>
          <cell r="F203" t="str">
            <v>Chatas</v>
          </cell>
          <cell r="G203" t="str">
            <v>NO</v>
          </cell>
          <cell r="H203" t="str">
            <v>NO</v>
          </cell>
          <cell r="I203" t="str">
            <v>LAVACHATA AUTOMATICO</v>
          </cell>
          <cell r="J203">
            <v>20</v>
          </cell>
          <cell r="K203" t="str">
            <v>C.3.6.1.35.1</v>
          </cell>
          <cell r="L203" t="str">
            <v>Hospitalización</v>
          </cell>
          <cell r="M203">
            <v>4</v>
          </cell>
          <cell r="N203">
            <v>46055</v>
          </cell>
          <cell r="O203">
            <v>46056</v>
          </cell>
          <cell r="P203">
            <v>1</v>
          </cell>
          <cell r="Q203">
            <v>46057</v>
          </cell>
          <cell r="R203">
            <v>5</v>
          </cell>
          <cell r="S203" t="str">
            <v>NA</v>
          </cell>
          <cell r="T203">
            <v>5</v>
          </cell>
        </row>
        <row r="204">
          <cell r="C204" t="str">
            <v>EMMC</v>
          </cell>
          <cell r="D204" t="str">
            <v>HSLB10735</v>
          </cell>
          <cell r="E204">
            <v>106002</v>
          </cell>
          <cell r="F204" t="str">
            <v>Chatas</v>
          </cell>
          <cell r="G204" t="str">
            <v>NO</v>
          </cell>
          <cell r="H204" t="str">
            <v>NO</v>
          </cell>
          <cell r="I204" t="str">
            <v>LAVACHATA AUTOMATICO</v>
          </cell>
          <cell r="J204">
            <v>16</v>
          </cell>
          <cell r="K204" t="str">
            <v>C.3.6.1.35.2</v>
          </cell>
          <cell r="L204" t="str">
            <v>Hospitalización</v>
          </cell>
          <cell r="M204">
            <v>4</v>
          </cell>
          <cell r="N204">
            <v>46055</v>
          </cell>
          <cell r="O204">
            <v>46056</v>
          </cell>
          <cell r="P204">
            <v>1</v>
          </cell>
          <cell r="Q204">
            <v>46057</v>
          </cell>
          <cell r="R204">
            <v>5</v>
          </cell>
          <cell r="S204" t="str">
            <v>NA</v>
          </cell>
          <cell r="T204">
            <v>5</v>
          </cell>
        </row>
        <row r="205">
          <cell r="C205" t="str">
            <v>EMMC</v>
          </cell>
          <cell r="D205" t="str">
            <v>HSLB10759</v>
          </cell>
          <cell r="E205">
            <v>106003</v>
          </cell>
          <cell r="F205" t="str">
            <v>Equipo de Música</v>
          </cell>
          <cell r="G205" t="str">
            <v>NO</v>
          </cell>
          <cell r="H205" t="str">
            <v>SI</v>
          </cell>
          <cell r="I205" t="str">
            <v>SALA TALLER CHILE CRECE CONTIGO</v>
          </cell>
          <cell r="J205">
            <v>1</v>
          </cell>
          <cell r="K205" t="str">
            <v>C.3.6.1.10</v>
          </cell>
          <cell r="L205" t="str">
            <v>Chile Crece Contigo</v>
          </cell>
          <cell r="M205">
            <v>4</v>
          </cell>
          <cell r="N205">
            <v>46003</v>
          </cell>
          <cell r="O205">
            <v>46006</v>
          </cell>
          <cell r="P205">
            <v>1</v>
          </cell>
          <cell r="Q205">
            <v>46007</v>
          </cell>
          <cell r="R205">
            <v>5</v>
          </cell>
          <cell r="S205" t="str">
            <v>NA</v>
          </cell>
          <cell r="T205">
            <v>5</v>
          </cell>
        </row>
        <row r="206">
          <cell r="C206" t="str">
            <v>EMMC</v>
          </cell>
          <cell r="D206" t="str">
            <v>HSLB12134</v>
          </cell>
          <cell r="E206">
            <v>112054</v>
          </cell>
          <cell r="F206" t="str">
            <v>Escabel</v>
          </cell>
          <cell r="G206" t="str">
            <v>NO</v>
          </cell>
          <cell r="H206" t="str">
            <v>NO</v>
          </cell>
          <cell r="I206" t="str">
            <v>SALA 4 CAMAS</v>
          </cell>
          <cell r="J206">
            <v>1</v>
          </cell>
          <cell r="K206" t="str">
            <v>C.3.6.1.18.1</v>
          </cell>
          <cell r="L206" t="str">
            <v>Neonatología</v>
          </cell>
          <cell r="M206">
            <v>4</v>
          </cell>
          <cell r="N206">
            <v>46055</v>
          </cell>
          <cell r="O206">
            <v>46056</v>
          </cell>
          <cell r="P206">
            <v>1</v>
          </cell>
          <cell r="Q206">
            <v>46057</v>
          </cell>
          <cell r="R206">
            <v>5</v>
          </cell>
          <cell r="S206" t="str">
            <v>NA</v>
          </cell>
          <cell r="T206">
            <v>5</v>
          </cell>
        </row>
        <row r="207">
          <cell r="C207" t="str">
            <v>EMMC</v>
          </cell>
          <cell r="D207" t="str">
            <v>HSLB12135</v>
          </cell>
          <cell r="E207">
            <v>112054</v>
          </cell>
          <cell r="F207" t="str">
            <v>Escabel</v>
          </cell>
          <cell r="G207" t="str">
            <v>NO</v>
          </cell>
          <cell r="H207" t="str">
            <v>NO</v>
          </cell>
          <cell r="I207" t="str">
            <v>SALA 4 CAMAS</v>
          </cell>
          <cell r="J207">
            <v>1</v>
          </cell>
          <cell r="K207" t="str">
            <v>C.3.6.1.18.2</v>
          </cell>
          <cell r="L207" t="str">
            <v>Neonatología</v>
          </cell>
          <cell r="M207">
            <v>4</v>
          </cell>
          <cell r="N207">
            <v>46055</v>
          </cell>
          <cell r="O207">
            <v>46056</v>
          </cell>
          <cell r="P207">
            <v>1</v>
          </cell>
          <cell r="Q207">
            <v>46057</v>
          </cell>
          <cell r="R207">
            <v>5</v>
          </cell>
          <cell r="S207" t="str">
            <v>NA</v>
          </cell>
          <cell r="T207">
            <v>5</v>
          </cell>
        </row>
        <row r="208">
          <cell r="C208" t="str">
            <v>EMMC</v>
          </cell>
          <cell r="D208" t="str">
            <v>HSLB12136</v>
          </cell>
          <cell r="E208">
            <v>112054</v>
          </cell>
          <cell r="F208" t="str">
            <v>Escabel</v>
          </cell>
          <cell r="G208" t="str">
            <v>NO</v>
          </cell>
          <cell r="H208" t="str">
            <v>NO</v>
          </cell>
          <cell r="I208" t="str">
            <v>SALA 4 CAMAS</v>
          </cell>
          <cell r="J208">
            <v>1</v>
          </cell>
          <cell r="K208" t="str">
            <v>C.3.6.1.18.3</v>
          </cell>
          <cell r="L208" t="str">
            <v>Neonatología</v>
          </cell>
          <cell r="M208">
            <v>4</v>
          </cell>
          <cell r="N208">
            <v>46055</v>
          </cell>
          <cell r="O208">
            <v>46056</v>
          </cell>
          <cell r="P208">
            <v>1</v>
          </cell>
          <cell r="Q208">
            <v>46057</v>
          </cell>
          <cell r="R208">
            <v>5</v>
          </cell>
          <cell r="S208" t="str">
            <v>NA</v>
          </cell>
          <cell r="T208">
            <v>5</v>
          </cell>
        </row>
        <row r="209">
          <cell r="C209" t="str">
            <v>EMMC</v>
          </cell>
          <cell r="D209" t="str">
            <v>HSLB12137</v>
          </cell>
          <cell r="E209">
            <v>112054</v>
          </cell>
          <cell r="F209" t="str">
            <v>Escabel</v>
          </cell>
          <cell r="G209" t="str">
            <v>NO</v>
          </cell>
          <cell r="H209" t="str">
            <v>NO</v>
          </cell>
          <cell r="I209" t="str">
            <v>SALA 4 CAMAS</v>
          </cell>
          <cell r="J209">
            <v>1</v>
          </cell>
          <cell r="K209" t="str">
            <v>C.3.6.1.18.4</v>
          </cell>
          <cell r="L209" t="str">
            <v>Neonatología</v>
          </cell>
          <cell r="M209">
            <v>4</v>
          </cell>
          <cell r="N209">
            <v>46055</v>
          </cell>
          <cell r="O209">
            <v>46056</v>
          </cell>
          <cell r="P209">
            <v>1</v>
          </cell>
          <cell r="Q209">
            <v>46057</v>
          </cell>
          <cell r="R209">
            <v>5</v>
          </cell>
          <cell r="S209" t="str">
            <v>NA</v>
          </cell>
          <cell r="T209">
            <v>5</v>
          </cell>
        </row>
        <row r="210">
          <cell r="C210" t="str">
            <v>EMMC</v>
          </cell>
          <cell r="D210" t="str">
            <v>HSLB12138</v>
          </cell>
          <cell r="E210">
            <v>112054</v>
          </cell>
          <cell r="F210" t="str">
            <v>Escabel</v>
          </cell>
          <cell r="G210" t="str">
            <v>NO</v>
          </cell>
          <cell r="H210" t="str">
            <v>NO</v>
          </cell>
          <cell r="I210" t="str">
            <v>SALA 1 CAMA</v>
          </cell>
          <cell r="J210">
            <v>1</v>
          </cell>
          <cell r="K210" t="str">
            <v>C.3.6.1.18.5</v>
          </cell>
          <cell r="L210" t="str">
            <v>Neonatología</v>
          </cell>
          <cell r="M210">
            <v>4</v>
          </cell>
          <cell r="N210">
            <v>46055</v>
          </cell>
          <cell r="O210">
            <v>46056</v>
          </cell>
          <cell r="P210">
            <v>1</v>
          </cell>
          <cell r="Q210">
            <v>46057</v>
          </cell>
          <cell r="R210">
            <v>5</v>
          </cell>
          <cell r="S210" t="str">
            <v>NA</v>
          </cell>
          <cell r="T210">
            <v>5</v>
          </cell>
        </row>
        <row r="211">
          <cell r="C211" t="str">
            <v>EMMC</v>
          </cell>
          <cell r="D211" t="str">
            <v>HSLB12139</v>
          </cell>
          <cell r="E211">
            <v>112054</v>
          </cell>
          <cell r="F211" t="str">
            <v>Escabel</v>
          </cell>
          <cell r="G211" t="str">
            <v>NO</v>
          </cell>
          <cell r="H211" t="str">
            <v>NO</v>
          </cell>
          <cell r="I211" t="str">
            <v>SALA 1 CAMA</v>
          </cell>
          <cell r="J211">
            <v>1</v>
          </cell>
          <cell r="K211" t="str">
            <v>C.3.6.1.18.6</v>
          </cell>
          <cell r="L211" t="str">
            <v>Neonatología</v>
          </cell>
          <cell r="M211">
            <v>4</v>
          </cell>
          <cell r="N211">
            <v>46055</v>
          </cell>
          <cell r="O211">
            <v>46056</v>
          </cell>
          <cell r="P211">
            <v>1</v>
          </cell>
          <cell r="Q211">
            <v>46057</v>
          </cell>
          <cell r="R211">
            <v>5</v>
          </cell>
          <cell r="S211" t="str">
            <v>NA</v>
          </cell>
          <cell r="T211">
            <v>5</v>
          </cell>
        </row>
        <row r="212">
          <cell r="C212" t="str">
            <v>EMMC</v>
          </cell>
          <cell r="D212" t="str">
            <v>HSLB12140</v>
          </cell>
          <cell r="E212">
            <v>112054</v>
          </cell>
          <cell r="F212" t="str">
            <v>Escabel</v>
          </cell>
          <cell r="G212" t="str">
            <v>NO</v>
          </cell>
          <cell r="H212" t="str">
            <v>NO</v>
          </cell>
          <cell r="I212" t="str">
            <v>SALA 4 CAMAS</v>
          </cell>
          <cell r="J212">
            <v>1</v>
          </cell>
          <cell r="K212" t="str">
            <v>C.3.6.1.19</v>
          </cell>
          <cell r="L212" t="str">
            <v>Neonatología</v>
          </cell>
          <cell r="M212">
            <v>4</v>
          </cell>
          <cell r="N212">
            <v>46055</v>
          </cell>
          <cell r="O212">
            <v>46056</v>
          </cell>
          <cell r="P212">
            <v>1</v>
          </cell>
          <cell r="Q212">
            <v>46057</v>
          </cell>
          <cell r="R212">
            <v>5</v>
          </cell>
          <cell r="S212" t="str">
            <v>NA</v>
          </cell>
          <cell r="T212">
            <v>5</v>
          </cell>
        </row>
        <row r="213">
          <cell r="C213" t="str">
            <v>EMMC</v>
          </cell>
          <cell r="D213" t="str">
            <v>HSLB12141</v>
          </cell>
          <cell r="E213">
            <v>112054</v>
          </cell>
          <cell r="F213" t="str">
            <v>Escabel</v>
          </cell>
          <cell r="G213" t="str">
            <v>NO</v>
          </cell>
          <cell r="H213" t="str">
            <v>NO</v>
          </cell>
          <cell r="I213" t="str">
            <v>SALA 4 CAMAS</v>
          </cell>
          <cell r="J213">
            <v>1</v>
          </cell>
          <cell r="K213" t="str">
            <v>C.3.6.1.20.1</v>
          </cell>
          <cell r="L213" t="str">
            <v>Hospitalización</v>
          </cell>
          <cell r="M213">
            <v>4</v>
          </cell>
          <cell r="N213">
            <v>46055</v>
          </cell>
          <cell r="O213">
            <v>46056</v>
          </cell>
          <cell r="P213">
            <v>1</v>
          </cell>
          <cell r="Q213">
            <v>46057</v>
          </cell>
          <cell r="R213">
            <v>5</v>
          </cell>
          <cell r="S213" t="str">
            <v>NA</v>
          </cell>
          <cell r="T213">
            <v>5</v>
          </cell>
        </row>
        <row r="214">
          <cell r="C214" t="str">
            <v>EMMC</v>
          </cell>
          <cell r="D214" t="str">
            <v>HSLB12142</v>
          </cell>
          <cell r="E214">
            <v>112054</v>
          </cell>
          <cell r="F214" t="str">
            <v>Escabel</v>
          </cell>
          <cell r="G214" t="str">
            <v>NO</v>
          </cell>
          <cell r="H214" t="str">
            <v>SI</v>
          </cell>
          <cell r="I214" t="str">
            <v>SALA 4 CAMAS</v>
          </cell>
          <cell r="J214">
            <v>1</v>
          </cell>
          <cell r="K214" t="str">
            <v>C.3.6.1.20.2</v>
          </cell>
          <cell r="L214" t="str">
            <v>Hospitalización</v>
          </cell>
          <cell r="M214">
            <v>4</v>
          </cell>
          <cell r="N214">
            <v>46003</v>
          </cell>
          <cell r="O214">
            <v>46006</v>
          </cell>
          <cell r="P214">
            <v>1</v>
          </cell>
          <cell r="Q214">
            <v>46007</v>
          </cell>
          <cell r="R214">
            <v>5</v>
          </cell>
          <cell r="S214" t="str">
            <v>NA</v>
          </cell>
          <cell r="T214">
            <v>5</v>
          </cell>
        </row>
        <row r="215">
          <cell r="C215" t="str">
            <v>EMMC</v>
          </cell>
          <cell r="D215" t="str">
            <v>HSLB12143</v>
          </cell>
          <cell r="E215">
            <v>112054</v>
          </cell>
          <cell r="F215" t="str">
            <v>Escabel</v>
          </cell>
          <cell r="G215" t="str">
            <v>NO</v>
          </cell>
          <cell r="H215" t="str">
            <v>NO</v>
          </cell>
          <cell r="I215" t="str">
            <v>SALA 4 CAMAS</v>
          </cell>
          <cell r="J215">
            <v>1</v>
          </cell>
          <cell r="K215" t="str">
            <v>C.3.6.1.20.3</v>
          </cell>
          <cell r="L215" t="str">
            <v>Hospitalización</v>
          </cell>
          <cell r="M215">
            <v>4</v>
          </cell>
          <cell r="N215">
            <v>46055</v>
          </cell>
          <cell r="O215">
            <v>46056</v>
          </cell>
          <cell r="P215">
            <v>1</v>
          </cell>
          <cell r="Q215">
            <v>46057</v>
          </cell>
          <cell r="R215">
            <v>5</v>
          </cell>
          <cell r="S215" t="str">
            <v>NA</v>
          </cell>
          <cell r="T215">
            <v>5</v>
          </cell>
        </row>
        <row r="216">
          <cell r="C216" t="str">
            <v>EMMC</v>
          </cell>
          <cell r="D216" t="str">
            <v>HSLB12144</v>
          </cell>
          <cell r="E216">
            <v>112054</v>
          </cell>
          <cell r="F216" t="str">
            <v>Escabel</v>
          </cell>
          <cell r="G216" t="str">
            <v>NO</v>
          </cell>
          <cell r="H216" t="str">
            <v>NO</v>
          </cell>
          <cell r="I216" t="str">
            <v>SALA 4 CAMAS</v>
          </cell>
          <cell r="J216">
            <v>1</v>
          </cell>
          <cell r="K216" t="str">
            <v>C.3.6.1.21.1</v>
          </cell>
          <cell r="L216" t="str">
            <v>Hospitalización</v>
          </cell>
          <cell r="M216">
            <v>4</v>
          </cell>
          <cell r="N216">
            <v>46055</v>
          </cell>
          <cell r="O216">
            <v>46056</v>
          </cell>
          <cell r="P216">
            <v>1</v>
          </cell>
          <cell r="Q216">
            <v>46057</v>
          </cell>
          <cell r="R216">
            <v>5</v>
          </cell>
          <cell r="S216" t="str">
            <v>NA</v>
          </cell>
          <cell r="T216">
            <v>5</v>
          </cell>
        </row>
        <row r="217">
          <cell r="C217" t="str">
            <v>EMMC</v>
          </cell>
          <cell r="D217" t="str">
            <v>HSLB12145</v>
          </cell>
          <cell r="E217">
            <v>112054</v>
          </cell>
          <cell r="F217" t="str">
            <v>Escabel</v>
          </cell>
          <cell r="G217" t="str">
            <v>NO</v>
          </cell>
          <cell r="H217" t="str">
            <v>NO</v>
          </cell>
          <cell r="I217" t="str">
            <v>SALA 1 CAMA AISLAMIENTO</v>
          </cell>
          <cell r="J217">
            <v>1</v>
          </cell>
          <cell r="K217" t="str">
            <v>C.3.6.1.23.1</v>
          </cell>
          <cell r="L217" t="str">
            <v>Hospitalización</v>
          </cell>
          <cell r="M217">
            <v>4</v>
          </cell>
          <cell r="N217">
            <v>46055</v>
          </cell>
          <cell r="O217">
            <v>46056</v>
          </cell>
          <cell r="P217">
            <v>1</v>
          </cell>
          <cell r="Q217">
            <v>46057</v>
          </cell>
          <cell r="R217">
            <v>5</v>
          </cell>
          <cell r="S217" t="str">
            <v>NA</v>
          </cell>
          <cell r="T217">
            <v>5</v>
          </cell>
        </row>
        <row r="218">
          <cell r="C218" t="str">
            <v>EMMC</v>
          </cell>
          <cell r="D218" t="str">
            <v>HSLB12146</v>
          </cell>
          <cell r="E218">
            <v>112054</v>
          </cell>
          <cell r="F218" t="str">
            <v>Escabel</v>
          </cell>
          <cell r="G218" t="str">
            <v>NO</v>
          </cell>
          <cell r="H218" t="str">
            <v>NO</v>
          </cell>
          <cell r="I218" t="str">
            <v>SALA 1 CAMA AISLAMIENTO</v>
          </cell>
          <cell r="J218">
            <v>1</v>
          </cell>
          <cell r="K218" t="str">
            <v>C.3.6.1.23.2</v>
          </cell>
          <cell r="L218" t="str">
            <v>Hospitalización</v>
          </cell>
          <cell r="M218">
            <v>4</v>
          </cell>
          <cell r="N218">
            <v>46055</v>
          </cell>
          <cell r="O218">
            <v>46056</v>
          </cell>
          <cell r="P218">
            <v>1</v>
          </cell>
          <cell r="Q218">
            <v>46057</v>
          </cell>
          <cell r="R218">
            <v>5</v>
          </cell>
          <cell r="S218" t="str">
            <v>NA</v>
          </cell>
          <cell r="T218">
            <v>5</v>
          </cell>
        </row>
        <row r="219">
          <cell r="C219" t="str">
            <v>EMMC</v>
          </cell>
          <cell r="D219" t="str">
            <v>HSLB12147</v>
          </cell>
          <cell r="E219">
            <v>112054</v>
          </cell>
          <cell r="F219" t="str">
            <v>Escabel</v>
          </cell>
          <cell r="G219" t="str">
            <v>NO</v>
          </cell>
          <cell r="H219" t="str">
            <v>NO</v>
          </cell>
          <cell r="I219" t="str">
            <v>SALA DE PROCEDIMIENTOS</v>
          </cell>
          <cell r="J219">
            <v>1</v>
          </cell>
          <cell r="K219" t="str">
            <v>C.3.6.1.24</v>
          </cell>
          <cell r="L219" t="str">
            <v>Hospitalización</v>
          </cell>
          <cell r="M219">
            <v>4</v>
          </cell>
          <cell r="N219">
            <v>46055</v>
          </cell>
          <cell r="O219">
            <v>46056</v>
          </cell>
          <cell r="P219">
            <v>1</v>
          </cell>
          <cell r="Q219">
            <v>46057</v>
          </cell>
          <cell r="R219">
            <v>5</v>
          </cell>
          <cell r="S219" t="str">
            <v>NA</v>
          </cell>
          <cell r="T219">
            <v>5</v>
          </cell>
        </row>
        <row r="220">
          <cell r="C220" t="str">
            <v>EMMC</v>
          </cell>
          <cell r="D220" t="str">
            <v>HSLB10667</v>
          </cell>
          <cell r="E220">
            <v>105009</v>
          </cell>
          <cell r="F220" t="str">
            <v>Extractor de Leche Automático</v>
          </cell>
          <cell r="G220" t="str">
            <v>NO</v>
          </cell>
          <cell r="H220" t="str">
            <v>NO</v>
          </cell>
          <cell r="I220" t="str">
            <v>LACTARIO</v>
          </cell>
          <cell r="J220">
            <v>2</v>
          </cell>
          <cell r="K220" t="str">
            <v>C.3.6.1.31.4</v>
          </cell>
          <cell r="L220" t="str">
            <v>Neonatología</v>
          </cell>
          <cell r="M220">
            <v>4</v>
          </cell>
          <cell r="N220">
            <v>46055</v>
          </cell>
          <cell r="O220">
            <v>46056</v>
          </cell>
          <cell r="P220">
            <v>1</v>
          </cell>
          <cell r="Q220">
            <v>46057</v>
          </cell>
          <cell r="R220">
            <v>5</v>
          </cell>
          <cell r="S220" t="str">
            <v>NA</v>
          </cell>
          <cell r="T220">
            <v>5</v>
          </cell>
        </row>
        <row r="221">
          <cell r="C221" t="str">
            <v>EMMC</v>
          </cell>
          <cell r="D221" t="str">
            <v>HSLB10669</v>
          </cell>
          <cell r="E221">
            <v>105010</v>
          </cell>
          <cell r="F221" t="str">
            <v>Extractor de Leche Manual</v>
          </cell>
          <cell r="G221" t="str">
            <v>NO</v>
          </cell>
          <cell r="H221" t="str">
            <v>NO</v>
          </cell>
          <cell r="I221" t="str">
            <v>LACTARIO</v>
          </cell>
          <cell r="J221">
            <v>1</v>
          </cell>
          <cell r="K221" t="str">
            <v>C.3.6.1.31.4</v>
          </cell>
          <cell r="L221" t="str">
            <v>Neonatología</v>
          </cell>
          <cell r="M221">
            <v>4</v>
          </cell>
          <cell r="N221">
            <v>46055</v>
          </cell>
          <cell r="O221">
            <v>46056</v>
          </cell>
          <cell r="P221">
            <v>1</v>
          </cell>
          <cell r="Q221">
            <v>46057</v>
          </cell>
          <cell r="R221">
            <v>5</v>
          </cell>
          <cell r="S221" t="str">
            <v>NA</v>
          </cell>
          <cell r="T221">
            <v>5</v>
          </cell>
        </row>
        <row r="222">
          <cell r="C222" t="str">
            <v>EMMC</v>
          </cell>
          <cell r="D222" t="str">
            <v>HSLB10791</v>
          </cell>
          <cell r="E222">
            <v>106007</v>
          </cell>
          <cell r="F222" t="str">
            <v>Hervidor Eléctrico</v>
          </cell>
          <cell r="G222" t="str">
            <v>NO</v>
          </cell>
          <cell r="H222" t="str">
            <v>NO</v>
          </cell>
          <cell r="I222" t="str">
            <v>ESTAR PERSONAL C/ KITCHENETTE</v>
          </cell>
          <cell r="J222">
            <v>1</v>
          </cell>
          <cell r="K222" t="str">
            <v>C.3.6.1.41.1</v>
          </cell>
          <cell r="L222" t="str">
            <v>Hospitalización</v>
          </cell>
          <cell r="M222">
            <v>4</v>
          </cell>
          <cell r="N222">
            <v>46055</v>
          </cell>
          <cell r="O222">
            <v>46056</v>
          </cell>
          <cell r="P222">
            <v>1</v>
          </cell>
          <cell r="Q222">
            <v>46057</v>
          </cell>
          <cell r="R222">
            <v>5</v>
          </cell>
          <cell r="S222" t="str">
            <v>NA</v>
          </cell>
          <cell r="T222">
            <v>5</v>
          </cell>
        </row>
        <row r="223">
          <cell r="C223" t="str">
            <v>EMMC</v>
          </cell>
          <cell r="D223" t="str">
            <v>HSLB10792</v>
          </cell>
          <cell r="E223">
            <v>106007</v>
          </cell>
          <cell r="F223" t="str">
            <v>Hervidor Eléctrico</v>
          </cell>
          <cell r="G223" t="str">
            <v>NO</v>
          </cell>
          <cell r="H223" t="str">
            <v>NO</v>
          </cell>
          <cell r="I223" t="str">
            <v>ESTAR PERSONAL C/ KITCHENETTE</v>
          </cell>
          <cell r="J223">
            <v>1</v>
          </cell>
          <cell r="K223" t="str">
            <v>C.3.6.1.41.2</v>
          </cell>
          <cell r="L223" t="str">
            <v>Hospitalización</v>
          </cell>
          <cell r="M223">
            <v>4</v>
          </cell>
          <cell r="N223">
            <v>46055</v>
          </cell>
          <cell r="O223">
            <v>46056</v>
          </cell>
          <cell r="P223">
            <v>1</v>
          </cell>
          <cell r="Q223">
            <v>46057</v>
          </cell>
          <cell r="R223">
            <v>5</v>
          </cell>
          <cell r="S223" t="str">
            <v>NA</v>
          </cell>
          <cell r="T223">
            <v>5</v>
          </cell>
        </row>
        <row r="224">
          <cell r="C224" t="str">
            <v>EMMC</v>
          </cell>
          <cell r="D224" t="str">
            <v>HSLB10793</v>
          </cell>
          <cell r="E224">
            <v>106007</v>
          </cell>
          <cell r="F224" t="str">
            <v>Hervidor Eléctrico</v>
          </cell>
          <cell r="G224" t="str">
            <v>NO</v>
          </cell>
          <cell r="H224" t="str">
            <v>NO</v>
          </cell>
          <cell r="I224" t="str">
            <v>SALA DE ESTAR FAMILIARES Y ENTREVISTAS</v>
          </cell>
          <cell r="J224">
            <v>1</v>
          </cell>
          <cell r="K224" t="str">
            <v>C.3.6.1.6</v>
          </cell>
          <cell r="L224" t="str">
            <v>Hospitalización</v>
          </cell>
          <cell r="M224">
            <v>4</v>
          </cell>
          <cell r="N224">
            <v>46055</v>
          </cell>
          <cell r="O224">
            <v>46056</v>
          </cell>
          <cell r="P224">
            <v>1</v>
          </cell>
          <cell r="Q224">
            <v>46057</v>
          </cell>
          <cell r="R224">
            <v>5</v>
          </cell>
          <cell r="S224" t="str">
            <v>NA</v>
          </cell>
          <cell r="T224">
            <v>5</v>
          </cell>
        </row>
        <row r="225">
          <cell r="C225" t="str">
            <v>EMMC</v>
          </cell>
          <cell r="D225" t="str">
            <v>HSLB10798</v>
          </cell>
          <cell r="E225">
            <v>106007</v>
          </cell>
          <cell r="F225" t="str">
            <v>Hervidor Eléctrico</v>
          </cell>
          <cell r="G225" t="str">
            <v>NO</v>
          </cell>
          <cell r="H225" t="str">
            <v>NO</v>
          </cell>
          <cell r="I225" t="str">
            <v>ESTAR PERSONAL C/ KITCHENETTE</v>
          </cell>
          <cell r="J225">
            <v>1</v>
          </cell>
          <cell r="K225" t="str">
            <v>C.3.8.2.1</v>
          </cell>
          <cell r="L225" t="str">
            <v>Neonatología</v>
          </cell>
          <cell r="M225">
            <v>4</v>
          </cell>
          <cell r="N225">
            <v>46055</v>
          </cell>
          <cell r="O225">
            <v>46056</v>
          </cell>
          <cell r="P225">
            <v>1</v>
          </cell>
          <cell r="Q225">
            <v>46057</v>
          </cell>
          <cell r="R225">
            <v>5</v>
          </cell>
          <cell r="S225" t="str">
            <v>NA</v>
          </cell>
          <cell r="T225">
            <v>5</v>
          </cell>
        </row>
        <row r="226">
          <cell r="C226" t="str">
            <v>EMMC</v>
          </cell>
          <cell r="D226" t="str">
            <v>HSLB10811</v>
          </cell>
          <cell r="E226">
            <v>106007</v>
          </cell>
          <cell r="F226" t="str">
            <v>Hervidor Eléctrico</v>
          </cell>
          <cell r="G226" t="str">
            <v>NO</v>
          </cell>
          <cell r="H226" t="str">
            <v>NO</v>
          </cell>
          <cell r="I226" t="str">
            <v>ESTAR PERSONAL C/ KITCHENETTE</v>
          </cell>
          <cell r="J226">
            <v>1</v>
          </cell>
          <cell r="K226" t="str">
            <v>C.5.8.1.2.2</v>
          </cell>
          <cell r="L226" t="str">
            <v>Sedile</v>
          </cell>
          <cell r="M226">
            <v>4</v>
          </cell>
          <cell r="N226">
            <v>46055</v>
          </cell>
          <cell r="O226">
            <v>46056</v>
          </cell>
          <cell r="P226">
            <v>1</v>
          </cell>
          <cell r="Q226">
            <v>46057</v>
          </cell>
          <cell r="R226">
            <v>5</v>
          </cell>
          <cell r="S226" t="str">
            <v>NA</v>
          </cell>
          <cell r="T226">
            <v>5</v>
          </cell>
        </row>
        <row r="227">
          <cell r="C227" t="str">
            <v>EMMC</v>
          </cell>
          <cell r="D227" t="str">
            <v>HSLB10846</v>
          </cell>
          <cell r="E227">
            <v>106010</v>
          </cell>
          <cell r="F227" t="str">
            <v>Microondas</v>
          </cell>
          <cell r="G227" t="str">
            <v>NO</v>
          </cell>
          <cell r="H227" t="str">
            <v>NO</v>
          </cell>
          <cell r="I227" t="str">
            <v>ESTAR PERSONAL C/ KITCHENETTE</v>
          </cell>
          <cell r="J227">
            <v>1</v>
          </cell>
          <cell r="K227" t="str">
            <v>C.3.6.1.41.1</v>
          </cell>
          <cell r="L227" t="str">
            <v>Hospitalización</v>
          </cell>
          <cell r="M227">
            <v>4</v>
          </cell>
          <cell r="N227">
            <v>46055</v>
          </cell>
          <cell r="O227">
            <v>46056</v>
          </cell>
          <cell r="P227">
            <v>1</v>
          </cell>
          <cell r="Q227">
            <v>46057</v>
          </cell>
          <cell r="R227">
            <v>5</v>
          </cell>
          <cell r="S227" t="str">
            <v>NA</v>
          </cell>
          <cell r="T227">
            <v>5</v>
          </cell>
        </row>
        <row r="228">
          <cell r="C228" t="str">
            <v>EMMC</v>
          </cell>
          <cell r="D228" t="str">
            <v>HSLB10847</v>
          </cell>
          <cell r="E228">
            <v>106010</v>
          </cell>
          <cell r="F228" t="str">
            <v>Microondas</v>
          </cell>
          <cell r="G228" t="str">
            <v>NO</v>
          </cell>
          <cell r="H228" t="str">
            <v>NO</v>
          </cell>
          <cell r="I228" t="str">
            <v>ESTAR PERSONAL C/ KITCHENETTE</v>
          </cell>
          <cell r="J228">
            <v>1</v>
          </cell>
          <cell r="K228" t="str">
            <v>C.3.6.1.41.2</v>
          </cell>
          <cell r="L228" t="str">
            <v>Hospitalización</v>
          </cell>
          <cell r="M228">
            <v>4</v>
          </cell>
          <cell r="N228">
            <v>46055</v>
          </cell>
          <cell r="O228">
            <v>46056</v>
          </cell>
          <cell r="P228">
            <v>1</v>
          </cell>
          <cell r="Q228">
            <v>46057</v>
          </cell>
          <cell r="R228">
            <v>5</v>
          </cell>
          <cell r="S228" t="str">
            <v>NA</v>
          </cell>
          <cell r="T228">
            <v>5</v>
          </cell>
        </row>
        <row r="229">
          <cell r="C229" t="str">
            <v>EMMC</v>
          </cell>
          <cell r="D229" t="str">
            <v>HSLB10851</v>
          </cell>
          <cell r="E229">
            <v>106010</v>
          </cell>
          <cell r="F229" t="str">
            <v>Microondas</v>
          </cell>
          <cell r="G229" t="str">
            <v>NO</v>
          </cell>
          <cell r="H229" t="str">
            <v>NO</v>
          </cell>
          <cell r="I229" t="str">
            <v>ESTAR PERSONAL C/ KITCHENETTE</v>
          </cell>
          <cell r="J229">
            <v>1</v>
          </cell>
          <cell r="K229" t="str">
            <v>C.3.8.2.1</v>
          </cell>
          <cell r="L229" t="str">
            <v>Neonatología</v>
          </cell>
          <cell r="M229">
            <v>4</v>
          </cell>
          <cell r="N229">
            <v>46055</v>
          </cell>
          <cell r="O229">
            <v>46056</v>
          </cell>
          <cell r="P229">
            <v>1</v>
          </cell>
          <cell r="Q229">
            <v>46057</v>
          </cell>
          <cell r="R229">
            <v>5</v>
          </cell>
          <cell r="S229" t="str">
            <v>NA</v>
          </cell>
          <cell r="T229">
            <v>5</v>
          </cell>
        </row>
        <row r="230">
          <cell r="C230" t="str">
            <v>EMMC</v>
          </cell>
          <cell r="D230" t="str">
            <v>HSLB10864</v>
          </cell>
          <cell r="E230">
            <v>106010</v>
          </cell>
          <cell r="F230" t="str">
            <v>Microondas</v>
          </cell>
          <cell r="G230" t="str">
            <v>NO</v>
          </cell>
          <cell r="H230" t="str">
            <v>NO</v>
          </cell>
          <cell r="I230" t="str">
            <v>ESTAR PERSONAL C/ KITCHENETTE</v>
          </cell>
          <cell r="J230">
            <v>1</v>
          </cell>
          <cell r="K230" t="str">
            <v>C.5.8.1.2.2</v>
          </cell>
          <cell r="L230" t="str">
            <v>Sedile</v>
          </cell>
          <cell r="M230">
            <v>4</v>
          </cell>
          <cell r="N230">
            <v>46055</v>
          </cell>
          <cell r="O230">
            <v>46056</v>
          </cell>
          <cell r="P230">
            <v>1</v>
          </cell>
          <cell r="Q230">
            <v>46057</v>
          </cell>
          <cell r="R230">
            <v>5</v>
          </cell>
          <cell r="S230" t="str">
            <v>NA</v>
          </cell>
          <cell r="T230">
            <v>5</v>
          </cell>
        </row>
        <row r="231">
          <cell r="C231" t="str">
            <v>EMMC</v>
          </cell>
          <cell r="D231" t="str">
            <v>HSLB10886</v>
          </cell>
          <cell r="E231">
            <v>106010</v>
          </cell>
          <cell r="F231" t="str">
            <v>Microondas</v>
          </cell>
          <cell r="G231" t="str">
            <v>NO</v>
          </cell>
          <cell r="H231" t="str">
            <v>NO</v>
          </cell>
          <cell r="I231" t="str">
            <v>DISTRIBUCIÓN</v>
          </cell>
          <cell r="J231">
            <v>1</v>
          </cell>
          <cell r="K231" t="str">
            <v>C.5.8.1.2.12</v>
          </cell>
          <cell r="L231" t="str">
            <v>Sedile</v>
          </cell>
          <cell r="M231">
            <v>4</v>
          </cell>
          <cell r="N231">
            <v>46055</v>
          </cell>
          <cell r="O231">
            <v>46056</v>
          </cell>
          <cell r="P231">
            <v>1</v>
          </cell>
          <cell r="Q231">
            <v>46057</v>
          </cell>
          <cell r="R231">
            <v>5</v>
          </cell>
          <cell r="S231" t="str">
            <v>NA</v>
          </cell>
          <cell r="T231">
            <v>5</v>
          </cell>
        </row>
        <row r="232">
          <cell r="C232" t="str">
            <v>EMMC</v>
          </cell>
          <cell r="D232" t="str">
            <v>HSLB11392</v>
          </cell>
          <cell r="E232">
            <v>110039</v>
          </cell>
          <cell r="F232" t="str">
            <v>Nevera</v>
          </cell>
          <cell r="G232" t="str">
            <v>NO</v>
          </cell>
          <cell r="H232" t="str">
            <v>NO</v>
          </cell>
          <cell r="I232" t="str">
            <v>LACTARIO</v>
          </cell>
          <cell r="J232">
            <v>1</v>
          </cell>
          <cell r="K232" t="str">
            <v>C.3.6.1.31.4</v>
          </cell>
          <cell r="L232" t="str">
            <v>Neonatología</v>
          </cell>
          <cell r="M232">
            <v>4</v>
          </cell>
          <cell r="N232">
            <v>46055</v>
          </cell>
          <cell r="O232">
            <v>46056</v>
          </cell>
          <cell r="P232">
            <v>1</v>
          </cell>
          <cell r="Q232">
            <v>46057</v>
          </cell>
          <cell r="R232">
            <v>5</v>
          </cell>
          <cell r="S232" t="str">
            <v>NA</v>
          </cell>
          <cell r="T232">
            <v>5</v>
          </cell>
        </row>
        <row r="233">
          <cell r="C233" t="str">
            <v>EMMC</v>
          </cell>
          <cell r="D233" t="str">
            <v>HSLB10226</v>
          </cell>
          <cell r="E233">
            <v>101054</v>
          </cell>
          <cell r="F233" t="str">
            <v>Otooftalmoscopio Portátil</v>
          </cell>
          <cell r="G233" t="str">
            <v>NO</v>
          </cell>
          <cell r="H233" t="str">
            <v>NO</v>
          </cell>
          <cell r="I233" t="str">
            <v>ESTACIÓN DE ENFERMERÍA</v>
          </cell>
          <cell r="J233">
            <v>1</v>
          </cell>
          <cell r="K233" t="str">
            <v>C.3.6.1.13.1</v>
          </cell>
          <cell r="L233" t="str">
            <v>Hospitalización</v>
          </cell>
          <cell r="M233">
            <v>4</v>
          </cell>
          <cell r="N233">
            <v>46055</v>
          </cell>
          <cell r="O233">
            <v>46056</v>
          </cell>
          <cell r="P233">
            <v>1</v>
          </cell>
          <cell r="Q233">
            <v>46057</v>
          </cell>
          <cell r="R233">
            <v>5</v>
          </cell>
          <cell r="S233" t="str">
            <v>NA</v>
          </cell>
          <cell r="T233">
            <v>5</v>
          </cell>
        </row>
        <row r="234">
          <cell r="C234" t="str">
            <v>EMMC</v>
          </cell>
          <cell r="D234" t="str">
            <v>HSLB10227</v>
          </cell>
          <cell r="E234">
            <v>101054</v>
          </cell>
          <cell r="F234" t="str">
            <v>Otooftalmoscopio Portátil</v>
          </cell>
          <cell r="G234" t="str">
            <v>NO</v>
          </cell>
          <cell r="H234" t="str">
            <v>NO</v>
          </cell>
          <cell r="I234" t="str">
            <v>ESTACIÓN DE ENFERMERÍA</v>
          </cell>
          <cell r="J234">
            <v>1</v>
          </cell>
          <cell r="K234" t="str">
            <v>C.3.6.1.13.2</v>
          </cell>
          <cell r="L234" t="str">
            <v>Hospitalización</v>
          </cell>
          <cell r="M234">
            <v>4</v>
          </cell>
          <cell r="N234">
            <v>46055</v>
          </cell>
          <cell r="O234">
            <v>46056</v>
          </cell>
          <cell r="P234">
            <v>1</v>
          </cell>
          <cell r="Q234">
            <v>46057</v>
          </cell>
          <cell r="R234">
            <v>5</v>
          </cell>
          <cell r="S234" t="str">
            <v>NA</v>
          </cell>
          <cell r="T234">
            <v>5</v>
          </cell>
        </row>
        <row r="235">
          <cell r="C235" t="str">
            <v>EMMC</v>
          </cell>
          <cell r="D235" t="str">
            <v>HSLB10228</v>
          </cell>
          <cell r="E235">
            <v>101054</v>
          </cell>
          <cell r="F235" t="str">
            <v>Otooftalmoscopio Portátil</v>
          </cell>
          <cell r="G235" t="str">
            <v>NO</v>
          </cell>
          <cell r="H235" t="str">
            <v>NO</v>
          </cell>
          <cell r="I235" t="str">
            <v>ESTACIÓN DE ENFERMERÍA</v>
          </cell>
          <cell r="J235">
            <v>1</v>
          </cell>
          <cell r="K235" t="str">
            <v>C.3.6.1.28</v>
          </cell>
          <cell r="L235" t="str">
            <v>Neonatología</v>
          </cell>
          <cell r="M235">
            <v>4</v>
          </cell>
          <cell r="N235">
            <v>46055</v>
          </cell>
          <cell r="O235">
            <v>46056</v>
          </cell>
          <cell r="P235">
            <v>1</v>
          </cell>
          <cell r="Q235">
            <v>46057</v>
          </cell>
          <cell r="R235">
            <v>5</v>
          </cell>
          <cell r="S235" t="str">
            <v>NA</v>
          </cell>
          <cell r="T235">
            <v>5</v>
          </cell>
        </row>
        <row r="236">
          <cell r="C236" t="str">
            <v>EMMC</v>
          </cell>
          <cell r="D236" t="str">
            <v>HSLB10892</v>
          </cell>
          <cell r="E236">
            <v>106012</v>
          </cell>
          <cell r="F236" t="str">
            <v>Oxímetro Ambiental</v>
          </cell>
          <cell r="G236" t="str">
            <v>NO</v>
          </cell>
          <cell r="H236" t="str">
            <v>NO</v>
          </cell>
          <cell r="I236" t="str">
            <v>ESTACIÓN DE ENFERMERÍA</v>
          </cell>
          <cell r="J236">
            <v>2</v>
          </cell>
          <cell r="K236" t="str">
            <v>C.3.6.1.28</v>
          </cell>
          <cell r="L236" t="str">
            <v>Neonatología</v>
          </cell>
          <cell r="M236">
            <v>4</v>
          </cell>
          <cell r="N236">
            <v>46055</v>
          </cell>
          <cell r="O236">
            <v>46056</v>
          </cell>
          <cell r="P236">
            <v>1</v>
          </cell>
          <cell r="Q236">
            <v>46057</v>
          </cell>
          <cell r="R236">
            <v>5</v>
          </cell>
          <cell r="S236" t="str">
            <v>NA</v>
          </cell>
          <cell r="T236">
            <v>5</v>
          </cell>
        </row>
        <row r="237">
          <cell r="C237" t="str">
            <v>EMMC</v>
          </cell>
          <cell r="D237" t="str">
            <v>HSLB12418</v>
          </cell>
          <cell r="E237">
            <v>112068</v>
          </cell>
          <cell r="F237" t="str">
            <v>Piso Taburete Clínico</v>
          </cell>
          <cell r="G237" t="str">
            <v>NO</v>
          </cell>
          <cell r="H237" t="str">
            <v>NO</v>
          </cell>
          <cell r="I237" t="str">
            <v>PREPARACION FROMULAS</v>
          </cell>
          <cell r="J237">
            <v>2</v>
          </cell>
          <cell r="K237" t="str">
            <v>C.5.8.1.2.9</v>
          </cell>
          <cell r="L237" t="str">
            <v>Sedile</v>
          </cell>
          <cell r="M237">
            <v>4</v>
          </cell>
          <cell r="N237">
            <v>46055</v>
          </cell>
          <cell r="O237">
            <v>46056</v>
          </cell>
          <cell r="P237">
            <v>1</v>
          </cell>
          <cell r="Q237">
            <v>46057</v>
          </cell>
          <cell r="R237">
            <v>5</v>
          </cell>
          <cell r="S237" t="str">
            <v>NA</v>
          </cell>
          <cell r="T237">
            <v>5</v>
          </cell>
        </row>
        <row r="238">
          <cell r="C238" t="str">
            <v>EMMC</v>
          </cell>
          <cell r="D238" t="str">
            <v>HSLB10908</v>
          </cell>
          <cell r="E238">
            <v>106013</v>
          </cell>
          <cell r="F238" t="str">
            <v>Proyector</v>
          </cell>
          <cell r="G238" t="str">
            <v>NO</v>
          </cell>
          <cell r="H238" t="str">
            <v>SI</v>
          </cell>
          <cell r="I238" t="str">
            <v>SALA TALLER CHILE CRECE CONTIGO</v>
          </cell>
          <cell r="J238">
            <v>1</v>
          </cell>
          <cell r="K238" t="str">
            <v>C.3.6.1.10</v>
          </cell>
          <cell r="L238" t="str">
            <v>Chile Crece Contigo</v>
          </cell>
          <cell r="M238">
            <v>4</v>
          </cell>
          <cell r="N238">
            <v>46003</v>
          </cell>
          <cell r="O238">
            <v>46006</v>
          </cell>
          <cell r="P238">
            <v>1</v>
          </cell>
          <cell r="Q238">
            <v>46007</v>
          </cell>
          <cell r="R238">
            <v>5</v>
          </cell>
          <cell r="S238" t="str">
            <v>NA</v>
          </cell>
          <cell r="T238">
            <v>5</v>
          </cell>
        </row>
        <row r="239">
          <cell r="C239" t="str">
            <v>EMMC</v>
          </cell>
          <cell r="D239" t="str">
            <v>HSLB10909</v>
          </cell>
          <cell r="E239">
            <v>106013</v>
          </cell>
          <cell r="F239" t="str">
            <v>Proyector</v>
          </cell>
          <cell r="G239" t="str">
            <v>NO</v>
          </cell>
          <cell r="H239" t="str">
            <v>NO</v>
          </cell>
          <cell r="I239" t="str">
            <v>SALA EDUCACIÓN AMAMANTAMIENTO</v>
          </cell>
          <cell r="J239">
            <v>1</v>
          </cell>
          <cell r="K239" t="str">
            <v>C.3.6.1.17</v>
          </cell>
          <cell r="L239" t="str">
            <v>Hospitalización</v>
          </cell>
          <cell r="M239">
            <v>4</v>
          </cell>
          <cell r="N239">
            <v>46055</v>
          </cell>
          <cell r="O239">
            <v>46056</v>
          </cell>
          <cell r="P239">
            <v>1</v>
          </cell>
          <cell r="Q239">
            <v>46057</v>
          </cell>
          <cell r="R239">
            <v>5</v>
          </cell>
          <cell r="S239" t="str">
            <v>NA</v>
          </cell>
          <cell r="T239">
            <v>5</v>
          </cell>
        </row>
        <row r="240">
          <cell r="C240" t="str">
            <v>EMMC</v>
          </cell>
          <cell r="D240" t="str">
            <v>HSLB11586</v>
          </cell>
          <cell r="E240">
            <v>111096</v>
          </cell>
          <cell r="F240" t="str">
            <v>Set Taller</v>
          </cell>
          <cell r="G240" t="str">
            <v>NO</v>
          </cell>
          <cell r="H240" t="str">
            <v>SI</v>
          </cell>
          <cell r="I240" t="str">
            <v>SALA TALLER CHILE CRECE CONTIGO</v>
          </cell>
          <cell r="J240">
            <v>1</v>
          </cell>
          <cell r="K240" t="str">
            <v>C.3.6.1.10</v>
          </cell>
          <cell r="L240" t="str">
            <v>Chile Crece Contigo</v>
          </cell>
          <cell r="M240">
            <v>4</v>
          </cell>
          <cell r="N240">
            <v>46003</v>
          </cell>
          <cell r="O240">
            <v>46006</v>
          </cell>
          <cell r="P240">
            <v>1</v>
          </cell>
          <cell r="Q240">
            <v>46007</v>
          </cell>
          <cell r="R240">
            <v>5</v>
          </cell>
          <cell r="S240" t="str">
            <v>NA</v>
          </cell>
          <cell r="T240">
            <v>5</v>
          </cell>
        </row>
        <row r="241">
          <cell r="C241" t="str">
            <v>EMMC</v>
          </cell>
          <cell r="D241" t="str">
            <v>HSLB12446</v>
          </cell>
          <cell r="E241">
            <v>112076</v>
          </cell>
          <cell r="F241" t="str">
            <v>Silla de Ducha Móvil</v>
          </cell>
          <cell r="G241" t="str">
            <v>NO</v>
          </cell>
          <cell r="H241" t="str">
            <v>NO</v>
          </cell>
          <cell r="I241" t="str">
            <v>ESTACIÓN DE ENFERMERÍA</v>
          </cell>
          <cell r="J241">
            <v>5</v>
          </cell>
          <cell r="K241" t="str">
            <v>C.3.6.1.13.1</v>
          </cell>
          <cell r="L241" t="str">
            <v>Hospitalización</v>
          </cell>
          <cell r="M241">
            <v>4</v>
          </cell>
          <cell r="N241">
            <v>46055</v>
          </cell>
          <cell r="O241">
            <v>46056</v>
          </cell>
          <cell r="P241">
            <v>1</v>
          </cell>
          <cell r="Q241">
            <v>46057</v>
          </cell>
          <cell r="R241">
            <v>5</v>
          </cell>
          <cell r="S241" t="str">
            <v>NA</v>
          </cell>
          <cell r="T241">
            <v>5</v>
          </cell>
        </row>
        <row r="242">
          <cell r="C242" t="str">
            <v>EMMC</v>
          </cell>
          <cell r="D242" t="str">
            <v>HSLB12447</v>
          </cell>
          <cell r="E242">
            <v>112076</v>
          </cell>
          <cell r="F242" t="str">
            <v>Silla de Ducha Móvil</v>
          </cell>
          <cell r="G242" t="str">
            <v>NO</v>
          </cell>
          <cell r="H242" t="str">
            <v>NO</v>
          </cell>
          <cell r="I242" t="str">
            <v>ESTACIÓN DE ENFERMERÍA</v>
          </cell>
          <cell r="J242">
            <v>3</v>
          </cell>
          <cell r="K242" t="str">
            <v>C.3.6.1.13.2</v>
          </cell>
          <cell r="L242" t="str">
            <v>Hospitalización</v>
          </cell>
          <cell r="M242">
            <v>4</v>
          </cell>
          <cell r="N242">
            <v>46055</v>
          </cell>
          <cell r="O242">
            <v>46056</v>
          </cell>
          <cell r="P242">
            <v>1</v>
          </cell>
          <cell r="Q242">
            <v>46057</v>
          </cell>
          <cell r="R242">
            <v>5</v>
          </cell>
          <cell r="S242" t="str">
            <v>NA</v>
          </cell>
          <cell r="T242">
            <v>5</v>
          </cell>
        </row>
        <row r="243">
          <cell r="C243" t="str">
            <v>EMMC</v>
          </cell>
          <cell r="D243" t="str">
            <v>HSLB12460</v>
          </cell>
          <cell r="E243">
            <v>112077</v>
          </cell>
          <cell r="F243" t="str">
            <v>Silla de Ruedas</v>
          </cell>
          <cell r="G243" t="str">
            <v>NO</v>
          </cell>
          <cell r="H243" t="str">
            <v>NO</v>
          </cell>
          <cell r="I243" t="str">
            <v>ESTACIONAMIENTO CAMILLAS Y SILLAS DE RUEDAS</v>
          </cell>
          <cell r="J243">
            <v>3</v>
          </cell>
          <cell r="K243" t="str">
            <v>C,3,6,1,40</v>
          </cell>
          <cell r="L243" t="str">
            <v>Hospitalización</v>
          </cell>
          <cell r="M243">
            <v>4</v>
          </cell>
          <cell r="N243">
            <v>46055</v>
          </cell>
          <cell r="O243">
            <v>46056</v>
          </cell>
          <cell r="P243">
            <v>1</v>
          </cell>
          <cell r="Q243">
            <v>46057</v>
          </cell>
          <cell r="R243">
            <v>5</v>
          </cell>
          <cell r="S243" t="str">
            <v>NA</v>
          </cell>
          <cell r="T243">
            <v>5</v>
          </cell>
        </row>
        <row r="244">
          <cell r="C244" t="str">
            <v>EMMC</v>
          </cell>
          <cell r="D244" t="str">
            <v>HSLB10475</v>
          </cell>
          <cell r="E244">
            <v>104002</v>
          </cell>
          <cell r="F244" t="str">
            <v>BOMBA ASPIRACIÓN UNIVERSAL</v>
          </cell>
          <cell r="G244" t="str">
            <v>NO</v>
          </cell>
          <cell r="H244" t="str">
            <v>NO</v>
          </cell>
          <cell r="I244" t="str">
            <v>ESTACIÓN DE ENFERMERÍA</v>
          </cell>
          <cell r="J244">
            <v>0</v>
          </cell>
          <cell r="K244" t="str">
            <v>C.3.6.1.28</v>
          </cell>
          <cell r="L244" t="str">
            <v>Neonatología</v>
          </cell>
          <cell r="M244">
            <v>4</v>
          </cell>
          <cell r="N244">
            <v>46055</v>
          </cell>
          <cell r="O244">
            <v>46056</v>
          </cell>
          <cell r="P244">
            <v>1</v>
          </cell>
          <cell r="Q244">
            <v>46057</v>
          </cell>
          <cell r="R244">
            <v>5</v>
          </cell>
          <cell r="S244" t="str">
            <v>NA</v>
          </cell>
          <cell r="T244">
            <v>5</v>
          </cell>
        </row>
        <row r="245">
          <cell r="C245" t="str">
            <v>EMMC</v>
          </cell>
          <cell r="D245" t="str">
            <v>HSLB11332</v>
          </cell>
          <cell r="E245">
            <v>110007</v>
          </cell>
          <cell r="F245" t="str">
            <v>Balanza de Precisión</v>
          </cell>
          <cell r="G245" t="str">
            <v>NO</v>
          </cell>
          <cell r="H245" t="str">
            <v>SI</v>
          </cell>
          <cell r="I245" t="str">
            <v xml:space="preserve">SALA 4 CAMAS </v>
          </cell>
          <cell r="J245">
            <v>0</v>
          </cell>
          <cell r="K245" t="str">
            <v xml:space="preserve">C.3.6.1.18.2 </v>
          </cell>
          <cell r="L245" t="str">
            <v>Hospitalización</v>
          </cell>
          <cell r="M245">
            <v>4</v>
          </cell>
          <cell r="N245">
            <v>46003</v>
          </cell>
          <cell r="O245">
            <v>46006</v>
          </cell>
          <cell r="P245">
            <v>1</v>
          </cell>
          <cell r="Q245">
            <v>46007</v>
          </cell>
          <cell r="R245">
            <v>5</v>
          </cell>
          <cell r="S245" t="str">
            <v>NA</v>
          </cell>
          <cell r="T245">
            <v>5</v>
          </cell>
        </row>
        <row r="246">
          <cell r="C246" t="str">
            <v>EMMC</v>
          </cell>
          <cell r="D246" t="str">
            <v>HSLB11332</v>
          </cell>
          <cell r="E246">
            <v>110007</v>
          </cell>
          <cell r="F246" t="str">
            <v>Balanza de Precisión</v>
          </cell>
          <cell r="G246" t="str">
            <v>NO</v>
          </cell>
          <cell r="H246" t="str">
            <v>SI</v>
          </cell>
          <cell r="I246" t="str">
            <v xml:space="preserve">BODEGA DE INSUMOS </v>
          </cell>
          <cell r="J246">
            <v>0</v>
          </cell>
          <cell r="K246" t="str">
            <v>C.3.6.1.32.1</v>
          </cell>
          <cell r="L246" t="str">
            <v>Hospitalización</v>
          </cell>
          <cell r="M246">
            <v>4</v>
          </cell>
          <cell r="N246">
            <v>46003</v>
          </cell>
          <cell r="O246">
            <v>46006</v>
          </cell>
          <cell r="P246">
            <v>1</v>
          </cell>
          <cell r="Q246">
            <v>46007</v>
          </cell>
          <cell r="R246">
            <v>5</v>
          </cell>
          <cell r="S246" t="str">
            <v>NA</v>
          </cell>
          <cell r="T246">
            <v>5</v>
          </cell>
        </row>
        <row r="247">
          <cell r="C247" t="str">
            <v>EMMC</v>
          </cell>
          <cell r="D247" t="str">
            <v>HSLB11332</v>
          </cell>
          <cell r="E247">
            <v>110007</v>
          </cell>
          <cell r="F247" t="str">
            <v>Balanza de Precisión</v>
          </cell>
          <cell r="G247" t="str">
            <v>NO</v>
          </cell>
          <cell r="H247" t="str">
            <v>SI</v>
          </cell>
          <cell r="I247" t="str">
            <v xml:space="preserve">BODEGA ROPA LIMPIA </v>
          </cell>
          <cell r="J247">
            <v>0</v>
          </cell>
          <cell r="K247" t="str">
            <v>C.3.6.1.33.1</v>
          </cell>
          <cell r="L247" t="str">
            <v>Hospitalización</v>
          </cell>
          <cell r="M247">
            <v>4</v>
          </cell>
          <cell r="N247">
            <v>46003</v>
          </cell>
          <cell r="O247">
            <v>46006</v>
          </cell>
          <cell r="P247">
            <v>1</v>
          </cell>
          <cell r="Q247">
            <v>46007</v>
          </cell>
          <cell r="R247">
            <v>5</v>
          </cell>
          <cell r="S247" t="str">
            <v>NA</v>
          </cell>
          <cell r="T247">
            <v>5</v>
          </cell>
        </row>
        <row r="248">
          <cell r="C248" t="str">
            <v>MNC</v>
          </cell>
          <cell r="D248" t="str">
            <v>HSLB13593</v>
          </cell>
          <cell r="E248">
            <v>203016</v>
          </cell>
          <cell r="F248" t="str">
            <v>Mueble Tipo Biblioteca</v>
          </cell>
          <cell r="G248" t="str">
            <v>NO</v>
          </cell>
          <cell r="H248" t="str">
            <v>NO</v>
          </cell>
          <cell r="I248" t="str">
            <v>COORDINADOR GINECOLOGÍA Y OBSTETRICIA</v>
          </cell>
          <cell r="J248">
            <v>1</v>
          </cell>
          <cell r="K248" t="str">
            <v>C.3.6.1.2</v>
          </cell>
          <cell r="L248" t="str">
            <v>Administración y apoyo general</v>
          </cell>
          <cell r="M248">
            <v>4</v>
          </cell>
          <cell r="N248">
            <v>46027</v>
          </cell>
          <cell r="O248">
            <v>46028</v>
          </cell>
          <cell r="P248">
            <v>2</v>
          </cell>
          <cell r="Q248">
            <v>46030</v>
          </cell>
          <cell r="R248">
            <v>5</v>
          </cell>
          <cell r="S248" t="str">
            <v>NA</v>
          </cell>
          <cell r="T248">
            <v>5</v>
          </cell>
        </row>
        <row r="249">
          <cell r="C249" t="str">
            <v>MNC</v>
          </cell>
          <cell r="D249" t="str">
            <v>HSLB15248</v>
          </cell>
          <cell r="E249">
            <v>204002</v>
          </cell>
          <cell r="F249" t="str">
            <v>Banca Madera</v>
          </cell>
          <cell r="G249" t="str">
            <v>NO</v>
          </cell>
          <cell r="H249" t="str">
            <v>NO</v>
          </cell>
          <cell r="I249" t="str">
            <v>VESTIDOR DE PACIENTES C/DUCHA Y LOCKERS</v>
          </cell>
          <cell r="J249">
            <v>1</v>
          </cell>
          <cell r="K249" t="str">
            <v>C.2.3.3.3</v>
          </cell>
          <cell r="L249" t="str">
            <v>Neonatología</v>
          </cell>
          <cell r="M249">
            <v>4</v>
          </cell>
          <cell r="N249">
            <v>46027</v>
          </cell>
          <cell r="O249">
            <v>46028</v>
          </cell>
          <cell r="P249">
            <v>1</v>
          </cell>
          <cell r="Q249">
            <v>46029</v>
          </cell>
          <cell r="R249">
            <v>5</v>
          </cell>
          <cell r="S249" t="str">
            <v>NA</v>
          </cell>
          <cell r="T249">
            <v>5</v>
          </cell>
        </row>
        <row r="250">
          <cell r="C250" t="str">
            <v>MNC</v>
          </cell>
          <cell r="D250" t="str">
            <v>HSLB13141</v>
          </cell>
          <cell r="E250">
            <v>201001</v>
          </cell>
          <cell r="F250" t="str">
            <v>Estación de Trabajo</v>
          </cell>
          <cell r="G250" t="str">
            <v>NO</v>
          </cell>
          <cell r="H250" t="str">
            <v>NO</v>
          </cell>
          <cell r="I250" t="str">
            <v>OFICINA JEFE GINECOLOGÍA Y OBSTETRICIA</v>
          </cell>
          <cell r="J250">
            <v>1</v>
          </cell>
          <cell r="K250" t="str">
            <v>C.3.6.1.1</v>
          </cell>
          <cell r="L250" t="str">
            <v>Administración y apoyo general</v>
          </cell>
          <cell r="M250">
            <v>4</v>
          </cell>
          <cell r="N250">
            <v>46027</v>
          </cell>
          <cell r="O250">
            <v>46028</v>
          </cell>
          <cell r="P250">
            <v>2</v>
          </cell>
          <cell r="Q250">
            <v>46030</v>
          </cell>
          <cell r="R250">
            <v>5</v>
          </cell>
          <cell r="S250" t="str">
            <v>NA</v>
          </cell>
          <cell r="T250">
            <v>5</v>
          </cell>
        </row>
        <row r="251">
          <cell r="C251" t="str">
            <v>MNC</v>
          </cell>
          <cell r="D251" t="str">
            <v>HSLB13344</v>
          </cell>
          <cell r="E251">
            <v>201008</v>
          </cell>
          <cell r="F251" t="str">
            <v>Mesa Reuniones Tipo I</v>
          </cell>
          <cell r="G251" t="str">
            <v>NO</v>
          </cell>
          <cell r="H251" t="str">
            <v>NO</v>
          </cell>
          <cell r="I251" t="str">
            <v>OFICINA JEFE GINECOLOGÍA Y OBSTETRICIA</v>
          </cell>
          <cell r="J251">
            <v>1</v>
          </cell>
          <cell r="K251" t="str">
            <v>C.3.6.1.1</v>
          </cell>
          <cell r="L251" t="str">
            <v>Administración y apoyo general</v>
          </cell>
          <cell r="M251">
            <v>4</v>
          </cell>
          <cell r="N251">
            <v>46027</v>
          </cell>
          <cell r="O251">
            <v>46028</v>
          </cell>
          <cell r="P251">
            <v>2</v>
          </cell>
          <cell r="Q251">
            <v>46030</v>
          </cell>
          <cell r="R251">
            <v>5</v>
          </cell>
          <cell r="S251" t="str">
            <v>NA</v>
          </cell>
          <cell r="T251">
            <v>5</v>
          </cell>
        </row>
        <row r="252">
          <cell r="C252" t="str">
            <v>MNC</v>
          </cell>
          <cell r="D252" t="str">
            <v>HSLB13591</v>
          </cell>
          <cell r="E252">
            <v>203016</v>
          </cell>
          <cell r="F252" t="str">
            <v>Mueble Tipo Biblioteca</v>
          </cell>
          <cell r="G252" t="str">
            <v>NO</v>
          </cell>
          <cell r="H252" t="str">
            <v>NO</v>
          </cell>
          <cell r="I252" t="str">
            <v>OFICINA JEFE GINECOLOGÍA Y OBSTETRICIA</v>
          </cell>
          <cell r="J252">
            <v>1</v>
          </cell>
          <cell r="K252" t="str">
            <v>C.3.6.1.1</v>
          </cell>
          <cell r="L252" t="str">
            <v>Administración y apoyo general</v>
          </cell>
          <cell r="M252">
            <v>4</v>
          </cell>
          <cell r="N252">
            <v>46027</v>
          </cell>
          <cell r="O252">
            <v>46028</v>
          </cell>
          <cell r="P252">
            <v>2</v>
          </cell>
          <cell r="Q252">
            <v>46030</v>
          </cell>
          <cell r="R252">
            <v>5</v>
          </cell>
          <cell r="S252" t="str">
            <v>NA</v>
          </cell>
          <cell r="T252">
            <v>5</v>
          </cell>
        </row>
        <row r="253">
          <cell r="C253" t="str">
            <v>MNC</v>
          </cell>
          <cell r="D253" t="str">
            <v>HSLB14328</v>
          </cell>
          <cell r="E253">
            <v>204006</v>
          </cell>
          <cell r="F253" t="str">
            <v>Silla Ergonómica</v>
          </cell>
          <cell r="G253" t="str">
            <v>NO</v>
          </cell>
          <cell r="H253" t="str">
            <v>NO</v>
          </cell>
          <cell r="I253" t="str">
            <v>OFICINA JEFE GINECOLOGÍA Y OBSTETRICIA</v>
          </cell>
          <cell r="J253">
            <v>1</v>
          </cell>
          <cell r="K253" t="str">
            <v>C.3.6.1.1</v>
          </cell>
          <cell r="L253" t="str">
            <v>Administración y apoyo general</v>
          </cell>
          <cell r="M253">
            <v>4</v>
          </cell>
          <cell r="N253">
            <v>46027</v>
          </cell>
          <cell r="O253">
            <v>46028</v>
          </cell>
          <cell r="P253">
            <v>1</v>
          </cell>
          <cell r="Q253">
            <v>46029</v>
          </cell>
          <cell r="R253">
            <v>5</v>
          </cell>
          <cell r="S253" t="str">
            <v>NA</v>
          </cell>
          <cell r="T253">
            <v>5</v>
          </cell>
        </row>
        <row r="254">
          <cell r="C254" t="str">
            <v>MNC</v>
          </cell>
          <cell r="D254" t="str">
            <v>HSLB14766</v>
          </cell>
          <cell r="E254">
            <v>204012</v>
          </cell>
          <cell r="F254" t="str">
            <v>Silla Visita</v>
          </cell>
          <cell r="G254" t="str">
            <v>NO</v>
          </cell>
          <cell r="H254" t="str">
            <v>NO</v>
          </cell>
          <cell r="I254" t="str">
            <v>OFICINA JEFE GINECOLOGÍA Y OBSTETRICIA</v>
          </cell>
          <cell r="J254">
            <v>4</v>
          </cell>
          <cell r="K254" t="str">
            <v>C.3.6.1.1</v>
          </cell>
          <cell r="L254" t="str">
            <v>Administración y apoyo general</v>
          </cell>
          <cell r="M254">
            <v>4</v>
          </cell>
          <cell r="N254">
            <v>46027</v>
          </cell>
          <cell r="O254">
            <v>46028</v>
          </cell>
          <cell r="P254">
            <v>1</v>
          </cell>
          <cell r="Q254">
            <v>46029</v>
          </cell>
          <cell r="R254">
            <v>5</v>
          </cell>
          <cell r="S254" t="str">
            <v>NA</v>
          </cell>
          <cell r="T254">
            <v>5</v>
          </cell>
        </row>
        <row r="255">
          <cell r="C255" t="str">
            <v>MNC</v>
          </cell>
          <cell r="D255" t="str">
            <v>HSLB13345</v>
          </cell>
          <cell r="E255">
            <v>201008</v>
          </cell>
          <cell r="F255" t="str">
            <v>Mesa Reuniones Tipo I</v>
          </cell>
          <cell r="G255" t="str">
            <v>NO</v>
          </cell>
          <cell r="H255" t="str">
            <v>SI</v>
          </cell>
          <cell r="I255" t="str">
            <v>SALA TALLER CHILE CRECE CONTIGO</v>
          </cell>
          <cell r="J255">
            <v>1</v>
          </cell>
          <cell r="K255" t="str">
            <v>C.3.6.1.10</v>
          </cell>
          <cell r="L255" t="str">
            <v>Chile crece contigo</v>
          </cell>
          <cell r="M255">
            <v>4</v>
          </cell>
          <cell r="N255">
            <v>46003</v>
          </cell>
          <cell r="O255">
            <v>46006</v>
          </cell>
          <cell r="P255">
            <v>1</v>
          </cell>
          <cell r="Q255">
            <v>46007</v>
          </cell>
          <cell r="R255">
            <v>5</v>
          </cell>
          <cell r="S255" t="str">
            <v>NA</v>
          </cell>
          <cell r="T255">
            <v>5</v>
          </cell>
        </row>
        <row r="256">
          <cell r="C256" t="str">
            <v>MNC</v>
          </cell>
          <cell r="D256" t="str">
            <v>HSLB14767</v>
          </cell>
          <cell r="E256">
            <v>204012</v>
          </cell>
          <cell r="F256" t="str">
            <v>Silla Visita</v>
          </cell>
          <cell r="G256" t="str">
            <v>NO</v>
          </cell>
          <cell r="H256" t="str">
            <v>SI</v>
          </cell>
          <cell r="I256" t="str">
            <v>SALA TALLER CHILE CRECE CONTIGO</v>
          </cell>
          <cell r="J256">
            <v>25</v>
          </cell>
          <cell r="K256" t="str">
            <v>C.3.6.1.10</v>
          </cell>
          <cell r="L256" t="str">
            <v>Chile crece contigo</v>
          </cell>
          <cell r="M256">
            <v>4</v>
          </cell>
          <cell r="N256">
            <v>46003</v>
          </cell>
          <cell r="O256">
            <v>46006</v>
          </cell>
          <cell r="P256">
            <v>1</v>
          </cell>
          <cell r="Q256">
            <v>46007</v>
          </cell>
          <cell r="R256">
            <v>5</v>
          </cell>
          <cell r="S256" t="str">
            <v>NA</v>
          </cell>
          <cell r="T256">
            <v>5</v>
          </cell>
        </row>
        <row r="257">
          <cell r="C257" t="str">
            <v>MNC</v>
          </cell>
          <cell r="D257" t="str">
            <v>HSLB13142</v>
          </cell>
          <cell r="E257">
            <v>201001</v>
          </cell>
          <cell r="F257" t="str">
            <v>Estación de Trabajo</v>
          </cell>
          <cell r="G257" t="str">
            <v>NO</v>
          </cell>
          <cell r="H257" t="str">
            <v>NO</v>
          </cell>
          <cell r="I257" t="str">
            <v>MÓDULO TRABAJO SUPERVISOR</v>
          </cell>
          <cell r="J257">
            <v>1</v>
          </cell>
          <cell r="K257" t="str">
            <v>C.3.6.1.12</v>
          </cell>
          <cell r="L257" t="str">
            <v>Administración y apoyo general</v>
          </cell>
          <cell r="M257">
            <v>4</v>
          </cell>
          <cell r="N257">
            <v>46027</v>
          </cell>
          <cell r="O257">
            <v>46028</v>
          </cell>
          <cell r="P257">
            <v>2</v>
          </cell>
          <cell r="Q257">
            <v>46030</v>
          </cell>
          <cell r="R257">
            <v>5</v>
          </cell>
          <cell r="S257" t="str">
            <v>NA</v>
          </cell>
          <cell r="T257">
            <v>5</v>
          </cell>
        </row>
        <row r="258">
          <cell r="C258" t="str">
            <v>MNC</v>
          </cell>
          <cell r="D258" t="str">
            <v>HSLB13592</v>
          </cell>
          <cell r="E258">
            <v>203016</v>
          </cell>
          <cell r="F258" t="str">
            <v>Mueble Tipo Biblioteca</v>
          </cell>
          <cell r="G258" t="str">
            <v>NO</v>
          </cell>
          <cell r="H258" t="str">
            <v>NO</v>
          </cell>
          <cell r="I258" t="str">
            <v>MÓDULO TRABAJO SUPERVISOR</v>
          </cell>
          <cell r="J258">
            <v>1</v>
          </cell>
          <cell r="K258" t="str">
            <v>C.3.6.1.12</v>
          </cell>
          <cell r="L258" t="str">
            <v>Administración y apoyo general</v>
          </cell>
          <cell r="M258">
            <v>4</v>
          </cell>
          <cell r="N258">
            <v>46027</v>
          </cell>
          <cell r="O258">
            <v>46028</v>
          </cell>
          <cell r="P258">
            <v>2</v>
          </cell>
          <cell r="Q258">
            <v>46030</v>
          </cell>
          <cell r="R258">
            <v>5</v>
          </cell>
          <cell r="S258" t="str">
            <v>NA</v>
          </cell>
          <cell r="T258">
            <v>5</v>
          </cell>
        </row>
        <row r="259">
          <cell r="C259" t="str">
            <v>MNC</v>
          </cell>
          <cell r="D259" t="str">
            <v>HSLB14329</v>
          </cell>
          <cell r="E259">
            <v>204006</v>
          </cell>
          <cell r="F259" t="str">
            <v>Silla Ergonómica</v>
          </cell>
          <cell r="G259" t="str">
            <v>NO</v>
          </cell>
          <cell r="H259" t="str">
            <v>NO</v>
          </cell>
          <cell r="I259" t="str">
            <v>MÓDULO TRABAJO SUPERVISOR</v>
          </cell>
          <cell r="J259">
            <v>1</v>
          </cell>
          <cell r="K259" t="str">
            <v>C.3.6.1.12</v>
          </cell>
          <cell r="L259" t="str">
            <v>Administración y apoyo general</v>
          </cell>
          <cell r="M259">
            <v>4</v>
          </cell>
          <cell r="N259">
            <v>46027</v>
          </cell>
          <cell r="O259">
            <v>46028</v>
          </cell>
          <cell r="P259">
            <v>1</v>
          </cell>
          <cell r="Q259">
            <v>46029</v>
          </cell>
          <cell r="R259">
            <v>5</v>
          </cell>
          <cell r="S259" t="str">
            <v>NA</v>
          </cell>
          <cell r="T259">
            <v>5</v>
          </cell>
        </row>
        <row r="260">
          <cell r="C260" t="str">
            <v>MNC</v>
          </cell>
          <cell r="D260" t="str">
            <v>HSLB14768</v>
          </cell>
          <cell r="E260">
            <v>204012</v>
          </cell>
          <cell r="F260" t="str">
            <v>Silla Visita</v>
          </cell>
          <cell r="G260" t="str">
            <v>NO</v>
          </cell>
          <cell r="H260" t="str">
            <v>NO</v>
          </cell>
          <cell r="I260" t="str">
            <v>MÓDULO TRABAJO SUPERVISOR</v>
          </cell>
          <cell r="J260">
            <v>2</v>
          </cell>
          <cell r="K260" t="str">
            <v>C.3.6.1.12</v>
          </cell>
          <cell r="L260" t="str">
            <v>Administración y apoyo general</v>
          </cell>
          <cell r="M260">
            <v>4</v>
          </cell>
          <cell r="N260">
            <v>46027</v>
          </cell>
          <cell r="O260">
            <v>46028</v>
          </cell>
          <cell r="P260">
            <v>1</v>
          </cell>
          <cell r="Q260">
            <v>46029</v>
          </cell>
          <cell r="R260">
            <v>5</v>
          </cell>
          <cell r="S260" t="str">
            <v>NA</v>
          </cell>
          <cell r="T260">
            <v>5</v>
          </cell>
        </row>
        <row r="261">
          <cell r="C261" t="str">
            <v>MNC</v>
          </cell>
          <cell r="D261" t="str">
            <v>HSLB14549</v>
          </cell>
          <cell r="E261">
            <v>204006</v>
          </cell>
          <cell r="F261" t="str">
            <v>Silla Ergonómica</v>
          </cell>
          <cell r="G261" t="str">
            <v>NO</v>
          </cell>
          <cell r="H261" t="str">
            <v>NO</v>
          </cell>
          <cell r="I261" t="str">
            <v>ESTACIÓN DE ENFERMERÍA</v>
          </cell>
          <cell r="J261">
            <v>6</v>
          </cell>
          <cell r="K261" t="str">
            <v>C.3.6.1.13.1</v>
          </cell>
          <cell r="L261" t="str">
            <v>Hospitalización</v>
          </cell>
          <cell r="M261">
            <v>4</v>
          </cell>
          <cell r="N261">
            <v>46027</v>
          </cell>
          <cell r="O261">
            <v>46028</v>
          </cell>
          <cell r="P261">
            <v>1</v>
          </cell>
          <cell r="Q261">
            <v>46029</v>
          </cell>
          <cell r="R261">
            <v>5</v>
          </cell>
          <cell r="S261" t="str">
            <v>NA</v>
          </cell>
          <cell r="T261">
            <v>5</v>
          </cell>
        </row>
        <row r="262">
          <cell r="C262" t="str">
            <v>MNC</v>
          </cell>
          <cell r="D262" t="str">
            <v>HSLB14330</v>
          </cell>
          <cell r="E262">
            <v>204006</v>
          </cell>
          <cell r="F262" t="str">
            <v>Silla Ergonómica</v>
          </cell>
          <cell r="G262" t="str">
            <v>NO</v>
          </cell>
          <cell r="H262" t="str">
            <v>NO</v>
          </cell>
          <cell r="I262" t="str">
            <v>ESTACIÓN DE ENFERMERÍA</v>
          </cell>
          <cell r="J262">
            <v>6</v>
          </cell>
          <cell r="K262" t="str">
            <v>C.3.6.1.13.2</v>
          </cell>
          <cell r="L262" t="str">
            <v>Hospitalización</v>
          </cell>
          <cell r="M262">
            <v>4</v>
          </cell>
          <cell r="N262">
            <v>46027</v>
          </cell>
          <cell r="O262">
            <v>46028</v>
          </cell>
          <cell r="P262">
            <v>1</v>
          </cell>
          <cell r="Q262">
            <v>46029</v>
          </cell>
          <cell r="R262">
            <v>5</v>
          </cell>
          <cell r="S262" t="str">
            <v>NA</v>
          </cell>
          <cell r="T262">
            <v>5</v>
          </cell>
        </row>
        <row r="263">
          <cell r="C263" t="str">
            <v>MNC</v>
          </cell>
          <cell r="D263" t="str">
            <v>HSLB14971</v>
          </cell>
          <cell r="E263">
            <v>204013</v>
          </cell>
          <cell r="F263" t="str">
            <v>Sillón 1 Cuerpo</v>
          </cell>
          <cell r="G263" t="str">
            <v>NO</v>
          </cell>
          <cell r="H263" t="str">
            <v>NO</v>
          </cell>
          <cell r="I263" t="str">
            <v>SALA EDUCACIÓN AMAMANTAMIENTO</v>
          </cell>
          <cell r="J263">
            <v>2</v>
          </cell>
          <cell r="K263" t="str">
            <v>C.3.6.1.17</v>
          </cell>
          <cell r="L263" t="str">
            <v>Administración y apoyo general</v>
          </cell>
          <cell r="M263">
            <v>4</v>
          </cell>
          <cell r="N263">
            <v>46027</v>
          </cell>
          <cell r="O263">
            <v>46028</v>
          </cell>
          <cell r="P263">
            <v>1</v>
          </cell>
          <cell r="Q263">
            <v>46029</v>
          </cell>
          <cell r="R263">
            <v>5</v>
          </cell>
          <cell r="S263" t="str">
            <v>NA</v>
          </cell>
          <cell r="T263">
            <v>5</v>
          </cell>
        </row>
        <row r="264">
          <cell r="C264" t="str">
            <v>MNC</v>
          </cell>
          <cell r="D264" t="str">
            <v>HSLB15134</v>
          </cell>
          <cell r="E264">
            <v>204015</v>
          </cell>
          <cell r="F264" t="str">
            <v>Sillón Bergere</v>
          </cell>
          <cell r="G264" t="str">
            <v>NO</v>
          </cell>
          <cell r="H264" t="str">
            <v>NO</v>
          </cell>
          <cell r="I264" t="str">
            <v>SALA 4 CAMAS</v>
          </cell>
          <cell r="J264">
            <v>4</v>
          </cell>
          <cell r="K264" t="str">
            <v>C.3.6.1.18.1</v>
          </cell>
          <cell r="L264" t="str">
            <v>Hospitalización</v>
          </cell>
          <cell r="M264">
            <v>4</v>
          </cell>
          <cell r="N264">
            <v>46027</v>
          </cell>
          <cell r="O264">
            <v>46028</v>
          </cell>
          <cell r="P264">
            <v>1</v>
          </cell>
          <cell r="Q264">
            <v>46029</v>
          </cell>
          <cell r="R264">
            <v>5</v>
          </cell>
          <cell r="S264" t="str">
            <v>NA</v>
          </cell>
          <cell r="T264">
            <v>5</v>
          </cell>
        </row>
        <row r="265">
          <cell r="C265" t="str">
            <v>MNC</v>
          </cell>
          <cell r="D265" t="str">
            <v>HSLB15135</v>
          </cell>
          <cell r="E265">
            <v>204015</v>
          </cell>
          <cell r="F265" t="str">
            <v>Sillón Bergere</v>
          </cell>
          <cell r="G265" t="str">
            <v>NO</v>
          </cell>
          <cell r="H265" t="str">
            <v>NO</v>
          </cell>
          <cell r="I265" t="str">
            <v>SALA 4 CAMAS</v>
          </cell>
          <cell r="J265">
            <v>4</v>
          </cell>
          <cell r="K265" t="str">
            <v>C.3.6.1.18.2</v>
          </cell>
          <cell r="L265" t="str">
            <v>Hospitalización</v>
          </cell>
          <cell r="M265">
            <v>4</v>
          </cell>
          <cell r="N265">
            <v>46027</v>
          </cell>
          <cell r="O265">
            <v>46028</v>
          </cell>
          <cell r="P265">
            <v>1</v>
          </cell>
          <cell r="Q265">
            <v>46029</v>
          </cell>
          <cell r="R265">
            <v>5</v>
          </cell>
          <cell r="S265" t="str">
            <v>NA</v>
          </cell>
          <cell r="T265">
            <v>5</v>
          </cell>
        </row>
        <row r="266">
          <cell r="C266" t="str">
            <v>MNC</v>
          </cell>
          <cell r="D266" t="str">
            <v>HSLB15136</v>
          </cell>
          <cell r="E266">
            <v>204015</v>
          </cell>
          <cell r="F266" t="str">
            <v>Sillón Bergere</v>
          </cell>
          <cell r="G266" t="str">
            <v>NO</v>
          </cell>
          <cell r="H266" t="str">
            <v>NO</v>
          </cell>
          <cell r="I266" t="str">
            <v>SALA 4 CAMAS</v>
          </cell>
          <cell r="J266">
            <v>4</v>
          </cell>
          <cell r="K266" t="str">
            <v>C.3.6.1.18.3</v>
          </cell>
          <cell r="L266" t="str">
            <v>Hospitalización</v>
          </cell>
          <cell r="M266">
            <v>4</v>
          </cell>
          <cell r="N266">
            <v>46027</v>
          </cell>
          <cell r="O266">
            <v>46028</v>
          </cell>
          <cell r="P266">
            <v>1</v>
          </cell>
          <cell r="Q266">
            <v>46029</v>
          </cell>
          <cell r="R266">
            <v>5</v>
          </cell>
          <cell r="S266" t="str">
            <v>NA</v>
          </cell>
          <cell r="T266">
            <v>5</v>
          </cell>
        </row>
        <row r="267">
          <cell r="C267" t="str">
            <v>MNC</v>
          </cell>
          <cell r="D267" t="str">
            <v>HSLB15102</v>
          </cell>
          <cell r="E267">
            <v>204015</v>
          </cell>
          <cell r="F267" t="str">
            <v>Sillón Bergere</v>
          </cell>
          <cell r="G267" t="str">
            <v>NO</v>
          </cell>
          <cell r="H267" t="str">
            <v>NO</v>
          </cell>
          <cell r="I267" t="str">
            <v>SALA 4 CAMAS</v>
          </cell>
          <cell r="J267">
            <v>4</v>
          </cell>
          <cell r="K267" t="str">
            <v>C.3.6.1.18.4</v>
          </cell>
          <cell r="L267" t="str">
            <v>Hospitalización</v>
          </cell>
          <cell r="M267">
            <v>4</v>
          </cell>
          <cell r="N267">
            <v>46027</v>
          </cell>
          <cell r="O267">
            <v>46028</v>
          </cell>
          <cell r="P267">
            <v>1</v>
          </cell>
          <cell r="Q267">
            <v>46029</v>
          </cell>
          <cell r="R267">
            <v>5</v>
          </cell>
          <cell r="S267" t="str">
            <v>NA</v>
          </cell>
          <cell r="T267">
            <v>5</v>
          </cell>
        </row>
        <row r="268">
          <cell r="C268" t="str">
            <v>MNC</v>
          </cell>
          <cell r="D268" t="str">
            <v>HSLB15137</v>
          </cell>
          <cell r="E268">
            <v>204015</v>
          </cell>
          <cell r="F268" t="str">
            <v>Sillón Bergere</v>
          </cell>
          <cell r="G268" t="str">
            <v>NO</v>
          </cell>
          <cell r="H268" t="str">
            <v>NO</v>
          </cell>
          <cell r="I268" t="str">
            <v>SALA 1 CAMA</v>
          </cell>
          <cell r="J268">
            <v>1</v>
          </cell>
          <cell r="K268" t="str">
            <v>C.3.6.1.18.5</v>
          </cell>
          <cell r="L268" t="str">
            <v>Hospitalización</v>
          </cell>
          <cell r="M268">
            <v>4</v>
          </cell>
          <cell r="N268">
            <v>46027</v>
          </cell>
          <cell r="O268">
            <v>46028</v>
          </cell>
          <cell r="P268">
            <v>1</v>
          </cell>
          <cell r="Q268">
            <v>46029</v>
          </cell>
          <cell r="R268">
            <v>5</v>
          </cell>
          <cell r="S268" t="str">
            <v>NA</v>
          </cell>
          <cell r="T268">
            <v>5</v>
          </cell>
        </row>
        <row r="269">
          <cell r="C269" t="str">
            <v>MNC</v>
          </cell>
          <cell r="D269" t="str">
            <v>HSLB15138</v>
          </cell>
          <cell r="E269">
            <v>204015</v>
          </cell>
          <cell r="F269" t="str">
            <v>Sillón Bergere</v>
          </cell>
          <cell r="G269" t="str">
            <v>NO</v>
          </cell>
          <cell r="H269" t="str">
            <v>NO</v>
          </cell>
          <cell r="I269" t="str">
            <v>SALA 1 CAMA</v>
          </cell>
          <cell r="J269">
            <v>1</v>
          </cell>
          <cell r="K269" t="str">
            <v>C.3.6.1.18.6</v>
          </cell>
          <cell r="L269" t="str">
            <v>Hospitalización</v>
          </cell>
          <cell r="M269">
            <v>4</v>
          </cell>
          <cell r="N269">
            <v>46027</v>
          </cell>
          <cell r="O269">
            <v>46028</v>
          </cell>
          <cell r="P269">
            <v>1</v>
          </cell>
          <cell r="Q269">
            <v>46029</v>
          </cell>
          <cell r="R269">
            <v>5</v>
          </cell>
          <cell r="S269" t="str">
            <v>NA</v>
          </cell>
          <cell r="T269">
            <v>5</v>
          </cell>
        </row>
        <row r="270">
          <cell r="C270" t="str">
            <v>MNC</v>
          </cell>
          <cell r="D270" t="str">
            <v>HSLB15103</v>
          </cell>
          <cell r="E270">
            <v>204015</v>
          </cell>
          <cell r="F270" t="str">
            <v>Sillón Bergere</v>
          </cell>
          <cell r="G270" t="str">
            <v>NO</v>
          </cell>
          <cell r="H270" t="str">
            <v>NO</v>
          </cell>
          <cell r="I270" t="str">
            <v>SALA 4 CAMAS</v>
          </cell>
          <cell r="J270">
            <v>2</v>
          </cell>
          <cell r="K270" t="str">
            <v>C.3.6.1.19</v>
          </cell>
          <cell r="L270" t="str">
            <v>Hospitalización</v>
          </cell>
          <cell r="M270">
            <v>4</v>
          </cell>
          <cell r="N270">
            <v>46027</v>
          </cell>
          <cell r="O270">
            <v>46028</v>
          </cell>
          <cell r="P270">
            <v>1</v>
          </cell>
          <cell r="Q270">
            <v>46029</v>
          </cell>
          <cell r="R270">
            <v>5</v>
          </cell>
          <cell r="S270" t="str">
            <v>NA</v>
          </cell>
          <cell r="T270">
            <v>5</v>
          </cell>
        </row>
        <row r="271">
          <cell r="C271" t="str">
            <v>MNC</v>
          </cell>
          <cell r="D271" t="str">
            <v>HSLB13143</v>
          </cell>
          <cell r="E271">
            <v>201001</v>
          </cell>
          <cell r="F271" t="str">
            <v>Estación de Trabajo</v>
          </cell>
          <cell r="G271" t="str">
            <v>NO</v>
          </cell>
          <cell r="H271" t="str">
            <v>NO</v>
          </cell>
          <cell r="I271" t="str">
            <v>COORDINADOR GINECOLOGÍA Y OBSTETRICIA</v>
          </cell>
          <cell r="J271">
            <v>1</v>
          </cell>
          <cell r="K271" t="str">
            <v>C.3.6.1.2</v>
          </cell>
          <cell r="L271" t="str">
            <v>Administración y apoyo general</v>
          </cell>
          <cell r="M271">
            <v>4</v>
          </cell>
          <cell r="N271">
            <v>46027</v>
          </cell>
          <cell r="O271">
            <v>46028</v>
          </cell>
          <cell r="P271">
            <v>2</v>
          </cell>
          <cell r="Q271">
            <v>46030</v>
          </cell>
          <cell r="R271">
            <v>5</v>
          </cell>
          <cell r="S271" t="str">
            <v>NA</v>
          </cell>
          <cell r="T271">
            <v>5</v>
          </cell>
        </row>
        <row r="272">
          <cell r="C272" t="str">
            <v>MNC</v>
          </cell>
          <cell r="D272" t="str">
            <v>HSLB14331</v>
          </cell>
          <cell r="E272">
            <v>204006</v>
          </cell>
          <cell r="F272" t="str">
            <v>Silla Ergonómica</v>
          </cell>
          <cell r="G272" t="str">
            <v>NO</v>
          </cell>
          <cell r="H272" t="str">
            <v>NO</v>
          </cell>
          <cell r="I272" t="str">
            <v>COORDINADOR GINECOLOGÍA Y OBSTETRICIA</v>
          </cell>
          <cell r="J272">
            <v>1</v>
          </cell>
          <cell r="K272" t="str">
            <v>C.3.6.1.2</v>
          </cell>
          <cell r="L272" t="str">
            <v>Administración y apoyo general</v>
          </cell>
          <cell r="M272">
            <v>4</v>
          </cell>
          <cell r="N272">
            <v>46027</v>
          </cell>
          <cell r="O272">
            <v>46028</v>
          </cell>
          <cell r="P272">
            <v>1</v>
          </cell>
          <cell r="Q272">
            <v>46029</v>
          </cell>
          <cell r="R272">
            <v>5</v>
          </cell>
          <cell r="S272" t="str">
            <v>NA</v>
          </cell>
          <cell r="T272">
            <v>5</v>
          </cell>
        </row>
        <row r="273">
          <cell r="C273" t="str">
            <v>MNC</v>
          </cell>
          <cell r="D273" t="str">
            <v>HSLB14769</v>
          </cell>
          <cell r="E273">
            <v>204012</v>
          </cell>
          <cell r="F273" t="str">
            <v>Silla Visita</v>
          </cell>
          <cell r="G273" t="str">
            <v>NO</v>
          </cell>
          <cell r="H273" t="str">
            <v>NO</v>
          </cell>
          <cell r="I273" t="str">
            <v>COORDINADOR GINECOLOGÍA Y OBSTETRICIA</v>
          </cell>
          <cell r="J273">
            <v>2</v>
          </cell>
          <cell r="K273" t="str">
            <v>C.3.6.1.2</v>
          </cell>
          <cell r="L273" t="str">
            <v>Administración y apoyo general</v>
          </cell>
          <cell r="M273">
            <v>4</v>
          </cell>
          <cell r="N273">
            <v>46027</v>
          </cell>
          <cell r="O273">
            <v>46028</v>
          </cell>
          <cell r="P273">
            <v>1</v>
          </cell>
          <cell r="Q273">
            <v>46029</v>
          </cell>
          <cell r="R273">
            <v>5</v>
          </cell>
          <cell r="S273" t="str">
            <v>NA</v>
          </cell>
          <cell r="T273">
            <v>5</v>
          </cell>
        </row>
        <row r="274">
          <cell r="C274" t="str">
            <v>MNC</v>
          </cell>
          <cell r="D274" t="str">
            <v>HSLB15139</v>
          </cell>
          <cell r="E274">
            <v>204015</v>
          </cell>
          <cell r="F274" t="str">
            <v>Sillón Bergere</v>
          </cell>
          <cell r="G274" t="str">
            <v>NO</v>
          </cell>
          <cell r="H274" t="str">
            <v>NO</v>
          </cell>
          <cell r="I274" t="str">
            <v>SALA 4 CAMAS</v>
          </cell>
          <cell r="J274">
            <v>4</v>
          </cell>
          <cell r="K274" t="str">
            <v>C.3.6.1.20.1</v>
          </cell>
          <cell r="L274" t="str">
            <v>Hospitalización</v>
          </cell>
          <cell r="M274">
            <v>4</v>
          </cell>
          <cell r="N274">
            <v>46027</v>
          </cell>
          <cell r="O274">
            <v>46028</v>
          </cell>
          <cell r="P274">
            <v>1</v>
          </cell>
          <cell r="Q274">
            <v>46029</v>
          </cell>
          <cell r="R274">
            <v>5</v>
          </cell>
          <cell r="S274" t="str">
            <v>NA</v>
          </cell>
          <cell r="T274">
            <v>5</v>
          </cell>
        </row>
        <row r="275">
          <cell r="C275" t="str">
            <v>MNC</v>
          </cell>
          <cell r="D275" t="str">
            <v>HSLB15140</v>
          </cell>
          <cell r="E275">
            <v>204015</v>
          </cell>
          <cell r="F275" t="str">
            <v>Sillón Bergere</v>
          </cell>
          <cell r="G275" t="str">
            <v>NO</v>
          </cell>
          <cell r="H275" t="str">
            <v>SI</v>
          </cell>
          <cell r="I275" t="str">
            <v>SALA 4 CAMAS</v>
          </cell>
          <cell r="J275">
            <v>4</v>
          </cell>
          <cell r="K275" t="str">
            <v>C.3.6.1.20.2</v>
          </cell>
          <cell r="L275" t="str">
            <v>Hospitalización</v>
          </cell>
          <cell r="M275">
            <v>4</v>
          </cell>
          <cell r="N275">
            <v>46003</v>
          </cell>
          <cell r="O275">
            <v>46006</v>
          </cell>
          <cell r="P275">
            <v>1</v>
          </cell>
          <cell r="Q275">
            <v>46007</v>
          </cell>
          <cell r="R275">
            <v>5</v>
          </cell>
          <cell r="S275" t="str">
            <v>NA</v>
          </cell>
          <cell r="T275">
            <v>5</v>
          </cell>
        </row>
        <row r="276">
          <cell r="C276" t="str">
            <v>MNC</v>
          </cell>
          <cell r="D276" t="str">
            <v>HSLB15104</v>
          </cell>
          <cell r="E276">
            <v>204015</v>
          </cell>
          <cell r="F276" t="str">
            <v>Sillón Bergere</v>
          </cell>
          <cell r="G276" t="str">
            <v>NO</v>
          </cell>
          <cell r="H276" t="str">
            <v>NO</v>
          </cell>
          <cell r="I276" t="str">
            <v>SALA 4 CAMAS</v>
          </cell>
          <cell r="J276">
            <v>4</v>
          </cell>
          <cell r="K276" t="str">
            <v>C.3.6.1.20.3</v>
          </cell>
          <cell r="L276" t="str">
            <v>Hospitalización</v>
          </cell>
          <cell r="M276">
            <v>4</v>
          </cell>
          <cell r="N276">
            <v>46027</v>
          </cell>
          <cell r="O276">
            <v>46028</v>
          </cell>
          <cell r="P276">
            <v>1</v>
          </cell>
          <cell r="Q276">
            <v>46029</v>
          </cell>
          <cell r="R276">
            <v>5</v>
          </cell>
          <cell r="S276" t="str">
            <v>NA</v>
          </cell>
          <cell r="T276">
            <v>5</v>
          </cell>
        </row>
        <row r="277">
          <cell r="C277" t="str">
            <v>MNC</v>
          </cell>
          <cell r="D277" t="str">
            <v>HSLB15105</v>
          </cell>
          <cell r="E277">
            <v>204015</v>
          </cell>
          <cell r="F277" t="str">
            <v>Sillón Bergere</v>
          </cell>
          <cell r="G277" t="str">
            <v>NO</v>
          </cell>
          <cell r="H277" t="str">
            <v>NO</v>
          </cell>
          <cell r="I277" t="str">
            <v>SALA 4 CAMAS</v>
          </cell>
          <cell r="J277">
            <v>2</v>
          </cell>
          <cell r="K277" t="str">
            <v>C.3.6.1.21.1</v>
          </cell>
          <cell r="L277" t="str">
            <v>Hospitalización</v>
          </cell>
          <cell r="M277">
            <v>4</v>
          </cell>
          <cell r="N277">
            <v>46027</v>
          </cell>
          <cell r="O277">
            <v>46028</v>
          </cell>
          <cell r="P277">
            <v>1</v>
          </cell>
          <cell r="Q277">
            <v>46029</v>
          </cell>
          <cell r="R277">
            <v>5</v>
          </cell>
          <cell r="S277" t="str">
            <v>NA</v>
          </cell>
          <cell r="T277">
            <v>5</v>
          </cell>
        </row>
        <row r="278">
          <cell r="C278" t="str">
            <v>MNC</v>
          </cell>
          <cell r="D278" t="str">
            <v>HSLB15296</v>
          </cell>
          <cell r="E278">
            <v>204006</v>
          </cell>
          <cell r="F278" t="str">
            <v>Silla Ergonómica</v>
          </cell>
          <cell r="G278" t="str">
            <v>NO</v>
          </cell>
          <cell r="H278" t="str">
            <v>NO</v>
          </cell>
          <cell r="I278" t="str">
            <v>SALA DE PROCEDIMIENTOS</v>
          </cell>
          <cell r="J278">
            <v>1</v>
          </cell>
          <cell r="K278" t="str">
            <v>C.3.6.1.24</v>
          </cell>
          <cell r="L278" t="str">
            <v>Hospitalización</v>
          </cell>
          <cell r="M278">
            <v>4</v>
          </cell>
          <cell r="N278">
            <v>46027</v>
          </cell>
          <cell r="O278">
            <v>46028</v>
          </cell>
          <cell r="P278">
            <v>1</v>
          </cell>
          <cell r="Q278">
            <v>46029</v>
          </cell>
          <cell r="R278">
            <v>5</v>
          </cell>
          <cell r="S278" t="str">
            <v>NA</v>
          </cell>
          <cell r="T278">
            <v>5</v>
          </cell>
        </row>
        <row r="279">
          <cell r="C279" t="str">
            <v>MNC</v>
          </cell>
          <cell r="D279" t="str">
            <v>HSLB15297</v>
          </cell>
          <cell r="E279">
            <v>204012</v>
          </cell>
          <cell r="F279" t="str">
            <v>Silla Visita</v>
          </cell>
          <cell r="G279" t="str">
            <v>NO</v>
          </cell>
          <cell r="H279" t="str">
            <v>NO</v>
          </cell>
          <cell r="I279" t="str">
            <v>SALA DE PROCEDIMIENTOS</v>
          </cell>
          <cell r="J279">
            <v>1</v>
          </cell>
          <cell r="K279" t="str">
            <v>C.3.6.1.24</v>
          </cell>
          <cell r="L279" t="str">
            <v>Hospitalización</v>
          </cell>
          <cell r="M279">
            <v>4</v>
          </cell>
          <cell r="N279">
            <v>46027</v>
          </cell>
          <cell r="O279">
            <v>46028</v>
          </cell>
          <cell r="P279">
            <v>1</v>
          </cell>
          <cell r="Q279">
            <v>46029</v>
          </cell>
          <cell r="R279">
            <v>5</v>
          </cell>
          <cell r="S279" t="str">
            <v>NA</v>
          </cell>
          <cell r="T279">
            <v>5</v>
          </cell>
        </row>
        <row r="280">
          <cell r="C280" t="str">
            <v>MNC</v>
          </cell>
          <cell r="D280" t="str">
            <v>HSLB15298</v>
          </cell>
          <cell r="E280">
            <v>201001</v>
          </cell>
          <cell r="F280" t="str">
            <v>Estación de Trabajo</v>
          </cell>
          <cell r="G280" t="str">
            <v>NO</v>
          </cell>
          <cell r="H280" t="str">
            <v>NO</v>
          </cell>
          <cell r="I280" t="str">
            <v>SALA DE PROCEDIMIENTOS</v>
          </cell>
          <cell r="J280">
            <v>1</v>
          </cell>
          <cell r="K280" t="str">
            <v>C.3.6.1.24</v>
          </cell>
          <cell r="L280" t="str">
            <v>Hospitalización</v>
          </cell>
          <cell r="M280">
            <v>4</v>
          </cell>
          <cell r="N280">
            <v>46027</v>
          </cell>
          <cell r="O280">
            <v>46028</v>
          </cell>
          <cell r="P280">
            <v>2</v>
          </cell>
          <cell r="Q280">
            <v>46030</v>
          </cell>
          <cell r="R280">
            <v>5</v>
          </cell>
          <cell r="S280" t="str">
            <v>NA</v>
          </cell>
          <cell r="T280">
            <v>5</v>
          </cell>
        </row>
        <row r="281">
          <cell r="C281" t="str">
            <v>MNC</v>
          </cell>
          <cell r="D281" t="str">
            <v>HSLB15108</v>
          </cell>
          <cell r="E281">
            <v>204015</v>
          </cell>
          <cell r="F281" t="str">
            <v>Sillón Bergere</v>
          </cell>
          <cell r="G281" t="str">
            <v>NO</v>
          </cell>
          <cell r="H281" t="str">
            <v>SI</v>
          </cell>
          <cell r="I281" t="str">
            <v>SALA OBSERVACION NEONATOLOGIA</v>
          </cell>
          <cell r="J281">
            <v>4</v>
          </cell>
          <cell r="K281" t="str">
            <v>C.3.6.1.26</v>
          </cell>
          <cell r="L281" t="str">
            <v>Neonatología</v>
          </cell>
          <cell r="M281">
            <v>4</v>
          </cell>
          <cell r="N281">
            <v>46003</v>
          </cell>
          <cell r="O281">
            <v>46006</v>
          </cell>
          <cell r="P281">
            <v>1</v>
          </cell>
          <cell r="Q281">
            <v>46007</v>
          </cell>
          <cell r="R281">
            <v>5</v>
          </cell>
          <cell r="S281" t="str">
            <v>NA</v>
          </cell>
          <cell r="T281">
            <v>5</v>
          </cell>
        </row>
        <row r="282">
          <cell r="C282" t="str">
            <v>MNC</v>
          </cell>
          <cell r="D282" t="str">
            <v>HSLB15299</v>
          </cell>
          <cell r="E282">
            <v>204006</v>
          </cell>
          <cell r="F282" t="str">
            <v>Silla Ergonómica</v>
          </cell>
          <cell r="G282" t="str">
            <v>NO</v>
          </cell>
          <cell r="H282" t="str">
            <v>NO</v>
          </cell>
          <cell r="I282" t="str">
            <v>SALA EXAMENES RECIÉN NACIDO</v>
          </cell>
          <cell r="J282">
            <v>1</v>
          </cell>
          <cell r="K282" t="str">
            <v>C.3.6.1.27</v>
          </cell>
          <cell r="L282" t="str">
            <v>Neonatología</v>
          </cell>
          <cell r="M282">
            <v>4</v>
          </cell>
          <cell r="N282">
            <v>46027</v>
          </cell>
          <cell r="O282">
            <v>46028</v>
          </cell>
          <cell r="P282">
            <v>1</v>
          </cell>
          <cell r="Q282">
            <v>46029</v>
          </cell>
          <cell r="R282">
            <v>5</v>
          </cell>
          <cell r="S282" t="str">
            <v>NA</v>
          </cell>
          <cell r="T282">
            <v>5</v>
          </cell>
        </row>
        <row r="283">
          <cell r="C283" t="str">
            <v>MNC</v>
          </cell>
          <cell r="D283" t="str">
            <v>HSLB15300</v>
          </cell>
          <cell r="E283">
            <v>201001</v>
          </cell>
          <cell r="F283" t="str">
            <v>Estación de Trabajo</v>
          </cell>
          <cell r="G283" t="str">
            <v>NO</v>
          </cell>
          <cell r="H283" t="str">
            <v>NO</v>
          </cell>
          <cell r="I283" t="str">
            <v>SALA EXÁMENES RECIÉN NACIDO</v>
          </cell>
          <cell r="J283">
            <v>1</v>
          </cell>
          <cell r="K283" t="str">
            <v>C.3.6.1.27</v>
          </cell>
          <cell r="L283" t="str">
            <v>Neonatología</v>
          </cell>
          <cell r="M283">
            <v>4</v>
          </cell>
          <cell r="N283">
            <v>46027</v>
          </cell>
          <cell r="O283">
            <v>46028</v>
          </cell>
          <cell r="P283">
            <v>2</v>
          </cell>
          <cell r="Q283">
            <v>46030</v>
          </cell>
          <cell r="R283">
            <v>5</v>
          </cell>
          <cell r="S283" t="str">
            <v>NA</v>
          </cell>
          <cell r="T283">
            <v>5</v>
          </cell>
        </row>
        <row r="284">
          <cell r="C284" t="str">
            <v>MNC</v>
          </cell>
          <cell r="D284" t="str">
            <v>HSLB14332</v>
          </cell>
          <cell r="E284">
            <v>204006</v>
          </cell>
          <cell r="F284" t="str">
            <v>Silla Ergonómica</v>
          </cell>
          <cell r="G284" t="str">
            <v>NO</v>
          </cell>
          <cell r="H284" t="str">
            <v>NO</v>
          </cell>
          <cell r="I284" t="str">
            <v>ESTACIÓN DE ENFERMERÍA</v>
          </cell>
          <cell r="J284">
            <v>3</v>
          </cell>
          <cell r="K284" t="str">
            <v>C.3.6.1.28</v>
          </cell>
          <cell r="L284" t="str">
            <v>Neonatología</v>
          </cell>
          <cell r="M284">
            <v>4</v>
          </cell>
          <cell r="N284">
            <v>46027</v>
          </cell>
          <cell r="O284">
            <v>46028</v>
          </cell>
          <cell r="P284">
            <v>1</v>
          </cell>
          <cell r="Q284">
            <v>46029</v>
          </cell>
          <cell r="R284">
            <v>5</v>
          </cell>
          <cell r="S284" t="str">
            <v>NA</v>
          </cell>
          <cell r="T284">
            <v>5</v>
          </cell>
        </row>
        <row r="285">
          <cell r="C285" t="str">
            <v>MNC</v>
          </cell>
          <cell r="D285" t="str">
            <v>HSLB13296</v>
          </cell>
          <cell r="E285">
            <v>201002</v>
          </cell>
          <cell r="F285" t="str">
            <v>Mesa Lateral</v>
          </cell>
          <cell r="G285" t="str">
            <v>NO</v>
          </cell>
          <cell r="H285" t="str">
            <v>NO</v>
          </cell>
          <cell r="I285" t="str">
            <v>SALA DE ESPERA</v>
          </cell>
          <cell r="J285">
            <v>5</v>
          </cell>
          <cell r="K285" t="str">
            <v>C.3.6.1.3</v>
          </cell>
          <cell r="L285" t="str">
            <v>Administración y apoyo general</v>
          </cell>
          <cell r="M285">
            <v>4</v>
          </cell>
          <cell r="N285">
            <v>46027</v>
          </cell>
          <cell r="O285">
            <v>46028</v>
          </cell>
          <cell r="P285">
            <v>2</v>
          </cell>
          <cell r="Q285">
            <v>46030</v>
          </cell>
          <cell r="R285">
            <v>5</v>
          </cell>
          <cell r="S285" t="str">
            <v>NA</v>
          </cell>
          <cell r="T285">
            <v>5</v>
          </cell>
        </row>
        <row r="286">
          <cell r="C286" t="str">
            <v>MNC</v>
          </cell>
          <cell r="D286" t="str">
            <v>HSLB15007</v>
          </cell>
          <cell r="E286">
            <v>204014</v>
          </cell>
          <cell r="F286" t="str">
            <v>Sillón 2 Cuerpo</v>
          </cell>
          <cell r="G286" t="str">
            <v>NO</v>
          </cell>
          <cell r="H286" t="str">
            <v>NO</v>
          </cell>
          <cell r="I286" t="str">
            <v>SALA DE ESPERA</v>
          </cell>
          <cell r="J286">
            <v>10</v>
          </cell>
          <cell r="K286" t="str">
            <v>C.3.6.1.3</v>
          </cell>
          <cell r="L286" t="str">
            <v>Administración y apoyo general</v>
          </cell>
          <cell r="M286">
            <v>4</v>
          </cell>
          <cell r="N286">
            <v>46027</v>
          </cell>
          <cell r="O286">
            <v>46028</v>
          </cell>
          <cell r="P286">
            <v>1</v>
          </cell>
          <cell r="Q286">
            <v>46029</v>
          </cell>
          <cell r="R286">
            <v>5</v>
          </cell>
          <cell r="S286" t="str">
            <v>NA</v>
          </cell>
          <cell r="T286">
            <v>5</v>
          </cell>
        </row>
        <row r="287">
          <cell r="C287" t="str">
            <v>MNC</v>
          </cell>
          <cell r="D287" t="str">
            <v>HSLB13282</v>
          </cell>
          <cell r="E287">
            <v>201001</v>
          </cell>
          <cell r="F287" t="str">
            <v>Estación de Trabajo</v>
          </cell>
          <cell r="G287" t="str">
            <v>NO</v>
          </cell>
          <cell r="H287" t="str">
            <v>NO</v>
          </cell>
          <cell r="I287" t="str">
            <v>SALA DE ENTREVISTAS</v>
          </cell>
          <cell r="J287">
            <v>1</v>
          </cell>
          <cell r="K287" t="str">
            <v>C.3.6.1.30.1</v>
          </cell>
          <cell r="L287" t="str">
            <v>Neonatología</v>
          </cell>
          <cell r="M287">
            <v>4</v>
          </cell>
          <cell r="N287">
            <v>46027</v>
          </cell>
          <cell r="O287">
            <v>46028</v>
          </cell>
          <cell r="P287">
            <v>2</v>
          </cell>
          <cell r="Q287">
            <v>46030</v>
          </cell>
          <cell r="R287">
            <v>5</v>
          </cell>
          <cell r="S287" t="str">
            <v>NA</v>
          </cell>
          <cell r="T287">
            <v>5</v>
          </cell>
        </row>
        <row r="288">
          <cell r="C288" t="str">
            <v>MNC</v>
          </cell>
          <cell r="D288" t="str">
            <v>HSLB13718</v>
          </cell>
          <cell r="E288">
            <v>203016</v>
          </cell>
          <cell r="F288" t="str">
            <v>Mueble Tipo Biblioteca</v>
          </cell>
          <cell r="G288" t="str">
            <v>NO</v>
          </cell>
          <cell r="H288" t="str">
            <v>NO</v>
          </cell>
          <cell r="I288" t="str">
            <v>SALA DE ENTREVISTAS</v>
          </cell>
          <cell r="J288">
            <v>1</v>
          </cell>
          <cell r="K288" t="str">
            <v>C.3.6.1.30.1</v>
          </cell>
          <cell r="L288" t="str">
            <v>Neonatología</v>
          </cell>
          <cell r="M288">
            <v>4</v>
          </cell>
          <cell r="N288">
            <v>46027</v>
          </cell>
          <cell r="O288">
            <v>46028</v>
          </cell>
          <cell r="P288">
            <v>2</v>
          </cell>
          <cell r="Q288">
            <v>46030</v>
          </cell>
          <cell r="R288">
            <v>5</v>
          </cell>
          <cell r="S288" t="str">
            <v>NA</v>
          </cell>
          <cell r="T288">
            <v>5</v>
          </cell>
        </row>
        <row r="289">
          <cell r="C289" t="str">
            <v>MNC</v>
          </cell>
          <cell r="D289" t="str">
            <v>HSLB14560</v>
          </cell>
          <cell r="E289">
            <v>204006</v>
          </cell>
          <cell r="F289" t="str">
            <v>Silla Ergonómica</v>
          </cell>
          <cell r="G289" t="str">
            <v>NO</v>
          </cell>
          <cell r="H289" t="str">
            <v>NO</v>
          </cell>
          <cell r="I289" t="str">
            <v>SALA DE ENTREVISTAS</v>
          </cell>
          <cell r="J289">
            <v>1</v>
          </cell>
          <cell r="K289" t="str">
            <v>C.3.6.1.30.1</v>
          </cell>
          <cell r="L289" t="str">
            <v>Neonatología</v>
          </cell>
          <cell r="M289">
            <v>4</v>
          </cell>
          <cell r="N289">
            <v>46027</v>
          </cell>
          <cell r="O289">
            <v>46028</v>
          </cell>
          <cell r="P289">
            <v>1</v>
          </cell>
          <cell r="Q289">
            <v>46029</v>
          </cell>
          <cell r="R289">
            <v>5</v>
          </cell>
          <cell r="S289" t="str">
            <v>NA</v>
          </cell>
          <cell r="T289">
            <v>5</v>
          </cell>
        </row>
        <row r="290">
          <cell r="C290" t="str">
            <v>MNC</v>
          </cell>
          <cell r="D290" t="str">
            <v>HSLB14952</v>
          </cell>
          <cell r="E290">
            <v>204012</v>
          </cell>
          <cell r="F290" t="str">
            <v>Silla Visita</v>
          </cell>
          <cell r="G290" t="str">
            <v>NO</v>
          </cell>
          <cell r="H290" t="str">
            <v>NO</v>
          </cell>
          <cell r="I290" t="str">
            <v>SALA DE ENTREVISTAS</v>
          </cell>
          <cell r="J290">
            <v>2</v>
          </cell>
          <cell r="K290" t="str">
            <v>C.3.6.1.30.1</v>
          </cell>
          <cell r="L290" t="str">
            <v>Neonatología</v>
          </cell>
          <cell r="M290">
            <v>4</v>
          </cell>
          <cell r="N290">
            <v>46027</v>
          </cell>
          <cell r="O290">
            <v>46028</v>
          </cell>
          <cell r="P290">
            <v>1</v>
          </cell>
          <cell r="Q290">
            <v>46029</v>
          </cell>
          <cell r="R290">
            <v>5</v>
          </cell>
          <cell r="S290" t="str">
            <v>NA</v>
          </cell>
          <cell r="T290">
            <v>5</v>
          </cell>
        </row>
        <row r="291">
          <cell r="C291" t="str">
            <v>MNC</v>
          </cell>
          <cell r="D291" t="str">
            <v>HSLB15170</v>
          </cell>
          <cell r="E291">
            <v>201001</v>
          </cell>
          <cell r="F291" t="str">
            <v>Estación de Trabajo</v>
          </cell>
          <cell r="G291" t="str">
            <v>NO</v>
          </cell>
          <cell r="H291" t="str">
            <v>NO</v>
          </cell>
          <cell r="I291" t="str">
            <v>COORDINADOR NEONATOLOGÍA</v>
          </cell>
          <cell r="J291">
            <v>1</v>
          </cell>
          <cell r="K291" t="str">
            <v>C.3.6.1.31.3</v>
          </cell>
          <cell r="L291" t="str">
            <v>Administración y apoyo general</v>
          </cell>
          <cell r="M291">
            <v>4</v>
          </cell>
          <cell r="N291">
            <v>46027</v>
          </cell>
          <cell r="O291">
            <v>46028</v>
          </cell>
          <cell r="P291">
            <v>2</v>
          </cell>
          <cell r="Q291">
            <v>46030</v>
          </cell>
          <cell r="R291">
            <v>5</v>
          </cell>
          <cell r="S291" t="str">
            <v>NA</v>
          </cell>
          <cell r="T291">
            <v>5</v>
          </cell>
        </row>
        <row r="292">
          <cell r="C292" t="str">
            <v>MNC</v>
          </cell>
          <cell r="D292" t="str">
            <v>HSLB15301</v>
          </cell>
          <cell r="E292">
            <v>203016</v>
          </cell>
          <cell r="F292" t="str">
            <v>Mueble Tipo Biblioteca</v>
          </cell>
          <cell r="G292" t="str">
            <v>NO</v>
          </cell>
          <cell r="H292" t="str">
            <v>NO</v>
          </cell>
          <cell r="I292" t="str">
            <v>COORDINADOR NEONATOLOGÍA</v>
          </cell>
          <cell r="J292">
            <v>1</v>
          </cell>
          <cell r="K292" t="str">
            <v>C.3.6.1.31.3</v>
          </cell>
          <cell r="L292" t="str">
            <v>Administración y apoyo general</v>
          </cell>
          <cell r="M292">
            <v>4</v>
          </cell>
          <cell r="N292">
            <v>46027</v>
          </cell>
          <cell r="O292">
            <v>46028</v>
          </cell>
          <cell r="P292">
            <v>2</v>
          </cell>
          <cell r="Q292">
            <v>46030</v>
          </cell>
          <cell r="R292">
            <v>5</v>
          </cell>
          <cell r="S292" t="str">
            <v>NA</v>
          </cell>
          <cell r="T292">
            <v>5</v>
          </cell>
        </row>
        <row r="293">
          <cell r="C293" t="str">
            <v>MNC</v>
          </cell>
          <cell r="D293" t="str">
            <v>HSLB15302</v>
          </cell>
          <cell r="E293">
            <v>204006</v>
          </cell>
          <cell r="F293" t="str">
            <v>Silla Ergonómica</v>
          </cell>
          <cell r="G293" t="str">
            <v>NO</v>
          </cell>
          <cell r="H293" t="str">
            <v>NO</v>
          </cell>
          <cell r="I293" t="str">
            <v>COORDINADOR NEONATOLOGÍA</v>
          </cell>
          <cell r="J293">
            <v>1</v>
          </cell>
          <cell r="K293" t="str">
            <v>C.3.6.1.31.3</v>
          </cell>
          <cell r="L293" t="str">
            <v>Administración y apoyo general</v>
          </cell>
          <cell r="M293">
            <v>4</v>
          </cell>
          <cell r="N293">
            <v>46027</v>
          </cell>
          <cell r="O293">
            <v>46028</v>
          </cell>
          <cell r="P293">
            <v>1</v>
          </cell>
          <cell r="Q293">
            <v>46029</v>
          </cell>
          <cell r="R293">
            <v>5</v>
          </cell>
          <cell r="S293" t="str">
            <v>NA</v>
          </cell>
          <cell r="T293">
            <v>5</v>
          </cell>
        </row>
        <row r="294">
          <cell r="C294" t="str">
            <v>MNC</v>
          </cell>
          <cell r="D294" t="str">
            <v>HSLB15303</v>
          </cell>
          <cell r="E294">
            <v>204012</v>
          </cell>
          <cell r="F294" t="str">
            <v>Silla Visita</v>
          </cell>
          <cell r="G294" t="str">
            <v>NO</v>
          </cell>
          <cell r="H294" t="str">
            <v>NO</v>
          </cell>
          <cell r="I294" t="str">
            <v>COORDINADOR NEONATOLOGÍA</v>
          </cell>
          <cell r="J294">
            <v>2</v>
          </cell>
          <cell r="K294" t="str">
            <v>C.3.6.1.31.3</v>
          </cell>
          <cell r="L294" t="str">
            <v>Administración y apoyo general</v>
          </cell>
          <cell r="M294">
            <v>4</v>
          </cell>
          <cell r="N294">
            <v>46027</v>
          </cell>
          <cell r="O294">
            <v>46028</v>
          </cell>
          <cell r="P294">
            <v>1</v>
          </cell>
          <cell r="Q294">
            <v>46029</v>
          </cell>
          <cell r="R294">
            <v>5</v>
          </cell>
          <cell r="S294" t="str">
            <v>NA</v>
          </cell>
          <cell r="T294">
            <v>5</v>
          </cell>
        </row>
        <row r="295">
          <cell r="C295" t="str">
            <v>MNC</v>
          </cell>
          <cell r="D295" t="str">
            <v>HSLB14333</v>
          </cell>
          <cell r="E295">
            <v>204006</v>
          </cell>
          <cell r="F295" t="str">
            <v>Silla Ergonómica</v>
          </cell>
          <cell r="G295" t="str">
            <v>NO</v>
          </cell>
          <cell r="H295" t="str">
            <v>NO</v>
          </cell>
          <cell r="I295" t="str">
            <v>LACTARIO</v>
          </cell>
          <cell r="J295">
            <v>1</v>
          </cell>
          <cell r="K295" t="str">
            <v>C.3.6.1.31.4</v>
          </cell>
          <cell r="L295" t="str">
            <v>Neonatología</v>
          </cell>
          <cell r="M295">
            <v>4</v>
          </cell>
          <cell r="N295">
            <v>46027</v>
          </cell>
          <cell r="O295">
            <v>46028</v>
          </cell>
          <cell r="P295">
            <v>1</v>
          </cell>
          <cell r="Q295">
            <v>46029</v>
          </cell>
          <cell r="R295">
            <v>5</v>
          </cell>
          <cell r="S295" t="str">
            <v>NA</v>
          </cell>
          <cell r="T295">
            <v>5</v>
          </cell>
        </row>
        <row r="296">
          <cell r="C296" t="str">
            <v>MNC</v>
          </cell>
          <cell r="D296" t="str">
            <v>HSLB15145</v>
          </cell>
          <cell r="E296">
            <v>204016</v>
          </cell>
          <cell r="F296" t="str">
            <v>Sillón Tipo Poltrona</v>
          </cell>
          <cell r="G296" t="str">
            <v>NO</v>
          </cell>
          <cell r="H296" t="str">
            <v>NO</v>
          </cell>
          <cell r="I296" t="str">
            <v>LACTARIO</v>
          </cell>
          <cell r="J296">
            <v>3</v>
          </cell>
          <cell r="K296" t="str">
            <v>C.3.6.1.31.4</v>
          </cell>
          <cell r="L296" t="str">
            <v>Neonatología</v>
          </cell>
          <cell r="M296">
            <v>4</v>
          </cell>
          <cell r="N296">
            <v>46027</v>
          </cell>
          <cell r="O296">
            <v>46028</v>
          </cell>
          <cell r="P296">
            <v>1</v>
          </cell>
          <cell r="Q296">
            <v>46029</v>
          </cell>
          <cell r="R296">
            <v>5</v>
          </cell>
          <cell r="S296" t="str">
            <v>NA</v>
          </cell>
          <cell r="T296">
            <v>5</v>
          </cell>
        </row>
        <row r="297">
          <cell r="C297" t="str">
            <v>MNC</v>
          </cell>
          <cell r="D297" t="str">
            <v>HSLB13144</v>
          </cell>
          <cell r="E297">
            <v>201001</v>
          </cell>
          <cell r="F297" t="str">
            <v>Estación de Trabajo</v>
          </cell>
          <cell r="G297" t="str">
            <v>NO</v>
          </cell>
          <cell r="H297" t="str">
            <v>NO</v>
          </cell>
          <cell r="I297" t="str">
            <v>LACTARIO</v>
          </cell>
          <cell r="J297">
            <v>1</v>
          </cell>
          <cell r="K297" t="str">
            <v>C.3.6.1.31.4</v>
          </cell>
          <cell r="L297" t="str">
            <v>Neonatología</v>
          </cell>
          <cell r="M297">
            <v>4</v>
          </cell>
          <cell r="N297">
            <v>46027</v>
          </cell>
          <cell r="O297">
            <v>46028</v>
          </cell>
          <cell r="P297">
            <v>2</v>
          </cell>
          <cell r="Q297">
            <v>46030</v>
          </cell>
          <cell r="R297">
            <v>5</v>
          </cell>
          <cell r="S297" t="str">
            <v>NA</v>
          </cell>
          <cell r="T297">
            <v>5</v>
          </cell>
        </row>
        <row r="298">
          <cell r="C298" t="str">
            <v>MNC</v>
          </cell>
          <cell r="D298" t="str">
            <v>HSLB14334</v>
          </cell>
          <cell r="E298">
            <v>204006</v>
          </cell>
          <cell r="F298" t="str">
            <v>Silla Ergonómica</v>
          </cell>
          <cell r="G298" t="str">
            <v>NO</v>
          </cell>
          <cell r="H298" t="str">
            <v>NO</v>
          </cell>
          <cell r="I298" t="str">
            <v>MESÓN RECEPCIÓN</v>
          </cell>
          <cell r="J298">
            <v>2</v>
          </cell>
          <cell r="K298" t="str">
            <v>C.3.6.1.4</v>
          </cell>
          <cell r="L298" t="str">
            <v>Administración y apoyo general</v>
          </cell>
          <cell r="M298">
            <v>4</v>
          </cell>
          <cell r="N298">
            <v>46027</v>
          </cell>
          <cell r="O298">
            <v>46028</v>
          </cell>
          <cell r="P298">
            <v>1</v>
          </cell>
          <cell r="Q298">
            <v>46029</v>
          </cell>
          <cell r="R298">
            <v>5</v>
          </cell>
          <cell r="S298" t="str">
            <v>NA</v>
          </cell>
          <cell r="T298">
            <v>5</v>
          </cell>
        </row>
        <row r="299">
          <cell r="C299" t="str">
            <v>MNC</v>
          </cell>
          <cell r="D299" t="str">
            <v>HSLB13438</v>
          </cell>
          <cell r="E299">
            <v>201011</v>
          </cell>
          <cell r="F299" t="str">
            <v>Mesa Tipo Casino</v>
          </cell>
          <cell r="G299" t="str">
            <v>NO</v>
          </cell>
          <cell r="H299" t="str">
            <v>NO</v>
          </cell>
          <cell r="I299" t="str">
            <v>ESTAR PERSONAL C/ KITCHENETTE</v>
          </cell>
          <cell r="J299">
            <v>1</v>
          </cell>
          <cell r="K299" t="str">
            <v>C.3.6.1.41.1</v>
          </cell>
          <cell r="L299" t="str">
            <v>Administración y apoyo general</v>
          </cell>
          <cell r="M299">
            <v>4</v>
          </cell>
          <cell r="N299">
            <v>46027</v>
          </cell>
          <cell r="O299">
            <v>46028</v>
          </cell>
          <cell r="P299">
            <v>2</v>
          </cell>
          <cell r="Q299">
            <v>46030</v>
          </cell>
          <cell r="R299">
            <v>5</v>
          </cell>
          <cell r="S299" t="str">
            <v>NA</v>
          </cell>
          <cell r="T299">
            <v>5</v>
          </cell>
        </row>
        <row r="300">
          <cell r="C300" t="str">
            <v>MNC</v>
          </cell>
          <cell r="D300" t="str">
            <v>HSLB14620</v>
          </cell>
          <cell r="E300">
            <v>204010</v>
          </cell>
          <cell r="F300" t="str">
            <v>Silla tipo Casino</v>
          </cell>
          <cell r="G300" t="str">
            <v>NO</v>
          </cell>
          <cell r="H300" t="str">
            <v>NO</v>
          </cell>
          <cell r="I300" t="str">
            <v>ESTAR PERSONAL C/ KITCHENETTE</v>
          </cell>
          <cell r="J300">
            <v>4</v>
          </cell>
          <cell r="K300" t="str">
            <v>C.3.6.1.41.1</v>
          </cell>
          <cell r="L300" t="str">
            <v>Administración y apoyo general</v>
          </cell>
          <cell r="M300">
            <v>4</v>
          </cell>
          <cell r="N300">
            <v>46027</v>
          </cell>
          <cell r="O300">
            <v>46028</v>
          </cell>
          <cell r="P300">
            <v>1</v>
          </cell>
          <cell r="Q300">
            <v>46029</v>
          </cell>
          <cell r="R300">
            <v>5</v>
          </cell>
          <cell r="S300" t="str">
            <v>NA</v>
          </cell>
          <cell r="T300">
            <v>5</v>
          </cell>
        </row>
        <row r="301">
          <cell r="C301" t="str">
            <v>MNC</v>
          </cell>
          <cell r="D301" t="str">
            <v>HSLB15040</v>
          </cell>
          <cell r="E301">
            <v>204014</v>
          </cell>
          <cell r="F301" t="str">
            <v>Sillón 2 Cuerpo</v>
          </cell>
          <cell r="G301" t="str">
            <v>NO</v>
          </cell>
          <cell r="H301" t="str">
            <v>NO</v>
          </cell>
          <cell r="I301" t="str">
            <v>ESTAR PERSONAL C/ KITCHENETTE</v>
          </cell>
          <cell r="J301">
            <v>1</v>
          </cell>
          <cell r="K301" t="str">
            <v>C.3.6.1.41.1</v>
          </cell>
          <cell r="L301" t="str">
            <v>Administración y apoyo general</v>
          </cell>
          <cell r="M301">
            <v>4</v>
          </cell>
          <cell r="N301">
            <v>46027</v>
          </cell>
          <cell r="O301">
            <v>46028</v>
          </cell>
          <cell r="P301">
            <v>1</v>
          </cell>
          <cell r="Q301">
            <v>46029</v>
          </cell>
          <cell r="R301">
            <v>5</v>
          </cell>
          <cell r="S301" t="str">
            <v>NA</v>
          </cell>
          <cell r="T301">
            <v>5</v>
          </cell>
        </row>
        <row r="302">
          <cell r="C302" t="str">
            <v>MNC</v>
          </cell>
          <cell r="D302" t="str">
            <v>HSLB13411</v>
          </cell>
          <cell r="E302">
            <v>201011</v>
          </cell>
          <cell r="F302" t="str">
            <v>Mesa Tipo Casino</v>
          </cell>
          <cell r="G302" t="str">
            <v>NO</v>
          </cell>
          <cell r="H302" t="str">
            <v>NO</v>
          </cell>
          <cell r="I302" t="str">
            <v>ESTAR PERSONAL C/ KITCHENETTE</v>
          </cell>
          <cell r="J302">
            <v>1</v>
          </cell>
          <cell r="K302" t="str">
            <v>C.3.6.1.41.2</v>
          </cell>
          <cell r="L302" t="str">
            <v>Administración y apoyo general</v>
          </cell>
          <cell r="M302">
            <v>4</v>
          </cell>
          <cell r="N302">
            <v>46027</v>
          </cell>
          <cell r="O302">
            <v>46028</v>
          </cell>
          <cell r="P302">
            <v>2</v>
          </cell>
          <cell r="Q302">
            <v>46030</v>
          </cell>
          <cell r="R302">
            <v>5</v>
          </cell>
          <cell r="S302" t="str">
            <v>NA</v>
          </cell>
          <cell r="T302">
            <v>5</v>
          </cell>
        </row>
        <row r="303">
          <cell r="C303" t="str">
            <v>MNC</v>
          </cell>
          <cell r="D303" t="str">
            <v>HSLB14597</v>
          </cell>
          <cell r="E303">
            <v>204010</v>
          </cell>
          <cell r="F303" t="str">
            <v>Silla tipo Casino</v>
          </cell>
          <cell r="G303" t="str">
            <v>NO</v>
          </cell>
          <cell r="H303" t="str">
            <v>NO</v>
          </cell>
          <cell r="I303" t="str">
            <v>ESTAR PERSONAL C/ KITCHENETTE</v>
          </cell>
          <cell r="J303">
            <v>4</v>
          </cell>
          <cell r="K303" t="str">
            <v>C.3.6.1.41.2</v>
          </cell>
          <cell r="L303" t="str">
            <v>Administración y apoyo general</v>
          </cell>
          <cell r="M303">
            <v>4</v>
          </cell>
          <cell r="N303">
            <v>46027</v>
          </cell>
          <cell r="O303">
            <v>46028</v>
          </cell>
          <cell r="P303">
            <v>1</v>
          </cell>
          <cell r="Q303">
            <v>46029</v>
          </cell>
          <cell r="R303">
            <v>5</v>
          </cell>
          <cell r="S303" t="str">
            <v>NA</v>
          </cell>
          <cell r="T303">
            <v>5</v>
          </cell>
        </row>
        <row r="304">
          <cell r="C304" t="str">
            <v>MNC</v>
          </cell>
          <cell r="D304" t="str">
            <v>HSLB15008</v>
          </cell>
          <cell r="E304">
            <v>204014</v>
          </cell>
          <cell r="F304" t="str">
            <v>Sillón 2 Cuerpo</v>
          </cell>
          <cell r="G304" t="str">
            <v>NO</v>
          </cell>
          <cell r="H304" t="str">
            <v>NO</v>
          </cell>
          <cell r="I304" t="str">
            <v>ESTAR PERSONAL C/ KITCHENETTE</v>
          </cell>
          <cell r="J304">
            <v>1</v>
          </cell>
          <cell r="K304" t="str">
            <v>C.3.6.1.41.2</v>
          </cell>
          <cell r="L304" t="str">
            <v>Administración y apoyo general</v>
          </cell>
          <cell r="M304">
            <v>4</v>
          </cell>
          <cell r="N304">
            <v>46027</v>
          </cell>
          <cell r="O304">
            <v>46028</v>
          </cell>
          <cell r="P304">
            <v>1</v>
          </cell>
          <cell r="Q304">
            <v>46029</v>
          </cell>
          <cell r="R304">
            <v>5</v>
          </cell>
          <cell r="S304" t="str">
            <v>NA</v>
          </cell>
          <cell r="T304">
            <v>5</v>
          </cell>
        </row>
        <row r="305">
          <cell r="C305" t="str">
            <v>MNC</v>
          </cell>
          <cell r="D305" t="str">
            <v>HSLB13297</v>
          </cell>
          <cell r="E305">
            <v>201002</v>
          </cell>
          <cell r="F305" t="str">
            <v>Mesa Lateral</v>
          </cell>
          <cell r="G305" t="str">
            <v>NO</v>
          </cell>
          <cell r="H305" t="str">
            <v>NO</v>
          </cell>
          <cell r="I305" t="str">
            <v>SALA DE ESTAR FAMILIARES Y ENTREVISTAS</v>
          </cell>
          <cell r="J305">
            <v>1</v>
          </cell>
          <cell r="K305" t="str">
            <v>C.3.6.1.6</v>
          </cell>
          <cell r="L305" t="str">
            <v>Administración y apoyo general</v>
          </cell>
          <cell r="M305">
            <v>4</v>
          </cell>
          <cell r="N305">
            <v>46027</v>
          </cell>
          <cell r="O305">
            <v>46028</v>
          </cell>
          <cell r="P305">
            <v>2</v>
          </cell>
          <cell r="Q305">
            <v>46030</v>
          </cell>
          <cell r="R305">
            <v>5</v>
          </cell>
          <cell r="S305" t="str">
            <v>NA</v>
          </cell>
          <cell r="T305">
            <v>5</v>
          </cell>
        </row>
        <row r="306">
          <cell r="C306" t="str">
            <v>MNC</v>
          </cell>
          <cell r="D306" t="str">
            <v>HSLB13412</v>
          </cell>
          <cell r="E306">
            <v>201011</v>
          </cell>
          <cell r="F306" t="str">
            <v>Mesa Tipo Casino</v>
          </cell>
          <cell r="G306" t="str">
            <v>NO</v>
          </cell>
          <cell r="H306" t="str">
            <v>NO</v>
          </cell>
          <cell r="I306" t="str">
            <v>SALA DE ESTAR FAMILIARES Y ENTREVISTAS</v>
          </cell>
          <cell r="J306">
            <v>1</v>
          </cell>
          <cell r="K306" t="str">
            <v>C.3.6.1.6</v>
          </cell>
          <cell r="L306" t="str">
            <v>Administración y apoyo general</v>
          </cell>
          <cell r="M306">
            <v>4</v>
          </cell>
          <cell r="N306">
            <v>46027</v>
          </cell>
          <cell r="O306">
            <v>46028</v>
          </cell>
          <cell r="P306">
            <v>2</v>
          </cell>
          <cell r="Q306">
            <v>46030</v>
          </cell>
          <cell r="R306">
            <v>5</v>
          </cell>
          <cell r="S306" t="str">
            <v>NA</v>
          </cell>
          <cell r="T306">
            <v>5</v>
          </cell>
        </row>
        <row r="307">
          <cell r="C307" t="str">
            <v>MNC</v>
          </cell>
          <cell r="D307" t="str">
            <v>HSLB15009</v>
          </cell>
          <cell r="E307">
            <v>204014</v>
          </cell>
          <cell r="F307" t="str">
            <v>Sillón 2 Cuerpo</v>
          </cell>
          <cell r="G307" t="str">
            <v>NO</v>
          </cell>
          <cell r="H307" t="str">
            <v>NO</v>
          </cell>
          <cell r="I307" t="str">
            <v>SALA DE ESTAR FAMILIARES Y ENTREVISTAS</v>
          </cell>
          <cell r="J307">
            <v>1</v>
          </cell>
          <cell r="K307" t="str">
            <v>C.3.6.1.6</v>
          </cell>
          <cell r="L307" t="str">
            <v>Administración y apoyo general</v>
          </cell>
          <cell r="M307">
            <v>4</v>
          </cell>
          <cell r="N307">
            <v>46027</v>
          </cell>
          <cell r="O307">
            <v>46028</v>
          </cell>
          <cell r="P307">
            <v>1</v>
          </cell>
          <cell r="Q307">
            <v>46029</v>
          </cell>
          <cell r="R307">
            <v>5</v>
          </cell>
          <cell r="S307" t="str">
            <v>NA</v>
          </cell>
          <cell r="T307">
            <v>5</v>
          </cell>
        </row>
        <row r="308">
          <cell r="C308" t="str">
            <v>MNC</v>
          </cell>
          <cell r="D308" t="str">
            <v>HSLB14598</v>
          </cell>
          <cell r="E308">
            <v>204010</v>
          </cell>
          <cell r="F308" t="str">
            <v>Silla Tipo Casino</v>
          </cell>
          <cell r="G308" t="str">
            <v>NO</v>
          </cell>
          <cell r="H308" t="str">
            <v>NO</v>
          </cell>
          <cell r="I308" t="str">
            <v>SALA DE ESTAR FAMILIARES Y ENTREVISTAS</v>
          </cell>
          <cell r="J308">
            <v>4</v>
          </cell>
          <cell r="K308" t="str">
            <v>C.3.6.1.6</v>
          </cell>
          <cell r="L308" t="str">
            <v>Administración y apoyo general</v>
          </cell>
          <cell r="M308">
            <v>4</v>
          </cell>
          <cell r="N308">
            <v>46027</v>
          </cell>
          <cell r="O308">
            <v>46028</v>
          </cell>
          <cell r="P308">
            <v>1</v>
          </cell>
          <cell r="Q308">
            <v>46029</v>
          </cell>
          <cell r="R308">
            <v>5</v>
          </cell>
          <cell r="S308" t="str">
            <v>NA</v>
          </cell>
          <cell r="T308">
            <v>5</v>
          </cell>
        </row>
        <row r="309">
          <cell r="C309" t="str">
            <v>MNC</v>
          </cell>
          <cell r="D309" t="str">
            <v>HSLB15304</v>
          </cell>
          <cell r="E309">
            <v>204002</v>
          </cell>
          <cell r="F309" t="str">
            <v>Banca Madera</v>
          </cell>
          <cell r="G309" t="str">
            <v>NO</v>
          </cell>
          <cell r="H309" t="str">
            <v>NO</v>
          </cell>
          <cell r="I309" t="str">
            <v>VESTUARIO FAMILIARES</v>
          </cell>
          <cell r="J309">
            <v>1</v>
          </cell>
          <cell r="K309" t="str">
            <v>C.3.6.1.7</v>
          </cell>
          <cell r="L309" t="str">
            <v>Hospitalización</v>
          </cell>
          <cell r="M309">
            <v>4</v>
          </cell>
          <cell r="N309">
            <v>46027</v>
          </cell>
          <cell r="O309">
            <v>46028</v>
          </cell>
          <cell r="P309">
            <v>2</v>
          </cell>
          <cell r="Q309">
            <v>46030</v>
          </cell>
          <cell r="R309">
            <v>5</v>
          </cell>
          <cell r="S309" t="str">
            <v>NA</v>
          </cell>
          <cell r="T309">
            <v>5</v>
          </cell>
        </row>
        <row r="310">
          <cell r="C310" t="str">
            <v>MNC</v>
          </cell>
          <cell r="D310" t="str">
            <v>HSLB13145</v>
          </cell>
          <cell r="E310">
            <v>201001</v>
          </cell>
          <cell r="F310" t="str">
            <v>Estación de Trabajo</v>
          </cell>
          <cell r="G310" t="str">
            <v>NO</v>
          </cell>
          <cell r="H310" t="str">
            <v>NO</v>
          </cell>
          <cell r="I310" t="str">
            <v>OFICINA CHILE CRECE CONTIGO</v>
          </cell>
          <cell r="J310">
            <v>2</v>
          </cell>
          <cell r="K310" t="str">
            <v>C.3.6.1.9</v>
          </cell>
          <cell r="L310" t="str">
            <v>Hospitalización</v>
          </cell>
          <cell r="M310">
            <v>4</v>
          </cell>
          <cell r="N310">
            <v>46027</v>
          </cell>
          <cell r="O310">
            <v>46028</v>
          </cell>
          <cell r="P310">
            <v>2</v>
          </cell>
          <cell r="Q310">
            <v>46030</v>
          </cell>
          <cell r="R310">
            <v>5</v>
          </cell>
          <cell r="S310" t="str">
            <v>NA</v>
          </cell>
          <cell r="T310">
            <v>5</v>
          </cell>
        </row>
        <row r="311">
          <cell r="C311" t="str">
            <v>MNC</v>
          </cell>
          <cell r="D311" t="str">
            <v>HSLB13594</v>
          </cell>
          <cell r="E311">
            <v>203016</v>
          </cell>
          <cell r="F311" t="str">
            <v>Mueble Tipo Biblioteca</v>
          </cell>
          <cell r="G311" t="str">
            <v>NO</v>
          </cell>
          <cell r="H311" t="str">
            <v>NO</v>
          </cell>
          <cell r="I311" t="str">
            <v>OFICINA CHILE CRECE CONTIGO</v>
          </cell>
          <cell r="J311">
            <v>2</v>
          </cell>
          <cell r="K311" t="str">
            <v>C.3.6.1.9</v>
          </cell>
          <cell r="L311" t="str">
            <v>Hospitalización</v>
          </cell>
          <cell r="M311">
            <v>4</v>
          </cell>
          <cell r="N311">
            <v>46027</v>
          </cell>
          <cell r="O311">
            <v>46028</v>
          </cell>
          <cell r="P311">
            <v>2</v>
          </cell>
          <cell r="Q311">
            <v>46030</v>
          </cell>
          <cell r="R311">
            <v>5</v>
          </cell>
          <cell r="S311" t="str">
            <v>NA</v>
          </cell>
          <cell r="T311">
            <v>5</v>
          </cell>
        </row>
        <row r="312">
          <cell r="C312" t="str">
            <v>MNC</v>
          </cell>
          <cell r="D312" t="str">
            <v>HSLB14335</v>
          </cell>
          <cell r="E312">
            <v>204006</v>
          </cell>
          <cell r="F312" t="str">
            <v>Silla Ergonómica</v>
          </cell>
          <cell r="G312" t="str">
            <v>NO</v>
          </cell>
          <cell r="H312" t="str">
            <v>NO</v>
          </cell>
          <cell r="I312" t="str">
            <v>OFICINA CHILE CRECE CONTIGO</v>
          </cell>
          <cell r="J312">
            <v>2</v>
          </cell>
          <cell r="K312" t="str">
            <v>C.3.6.1.9</v>
          </cell>
          <cell r="L312" t="str">
            <v>Hospitalización</v>
          </cell>
          <cell r="M312">
            <v>4</v>
          </cell>
          <cell r="N312">
            <v>46027</v>
          </cell>
          <cell r="O312">
            <v>46028</v>
          </cell>
          <cell r="P312">
            <v>1</v>
          </cell>
          <cell r="Q312">
            <v>46029</v>
          </cell>
          <cell r="R312">
            <v>5</v>
          </cell>
          <cell r="S312" t="str">
            <v>NA</v>
          </cell>
          <cell r="T312">
            <v>5</v>
          </cell>
        </row>
        <row r="313">
          <cell r="C313" t="str">
            <v>MNC</v>
          </cell>
          <cell r="D313" t="str">
            <v>HSLB14770</v>
          </cell>
          <cell r="E313">
            <v>204012</v>
          </cell>
          <cell r="F313" t="str">
            <v>Silla Visita</v>
          </cell>
          <cell r="G313" t="str">
            <v>NO</v>
          </cell>
          <cell r="H313" t="str">
            <v>NO</v>
          </cell>
          <cell r="I313" t="str">
            <v>OFICINA CHILE CRECE CONTIGO</v>
          </cell>
          <cell r="J313">
            <v>2</v>
          </cell>
          <cell r="K313" t="str">
            <v>C.3.6.1.9</v>
          </cell>
          <cell r="L313" t="str">
            <v>Hospitalización</v>
          </cell>
          <cell r="M313">
            <v>4</v>
          </cell>
          <cell r="N313">
            <v>46027</v>
          </cell>
          <cell r="O313">
            <v>46028</v>
          </cell>
          <cell r="P313">
            <v>1</v>
          </cell>
          <cell r="Q313">
            <v>46029</v>
          </cell>
          <cell r="R313">
            <v>5</v>
          </cell>
          <cell r="S313" t="str">
            <v>NA</v>
          </cell>
          <cell r="T313">
            <v>5</v>
          </cell>
        </row>
        <row r="314">
          <cell r="C314" t="str">
            <v>MNC</v>
          </cell>
          <cell r="D314" t="str">
            <v>HSLB13439</v>
          </cell>
          <cell r="E314">
            <v>201011</v>
          </cell>
          <cell r="F314" t="str">
            <v>Mesa Tipo Casino</v>
          </cell>
          <cell r="G314" t="str">
            <v>NO</v>
          </cell>
          <cell r="H314" t="str">
            <v>NO</v>
          </cell>
          <cell r="I314" t="str">
            <v>ESTAR PERSONAL C/ KITCHENETTE</v>
          </cell>
          <cell r="J314">
            <v>1</v>
          </cell>
          <cell r="K314" t="str">
            <v>C.3.8.2.1</v>
          </cell>
          <cell r="L314" t="str">
            <v>Neonatología</v>
          </cell>
          <cell r="M314">
            <v>4</v>
          </cell>
          <cell r="N314">
            <v>46027</v>
          </cell>
          <cell r="O314">
            <v>46028</v>
          </cell>
          <cell r="P314">
            <v>2</v>
          </cell>
          <cell r="Q314">
            <v>46030</v>
          </cell>
          <cell r="R314">
            <v>5</v>
          </cell>
          <cell r="S314" t="str">
            <v>NA</v>
          </cell>
          <cell r="T314">
            <v>5</v>
          </cell>
        </row>
        <row r="315">
          <cell r="C315" t="str">
            <v>MNC</v>
          </cell>
          <cell r="D315" t="str">
            <v>HSLB14947</v>
          </cell>
          <cell r="E315">
            <v>204010</v>
          </cell>
          <cell r="F315" t="str">
            <v>Silla tipo Casino</v>
          </cell>
          <cell r="G315" t="str">
            <v>NO</v>
          </cell>
          <cell r="H315" t="str">
            <v>NO</v>
          </cell>
          <cell r="I315" t="str">
            <v>ESTAR PERSONAL C/ KITCHENETTE</v>
          </cell>
          <cell r="J315">
            <v>4</v>
          </cell>
          <cell r="K315" t="str">
            <v>C.3.8.2.1</v>
          </cell>
          <cell r="L315" t="str">
            <v>Neonatología</v>
          </cell>
          <cell r="M315">
            <v>4</v>
          </cell>
          <cell r="N315">
            <v>46027</v>
          </cell>
          <cell r="O315">
            <v>46028</v>
          </cell>
          <cell r="P315">
            <v>1</v>
          </cell>
          <cell r="Q315">
            <v>46029</v>
          </cell>
          <cell r="R315">
            <v>5</v>
          </cell>
          <cell r="S315" t="str">
            <v>NA</v>
          </cell>
          <cell r="T315">
            <v>5</v>
          </cell>
        </row>
        <row r="316">
          <cell r="C316" t="str">
            <v>MNC</v>
          </cell>
          <cell r="D316" t="str">
            <v>HSLB13198</v>
          </cell>
          <cell r="E316">
            <v>201001</v>
          </cell>
          <cell r="F316" t="str">
            <v>Estación de Trabajo</v>
          </cell>
          <cell r="G316" t="str">
            <v>NO</v>
          </cell>
          <cell r="H316" t="str">
            <v>NO</v>
          </cell>
          <cell r="I316" t="str">
            <v>OFICINA NUTRICIONISTA</v>
          </cell>
          <cell r="J316">
            <v>1</v>
          </cell>
          <cell r="K316" t="str">
            <v>C.5.8.1.2.1</v>
          </cell>
          <cell r="L316" t="str">
            <v>SEDILE</v>
          </cell>
          <cell r="M316">
            <v>4</v>
          </cell>
          <cell r="N316">
            <v>46027</v>
          </cell>
          <cell r="O316">
            <v>46028</v>
          </cell>
          <cell r="P316">
            <v>2</v>
          </cell>
          <cell r="Q316">
            <v>46030</v>
          </cell>
          <cell r="R316">
            <v>5</v>
          </cell>
          <cell r="S316" t="str">
            <v>NA</v>
          </cell>
          <cell r="T316">
            <v>5</v>
          </cell>
        </row>
        <row r="317">
          <cell r="C317" t="str">
            <v>MNC</v>
          </cell>
          <cell r="D317" t="str">
            <v>HSLB13640</v>
          </cell>
          <cell r="E317">
            <v>203016</v>
          </cell>
          <cell r="F317" t="str">
            <v>Mueble Tipo Biblioteca</v>
          </cell>
          <cell r="G317" t="str">
            <v>NO</v>
          </cell>
          <cell r="H317" t="str">
            <v>NO</v>
          </cell>
          <cell r="I317" t="str">
            <v>OFICINA NUTRICIONISTA</v>
          </cell>
          <cell r="J317">
            <v>1</v>
          </cell>
          <cell r="K317" t="str">
            <v>C.5.8.1.2.1</v>
          </cell>
          <cell r="L317" t="str">
            <v>SEDILE</v>
          </cell>
          <cell r="M317">
            <v>4</v>
          </cell>
          <cell r="N317">
            <v>46027</v>
          </cell>
          <cell r="O317">
            <v>46028</v>
          </cell>
          <cell r="P317">
            <v>2</v>
          </cell>
          <cell r="Q317">
            <v>46030</v>
          </cell>
          <cell r="R317">
            <v>5</v>
          </cell>
          <cell r="S317" t="str">
            <v>NA</v>
          </cell>
          <cell r="T317">
            <v>5</v>
          </cell>
        </row>
        <row r="318">
          <cell r="C318" t="str">
            <v>MNC</v>
          </cell>
          <cell r="D318" t="str">
            <v>HSLB14439</v>
          </cell>
          <cell r="E318">
            <v>204006</v>
          </cell>
          <cell r="F318" t="str">
            <v>Silla Ergonómica</v>
          </cell>
          <cell r="G318" t="str">
            <v>NO</v>
          </cell>
          <cell r="H318" t="str">
            <v>NO</v>
          </cell>
          <cell r="I318" t="str">
            <v>OFICINA NUTRICIONISTA</v>
          </cell>
          <cell r="J318">
            <v>1</v>
          </cell>
          <cell r="K318" t="str">
            <v>C.5.8.1.2.1</v>
          </cell>
          <cell r="L318" t="str">
            <v>SEDILE</v>
          </cell>
          <cell r="M318">
            <v>4</v>
          </cell>
          <cell r="N318">
            <v>46027</v>
          </cell>
          <cell r="O318">
            <v>46028</v>
          </cell>
          <cell r="P318">
            <v>1</v>
          </cell>
          <cell r="Q318">
            <v>46029</v>
          </cell>
          <cell r="R318">
            <v>5</v>
          </cell>
          <cell r="S318" t="str">
            <v>NA</v>
          </cell>
          <cell r="T318">
            <v>5</v>
          </cell>
        </row>
        <row r="319">
          <cell r="C319" t="str">
            <v>MNC</v>
          </cell>
          <cell r="D319" t="str">
            <v>HSLB14852</v>
          </cell>
          <cell r="E319">
            <v>204012</v>
          </cell>
          <cell r="F319" t="str">
            <v>Silla Visita</v>
          </cell>
          <cell r="G319" t="str">
            <v>NO</v>
          </cell>
          <cell r="H319" t="str">
            <v>NO</v>
          </cell>
          <cell r="I319" t="str">
            <v>OFICINA NUTRICIONISTA</v>
          </cell>
          <cell r="J319">
            <v>2</v>
          </cell>
          <cell r="K319" t="str">
            <v>C.5.8.1.2.1</v>
          </cell>
          <cell r="L319" t="str">
            <v>SEDILE</v>
          </cell>
          <cell r="M319">
            <v>4</v>
          </cell>
          <cell r="N319">
            <v>46027</v>
          </cell>
          <cell r="O319">
            <v>46028</v>
          </cell>
          <cell r="P319">
            <v>1</v>
          </cell>
          <cell r="Q319">
            <v>46029</v>
          </cell>
          <cell r="R319">
            <v>5</v>
          </cell>
          <cell r="S319" t="str">
            <v>NA</v>
          </cell>
          <cell r="T319">
            <v>5</v>
          </cell>
        </row>
        <row r="320">
          <cell r="C320" t="str">
            <v>MNC</v>
          </cell>
          <cell r="D320" t="str">
            <v>HSLB15412</v>
          </cell>
          <cell r="E320">
            <v>204006</v>
          </cell>
          <cell r="F320" t="str">
            <v>Silla Ergonómica</v>
          </cell>
          <cell r="G320" t="str">
            <v>NO</v>
          </cell>
          <cell r="H320" t="str">
            <v>NO</v>
          </cell>
          <cell r="I320" t="str">
            <v>DISTRIBUCIÓN</v>
          </cell>
          <cell r="J320">
            <v>1</v>
          </cell>
          <cell r="K320" t="str">
            <v>C.5.8.1.2.12</v>
          </cell>
          <cell r="L320" t="str">
            <v>SEDILE</v>
          </cell>
          <cell r="M320">
            <v>4</v>
          </cell>
          <cell r="N320">
            <v>46027</v>
          </cell>
          <cell r="O320">
            <v>46028</v>
          </cell>
          <cell r="P320">
            <v>1</v>
          </cell>
          <cell r="Q320">
            <v>46029</v>
          </cell>
          <cell r="R320">
            <v>5</v>
          </cell>
          <cell r="S320" t="str">
            <v>NA</v>
          </cell>
          <cell r="T320">
            <v>5</v>
          </cell>
        </row>
        <row r="321">
          <cell r="C321" t="str">
            <v>MNC</v>
          </cell>
          <cell r="D321" t="str">
            <v>HSLB15413</v>
          </cell>
          <cell r="E321">
            <v>204006</v>
          </cell>
          <cell r="F321" t="str">
            <v>Silla Ergonómica</v>
          </cell>
          <cell r="G321" t="str">
            <v>NO</v>
          </cell>
          <cell r="H321" t="str">
            <v>NO</v>
          </cell>
          <cell r="I321" t="str">
            <v>RECEPCIÓN CARRO Y MATERIAL SUCIO</v>
          </cell>
          <cell r="J321">
            <v>1</v>
          </cell>
          <cell r="K321" t="str">
            <v>C.5.8.1.2.14</v>
          </cell>
          <cell r="L321" t="str">
            <v>SEDILE</v>
          </cell>
          <cell r="M321">
            <v>4</v>
          </cell>
          <cell r="N321">
            <v>46027</v>
          </cell>
          <cell r="O321">
            <v>46028</v>
          </cell>
          <cell r="P321">
            <v>1</v>
          </cell>
          <cell r="Q321">
            <v>46029</v>
          </cell>
          <cell r="R321">
            <v>5</v>
          </cell>
          <cell r="S321" t="str">
            <v>NA</v>
          </cell>
          <cell r="T321">
            <v>5</v>
          </cell>
        </row>
        <row r="322">
          <cell r="C322" t="str">
            <v>MNC</v>
          </cell>
          <cell r="D322" t="str">
            <v>HSLB13427</v>
          </cell>
          <cell r="E322">
            <v>201011</v>
          </cell>
          <cell r="F322" t="str">
            <v>Mesa Tipo Casino</v>
          </cell>
          <cell r="G322" t="str">
            <v>NO</v>
          </cell>
          <cell r="H322" t="str">
            <v>NO</v>
          </cell>
          <cell r="I322" t="str">
            <v>ESTAR PERSONAL C/ KITCHENETTE</v>
          </cell>
          <cell r="J322">
            <v>1</v>
          </cell>
          <cell r="K322" t="str">
            <v>C.5.8.1.2.2</v>
          </cell>
          <cell r="L322" t="str">
            <v>SEDILE</v>
          </cell>
          <cell r="M322">
            <v>4</v>
          </cell>
          <cell r="N322">
            <v>46027</v>
          </cell>
          <cell r="O322">
            <v>46028</v>
          </cell>
          <cell r="P322">
            <v>2</v>
          </cell>
          <cell r="Q322">
            <v>46030</v>
          </cell>
          <cell r="R322">
            <v>5</v>
          </cell>
          <cell r="S322" t="str">
            <v>NA</v>
          </cell>
          <cell r="T322">
            <v>5</v>
          </cell>
        </row>
        <row r="323">
          <cell r="C323" t="str">
            <v>MNC</v>
          </cell>
          <cell r="D323" t="str">
            <v>HSLB14612</v>
          </cell>
          <cell r="E323">
            <v>204010</v>
          </cell>
          <cell r="F323" t="str">
            <v>Silla tipo Casino</v>
          </cell>
          <cell r="G323" t="str">
            <v>NO</v>
          </cell>
          <cell r="H323" t="str">
            <v>NO</v>
          </cell>
          <cell r="I323" t="str">
            <v>ESTAR PERSONAL C/ KITCHENETTE</v>
          </cell>
          <cell r="J323">
            <v>4</v>
          </cell>
          <cell r="K323" t="str">
            <v>C.5.8.1.2.2</v>
          </cell>
          <cell r="L323" t="str">
            <v>SEDILE</v>
          </cell>
          <cell r="M323">
            <v>4</v>
          </cell>
          <cell r="N323">
            <v>46027</v>
          </cell>
          <cell r="O323">
            <v>46028</v>
          </cell>
          <cell r="P323">
            <v>1</v>
          </cell>
          <cell r="Q323">
            <v>46029</v>
          </cell>
          <cell r="R323">
            <v>5</v>
          </cell>
          <cell r="S323" t="str">
            <v>NA</v>
          </cell>
          <cell r="T323">
            <v>5</v>
          </cell>
        </row>
        <row r="324">
          <cell r="C324" t="str">
            <v>MNC</v>
          </cell>
          <cell r="D324" t="str">
            <v>HSLB15030</v>
          </cell>
          <cell r="E324">
            <v>204014</v>
          </cell>
          <cell r="F324" t="str">
            <v>Sillón 2 Cuerpo</v>
          </cell>
          <cell r="G324" t="str">
            <v>NO</v>
          </cell>
          <cell r="H324" t="str">
            <v>NO</v>
          </cell>
          <cell r="I324" t="str">
            <v>ESTAR PERSONAL C/ KITCHENETTE</v>
          </cell>
          <cell r="J324">
            <v>0</v>
          </cell>
          <cell r="K324" t="str">
            <v>C.5.8.1.2.2</v>
          </cell>
          <cell r="L324" t="str">
            <v>SEDILE</v>
          </cell>
          <cell r="M324">
            <v>4</v>
          </cell>
          <cell r="N324">
            <v>46027</v>
          </cell>
          <cell r="O324">
            <v>46028</v>
          </cell>
          <cell r="P324">
            <v>1</v>
          </cell>
          <cell r="Q324">
            <v>46029</v>
          </cell>
          <cell r="R324">
            <v>5</v>
          </cell>
          <cell r="S324" t="str">
            <v>NA</v>
          </cell>
          <cell r="T324">
            <v>5</v>
          </cell>
        </row>
        <row r="325">
          <cell r="C325" t="str">
            <v>MNC</v>
          </cell>
          <cell r="D325" t="str">
            <v>HSLB15414</v>
          </cell>
          <cell r="E325">
            <v>204002</v>
          </cell>
          <cell r="F325" t="str">
            <v>Banca Madera</v>
          </cell>
          <cell r="G325" t="str">
            <v>NO</v>
          </cell>
          <cell r="H325" t="str">
            <v>NO</v>
          </cell>
          <cell r="I325" t="str">
            <v>VESTUARIO FUNCIONARIOS</v>
          </cell>
          <cell r="J325">
            <v>1</v>
          </cell>
          <cell r="K325" t="str">
            <v>C.5.8.1.2.3.1</v>
          </cell>
          <cell r="L325" t="str">
            <v>SEDILE</v>
          </cell>
          <cell r="M325">
            <v>4</v>
          </cell>
          <cell r="N325">
            <v>46027</v>
          </cell>
          <cell r="O325">
            <v>46028</v>
          </cell>
          <cell r="P325">
            <v>1</v>
          </cell>
          <cell r="Q325">
            <v>46029</v>
          </cell>
          <cell r="R325">
            <v>5</v>
          </cell>
          <cell r="S325" t="str">
            <v>NA</v>
          </cell>
          <cell r="T325">
            <v>5</v>
          </cell>
        </row>
        <row r="326">
          <cell r="C326" t="str">
            <v>MNC</v>
          </cell>
          <cell r="D326" t="str">
            <v>HSLB15415</v>
          </cell>
          <cell r="E326">
            <v>204002</v>
          </cell>
          <cell r="F326" t="str">
            <v>Banca Madera</v>
          </cell>
          <cell r="G326" t="str">
            <v>NO</v>
          </cell>
          <cell r="H326" t="str">
            <v>NO</v>
          </cell>
          <cell r="I326" t="str">
            <v>VESTUARIO FUNCIONARIOS</v>
          </cell>
          <cell r="J326">
            <v>1</v>
          </cell>
          <cell r="K326" t="str">
            <v>C.5.8.1.2.3.2</v>
          </cell>
          <cell r="L326" t="str">
            <v>SEDILE</v>
          </cell>
          <cell r="M326">
            <v>4</v>
          </cell>
          <cell r="N326">
            <v>46027</v>
          </cell>
          <cell r="O326">
            <v>46028</v>
          </cell>
          <cell r="P326">
            <v>1</v>
          </cell>
          <cell r="Q326">
            <v>46029</v>
          </cell>
          <cell r="R326">
            <v>5</v>
          </cell>
          <cell r="S326" t="str">
            <v>NA</v>
          </cell>
          <cell r="T326">
            <v>5</v>
          </cell>
        </row>
        <row r="327">
          <cell r="C327" t="str">
            <v>MNC</v>
          </cell>
          <cell r="D327" t="str">
            <v>HSLB15481</v>
          </cell>
          <cell r="E327">
            <v>203041</v>
          </cell>
          <cell r="F327" t="str">
            <v>Mueble Tipo Biblioteca</v>
          </cell>
          <cell r="G327" t="str">
            <v>NO</v>
          </cell>
          <cell r="H327" t="str">
            <v>SI</v>
          </cell>
          <cell r="I327" t="str">
            <v xml:space="preserve">SALA 4 CAMAS </v>
          </cell>
          <cell r="J327">
            <v>0</v>
          </cell>
          <cell r="K327" t="str">
            <v xml:space="preserve">C.3.6.1.18.2 </v>
          </cell>
          <cell r="L327" t="str">
            <v>Hospitalización</v>
          </cell>
          <cell r="M327">
            <v>4</v>
          </cell>
          <cell r="N327">
            <v>46003</v>
          </cell>
          <cell r="O327">
            <v>46006</v>
          </cell>
          <cell r="P327">
            <v>1</v>
          </cell>
          <cell r="Q327">
            <v>46007</v>
          </cell>
          <cell r="R327">
            <v>5</v>
          </cell>
          <cell r="S327" t="str">
            <v>NA</v>
          </cell>
          <cell r="T327">
            <v>5</v>
          </cell>
        </row>
        <row r="328">
          <cell r="C328" t="str">
            <v>MNC</v>
          </cell>
          <cell r="D328" t="str">
            <v>HSLB15482</v>
          </cell>
          <cell r="E328">
            <v>203042</v>
          </cell>
          <cell r="F328" t="str">
            <v>Mueble Tipo Biblioteca</v>
          </cell>
          <cell r="G328" t="str">
            <v>NO</v>
          </cell>
          <cell r="H328" t="str">
            <v>SI</v>
          </cell>
          <cell r="I328" t="str">
            <v xml:space="preserve">BODEGA DE INSUMOS </v>
          </cell>
          <cell r="J328">
            <v>0</v>
          </cell>
          <cell r="K328" t="str">
            <v>C.3.6.1.32.1</v>
          </cell>
          <cell r="L328" t="str">
            <v>Hospitalización</v>
          </cell>
          <cell r="M328">
            <v>4</v>
          </cell>
          <cell r="N328">
            <v>46003</v>
          </cell>
          <cell r="O328">
            <v>46006</v>
          </cell>
          <cell r="P328">
            <v>1</v>
          </cell>
          <cell r="Q328">
            <v>46007</v>
          </cell>
          <cell r="R328">
            <v>5</v>
          </cell>
          <cell r="S328" t="str">
            <v>NA</v>
          </cell>
          <cell r="T328">
            <v>5</v>
          </cell>
        </row>
        <row r="329">
          <cell r="C329" t="str">
            <v>MNC</v>
          </cell>
          <cell r="D329" t="str">
            <v>HSLB15483</v>
          </cell>
          <cell r="E329">
            <v>203043</v>
          </cell>
          <cell r="F329" t="str">
            <v>Mueble Tipo Biblioteca</v>
          </cell>
          <cell r="G329" t="str">
            <v>NO</v>
          </cell>
          <cell r="H329" t="str">
            <v>SI</v>
          </cell>
          <cell r="I329" t="str">
            <v xml:space="preserve">BODEGA ROPA LIMPIA </v>
          </cell>
          <cell r="J329">
            <v>0</v>
          </cell>
          <cell r="K329" t="str">
            <v>C.3.6.1.33.1</v>
          </cell>
          <cell r="L329" t="str">
            <v>Hospitalización</v>
          </cell>
          <cell r="M329">
            <v>4</v>
          </cell>
          <cell r="N329">
            <v>46003</v>
          </cell>
          <cell r="O329">
            <v>46006</v>
          </cell>
          <cell r="P329">
            <v>1</v>
          </cell>
          <cell r="Q329">
            <v>46007</v>
          </cell>
          <cell r="R329">
            <v>5</v>
          </cell>
          <cell r="S329" t="str">
            <v>NA</v>
          </cell>
          <cell r="T329">
            <v>5</v>
          </cell>
        </row>
        <row r="330">
          <cell r="C330" t="str">
            <v>MNC</v>
          </cell>
          <cell r="D330" t="str">
            <v>HSLB15484</v>
          </cell>
          <cell r="E330">
            <v>203044</v>
          </cell>
          <cell r="F330" t="str">
            <v>Mueble Tipo Biblioteca</v>
          </cell>
          <cell r="G330" t="str">
            <v>NO</v>
          </cell>
          <cell r="H330" t="str">
            <v>SI</v>
          </cell>
          <cell r="I330" t="str">
            <v>BODEGA DE EQUIPOS Y CUNAS</v>
          </cell>
          <cell r="J330">
            <v>0</v>
          </cell>
          <cell r="K330" t="str">
            <v>C.3.6.1.37</v>
          </cell>
          <cell r="L330" t="str">
            <v>Hospitalización</v>
          </cell>
          <cell r="M330">
            <v>4</v>
          </cell>
          <cell r="N330">
            <v>46003</v>
          </cell>
          <cell r="O330">
            <v>46006</v>
          </cell>
          <cell r="P330">
            <v>1</v>
          </cell>
          <cell r="Q330">
            <v>46007</v>
          </cell>
          <cell r="R330">
            <v>5</v>
          </cell>
          <cell r="S330" t="str">
            <v>NA</v>
          </cell>
          <cell r="T330">
            <v>5</v>
          </cell>
        </row>
        <row r="331">
          <cell r="C331" t="str">
            <v>MNC</v>
          </cell>
          <cell r="D331" t="str">
            <v>HSLB15498</v>
          </cell>
          <cell r="E331">
            <v>203058</v>
          </cell>
          <cell r="F331" t="str">
            <v>Mueble Tipo Biblioteca</v>
          </cell>
          <cell r="G331" t="str">
            <v>NO</v>
          </cell>
          <cell r="H331" t="str">
            <v>SI</v>
          </cell>
          <cell r="I331" t="str">
            <v>ESTACIONAMIENTO DE CARROS PREPARADOS</v>
          </cell>
          <cell r="J331">
            <v>0</v>
          </cell>
          <cell r="K331" t="str">
            <v>C.5.8.1.2.13</v>
          </cell>
          <cell r="L331" t="str">
            <v>SEDILE</v>
          </cell>
          <cell r="M331">
            <v>4</v>
          </cell>
          <cell r="N331">
            <v>46003</v>
          </cell>
          <cell r="O331">
            <v>46006</v>
          </cell>
          <cell r="P331">
            <v>1</v>
          </cell>
          <cell r="Q331">
            <v>46007</v>
          </cell>
          <cell r="R331">
            <v>5</v>
          </cell>
          <cell r="S331" t="str">
            <v>NA</v>
          </cell>
          <cell r="T331">
            <v>5</v>
          </cell>
        </row>
      </sheetData>
      <sheetData sheetId="12">
        <row r="20">
          <cell r="B20" t="str">
            <v>EMMC</v>
          </cell>
          <cell r="C20" t="str">
            <v>HSLB11930</v>
          </cell>
          <cell r="D20">
            <v>112046</v>
          </cell>
          <cell r="E20" t="str">
            <v>Catre Clínico Eléctrico</v>
          </cell>
          <cell r="F20" t="str">
            <v>NO</v>
          </cell>
          <cell r="G20" t="str">
            <v>NO</v>
          </cell>
          <cell r="H20" t="str">
            <v>SALA 1 CAMA</v>
          </cell>
          <cell r="I20">
            <v>1</v>
          </cell>
          <cell r="J20" t="str">
            <v>C.3.4.2.11.1</v>
          </cell>
          <cell r="K20" t="str">
            <v>Hospitalización</v>
          </cell>
          <cell r="L20">
            <v>5</v>
          </cell>
          <cell r="M20">
            <v>46027</v>
          </cell>
          <cell r="N20">
            <v>46028</v>
          </cell>
          <cell r="O20">
            <v>2</v>
          </cell>
          <cell r="P20">
            <v>46030</v>
          </cell>
          <cell r="Q20">
            <v>5</v>
          </cell>
          <cell r="R20" t="str">
            <v>NA</v>
          </cell>
          <cell r="S20">
            <v>5</v>
          </cell>
        </row>
        <row r="21">
          <cell r="B21" t="str">
            <v>EMMC</v>
          </cell>
          <cell r="C21" t="str">
            <v>HSLB11931</v>
          </cell>
          <cell r="D21">
            <v>112046</v>
          </cell>
          <cell r="E21" t="str">
            <v>Catre Clínico Eléctrico</v>
          </cell>
          <cell r="F21" t="str">
            <v>NO</v>
          </cell>
          <cell r="G21" t="str">
            <v>NO</v>
          </cell>
          <cell r="H21" t="str">
            <v>SALA 1 CAMA</v>
          </cell>
          <cell r="I21">
            <v>1</v>
          </cell>
          <cell r="J21" t="str">
            <v>C.3.4.2.11.10</v>
          </cell>
          <cell r="K21" t="str">
            <v>Hospitalización</v>
          </cell>
          <cell r="L21">
            <v>5</v>
          </cell>
          <cell r="M21">
            <v>46027</v>
          </cell>
          <cell r="N21">
            <v>46028</v>
          </cell>
          <cell r="O21">
            <v>2</v>
          </cell>
          <cell r="P21">
            <v>46030</v>
          </cell>
          <cell r="Q21">
            <v>5</v>
          </cell>
          <cell r="R21" t="str">
            <v>NA</v>
          </cell>
          <cell r="S21">
            <v>5</v>
          </cell>
        </row>
        <row r="22">
          <cell r="B22" t="str">
            <v>EMMC</v>
          </cell>
          <cell r="C22" t="str">
            <v>HSLB11932</v>
          </cell>
          <cell r="D22">
            <v>112046</v>
          </cell>
          <cell r="E22" t="str">
            <v>Catre Clínico Eléctrico</v>
          </cell>
          <cell r="F22" t="str">
            <v>NO</v>
          </cell>
          <cell r="G22" t="str">
            <v>NO</v>
          </cell>
          <cell r="H22" t="str">
            <v>SALA 1 CAMA</v>
          </cell>
          <cell r="I22">
            <v>1</v>
          </cell>
          <cell r="J22" t="str">
            <v>C.3.4.2.11.11</v>
          </cell>
          <cell r="K22" t="str">
            <v>Hospitalización</v>
          </cell>
          <cell r="L22">
            <v>5</v>
          </cell>
          <cell r="M22">
            <v>46027</v>
          </cell>
          <cell r="N22">
            <v>46028</v>
          </cell>
          <cell r="O22">
            <v>2</v>
          </cell>
          <cell r="P22">
            <v>46030</v>
          </cell>
          <cell r="Q22">
            <v>5</v>
          </cell>
          <cell r="R22" t="str">
            <v>NA</v>
          </cell>
          <cell r="S22">
            <v>5</v>
          </cell>
        </row>
        <row r="23">
          <cell r="B23" t="str">
            <v>EMMC</v>
          </cell>
          <cell r="C23" t="str">
            <v>HSLB11933</v>
          </cell>
          <cell r="D23">
            <v>112046</v>
          </cell>
          <cell r="E23" t="str">
            <v>Catre Clínico Eléctrico</v>
          </cell>
          <cell r="F23" t="str">
            <v>NO</v>
          </cell>
          <cell r="G23" t="str">
            <v>NO</v>
          </cell>
          <cell r="H23" t="str">
            <v>SALA 1 CAMA</v>
          </cell>
          <cell r="I23">
            <v>1</v>
          </cell>
          <cell r="J23" t="str">
            <v>C.3.4.2.11.12</v>
          </cell>
          <cell r="K23" t="str">
            <v>Hospitalización</v>
          </cell>
          <cell r="L23">
            <v>5</v>
          </cell>
          <cell r="M23">
            <v>46027</v>
          </cell>
          <cell r="N23">
            <v>46028</v>
          </cell>
          <cell r="O23">
            <v>2</v>
          </cell>
          <cell r="P23">
            <v>46030</v>
          </cell>
          <cell r="Q23">
            <v>5</v>
          </cell>
          <cell r="R23" t="str">
            <v>NA</v>
          </cell>
          <cell r="S23">
            <v>5</v>
          </cell>
        </row>
        <row r="24">
          <cell r="B24" t="str">
            <v>EMMC</v>
          </cell>
          <cell r="C24" t="str">
            <v>HSLB11934</v>
          </cell>
          <cell r="D24">
            <v>112046</v>
          </cell>
          <cell r="E24" t="str">
            <v>Catre Clínico Eléctrico</v>
          </cell>
          <cell r="F24" t="str">
            <v>NO</v>
          </cell>
          <cell r="G24" t="str">
            <v>NO</v>
          </cell>
          <cell r="H24" t="str">
            <v>SALA 1 CAMA</v>
          </cell>
          <cell r="I24">
            <v>1</v>
          </cell>
          <cell r="J24" t="str">
            <v>C.3.4.2.11.2</v>
          </cell>
          <cell r="K24" t="str">
            <v>Hospitalización</v>
          </cell>
          <cell r="L24">
            <v>5</v>
          </cell>
          <cell r="M24">
            <v>46027</v>
          </cell>
          <cell r="N24">
            <v>46028</v>
          </cell>
          <cell r="O24">
            <v>2</v>
          </cell>
          <cell r="P24">
            <v>46030</v>
          </cell>
          <cell r="Q24">
            <v>5</v>
          </cell>
          <cell r="R24" t="str">
            <v>NA</v>
          </cell>
          <cell r="S24">
            <v>5</v>
          </cell>
        </row>
        <row r="25">
          <cell r="B25" t="str">
            <v>EMMC</v>
          </cell>
          <cell r="C25" t="str">
            <v>HSLB11935</v>
          </cell>
          <cell r="D25">
            <v>112046</v>
          </cell>
          <cell r="E25" t="str">
            <v>Catre Clínico Eléctrico</v>
          </cell>
          <cell r="F25" t="str">
            <v>NO</v>
          </cell>
          <cell r="G25" t="str">
            <v>NO</v>
          </cell>
          <cell r="H25" t="str">
            <v>SALA 1 CAMA</v>
          </cell>
          <cell r="I25">
            <v>1</v>
          </cell>
          <cell r="J25" t="str">
            <v>C.3.4.2.11.3</v>
          </cell>
          <cell r="K25" t="str">
            <v>Hospitalización</v>
          </cell>
          <cell r="L25">
            <v>5</v>
          </cell>
          <cell r="M25">
            <v>46027</v>
          </cell>
          <cell r="N25">
            <v>46028</v>
          </cell>
          <cell r="O25">
            <v>2</v>
          </cell>
          <cell r="P25">
            <v>46030</v>
          </cell>
          <cell r="Q25">
            <v>5</v>
          </cell>
          <cell r="R25" t="str">
            <v>NA</v>
          </cell>
          <cell r="S25">
            <v>5</v>
          </cell>
        </row>
        <row r="26">
          <cell r="B26" t="str">
            <v>EMMC</v>
          </cell>
          <cell r="C26" t="str">
            <v>HSLB11936</v>
          </cell>
          <cell r="D26">
            <v>112046</v>
          </cell>
          <cell r="E26" t="str">
            <v>Catre Clínico Eléctrico</v>
          </cell>
          <cell r="F26" t="str">
            <v>NO</v>
          </cell>
          <cell r="G26" t="str">
            <v>NO</v>
          </cell>
          <cell r="H26" t="str">
            <v>SALA 1 CAMA</v>
          </cell>
          <cell r="I26">
            <v>1</v>
          </cell>
          <cell r="J26" t="str">
            <v>C.3.4.2.11.4</v>
          </cell>
          <cell r="K26" t="str">
            <v>Hospitalización</v>
          </cell>
          <cell r="L26">
            <v>5</v>
          </cell>
          <cell r="M26">
            <v>46027</v>
          </cell>
          <cell r="N26">
            <v>46028</v>
          </cell>
          <cell r="O26">
            <v>2</v>
          </cell>
          <cell r="P26">
            <v>46030</v>
          </cell>
          <cell r="Q26">
            <v>5</v>
          </cell>
          <cell r="R26" t="str">
            <v>NA</v>
          </cell>
          <cell r="S26">
            <v>5</v>
          </cell>
        </row>
        <row r="27">
          <cell r="B27" t="str">
            <v>EMMC</v>
          </cell>
          <cell r="C27" t="str">
            <v>HSLB11937</v>
          </cell>
          <cell r="D27">
            <v>112046</v>
          </cell>
          <cell r="E27" t="str">
            <v>Catre Clínico Eléctrico</v>
          </cell>
          <cell r="F27" t="str">
            <v>NO</v>
          </cell>
          <cell r="G27" t="str">
            <v>NO</v>
          </cell>
          <cell r="H27" t="str">
            <v>SALA 1 CAMA</v>
          </cell>
          <cell r="I27">
            <v>1</v>
          </cell>
          <cell r="J27" t="str">
            <v>C.3.4.2.11.5</v>
          </cell>
          <cell r="K27" t="str">
            <v>Hospitalización</v>
          </cell>
          <cell r="L27">
            <v>5</v>
          </cell>
          <cell r="M27">
            <v>46027</v>
          </cell>
          <cell r="N27">
            <v>46028</v>
          </cell>
          <cell r="O27">
            <v>2</v>
          </cell>
          <cell r="P27">
            <v>46030</v>
          </cell>
          <cell r="Q27">
            <v>5</v>
          </cell>
          <cell r="R27" t="str">
            <v>NA</v>
          </cell>
          <cell r="S27">
            <v>5</v>
          </cell>
        </row>
        <row r="28">
          <cell r="B28" t="str">
            <v>EMMC</v>
          </cell>
          <cell r="C28" t="str">
            <v>HSLB11938</v>
          </cell>
          <cell r="D28">
            <v>112046</v>
          </cell>
          <cell r="E28" t="str">
            <v>Catre Clínico Eléctrico</v>
          </cell>
          <cell r="F28" t="str">
            <v>NO</v>
          </cell>
          <cell r="G28" t="str">
            <v>NO</v>
          </cell>
          <cell r="H28" t="str">
            <v>SALA 1 CAMA</v>
          </cell>
          <cell r="I28">
            <v>1</v>
          </cell>
          <cell r="J28" t="str">
            <v>C.3.4.2.11.6</v>
          </cell>
          <cell r="K28" t="str">
            <v>Hospitalización</v>
          </cell>
          <cell r="L28">
            <v>5</v>
          </cell>
          <cell r="M28">
            <v>46027</v>
          </cell>
          <cell r="N28">
            <v>46028</v>
          </cell>
          <cell r="O28">
            <v>2</v>
          </cell>
          <cell r="P28">
            <v>46030</v>
          </cell>
          <cell r="Q28">
            <v>5</v>
          </cell>
          <cell r="R28" t="str">
            <v>NA</v>
          </cell>
          <cell r="S28">
            <v>5</v>
          </cell>
        </row>
        <row r="29">
          <cell r="B29" t="str">
            <v>EMMC</v>
          </cell>
          <cell r="C29" t="str">
            <v>HSLB11939</v>
          </cell>
          <cell r="D29">
            <v>112046</v>
          </cell>
          <cell r="E29" t="str">
            <v>Catre Clínico Eléctrico</v>
          </cell>
          <cell r="F29" t="str">
            <v>NO</v>
          </cell>
          <cell r="G29" t="str">
            <v>NO</v>
          </cell>
          <cell r="H29" t="str">
            <v>SALA 1 CAMA</v>
          </cell>
          <cell r="I29">
            <v>1</v>
          </cell>
          <cell r="J29" t="str">
            <v>C.3.4.2.11.7</v>
          </cell>
          <cell r="K29" t="str">
            <v>Hospitalización</v>
          </cell>
          <cell r="L29">
            <v>5</v>
          </cell>
          <cell r="M29">
            <v>46027</v>
          </cell>
          <cell r="N29">
            <v>46028</v>
          </cell>
          <cell r="O29">
            <v>2</v>
          </cell>
          <cell r="P29">
            <v>46030</v>
          </cell>
          <cell r="Q29">
            <v>5</v>
          </cell>
          <cell r="R29" t="str">
            <v>NA</v>
          </cell>
          <cell r="S29">
            <v>5</v>
          </cell>
        </row>
        <row r="30">
          <cell r="B30" t="str">
            <v>EMMC</v>
          </cell>
          <cell r="C30" t="str">
            <v>HSLB11940</v>
          </cell>
          <cell r="D30">
            <v>112046</v>
          </cell>
          <cell r="E30" t="str">
            <v>Catre Clínico Eléctrico</v>
          </cell>
          <cell r="F30" t="str">
            <v>NO</v>
          </cell>
          <cell r="G30" t="str">
            <v>NO</v>
          </cell>
          <cell r="H30" t="str">
            <v>SALA 1 CAMA</v>
          </cell>
          <cell r="I30">
            <v>1</v>
          </cell>
          <cell r="J30" t="str">
            <v>C.3.4.2.11.8</v>
          </cell>
          <cell r="K30" t="str">
            <v>Hospitalización</v>
          </cell>
          <cell r="L30">
            <v>5</v>
          </cell>
          <cell r="M30">
            <v>46027</v>
          </cell>
          <cell r="N30">
            <v>46028</v>
          </cell>
          <cell r="O30">
            <v>2</v>
          </cell>
          <cell r="P30">
            <v>46030</v>
          </cell>
          <cell r="Q30">
            <v>5</v>
          </cell>
          <cell r="R30" t="str">
            <v>NA</v>
          </cell>
          <cell r="S30">
            <v>5</v>
          </cell>
        </row>
        <row r="31">
          <cell r="B31" t="str">
            <v>EMMC</v>
          </cell>
          <cell r="C31" t="str">
            <v>HSLB11941</v>
          </cell>
          <cell r="D31">
            <v>112046</v>
          </cell>
          <cell r="E31" t="str">
            <v>Catre Clínico Eléctrico</v>
          </cell>
          <cell r="F31" t="str">
            <v>NO</v>
          </cell>
          <cell r="G31" t="str">
            <v>NO</v>
          </cell>
          <cell r="H31" t="str">
            <v>SALA 1 CAMA</v>
          </cell>
          <cell r="I31">
            <v>1</v>
          </cell>
          <cell r="J31" t="str">
            <v>C.3.4.2.11.9</v>
          </cell>
          <cell r="K31" t="str">
            <v>Hospitalización</v>
          </cell>
          <cell r="L31">
            <v>5</v>
          </cell>
          <cell r="M31">
            <v>46027</v>
          </cell>
          <cell r="N31">
            <v>46028</v>
          </cell>
          <cell r="O31">
            <v>2</v>
          </cell>
          <cell r="P31">
            <v>46030</v>
          </cell>
          <cell r="Q31">
            <v>5</v>
          </cell>
          <cell r="R31" t="str">
            <v>NA</v>
          </cell>
          <cell r="S31">
            <v>5</v>
          </cell>
        </row>
        <row r="32">
          <cell r="B32" t="str">
            <v>EMMC</v>
          </cell>
          <cell r="C32" t="str">
            <v>HSLB11354</v>
          </cell>
          <cell r="D32">
            <v>110021</v>
          </cell>
          <cell r="E32" t="str">
            <v>Dispensador Automático de insumos y Medicamentos 1 Columna</v>
          </cell>
          <cell r="F32" t="str">
            <v>SI</v>
          </cell>
          <cell r="G32" t="str">
            <v>NO</v>
          </cell>
          <cell r="H32" t="str">
            <v>DISPENSADOR DE MEDICAMENTOS</v>
          </cell>
          <cell r="I32">
            <v>1</v>
          </cell>
          <cell r="J32" t="str">
            <v>C.3.4.2.7</v>
          </cell>
          <cell r="K32" t="str">
            <v>Hospitalización</v>
          </cell>
          <cell r="L32">
            <v>5</v>
          </cell>
          <cell r="M32">
            <v>46043</v>
          </cell>
          <cell r="N32">
            <v>46044</v>
          </cell>
          <cell r="O32">
            <v>5</v>
          </cell>
          <cell r="P32">
            <v>46051</v>
          </cell>
          <cell r="Q32">
            <v>5</v>
          </cell>
          <cell r="R32" t="str">
            <v>NA</v>
          </cell>
          <cell r="S32">
            <v>5</v>
          </cell>
        </row>
        <row r="33">
          <cell r="B33" t="str">
            <v>EMMC</v>
          </cell>
          <cell r="C33" t="str">
            <v>HSLB11366</v>
          </cell>
          <cell r="D33">
            <v>110023</v>
          </cell>
          <cell r="E33" t="str">
            <v>Dispensador Automático de insumos y Medicamentos 3 Columnas</v>
          </cell>
          <cell r="F33" t="str">
            <v>SI</v>
          </cell>
          <cell r="G33" t="str">
            <v>NO</v>
          </cell>
          <cell r="H33" t="str">
            <v>DISPENSADOR DE MEDICAMENTOS</v>
          </cell>
          <cell r="I33">
            <v>1</v>
          </cell>
          <cell r="J33" t="str">
            <v>C.3.5.13</v>
          </cell>
          <cell r="K33" t="str">
            <v>Hospitalización</v>
          </cell>
          <cell r="L33">
            <v>5</v>
          </cell>
          <cell r="M33">
            <v>46043</v>
          </cell>
          <cell r="N33">
            <v>46044</v>
          </cell>
          <cell r="O33">
            <v>5</v>
          </cell>
          <cell r="P33">
            <v>46051</v>
          </cell>
          <cell r="Q33">
            <v>5</v>
          </cell>
          <cell r="R33" t="str">
            <v>NA</v>
          </cell>
          <cell r="S33">
            <v>5</v>
          </cell>
        </row>
        <row r="34">
          <cell r="B34" t="str">
            <v>EMMC</v>
          </cell>
          <cell r="C34" t="str">
            <v>HSLB10362</v>
          </cell>
          <cell r="D34">
            <v>103032</v>
          </cell>
          <cell r="E34" t="str">
            <v>Lavachatas Automático</v>
          </cell>
          <cell r="F34" t="str">
            <v>SI</v>
          </cell>
          <cell r="G34" t="str">
            <v>NO</v>
          </cell>
          <cell r="H34" t="str">
            <v>LAVACHATA AUTOMATICO</v>
          </cell>
          <cell r="I34">
            <v>1</v>
          </cell>
          <cell r="J34" t="str">
            <v>C.3.4.2.16</v>
          </cell>
          <cell r="K34" t="str">
            <v>Hospitalización</v>
          </cell>
          <cell r="L34">
            <v>5</v>
          </cell>
          <cell r="M34">
            <v>46043</v>
          </cell>
          <cell r="N34">
            <v>46044</v>
          </cell>
          <cell r="O34">
            <v>5</v>
          </cell>
          <cell r="P34">
            <v>46051</v>
          </cell>
          <cell r="Q34">
            <v>5</v>
          </cell>
          <cell r="R34" t="str">
            <v>NA</v>
          </cell>
          <cell r="S34">
            <v>5</v>
          </cell>
        </row>
        <row r="35">
          <cell r="B35" t="str">
            <v>EMMC</v>
          </cell>
          <cell r="C35" t="str">
            <v>HSLB10367</v>
          </cell>
          <cell r="D35">
            <v>103032</v>
          </cell>
          <cell r="E35" t="str">
            <v>Lavachatas Automático</v>
          </cell>
          <cell r="F35" t="str">
            <v>SI</v>
          </cell>
          <cell r="G35" t="str">
            <v>NO</v>
          </cell>
          <cell r="H35" t="str">
            <v>LAVACHATA AUTOMATICO</v>
          </cell>
          <cell r="I35">
            <v>1</v>
          </cell>
          <cell r="J35" t="str">
            <v>C.3.5.24</v>
          </cell>
          <cell r="K35" t="str">
            <v>Hospitalización</v>
          </cell>
          <cell r="L35">
            <v>5</v>
          </cell>
          <cell r="M35">
            <v>46043</v>
          </cell>
          <cell r="N35">
            <v>46044</v>
          </cell>
          <cell r="O35">
            <v>5</v>
          </cell>
          <cell r="P35">
            <v>46051</v>
          </cell>
          <cell r="Q35">
            <v>5</v>
          </cell>
          <cell r="R35" t="str">
            <v>NA</v>
          </cell>
          <cell r="S35">
            <v>5</v>
          </cell>
        </row>
        <row r="36">
          <cell r="B36" t="str">
            <v>EMMC</v>
          </cell>
          <cell r="C36" t="str">
            <v>HSLB10946</v>
          </cell>
          <cell r="D36">
            <v>106019</v>
          </cell>
          <cell r="E36" t="str">
            <v>Televisor 32'</v>
          </cell>
          <cell r="F36" t="str">
            <v>NO</v>
          </cell>
          <cell r="G36" t="str">
            <v>NO</v>
          </cell>
          <cell r="H36" t="str">
            <v>SALA 1 CAMA</v>
          </cell>
          <cell r="I36">
            <v>1</v>
          </cell>
          <cell r="J36" t="str">
            <v>C.3.4.2.11.1</v>
          </cell>
          <cell r="K36" t="str">
            <v>Hospitalización</v>
          </cell>
          <cell r="L36">
            <v>5</v>
          </cell>
          <cell r="M36">
            <v>46058</v>
          </cell>
          <cell r="N36">
            <v>46059</v>
          </cell>
          <cell r="O36">
            <v>1</v>
          </cell>
          <cell r="P36">
            <v>46062</v>
          </cell>
          <cell r="Q36">
            <v>5</v>
          </cell>
          <cell r="R36" t="str">
            <v>NA</v>
          </cell>
          <cell r="S36">
            <v>5</v>
          </cell>
        </row>
        <row r="37">
          <cell r="B37" t="str">
            <v>EMMC</v>
          </cell>
          <cell r="C37" t="str">
            <v>HSLB10947</v>
          </cell>
          <cell r="D37">
            <v>106019</v>
          </cell>
          <cell r="E37" t="str">
            <v>Televisor 32'</v>
          </cell>
          <cell r="F37" t="str">
            <v>NO</v>
          </cell>
          <cell r="G37" t="str">
            <v>NO</v>
          </cell>
          <cell r="H37" t="str">
            <v>SALA 1 CAMA</v>
          </cell>
          <cell r="I37">
            <v>1</v>
          </cell>
          <cell r="J37" t="str">
            <v>C.3.4.2.11.10</v>
          </cell>
          <cell r="K37" t="str">
            <v>Hospitalización</v>
          </cell>
          <cell r="L37">
            <v>5</v>
          </cell>
          <cell r="M37">
            <v>46058</v>
          </cell>
          <cell r="N37">
            <v>46059</v>
          </cell>
          <cell r="O37">
            <v>1</v>
          </cell>
          <cell r="P37">
            <v>46062</v>
          </cell>
          <cell r="Q37">
            <v>5</v>
          </cell>
          <cell r="R37" t="str">
            <v>NA</v>
          </cell>
          <cell r="S37">
            <v>5</v>
          </cell>
        </row>
        <row r="38">
          <cell r="B38" t="str">
            <v>EMMC</v>
          </cell>
          <cell r="C38" t="str">
            <v>HSLB10948</v>
          </cell>
          <cell r="D38">
            <v>106019</v>
          </cell>
          <cell r="E38" t="str">
            <v>Televisor 32'</v>
          </cell>
          <cell r="F38" t="str">
            <v>NO</v>
          </cell>
          <cell r="G38" t="str">
            <v>NO</v>
          </cell>
          <cell r="H38" t="str">
            <v>SALA 1 CAMA</v>
          </cell>
          <cell r="I38">
            <v>1</v>
          </cell>
          <cell r="J38" t="str">
            <v>C.3.4.2.11.11</v>
          </cell>
          <cell r="K38" t="str">
            <v>Hospitalización</v>
          </cell>
          <cell r="L38">
            <v>5</v>
          </cell>
          <cell r="M38">
            <v>46058</v>
          </cell>
          <cell r="N38">
            <v>46059</v>
          </cell>
          <cell r="O38">
            <v>1</v>
          </cell>
          <cell r="P38">
            <v>46062</v>
          </cell>
          <cell r="Q38">
            <v>5</v>
          </cell>
          <cell r="R38" t="str">
            <v>NA</v>
          </cell>
          <cell r="S38">
            <v>5</v>
          </cell>
        </row>
        <row r="39">
          <cell r="B39" t="str">
            <v>EMMC</v>
          </cell>
          <cell r="C39" t="str">
            <v>HSLB10949</v>
          </cell>
          <cell r="D39">
            <v>106019</v>
          </cell>
          <cell r="E39" t="str">
            <v>Televisor 32'</v>
          </cell>
          <cell r="F39" t="str">
            <v>NO</v>
          </cell>
          <cell r="G39" t="str">
            <v>NO</v>
          </cell>
          <cell r="H39" t="str">
            <v>SALA 1 CAMA</v>
          </cell>
          <cell r="I39">
            <v>1</v>
          </cell>
          <cell r="J39" t="str">
            <v>C.3.4.2.11.12</v>
          </cell>
          <cell r="K39" t="str">
            <v>Hospitalización</v>
          </cell>
          <cell r="L39">
            <v>5</v>
          </cell>
          <cell r="M39">
            <v>46058</v>
          </cell>
          <cell r="N39">
            <v>46059</v>
          </cell>
          <cell r="O39">
            <v>1</v>
          </cell>
          <cell r="P39">
            <v>46062</v>
          </cell>
          <cell r="Q39">
            <v>5</v>
          </cell>
          <cell r="R39" t="str">
            <v>NA</v>
          </cell>
          <cell r="S39">
            <v>5</v>
          </cell>
        </row>
        <row r="40">
          <cell r="B40" t="str">
            <v>EMMC</v>
          </cell>
          <cell r="C40" t="str">
            <v>HSLB10950</v>
          </cell>
          <cell r="D40">
            <v>106019</v>
          </cell>
          <cell r="E40" t="str">
            <v>Televisor 32'</v>
          </cell>
          <cell r="F40" t="str">
            <v>NO</v>
          </cell>
          <cell r="G40" t="str">
            <v>NO</v>
          </cell>
          <cell r="H40" t="str">
            <v>SALA 1 CAMA</v>
          </cell>
          <cell r="I40">
            <v>1</v>
          </cell>
          <cell r="J40" t="str">
            <v>C.3.4.2.11.2</v>
          </cell>
          <cell r="K40" t="str">
            <v>Hospitalización</v>
          </cell>
          <cell r="L40">
            <v>5</v>
          </cell>
          <cell r="M40">
            <v>46058</v>
          </cell>
          <cell r="N40">
            <v>46059</v>
          </cell>
          <cell r="O40">
            <v>1</v>
          </cell>
          <cell r="P40">
            <v>46062</v>
          </cell>
          <cell r="Q40">
            <v>5</v>
          </cell>
          <cell r="R40" t="str">
            <v>NA</v>
          </cell>
          <cell r="S40">
            <v>5</v>
          </cell>
        </row>
        <row r="41">
          <cell r="B41" t="str">
            <v>EMMC</v>
          </cell>
          <cell r="C41" t="str">
            <v>HSLB10951</v>
          </cell>
          <cell r="D41">
            <v>106019</v>
          </cell>
          <cell r="E41" t="str">
            <v>Televisor 32'</v>
          </cell>
          <cell r="F41" t="str">
            <v>NO</v>
          </cell>
          <cell r="G41" t="str">
            <v>NO</v>
          </cell>
          <cell r="H41" t="str">
            <v>SALA 1 CAMA</v>
          </cell>
          <cell r="I41">
            <v>1</v>
          </cell>
          <cell r="J41" t="str">
            <v>C.3.4.2.11.3</v>
          </cell>
          <cell r="K41" t="str">
            <v>Hospitalización</v>
          </cell>
          <cell r="L41">
            <v>5</v>
          </cell>
          <cell r="M41">
            <v>46058</v>
          </cell>
          <cell r="N41">
            <v>46059</v>
          </cell>
          <cell r="O41">
            <v>1</v>
          </cell>
          <cell r="P41">
            <v>46062</v>
          </cell>
          <cell r="Q41">
            <v>5</v>
          </cell>
          <cell r="R41" t="str">
            <v>NA</v>
          </cell>
          <cell r="S41">
            <v>5</v>
          </cell>
        </row>
        <row r="42">
          <cell r="B42" t="str">
            <v>EMMC</v>
          </cell>
          <cell r="C42" t="str">
            <v>HSLB10952</v>
          </cell>
          <cell r="D42">
            <v>106019</v>
          </cell>
          <cell r="E42" t="str">
            <v>Televisor 32'</v>
          </cell>
          <cell r="F42" t="str">
            <v>NO</v>
          </cell>
          <cell r="G42" t="str">
            <v>NO</v>
          </cell>
          <cell r="H42" t="str">
            <v>SALA 1 CAMA</v>
          </cell>
          <cell r="I42">
            <v>1</v>
          </cell>
          <cell r="J42" t="str">
            <v>C.3.4.2.11.4</v>
          </cell>
          <cell r="K42" t="str">
            <v>Hospitalización</v>
          </cell>
          <cell r="L42">
            <v>5</v>
          </cell>
          <cell r="M42">
            <v>46058</v>
          </cell>
          <cell r="N42">
            <v>46059</v>
          </cell>
          <cell r="O42">
            <v>1</v>
          </cell>
          <cell r="P42">
            <v>46062</v>
          </cell>
          <cell r="Q42">
            <v>5</v>
          </cell>
          <cell r="R42" t="str">
            <v>NA</v>
          </cell>
          <cell r="S42">
            <v>5</v>
          </cell>
        </row>
        <row r="43">
          <cell r="B43" t="str">
            <v>EMMC</v>
          </cell>
          <cell r="C43" t="str">
            <v>HSLB10953</v>
          </cell>
          <cell r="D43">
            <v>106019</v>
          </cell>
          <cell r="E43" t="str">
            <v>Televisor 32'</v>
          </cell>
          <cell r="F43" t="str">
            <v>NO</v>
          </cell>
          <cell r="G43" t="str">
            <v>NO</v>
          </cell>
          <cell r="H43" t="str">
            <v>SALA 1 CAMA</v>
          </cell>
          <cell r="I43">
            <v>1</v>
          </cell>
          <cell r="J43" t="str">
            <v>C.3.4.2.11.5</v>
          </cell>
          <cell r="K43" t="str">
            <v>Hospitalización</v>
          </cell>
          <cell r="L43">
            <v>5</v>
          </cell>
          <cell r="M43">
            <v>46058</v>
          </cell>
          <cell r="N43">
            <v>46059</v>
          </cell>
          <cell r="O43">
            <v>1</v>
          </cell>
          <cell r="P43">
            <v>46062</v>
          </cell>
          <cell r="Q43">
            <v>5</v>
          </cell>
          <cell r="R43" t="str">
            <v>NA</v>
          </cell>
          <cell r="S43">
            <v>5</v>
          </cell>
        </row>
        <row r="44">
          <cell r="B44" t="str">
            <v>EMMC</v>
          </cell>
          <cell r="C44" t="str">
            <v>HSLB10954</v>
          </cell>
          <cell r="D44">
            <v>106019</v>
          </cell>
          <cell r="E44" t="str">
            <v>Televisor 32'</v>
          </cell>
          <cell r="F44" t="str">
            <v>NO</v>
          </cell>
          <cell r="G44" t="str">
            <v>NO</v>
          </cell>
          <cell r="H44" t="str">
            <v>SALA 1 CAMA</v>
          </cell>
          <cell r="I44">
            <v>1</v>
          </cell>
          <cell r="J44" t="str">
            <v>C.3.4.2.11.6</v>
          </cell>
          <cell r="K44" t="str">
            <v>Hospitalización</v>
          </cell>
          <cell r="L44">
            <v>5</v>
          </cell>
          <cell r="M44">
            <v>46058</v>
          </cell>
          <cell r="N44">
            <v>46059</v>
          </cell>
          <cell r="O44">
            <v>1</v>
          </cell>
          <cell r="P44">
            <v>46062</v>
          </cell>
          <cell r="Q44">
            <v>5</v>
          </cell>
          <cell r="R44" t="str">
            <v>NA</v>
          </cell>
          <cell r="S44">
            <v>5</v>
          </cell>
        </row>
        <row r="45">
          <cell r="B45" t="str">
            <v>EMMC</v>
          </cell>
          <cell r="C45" t="str">
            <v>HSLB10955</v>
          </cell>
          <cell r="D45">
            <v>106019</v>
          </cell>
          <cell r="E45" t="str">
            <v>Televisor 32'</v>
          </cell>
          <cell r="F45" t="str">
            <v>NO</v>
          </cell>
          <cell r="G45" t="str">
            <v>NO</v>
          </cell>
          <cell r="H45" t="str">
            <v>SALA 1 CAMA</v>
          </cell>
          <cell r="I45">
            <v>1</v>
          </cell>
          <cell r="J45" t="str">
            <v>C.3.4.2.11.7</v>
          </cell>
          <cell r="K45" t="str">
            <v>Hospitalización</v>
          </cell>
          <cell r="L45">
            <v>5</v>
          </cell>
          <cell r="M45">
            <v>46058</v>
          </cell>
          <cell r="N45">
            <v>46059</v>
          </cell>
          <cell r="O45">
            <v>1</v>
          </cell>
          <cell r="P45">
            <v>46062</v>
          </cell>
          <cell r="Q45">
            <v>5</v>
          </cell>
          <cell r="R45" t="str">
            <v>NA</v>
          </cell>
          <cell r="S45">
            <v>5</v>
          </cell>
        </row>
        <row r="46">
          <cell r="B46" t="str">
            <v>EMMC</v>
          </cell>
          <cell r="C46" t="str">
            <v>HSLB10956</v>
          </cell>
          <cell r="D46">
            <v>106019</v>
          </cell>
          <cell r="E46" t="str">
            <v>Televisor 32'</v>
          </cell>
          <cell r="F46" t="str">
            <v>NO</v>
          </cell>
          <cell r="G46" t="str">
            <v>NO</v>
          </cell>
          <cell r="H46" t="str">
            <v>SALA 1 CAMA</v>
          </cell>
          <cell r="I46">
            <v>1</v>
          </cell>
          <cell r="J46" t="str">
            <v>C.3.4.2.11.8</v>
          </cell>
          <cell r="K46" t="str">
            <v>Hospitalización</v>
          </cell>
          <cell r="L46">
            <v>5</v>
          </cell>
          <cell r="M46">
            <v>46058</v>
          </cell>
          <cell r="N46">
            <v>46059</v>
          </cell>
          <cell r="O46">
            <v>1</v>
          </cell>
          <cell r="P46">
            <v>46062</v>
          </cell>
          <cell r="Q46">
            <v>5</v>
          </cell>
          <cell r="R46" t="str">
            <v>NA</v>
          </cell>
          <cell r="S46">
            <v>5</v>
          </cell>
        </row>
        <row r="47">
          <cell r="B47" t="str">
            <v>EMMC</v>
          </cell>
          <cell r="C47" t="str">
            <v>HSLB10957</v>
          </cell>
          <cell r="D47">
            <v>106019</v>
          </cell>
          <cell r="E47" t="str">
            <v>Televisor 32'</v>
          </cell>
          <cell r="F47" t="str">
            <v>NO</v>
          </cell>
          <cell r="G47" t="str">
            <v>NO</v>
          </cell>
          <cell r="H47" t="str">
            <v>SALA 1 CAMA</v>
          </cell>
          <cell r="I47">
            <v>1</v>
          </cell>
          <cell r="J47" t="str">
            <v>C.3.4.2.11.9</v>
          </cell>
          <cell r="K47" t="str">
            <v>Hospitalización</v>
          </cell>
          <cell r="L47">
            <v>5</v>
          </cell>
          <cell r="M47">
            <v>46058</v>
          </cell>
          <cell r="N47">
            <v>46059</v>
          </cell>
          <cell r="O47">
            <v>1</v>
          </cell>
          <cell r="P47">
            <v>46062</v>
          </cell>
          <cell r="Q47">
            <v>5</v>
          </cell>
          <cell r="R47" t="str">
            <v>NA</v>
          </cell>
          <cell r="S47">
            <v>5</v>
          </cell>
        </row>
        <row r="48">
          <cell r="B48" t="str">
            <v>EMMC</v>
          </cell>
          <cell r="C48" t="str">
            <v>HSLB10995</v>
          </cell>
          <cell r="D48">
            <v>106019</v>
          </cell>
          <cell r="E48" t="str">
            <v>Televisor 32'</v>
          </cell>
          <cell r="F48" t="str">
            <v>NO</v>
          </cell>
          <cell r="G48" t="str">
            <v>NO</v>
          </cell>
          <cell r="H48" t="str">
            <v>SALA 1 CAMA</v>
          </cell>
          <cell r="I48">
            <v>1</v>
          </cell>
          <cell r="J48" t="str">
            <v>C.3.5.15.1</v>
          </cell>
          <cell r="K48" t="str">
            <v>Hospitalización</v>
          </cell>
          <cell r="L48">
            <v>5</v>
          </cell>
          <cell r="M48">
            <v>46058</v>
          </cell>
          <cell r="N48">
            <v>46059</v>
          </cell>
          <cell r="O48">
            <v>1</v>
          </cell>
          <cell r="P48">
            <v>46062</v>
          </cell>
          <cell r="Q48">
            <v>5</v>
          </cell>
          <cell r="R48" t="str">
            <v>NA</v>
          </cell>
          <cell r="S48">
            <v>5</v>
          </cell>
        </row>
        <row r="49">
          <cell r="B49" t="str">
            <v>EMMC</v>
          </cell>
          <cell r="C49" t="str">
            <v>HSLB10996</v>
          </cell>
          <cell r="D49">
            <v>106019</v>
          </cell>
          <cell r="E49" t="str">
            <v>Televisor 32'</v>
          </cell>
          <cell r="F49" t="str">
            <v>NO</v>
          </cell>
          <cell r="G49" t="str">
            <v>NO</v>
          </cell>
          <cell r="H49" t="str">
            <v>SALA 1 CAMA</v>
          </cell>
          <cell r="I49">
            <v>1</v>
          </cell>
          <cell r="J49" t="str">
            <v>C.3.5.15.2</v>
          </cell>
          <cell r="K49" t="str">
            <v>Hospitalización</v>
          </cell>
          <cell r="L49">
            <v>5</v>
          </cell>
          <cell r="M49">
            <v>46058</v>
          </cell>
          <cell r="N49">
            <v>46059</v>
          </cell>
          <cell r="O49">
            <v>1</v>
          </cell>
          <cell r="P49">
            <v>46062</v>
          </cell>
          <cell r="Q49">
            <v>5</v>
          </cell>
          <cell r="R49" t="str">
            <v>NA</v>
          </cell>
          <cell r="S49">
            <v>5</v>
          </cell>
        </row>
        <row r="50">
          <cell r="B50" t="str">
            <v>EMMC</v>
          </cell>
          <cell r="C50" t="str">
            <v>HSLB10997</v>
          </cell>
          <cell r="D50">
            <v>106019</v>
          </cell>
          <cell r="E50" t="str">
            <v>Televisor 32'</v>
          </cell>
          <cell r="F50" t="str">
            <v>NO</v>
          </cell>
          <cell r="G50" t="str">
            <v>NO</v>
          </cell>
          <cell r="H50" t="str">
            <v>SALA 1 CAMA</v>
          </cell>
          <cell r="I50">
            <v>1</v>
          </cell>
          <cell r="J50" t="str">
            <v>C.3.5.15.3</v>
          </cell>
          <cell r="K50" t="str">
            <v>Hospitalización</v>
          </cell>
          <cell r="L50">
            <v>5</v>
          </cell>
          <cell r="M50">
            <v>46058</v>
          </cell>
          <cell r="N50">
            <v>46059</v>
          </cell>
          <cell r="O50">
            <v>1</v>
          </cell>
          <cell r="P50">
            <v>46062</v>
          </cell>
          <cell r="Q50">
            <v>5</v>
          </cell>
          <cell r="R50" t="str">
            <v>NA</v>
          </cell>
          <cell r="S50">
            <v>5</v>
          </cell>
        </row>
        <row r="51">
          <cell r="B51" t="str">
            <v>EMMC</v>
          </cell>
          <cell r="C51" t="str">
            <v>HSLB10998</v>
          </cell>
          <cell r="D51">
            <v>106019</v>
          </cell>
          <cell r="E51" t="str">
            <v>Televisor 32'</v>
          </cell>
          <cell r="F51" t="str">
            <v>NO</v>
          </cell>
          <cell r="G51" t="str">
            <v>NO</v>
          </cell>
          <cell r="H51" t="str">
            <v>SALA 1 CAMA</v>
          </cell>
          <cell r="I51">
            <v>1</v>
          </cell>
          <cell r="J51" t="str">
            <v>C.3.5.15.4</v>
          </cell>
          <cell r="K51" t="str">
            <v>Hospitalización</v>
          </cell>
          <cell r="L51">
            <v>5</v>
          </cell>
          <cell r="M51">
            <v>46058</v>
          </cell>
          <cell r="N51">
            <v>46059</v>
          </cell>
          <cell r="O51">
            <v>1</v>
          </cell>
          <cell r="P51">
            <v>46062</v>
          </cell>
          <cell r="Q51">
            <v>5</v>
          </cell>
          <cell r="R51" t="str">
            <v>NA</v>
          </cell>
          <cell r="S51">
            <v>5</v>
          </cell>
        </row>
        <row r="52">
          <cell r="B52" t="str">
            <v>EMMC</v>
          </cell>
          <cell r="C52" t="str">
            <v>HSLB10999</v>
          </cell>
          <cell r="D52">
            <v>106019</v>
          </cell>
          <cell r="E52" t="str">
            <v>Televisor 32'</v>
          </cell>
          <cell r="F52" t="str">
            <v>NO</v>
          </cell>
          <cell r="G52" t="str">
            <v>NO</v>
          </cell>
          <cell r="H52" t="str">
            <v>SALA 1 CAMA</v>
          </cell>
          <cell r="I52">
            <v>1</v>
          </cell>
          <cell r="J52" t="str">
            <v>C.3.5.15.5</v>
          </cell>
          <cell r="K52" t="str">
            <v>Hospitalización</v>
          </cell>
          <cell r="L52">
            <v>5</v>
          </cell>
          <cell r="M52">
            <v>46058</v>
          </cell>
          <cell r="N52">
            <v>46059</v>
          </cell>
          <cell r="O52">
            <v>1</v>
          </cell>
          <cell r="P52">
            <v>46062</v>
          </cell>
          <cell r="Q52">
            <v>5</v>
          </cell>
          <cell r="R52" t="str">
            <v>NA</v>
          </cell>
          <cell r="S52">
            <v>5</v>
          </cell>
        </row>
        <row r="53">
          <cell r="B53" t="str">
            <v>EMMC</v>
          </cell>
          <cell r="C53" t="str">
            <v>HSLB11000</v>
          </cell>
          <cell r="D53">
            <v>106019</v>
          </cell>
          <cell r="E53" t="str">
            <v>Televisor 32'</v>
          </cell>
          <cell r="F53" t="str">
            <v>NO</v>
          </cell>
          <cell r="G53" t="str">
            <v>NO</v>
          </cell>
          <cell r="H53" t="str">
            <v>SALA 1 CAMA AISLAMIENTO (1)</v>
          </cell>
          <cell r="I53">
            <v>1</v>
          </cell>
          <cell r="J53" t="str">
            <v>C.3.5.17.1</v>
          </cell>
          <cell r="K53" t="str">
            <v>Hospitalización</v>
          </cell>
          <cell r="L53">
            <v>5</v>
          </cell>
          <cell r="M53">
            <v>46058</v>
          </cell>
          <cell r="N53">
            <v>46059</v>
          </cell>
          <cell r="O53">
            <v>1</v>
          </cell>
          <cell r="P53">
            <v>46062</v>
          </cell>
          <cell r="Q53">
            <v>5</v>
          </cell>
          <cell r="R53" t="str">
            <v>NA</v>
          </cell>
          <cell r="S53">
            <v>5</v>
          </cell>
        </row>
        <row r="54">
          <cell r="B54" t="str">
            <v>EMMC</v>
          </cell>
          <cell r="C54" t="str">
            <v>HSLB11001</v>
          </cell>
          <cell r="D54">
            <v>106019</v>
          </cell>
          <cell r="E54" t="str">
            <v>Televisor 32'</v>
          </cell>
          <cell r="F54" t="str">
            <v>NO</v>
          </cell>
          <cell r="G54" t="str">
            <v>NO</v>
          </cell>
          <cell r="H54" t="str">
            <v>SALA 1 CAMA AISLAMIENTO (2)</v>
          </cell>
          <cell r="I54">
            <v>1</v>
          </cell>
          <cell r="J54" t="str">
            <v>C.3.5.17.2</v>
          </cell>
          <cell r="K54" t="str">
            <v>Hospitalización</v>
          </cell>
          <cell r="L54">
            <v>5</v>
          </cell>
          <cell r="M54">
            <v>46058</v>
          </cell>
          <cell r="N54">
            <v>46059</v>
          </cell>
          <cell r="O54">
            <v>1</v>
          </cell>
          <cell r="P54">
            <v>46062</v>
          </cell>
          <cell r="Q54">
            <v>5</v>
          </cell>
          <cell r="R54" t="str">
            <v>NA</v>
          </cell>
          <cell r="S54">
            <v>5</v>
          </cell>
        </row>
        <row r="55">
          <cell r="B55" t="str">
            <v>EMMC</v>
          </cell>
          <cell r="C55" t="str">
            <v>HSLB11002</v>
          </cell>
          <cell r="D55">
            <v>106019</v>
          </cell>
          <cell r="E55" t="str">
            <v>Televisor 32'</v>
          </cell>
          <cell r="F55" t="str">
            <v>NO</v>
          </cell>
          <cell r="G55" t="str">
            <v>NO</v>
          </cell>
          <cell r="H55" t="str">
            <v>SALA 1 CAMA AISLAMIENTO (3)</v>
          </cell>
          <cell r="I55">
            <v>1</v>
          </cell>
          <cell r="J55" t="str">
            <v>C.3.5.17.3</v>
          </cell>
          <cell r="K55" t="str">
            <v>Hospitalización</v>
          </cell>
          <cell r="L55">
            <v>5</v>
          </cell>
          <cell r="M55">
            <v>46058</v>
          </cell>
          <cell r="N55">
            <v>46059</v>
          </cell>
          <cell r="O55">
            <v>1</v>
          </cell>
          <cell r="P55">
            <v>46062</v>
          </cell>
          <cell r="Q55">
            <v>5</v>
          </cell>
          <cell r="R55" t="str">
            <v>NA</v>
          </cell>
          <cell r="S55">
            <v>5</v>
          </cell>
        </row>
        <row r="56">
          <cell r="B56" t="str">
            <v>EMMC</v>
          </cell>
          <cell r="C56" t="str">
            <v>HSLB11003</v>
          </cell>
          <cell r="D56">
            <v>106019</v>
          </cell>
          <cell r="E56" t="str">
            <v>Televisor 32'</v>
          </cell>
          <cell r="F56" t="str">
            <v>NO</v>
          </cell>
          <cell r="G56" t="str">
            <v>NO</v>
          </cell>
          <cell r="H56" t="str">
            <v>LACTARIO</v>
          </cell>
          <cell r="I56">
            <v>1</v>
          </cell>
          <cell r="J56" t="str">
            <v>C.3.5.30</v>
          </cell>
          <cell r="K56" t="str">
            <v>Hospitalización</v>
          </cell>
          <cell r="L56">
            <v>5</v>
          </cell>
          <cell r="M56">
            <v>46058</v>
          </cell>
          <cell r="N56">
            <v>46059</v>
          </cell>
          <cell r="O56">
            <v>1</v>
          </cell>
          <cell r="P56">
            <v>46062</v>
          </cell>
          <cell r="Q56">
            <v>5</v>
          </cell>
          <cell r="R56" t="str">
            <v>NA</v>
          </cell>
          <cell r="S56">
            <v>5</v>
          </cell>
        </row>
        <row r="57">
          <cell r="B57" t="str">
            <v>EMMC</v>
          </cell>
          <cell r="C57" t="str">
            <v>HSLB11060</v>
          </cell>
          <cell r="D57">
            <v>106020</v>
          </cell>
          <cell r="E57" t="str">
            <v>Televisor 42'</v>
          </cell>
          <cell r="F57" t="str">
            <v>NO</v>
          </cell>
          <cell r="G57" t="str">
            <v>NO</v>
          </cell>
          <cell r="H57" t="str">
            <v>SALA DE ESPERA</v>
          </cell>
          <cell r="I57">
            <v>1</v>
          </cell>
          <cell r="J57" t="str">
            <v>C.3.4.2.1</v>
          </cell>
          <cell r="K57" t="str">
            <v>Hospitalización</v>
          </cell>
          <cell r="L57">
            <v>5</v>
          </cell>
          <cell r="M57">
            <v>46058</v>
          </cell>
          <cell r="N57">
            <v>46059</v>
          </cell>
          <cell r="O57">
            <v>1</v>
          </cell>
          <cell r="P57">
            <v>46062</v>
          </cell>
          <cell r="Q57">
            <v>5</v>
          </cell>
          <cell r="R57" t="str">
            <v>NA</v>
          </cell>
          <cell r="S57">
            <v>5</v>
          </cell>
        </row>
        <row r="58">
          <cell r="B58" t="str">
            <v>EMMC</v>
          </cell>
          <cell r="C58" t="str">
            <v>HSLB11063</v>
          </cell>
          <cell r="D58">
            <v>106020</v>
          </cell>
          <cell r="E58" t="str">
            <v>Televisor 42'</v>
          </cell>
          <cell r="F58" t="str">
            <v>NO</v>
          </cell>
          <cell r="G58" t="str">
            <v>SI</v>
          </cell>
          <cell r="H58" t="str">
            <v>SALA 4 CAMAS</v>
          </cell>
          <cell r="I58">
            <v>2</v>
          </cell>
          <cell r="J58" t="str">
            <v>C.3.5.16.1</v>
          </cell>
          <cell r="K58" t="str">
            <v>Hospitalización</v>
          </cell>
          <cell r="L58">
            <v>5</v>
          </cell>
          <cell r="M58">
            <v>46003</v>
          </cell>
          <cell r="N58">
            <v>46006</v>
          </cell>
          <cell r="O58">
            <v>1</v>
          </cell>
          <cell r="P58">
            <v>46007</v>
          </cell>
          <cell r="Q58">
            <v>5</v>
          </cell>
          <cell r="R58" t="str">
            <v>NA</v>
          </cell>
          <cell r="S58">
            <v>5</v>
          </cell>
        </row>
        <row r="59">
          <cell r="B59" t="str">
            <v>EMMC</v>
          </cell>
          <cell r="C59" t="str">
            <v>HSLB11064</v>
          </cell>
          <cell r="D59">
            <v>106020</v>
          </cell>
          <cell r="E59" t="str">
            <v>Televisor 42'</v>
          </cell>
          <cell r="F59" t="str">
            <v>NO</v>
          </cell>
          <cell r="G59" t="str">
            <v>SI</v>
          </cell>
          <cell r="H59" t="str">
            <v>SALA 4 CAMAS</v>
          </cell>
          <cell r="I59">
            <v>2</v>
          </cell>
          <cell r="J59" t="str">
            <v>C.3.5.16.2</v>
          </cell>
          <cell r="K59" t="str">
            <v>Hospitalización</v>
          </cell>
          <cell r="L59">
            <v>5</v>
          </cell>
          <cell r="M59">
            <v>46003</v>
          </cell>
          <cell r="N59">
            <v>46006</v>
          </cell>
          <cell r="O59">
            <v>1</v>
          </cell>
          <cell r="P59">
            <v>46007</v>
          </cell>
          <cell r="Q59">
            <v>5</v>
          </cell>
          <cell r="R59" t="str">
            <v>NA</v>
          </cell>
          <cell r="S59">
            <v>5</v>
          </cell>
        </row>
        <row r="60">
          <cell r="B60" t="str">
            <v>EMMC</v>
          </cell>
          <cell r="C60" t="str">
            <v>HSLB11065</v>
          </cell>
          <cell r="D60">
            <v>106020</v>
          </cell>
          <cell r="E60" t="str">
            <v>Televisor 42'</v>
          </cell>
          <cell r="F60" t="str">
            <v>NO</v>
          </cell>
          <cell r="G60" t="str">
            <v>NO</v>
          </cell>
          <cell r="H60" t="str">
            <v>SALA DE ESPERA</v>
          </cell>
          <cell r="I60">
            <v>1</v>
          </cell>
          <cell r="J60" t="str">
            <v>C.3.5.4</v>
          </cell>
          <cell r="K60" t="str">
            <v>Hospitalización</v>
          </cell>
          <cell r="L60">
            <v>5</v>
          </cell>
          <cell r="M60">
            <v>46058</v>
          </cell>
          <cell r="N60">
            <v>46059</v>
          </cell>
          <cell r="O60">
            <v>1</v>
          </cell>
          <cell r="P60">
            <v>46062</v>
          </cell>
          <cell r="Q60">
            <v>5</v>
          </cell>
          <cell r="R60" t="str">
            <v>NA</v>
          </cell>
          <cell r="S60">
            <v>5</v>
          </cell>
        </row>
        <row r="61">
          <cell r="B61" t="str">
            <v>EMMC</v>
          </cell>
          <cell r="C61" t="str">
            <v>HSLB12782</v>
          </cell>
          <cell r="D61">
            <v>113009</v>
          </cell>
          <cell r="E61" t="str">
            <v>Monitor de Signos Vitales Básico</v>
          </cell>
          <cell r="F61" t="str">
            <v>NO</v>
          </cell>
          <cell r="G61" t="str">
            <v>NO</v>
          </cell>
          <cell r="H61" t="str">
            <v>ESTACIÓN DE ENFERMERÍA</v>
          </cell>
          <cell r="I61">
            <v>5</v>
          </cell>
          <cell r="J61" t="str">
            <v>C.3.5.11</v>
          </cell>
          <cell r="K61" t="str">
            <v>Hospitalización</v>
          </cell>
          <cell r="L61">
            <v>5</v>
          </cell>
          <cell r="M61">
            <v>46058</v>
          </cell>
          <cell r="N61">
            <v>46059</v>
          </cell>
          <cell r="O61">
            <v>1</v>
          </cell>
          <cell r="P61">
            <v>46062</v>
          </cell>
          <cell r="Q61">
            <v>5</v>
          </cell>
          <cell r="R61" t="str">
            <v>NA</v>
          </cell>
          <cell r="S61">
            <v>5</v>
          </cell>
        </row>
        <row r="62">
          <cell r="B62" t="str">
            <v>EMMC</v>
          </cell>
          <cell r="C62" t="str">
            <v>HSLB12777</v>
          </cell>
          <cell r="D62">
            <v>113009</v>
          </cell>
          <cell r="E62" t="str">
            <v>Monitor de Signos Vitales Básico</v>
          </cell>
          <cell r="F62" t="str">
            <v>NO</v>
          </cell>
          <cell r="G62" t="str">
            <v>NO</v>
          </cell>
          <cell r="H62" t="str">
            <v>BODEGA DE EQUIPOS</v>
          </cell>
          <cell r="I62">
            <v>4</v>
          </cell>
          <cell r="J62" t="str">
            <v>C.3.4.2.13</v>
          </cell>
          <cell r="K62" t="str">
            <v>Hospitalización</v>
          </cell>
          <cell r="L62">
            <v>5</v>
          </cell>
          <cell r="M62">
            <v>46058</v>
          </cell>
          <cell r="N62">
            <v>46059</v>
          </cell>
          <cell r="O62">
            <v>1</v>
          </cell>
          <cell r="P62">
            <v>46062</v>
          </cell>
          <cell r="Q62">
            <v>5</v>
          </cell>
          <cell r="R62" t="str">
            <v>NA</v>
          </cell>
          <cell r="S62">
            <v>5</v>
          </cell>
        </row>
        <row r="63">
          <cell r="B63" t="str">
            <v>EMMC</v>
          </cell>
          <cell r="C63" t="str">
            <v>HSLB12740</v>
          </cell>
          <cell r="D63">
            <v>113008</v>
          </cell>
          <cell r="E63" t="str">
            <v>Monitor de Signos Vitales Baja Complejidad</v>
          </cell>
          <cell r="F63" t="str">
            <v>NO</v>
          </cell>
          <cell r="G63" t="str">
            <v>NO</v>
          </cell>
          <cell r="H63" t="str">
            <v>ESTACIÓN DE ENFERMERÍA</v>
          </cell>
          <cell r="I63">
            <v>3</v>
          </cell>
          <cell r="J63" t="str">
            <v>C.3.5.11</v>
          </cell>
          <cell r="K63" t="str">
            <v>Hospitalización</v>
          </cell>
          <cell r="L63">
            <v>5</v>
          </cell>
          <cell r="M63">
            <v>46058</v>
          </cell>
          <cell r="N63">
            <v>46059</v>
          </cell>
          <cell r="O63">
            <v>1</v>
          </cell>
          <cell r="P63">
            <v>46062</v>
          </cell>
          <cell r="Q63">
            <v>5</v>
          </cell>
          <cell r="R63" t="str">
            <v>NA</v>
          </cell>
          <cell r="S63">
            <v>5</v>
          </cell>
        </row>
        <row r="64">
          <cell r="B64" t="str">
            <v>EMMC</v>
          </cell>
          <cell r="C64" t="str">
            <v>HSLB12735</v>
          </cell>
          <cell r="D64">
            <v>113008</v>
          </cell>
          <cell r="E64" t="str">
            <v>Monitor de Signos Vitales Baja Complejidad</v>
          </cell>
          <cell r="F64" t="str">
            <v>NO</v>
          </cell>
          <cell r="G64" t="str">
            <v>NO</v>
          </cell>
          <cell r="H64" t="str">
            <v>BODEGA DE EQUIPOS</v>
          </cell>
          <cell r="I64">
            <v>2</v>
          </cell>
          <cell r="J64" t="str">
            <v>C.3.4.2.13</v>
          </cell>
          <cell r="K64" t="str">
            <v>Hospitalización</v>
          </cell>
          <cell r="L64">
            <v>5</v>
          </cell>
          <cell r="M64">
            <v>46058</v>
          </cell>
          <cell r="N64">
            <v>46059</v>
          </cell>
          <cell r="O64">
            <v>1</v>
          </cell>
          <cell r="P64">
            <v>46062</v>
          </cell>
          <cell r="Q64">
            <v>5</v>
          </cell>
          <cell r="R64" t="str">
            <v>NA</v>
          </cell>
          <cell r="S64">
            <v>5</v>
          </cell>
        </row>
        <row r="65">
          <cell r="B65" t="str">
            <v>EMMC</v>
          </cell>
          <cell r="C65" t="str">
            <v>HSLB12709</v>
          </cell>
          <cell r="D65">
            <v>113004</v>
          </cell>
          <cell r="E65" t="str">
            <v>Monitor Apnea</v>
          </cell>
          <cell r="F65" t="str">
            <v>NO</v>
          </cell>
          <cell r="G65" t="str">
            <v>NO</v>
          </cell>
          <cell r="H65" t="str">
            <v>BODEGA DE EQUIPOS Y CUNAS</v>
          </cell>
          <cell r="I65">
            <v>3</v>
          </cell>
          <cell r="J65" t="str">
            <v>C.3.5.26</v>
          </cell>
          <cell r="K65" t="str">
            <v>Hospitalización</v>
          </cell>
          <cell r="L65">
            <v>5</v>
          </cell>
          <cell r="M65">
            <v>46058</v>
          </cell>
          <cell r="N65">
            <v>46059</v>
          </cell>
          <cell r="O65">
            <v>1</v>
          </cell>
          <cell r="P65">
            <v>46062</v>
          </cell>
          <cell r="Q65">
            <v>5</v>
          </cell>
          <cell r="R65" t="str">
            <v>NA</v>
          </cell>
          <cell r="S65">
            <v>5</v>
          </cell>
        </row>
        <row r="66">
          <cell r="B66" t="str">
            <v>EMMC</v>
          </cell>
          <cell r="C66" t="str">
            <v>HSLB12712</v>
          </cell>
          <cell r="D66">
            <v>113005</v>
          </cell>
          <cell r="E66" t="str">
            <v>Monitor Cardiofetal</v>
          </cell>
          <cell r="F66" t="str">
            <v>NO</v>
          </cell>
          <cell r="G66" t="str">
            <v>NO</v>
          </cell>
          <cell r="H66" t="str">
            <v>BODEGA DE EQUIPOS</v>
          </cell>
          <cell r="I66">
            <v>1</v>
          </cell>
          <cell r="J66" t="str">
            <v>C.3.4.2.13</v>
          </cell>
          <cell r="K66" t="str">
            <v>Hospitalización</v>
          </cell>
          <cell r="L66">
            <v>5</v>
          </cell>
          <cell r="M66">
            <v>46058</v>
          </cell>
          <cell r="N66">
            <v>46059</v>
          </cell>
          <cell r="O66">
            <v>1</v>
          </cell>
          <cell r="P66">
            <v>46062</v>
          </cell>
          <cell r="Q66">
            <v>5</v>
          </cell>
          <cell r="R66" t="str">
            <v>NA</v>
          </cell>
          <cell r="S66">
            <v>5</v>
          </cell>
        </row>
        <row r="67">
          <cell r="B67" t="str">
            <v>EMMC</v>
          </cell>
          <cell r="C67" t="str">
            <v>HSLB10181</v>
          </cell>
          <cell r="D67">
            <v>101048</v>
          </cell>
          <cell r="E67" t="str">
            <v>MONITOR DE OXÍMETRO DE PULSO</v>
          </cell>
          <cell r="F67" t="str">
            <v>NO</v>
          </cell>
          <cell r="G67" t="str">
            <v>NO</v>
          </cell>
          <cell r="H67" t="str">
            <v>ESTACIÓN DE ENFERMERÍA</v>
          </cell>
          <cell r="I67">
            <v>1</v>
          </cell>
          <cell r="J67" t="str">
            <v>C.3.5.11</v>
          </cell>
          <cell r="K67" t="str">
            <v>Hospitalización</v>
          </cell>
          <cell r="L67">
            <v>5</v>
          </cell>
          <cell r="M67">
            <v>46058</v>
          </cell>
          <cell r="N67">
            <v>46059</v>
          </cell>
          <cell r="O67">
            <v>1</v>
          </cell>
          <cell r="P67">
            <v>46062</v>
          </cell>
          <cell r="Q67">
            <v>5</v>
          </cell>
          <cell r="R67" t="str">
            <v>NA</v>
          </cell>
          <cell r="S67">
            <v>5</v>
          </cell>
        </row>
        <row r="68">
          <cell r="B68" t="str">
            <v>EMMC</v>
          </cell>
          <cell r="C68" t="str">
            <v>HSLB12783</v>
          </cell>
          <cell r="D68">
            <v>113009</v>
          </cell>
          <cell r="E68" t="str">
            <v>Monitor de Signos Vitales Básico</v>
          </cell>
          <cell r="F68" t="str">
            <v>NO</v>
          </cell>
          <cell r="G68" t="str">
            <v>NO</v>
          </cell>
          <cell r="H68" t="str">
            <v>SALA 1 CAMA AISLAMIENTO (1)</v>
          </cell>
          <cell r="I68">
            <v>1</v>
          </cell>
          <cell r="J68" t="str">
            <v>C.3.5.17.1</v>
          </cell>
          <cell r="K68" t="str">
            <v>Hospitalización</v>
          </cell>
          <cell r="L68">
            <v>5</v>
          </cell>
          <cell r="M68">
            <v>46058</v>
          </cell>
          <cell r="N68">
            <v>46059</v>
          </cell>
          <cell r="O68">
            <v>1</v>
          </cell>
          <cell r="P68">
            <v>46062</v>
          </cell>
          <cell r="Q68">
            <v>5</v>
          </cell>
          <cell r="R68" t="str">
            <v>NA</v>
          </cell>
          <cell r="S68">
            <v>5</v>
          </cell>
        </row>
        <row r="69">
          <cell r="B69" t="str">
            <v>EMMC</v>
          </cell>
          <cell r="C69" t="str">
            <v>HSLB12784</v>
          </cell>
          <cell r="D69">
            <v>113009</v>
          </cell>
          <cell r="E69" t="str">
            <v>Monitor de Signos Vitales Básico</v>
          </cell>
          <cell r="F69" t="str">
            <v>NO</v>
          </cell>
          <cell r="G69" t="str">
            <v>NO</v>
          </cell>
          <cell r="H69" t="str">
            <v>SALA 1 CAMA AISLAMIENTO (2)</v>
          </cell>
          <cell r="I69">
            <v>1</v>
          </cell>
          <cell r="J69" t="str">
            <v>C.3.5.17.2</v>
          </cell>
          <cell r="K69" t="str">
            <v>Hospitalización</v>
          </cell>
          <cell r="L69">
            <v>5</v>
          </cell>
          <cell r="M69">
            <v>46058</v>
          </cell>
          <cell r="N69">
            <v>46059</v>
          </cell>
          <cell r="O69">
            <v>1</v>
          </cell>
          <cell r="P69">
            <v>46062</v>
          </cell>
          <cell r="Q69">
            <v>5</v>
          </cell>
          <cell r="R69" t="str">
            <v>NA</v>
          </cell>
          <cell r="S69">
            <v>5</v>
          </cell>
        </row>
        <row r="70">
          <cell r="B70" t="str">
            <v>EMMC</v>
          </cell>
          <cell r="C70" t="str">
            <v>HSLB12785</v>
          </cell>
          <cell r="D70">
            <v>113009</v>
          </cell>
          <cell r="E70" t="str">
            <v>Monitor de Signos Vitales Básico</v>
          </cell>
          <cell r="F70" t="str">
            <v>NO</v>
          </cell>
          <cell r="G70" t="str">
            <v>NO</v>
          </cell>
          <cell r="H70" t="str">
            <v>SALA 1 CAMA AISLAMIENTO (3)</v>
          </cell>
          <cell r="I70">
            <v>1</v>
          </cell>
          <cell r="J70" t="str">
            <v>C.3.5.17.3</v>
          </cell>
          <cell r="K70" t="str">
            <v>Hospitalización</v>
          </cell>
          <cell r="L70">
            <v>5</v>
          </cell>
          <cell r="M70">
            <v>46058</v>
          </cell>
          <cell r="N70">
            <v>46059</v>
          </cell>
          <cell r="O70">
            <v>1</v>
          </cell>
          <cell r="P70">
            <v>46062</v>
          </cell>
          <cell r="Q70">
            <v>5</v>
          </cell>
          <cell r="R70" t="str">
            <v>NA</v>
          </cell>
          <cell r="S70">
            <v>5</v>
          </cell>
        </row>
        <row r="71">
          <cell r="B71" t="str">
            <v>EMMC</v>
          </cell>
          <cell r="C71" t="str">
            <v>HSLB12837</v>
          </cell>
          <cell r="D71">
            <v>113012</v>
          </cell>
          <cell r="E71" t="str">
            <v>Monitor de Transporte baja complejidad</v>
          </cell>
          <cell r="F71" t="str">
            <v>NO</v>
          </cell>
          <cell r="G71" t="str">
            <v>NO</v>
          </cell>
          <cell r="H71" t="str">
            <v>ESTACIÓN DE ENFERMERÍA</v>
          </cell>
          <cell r="I71">
            <v>1</v>
          </cell>
          <cell r="J71" t="str">
            <v>C.3.4.2.5</v>
          </cell>
          <cell r="K71" t="str">
            <v>Hospitalización</v>
          </cell>
          <cell r="L71">
            <v>5</v>
          </cell>
          <cell r="M71">
            <v>46058</v>
          </cell>
          <cell r="N71">
            <v>46059</v>
          </cell>
          <cell r="O71">
            <v>1</v>
          </cell>
          <cell r="P71">
            <v>46062</v>
          </cell>
          <cell r="Q71">
            <v>5</v>
          </cell>
          <cell r="R71" t="str">
            <v>NA</v>
          </cell>
          <cell r="S71">
            <v>5</v>
          </cell>
        </row>
        <row r="72">
          <cell r="B72" t="str">
            <v>EMMC</v>
          </cell>
          <cell r="C72" t="str">
            <v>HSLB12842</v>
          </cell>
          <cell r="D72">
            <v>113012</v>
          </cell>
          <cell r="E72" t="str">
            <v>Monitor de Transporte baja complejidad</v>
          </cell>
          <cell r="F72" t="str">
            <v>NO</v>
          </cell>
          <cell r="G72" t="str">
            <v>NO</v>
          </cell>
          <cell r="H72" t="str">
            <v>ESTACIÓN DE ENFERMERÍA</v>
          </cell>
          <cell r="I72">
            <v>1</v>
          </cell>
          <cell r="J72" t="str">
            <v>C.3.5.11</v>
          </cell>
          <cell r="K72" t="str">
            <v>Hospitalización</v>
          </cell>
          <cell r="L72">
            <v>5</v>
          </cell>
          <cell r="M72">
            <v>46058</v>
          </cell>
          <cell r="N72">
            <v>46059</v>
          </cell>
          <cell r="O72">
            <v>1</v>
          </cell>
          <cell r="P72">
            <v>46062</v>
          </cell>
          <cell r="Q72">
            <v>5</v>
          </cell>
          <cell r="R72" t="str">
            <v>NA</v>
          </cell>
          <cell r="S72">
            <v>5</v>
          </cell>
        </row>
        <row r="73">
          <cell r="B73" t="str">
            <v>EMMC</v>
          </cell>
          <cell r="C73" t="str">
            <v>HSLB12848</v>
          </cell>
          <cell r="D73">
            <v>113013</v>
          </cell>
          <cell r="E73" t="str">
            <v>Monitor Desfibrilador</v>
          </cell>
          <cell r="F73" t="str">
            <v>NO</v>
          </cell>
          <cell r="G73" t="str">
            <v>NO</v>
          </cell>
          <cell r="H73" t="str">
            <v>ESTACIÓN DE ENFERMERÍA</v>
          </cell>
          <cell r="I73">
            <v>1</v>
          </cell>
          <cell r="J73" t="str">
            <v>C.3.4.2.5</v>
          </cell>
          <cell r="K73" t="str">
            <v>Hospitalización</v>
          </cell>
          <cell r="L73">
            <v>5</v>
          </cell>
          <cell r="M73">
            <v>46058</v>
          </cell>
          <cell r="N73">
            <v>46059</v>
          </cell>
          <cell r="O73">
            <v>1</v>
          </cell>
          <cell r="P73">
            <v>46062</v>
          </cell>
          <cell r="Q73">
            <v>5</v>
          </cell>
          <cell r="R73" t="str">
            <v>NA</v>
          </cell>
          <cell r="S73">
            <v>5</v>
          </cell>
        </row>
        <row r="74">
          <cell r="B74" t="str">
            <v>EMMC</v>
          </cell>
          <cell r="C74" t="str">
            <v>HSLB12853</v>
          </cell>
          <cell r="D74">
            <v>113013</v>
          </cell>
          <cell r="E74" t="str">
            <v>Monitor Desfibrilador</v>
          </cell>
          <cell r="F74" t="str">
            <v>NO</v>
          </cell>
          <cell r="G74" t="str">
            <v>NO</v>
          </cell>
          <cell r="H74" t="str">
            <v>ESTACIÓN DE ENFERMERÍA</v>
          </cell>
          <cell r="I74">
            <v>1</v>
          </cell>
          <cell r="J74" t="str">
            <v>C.3.5.11</v>
          </cell>
          <cell r="K74" t="str">
            <v>Hospitalización</v>
          </cell>
          <cell r="L74">
            <v>5</v>
          </cell>
          <cell r="M74">
            <v>46058</v>
          </cell>
          <cell r="N74">
            <v>46059</v>
          </cell>
          <cell r="O74">
            <v>1</v>
          </cell>
          <cell r="P74">
            <v>46062</v>
          </cell>
          <cell r="Q74">
            <v>5</v>
          </cell>
          <cell r="R74" t="str">
            <v>NA</v>
          </cell>
          <cell r="S74">
            <v>5</v>
          </cell>
        </row>
        <row r="75">
          <cell r="B75" t="str">
            <v>EMMC</v>
          </cell>
          <cell r="C75" t="str">
            <v>HSLB11605</v>
          </cell>
          <cell r="D75">
            <v>112001</v>
          </cell>
          <cell r="E75" t="str">
            <v>Alza Ropa</v>
          </cell>
          <cell r="F75" t="str">
            <v>NO</v>
          </cell>
          <cell r="G75" t="str">
            <v>NO</v>
          </cell>
          <cell r="H75" t="str">
            <v>BODEGA DE EQUIPOS</v>
          </cell>
          <cell r="I75">
            <v>2</v>
          </cell>
          <cell r="J75" t="str">
            <v>C.3.4.2.13</v>
          </cell>
          <cell r="K75" t="str">
            <v>Hospitalización</v>
          </cell>
          <cell r="L75">
            <v>5</v>
          </cell>
          <cell r="M75">
            <v>46058</v>
          </cell>
          <cell r="N75">
            <v>46059</v>
          </cell>
          <cell r="O75">
            <v>1</v>
          </cell>
          <cell r="P75">
            <v>46062</v>
          </cell>
          <cell r="Q75">
            <v>5</v>
          </cell>
          <cell r="R75" t="str">
            <v>NA</v>
          </cell>
          <cell r="S75">
            <v>5</v>
          </cell>
        </row>
        <row r="76">
          <cell r="B76" t="str">
            <v>EMMC</v>
          </cell>
          <cell r="C76" t="str">
            <v>HSLB11608</v>
          </cell>
          <cell r="D76">
            <v>112001</v>
          </cell>
          <cell r="E76" t="str">
            <v>Alza Ropa</v>
          </cell>
          <cell r="F76" t="str">
            <v>NO</v>
          </cell>
          <cell r="G76" t="str">
            <v>NO</v>
          </cell>
          <cell r="H76" t="str">
            <v>BODEGA DE EQUIPOS Y CUNAS</v>
          </cell>
          <cell r="I76">
            <v>4</v>
          </cell>
          <cell r="J76" t="str">
            <v>C.3.5.26</v>
          </cell>
          <cell r="K76" t="str">
            <v>Hospitalización</v>
          </cell>
          <cell r="L76">
            <v>5</v>
          </cell>
          <cell r="M76">
            <v>46058</v>
          </cell>
          <cell r="N76">
            <v>46059</v>
          </cell>
          <cell r="O76">
            <v>1</v>
          </cell>
          <cell r="P76">
            <v>46062</v>
          </cell>
          <cell r="Q76">
            <v>5</v>
          </cell>
          <cell r="R76" t="str">
            <v>NA</v>
          </cell>
          <cell r="S76">
            <v>5</v>
          </cell>
        </row>
        <row r="77">
          <cell r="B77" t="str">
            <v>EMMC</v>
          </cell>
          <cell r="C77" t="str">
            <v>HSLB10451</v>
          </cell>
          <cell r="D77">
            <v>103053</v>
          </cell>
          <cell r="E77" t="str">
            <v>Vitrina Refrigerada Vertical 150 l</v>
          </cell>
          <cell r="F77" t="str">
            <v>NO</v>
          </cell>
          <cell r="G77" t="str">
            <v>NO</v>
          </cell>
          <cell r="H77" t="str">
            <v>LACTARIO</v>
          </cell>
          <cell r="I77">
            <v>1</v>
          </cell>
          <cell r="J77" t="str">
            <v>C.3.5.30</v>
          </cell>
          <cell r="K77" t="str">
            <v>Hospitalización</v>
          </cell>
          <cell r="L77">
            <v>5</v>
          </cell>
          <cell r="M77">
            <v>46058</v>
          </cell>
          <cell r="N77">
            <v>46059</v>
          </cell>
          <cell r="O77">
            <v>1</v>
          </cell>
          <cell r="P77">
            <v>46062</v>
          </cell>
          <cell r="Q77">
            <v>5</v>
          </cell>
          <cell r="R77" t="str">
            <v>NA</v>
          </cell>
          <cell r="S77">
            <v>5</v>
          </cell>
        </row>
        <row r="78">
          <cell r="B78" t="str">
            <v>EMMC</v>
          </cell>
          <cell r="C78" t="str">
            <v>HSLB11960</v>
          </cell>
          <cell r="D78">
            <v>112046</v>
          </cell>
          <cell r="E78" t="str">
            <v>Catre Clínico Eléctrico</v>
          </cell>
          <cell r="F78" t="str">
            <v>NO</v>
          </cell>
          <cell r="G78" t="str">
            <v>NO</v>
          </cell>
          <cell r="H78" t="str">
            <v>SALA 1 CAMA</v>
          </cell>
          <cell r="I78">
            <v>1</v>
          </cell>
          <cell r="J78" t="str">
            <v>C.3.5.15.4</v>
          </cell>
          <cell r="K78" t="str">
            <v>Hospitalización</v>
          </cell>
          <cell r="L78">
            <v>5</v>
          </cell>
          <cell r="M78">
            <v>46058</v>
          </cell>
          <cell r="N78">
            <v>46059</v>
          </cell>
          <cell r="O78">
            <v>2</v>
          </cell>
          <cell r="P78">
            <v>46063</v>
          </cell>
          <cell r="Q78">
            <v>5</v>
          </cell>
          <cell r="R78" t="str">
            <v>NA</v>
          </cell>
          <cell r="S78">
            <v>5</v>
          </cell>
        </row>
        <row r="79">
          <cell r="B79" t="str">
            <v>EMMC</v>
          </cell>
          <cell r="C79" t="str">
            <v>HSLB11961</v>
          </cell>
          <cell r="D79">
            <v>112046</v>
          </cell>
          <cell r="E79" t="str">
            <v>Catre Clínico Eléctrico</v>
          </cell>
          <cell r="F79" t="str">
            <v>NO</v>
          </cell>
          <cell r="G79" t="str">
            <v>NO</v>
          </cell>
          <cell r="H79" t="str">
            <v>SALA 1 CAMA</v>
          </cell>
          <cell r="I79">
            <v>1</v>
          </cell>
          <cell r="J79" t="str">
            <v>C.3.5.15.5</v>
          </cell>
          <cell r="K79" t="str">
            <v>Hospitalización</v>
          </cell>
          <cell r="L79">
            <v>5</v>
          </cell>
          <cell r="M79">
            <v>46058</v>
          </cell>
          <cell r="N79">
            <v>46059</v>
          </cell>
          <cell r="O79">
            <v>2</v>
          </cell>
          <cell r="P79">
            <v>46063</v>
          </cell>
          <cell r="Q79">
            <v>5</v>
          </cell>
          <cell r="R79" t="str">
            <v>NA</v>
          </cell>
          <cell r="S79">
            <v>5</v>
          </cell>
        </row>
        <row r="80">
          <cell r="B80" t="str">
            <v>EMMC</v>
          </cell>
          <cell r="C80" t="str">
            <v>HSLB11962</v>
          </cell>
          <cell r="D80">
            <v>112046</v>
          </cell>
          <cell r="E80" t="str">
            <v>Catre Clínico Eléctrico</v>
          </cell>
          <cell r="F80" t="str">
            <v>NO</v>
          </cell>
          <cell r="G80" t="str">
            <v>SI</v>
          </cell>
          <cell r="H80" t="str">
            <v>SALA 4 CAMAS</v>
          </cell>
          <cell r="I80">
            <v>3</v>
          </cell>
          <cell r="J80" t="str">
            <v>C.3.5.16.1</v>
          </cell>
          <cell r="K80" t="str">
            <v>Hospitalización</v>
          </cell>
          <cell r="L80">
            <v>5</v>
          </cell>
          <cell r="M80">
            <v>46003</v>
          </cell>
          <cell r="N80">
            <v>46006</v>
          </cell>
          <cell r="O80">
            <v>2</v>
          </cell>
          <cell r="P80">
            <v>46008</v>
          </cell>
          <cell r="Q80">
            <v>5</v>
          </cell>
          <cell r="R80" t="str">
            <v>NA</v>
          </cell>
          <cell r="S80">
            <v>5</v>
          </cell>
        </row>
        <row r="81">
          <cell r="B81" t="str">
            <v>EMMC</v>
          </cell>
          <cell r="C81" t="str">
            <v>HSLB11963</v>
          </cell>
          <cell r="D81">
            <v>112046</v>
          </cell>
          <cell r="E81" t="str">
            <v>Catre Clínico Eléctrico</v>
          </cell>
          <cell r="F81" t="str">
            <v>NO</v>
          </cell>
          <cell r="G81" t="str">
            <v>SI</v>
          </cell>
          <cell r="H81" t="str">
            <v>SALA 4 CAMAS</v>
          </cell>
          <cell r="I81">
            <v>2</v>
          </cell>
          <cell r="J81" t="str">
            <v>C.3.5.16.2</v>
          </cell>
          <cell r="K81" t="str">
            <v>Hospitalización</v>
          </cell>
          <cell r="L81">
            <v>5</v>
          </cell>
          <cell r="M81">
            <v>46003</v>
          </cell>
          <cell r="N81">
            <v>46006</v>
          </cell>
          <cell r="O81">
            <v>2</v>
          </cell>
          <cell r="P81">
            <v>46008</v>
          </cell>
          <cell r="Q81">
            <v>5</v>
          </cell>
          <cell r="R81" t="str">
            <v>NA</v>
          </cell>
          <cell r="S81">
            <v>5</v>
          </cell>
        </row>
        <row r="82">
          <cell r="B82" t="str">
            <v>EMMC</v>
          </cell>
          <cell r="C82" t="str">
            <v>HSLB11964</v>
          </cell>
          <cell r="D82">
            <v>112046</v>
          </cell>
          <cell r="E82" t="str">
            <v>Catre Clínico Eléctrico</v>
          </cell>
          <cell r="F82" t="str">
            <v>NO</v>
          </cell>
          <cell r="G82" t="str">
            <v>NO</v>
          </cell>
          <cell r="H82" t="str">
            <v>SALA 1 CAMA AISLAMIENTO (1)</v>
          </cell>
          <cell r="I82">
            <v>1</v>
          </cell>
          <cell r="J82" t="str">
            <v>C.3.5.17.1</v>
          </cell>
          <cell r="K82" t="str">
            <v>Hospitalización</v>
          </cell>
          <cell r="L82">
            <v>5</v>
          </cell>
          <cell r="M82">
            <v>46058</v>
          </cell>
          <cell r="N82">
            <v>46059</v>
          </cell>
          <cell r="O82">
            <v>2</v>
          </cell>
          <cell r="P82">
            <v>46063</v>
          </cell>
          <cell r="Q82">
            <v>5</v>
          </cell>
          <cell r="R82" t="str">
            <v>NA</v>
          </cell>
          <cell r="S82">
            <v>5</v>
          </cell>
        </row>
        <row r="83">
          <cell r="B83" t="str">
            <v>EMMC</v>
          </cell>
          <cell r="C83" t="str">
            <v>HSLB11965</v>
          </cell>
          <cell r="D83">
            <v>112046</v>
          </cell>
          <cell r="E83" t="str">
            <v>Catre Clínico Eléctrico</v>
          </cell>
          <cell r="F83" t="str">
            <v>NO</v>
          </cell>
          <cell r="G83" t="str">
            <v>NO</v>
          </cell>
          <cell r="H83" t="str">
            <v>SALA 1 CAMA AISLAMIENTO (2)</v>
          </cell>
          <cell r="I83">
            <v>1</v>
          </cell>
          <cell r="J83" t="str">
            <v>C.3.5.17.2</v>
          </cell>
          <cell r="K83" t="str">
            <v>Hospitalización</v>
          </cell>
          <cell r="L83">
            <v>5</v>
          </cell>
          <cell r="M83">
            <v>46058</v>
          </cell>
          <cell r="N83">
            <v>46059</v>
          </cell>
          <cell r="O83">
            <v>2</v>
          </cell>
          <cell r="P83">
            <v>46063</v>
          </cell>
          <cell r="Q83">
            <v>5</v>
          </cell>
          <cell r="R83" t="str">
            <v>NA</v>
          </cell>
          <cell r="S83">
            <v>5</v>
          </cell>
        </row>
        <row r="84">
          <cell r="B84" t="str">
            <v>EMMC</v>
          </cell>
          <cell r="C84" t="str">
            <v>HSLB11966</v>
          </cell>
          <cell r="D84">
            <v>112046</v>
          </cell>
          <cell r="E84" t="str">
            <v>Catre Clínico Eléctrico</v>
          </cell>
          <cell r="F84" t="str">
            <v>NO</v>
          </cell>
          <cell r="G84" t="str">
            <v>NO</v>
          </cell>
          <cell r="H84" t="str">
            <v>SALA 1 CAMA AISLAMIENTO (3)</v>
          </cell>
          <cell r="I84">
            <v>1</v>
          </cell>
          <cell r="J84" t="str">
            <v>C.3.5.17.3</v>
          </cell>
          <cell r="K84" t="str">
            <v>Hospitalización</v>
          </cell>
          <cell r="L84">
            <v>5</v>
          </cell>
          <cell r="M84">
            <v>46058</v>
          </cell>
          <cell r="N84">
            <v>46059</v>
          </cell>
          <cell r="O84">
            <v>2</v>
          </cell>
          <cell r="P84">
            <v>46063</v>
          </cell>
          <cell r="Q84">
            <v>5</v>
          </cell>
          <cell r="R84" t="str">
            <v>NA</v>
          </cell>
          <cell r="S84">
            <v>5</v>
          </cell>
        </row>
        <row r="85">
          <cell r="B85" t="str">
            <v>EMMC</v>
          </cell>
          <cell r="C85" t="str">
            <v>HSLB12198</v>
          </cell>
          <cell r="D85">
            <v>112060</v>
          </cell>
          <cell r="E85" t="str">
            <v>Mesa Comer en Cama</v>
          </cell>
          <cell r="F85" t="str">
            <v>NO</v>
          </cell>
          <cell r="G85" t="str">
            <v>NO</v>
          </cell>
          <cell r="H85" t="str">
            <v>SALA 1 CAMA</v>
          </cell>
          <cell r="I85">
            <v>1</v>
          </cell>
          <cell r="J85" t="str">
            <v>C.3.4.2.11.1</v>
          </cell>
          <cell r="K85" t="str">
            <v>Hospitalización</v>
          </cell>
          <cell r="L85">
            <v>5</v>
          </cell>
          <cell r="M85">
            <v>46058</v>
          </cell>
          <cell r="N85">
            <v>46059</v>
          </cell>
          <cell r="O85">
            <v>1</v>
          </cell>
          <cell r="P85">
            <v>46062</v>
          </cell>
          <cell r="Q85">
            <v>5</v>
          </cell>
          <cell r="R85" t="str">
            <v>NA</v>
          </cell>
          <cell r="S85">
            <v>5</v>
          </cell>
        </row>
        <row r="86">
          <cell r="B86" t="str">
            <v>EMMC</v>
          </cell>
          <cell r="C86" t="str">
            <v>HSLB12199</v>
          </cell>
          <cell r="D86">
            <v>112060</v>
          </cell>
          <cell r="E86" t="str">
            <v>Mesa Comer en Cama</v>
          </cell>
          <cell r="F86" t="str">
            <v>NO</v>
          </cell>
          <cell r="G86" t="str">
            <v>NO</v>
          </cell>
          <cell r="H86" t="str">
            <v>SALA 1 CAMA</v>
          </cell>
          <cell r="I86">
            <v>1</v>
          </cell>
          <cell r="J86" t="str">
            <v>C.3.4.2.11.10</v>
          </cell>
          <cell r="K86" t="str">
            <v>Hospitalización</v>
          </cell>
          <cell r="L86">
            <v>5</v>
          </cell>
          <cell r="M86">
            <v>46058</v>
          </cell>
          <cell r="N86">
            <v>46059</v>
          </cell>
          <cell r="O86">
            <v>1</v>
          </cell>
          <cell r="P86">
            <v>46062</v>
          </cell>
          <cell r="Q86">
            <v>5</v>
          </cell>
          <cell r="R86" t="str">
            <v>NA</v>
          </cell>
          <cell r="S86">
            <v>5</v>
          </cell>
        </row>
        <row r="87">
          <cell r="B87" t="str">
            <v>EMMC</v>
          </cell>
          <cell r="C87" t="str">
            <v>HSLB12200</v>
          </cell>
          <cell r="D87">
            <v>112060</v>
          </cell>
          <cell r="E87" t="str">
            <v>Mesa Comer en Cama</v>
          </cell>
          <cell r="F87" t="str">
            <v>NO</v>
          </cell>
          <cell r="G87" t="str">
            <v>NO</v>
          </cell>
          <cell r="H87" t="str">
            <v>SALA 1 CAMA</v>
          </cell>
          <cell r="I87">
            <v>1</v>
          </cell>
          <cell r="J87" t="str">
            <v>C.3.4.2.11.11</v>
          </cell>
          <cell r="K87" t="str">
            <v>Hospitalización</v>
          </cell>
          <cell r="L87">
            <v>5</v>
          </cell>
          <cell r="M87">
            <v>46058</v>
          </cell>
          <cell r="N87">
            <v>46059</v>
          </cell>
          <cell r="O87">
            <v>1</v>
          </cell>
          <cell r="P87">
            <v>46062</v>
          </cell>
          <cell r="Q87">
            <v>5</v>
          </cell>
          <cell r="R87" t="str">
            <v>NA</v>
          </cell>
          <cell r="S87">
            <v>5</v>
          </cell>
        </row>
        <row r="88">
          <cell r="B88" t="str">
            <v>EMMC</v>
          </cell>
          <cell r="C88" t="str">
            <v>HSLB12201</v>
          </cell>
          <cell r="D88">
            <v>112060</v>
          </cell>
          <cell r="E88" t="str">
            <v>Mesa Comer en Cama</v>
          </cell>
          <cell r="F88" t="str">
            <v>NO</v>
          </cell>
          <cell r="G88" t="str">
            <v>NO</v>
          </cell>
          <cell r="H88" t="str">
            <v>SALA 1 CAMA</v>
          </cell>
          <cell r="I88">
            <v>1</v>
          </cell>
          <cell r="J88" t="str">
            <v>C.3.4.2.11.12</v>
          </cell>
          <cell r="K88" t="str">
            <v>Hospitalización</v>
          </cell>
          <cell r="L88">
            <v>5</v>
          </cell>
          <cell r="M88">
            <v>46058</v>
          </cell>
          <cell r="N88">
            <v>46059</v>
          </cell>
          <cell r="O88">
            <v>1</v>
          </cell>
          <cell r="P88">
            <v>46062</v>
          </cell>
          <cell r="Q88">
            <v>5</v>
          </cell>
          <cell r="R88" t="str">
            <v>NA</v>
          </cell>
          <cell r="S88">
            <v>5</v>
          </cell>
        </row>
        <row r="89">
          <cell r="B89" t="str">
            <v>EMMC</v>
          </cell>
          <cell r="C89" t="str">
            <v>HSLB12202</v>
          </cell>
          <cell r="D89">
            <v>112060</v>
          </cell>
          <cell r="E89" t="str">
            <v>Mesa Comer en Cama</v>
          </cell>
          <cell r="F89" t="str">
            <v>NO</v>
          </cell>
          <cell r="G89" t="str">
            <v>NO</v>
          </cell>
          <cell r="H89" t="str">
            <v>SALA 1 CAMA</v>
          </cell>
          <cell r="I89">
            <v>1</v>
          </cell>
          <cell r="J89" t="str">
            <v>C.3.4.2.11.2</v>
          </cell>
          <cell r="K89" t="str">
            <v>Hospitalización</v>
          </cell>
          <cell r="L89">
            <v>5</v>
          </cell>
          <cell r="M89">
            <v>46058</v>
          </cell>
          <cell r="N89">
            <v>46059</v>
          </cell>
          <cell r="O89">
            <v>1</v>
          </cell>
          <cell r="P89">
            <v>46062</v>
          </cell>
          <cell r="Q89">
            <v>5</v>
          </cell>
          <cell r="R89" t="str">
            <v>NA</v>
          </cell>
          <cell r="S89">
            <v>5</v>
          </cell>
        </row>
        <row r="90">
          <cell r="B90" t="str">
            <v>EMMC</v>
          </cell>
          <cell r="C90" t="str">
            <v>HSLB12203</v>
          </cell>
          <cell r="D90">
            <v>112060</v>
          </cell>
          <cell r="E90" t="str">
            <v>Mesa Comer en Cama</v>
          </cell>
          <cell r="F90" t="str">
            <v>NO</v>
          </cell>
          <cell r="G90" t="str">
            <v>NO</v>
          </cell>
          <cell r="H90" t="str">
            <v>SALA 1 CAMA</v>
          </cell>
          <cell r="I90">
            <v>1</v>
          </cell>
          <cell r="J90" t="str">
            <v>C.3.4.2.11.3</v>
          </cell>
          <cell r="K90" t="str">
            <v>Hospitalización</v>
          </cell>
          <cell r="L90">
            <v>5</v>
          </cell>
          <cell r="M90">
            <v>46058</v>
          </cell>
          <cell r="N90">
            <v>46059</v>
          </cell>
          <cell r="O90">
            <v>1</v>
          </cell>
          <cell r="P90">
            <v>46062</v>
          </cell>
          <cell r="Q90">
            <v>5</v>
          </cell>
          <cell r="R90" t="str">
            <v>NA</v>
          </cell>
          <cell r="S90">
            <v>5</v>
          </cell>
        </row>
        <row r="91">
          <cell r="B91" t="str">
            <v>EMMC</v>
          </cell>
          <cell r="C91" t="str">
            <v>HSLB12204</v>
          </cell>
          <cell r="D91">
            <v>112060</v>
          </cell>
          <cell r="E91" t="str">
            <v>Mesa Comer en Cama</v>
          </cell>
          <cell r="F91" t="str">
            <v>NO</v>
          </cell>
          <cell r="G91" t="str">
            <v>NO</v>
          </cell>
          <cell r="H91" t="str">
            <v>SALA 1 CAMA</v>
          </cell>
          <cell r="I91">
            <v>1</v>
          </cell>
          <cell r="J91" t="str">
            <v>C.3.4.2.11.4</v>
          </cell>
          <cell r="K91" t="str">
            <v>Hospitalización</v>
          </cell>
          <cell r="L91">
            <v>5</v>
          </cell>
          <cell r="M91">
            <v>46058</v>
          </cell>
          <cell r="N91">
            <v>46059</v>
          </cell>
          <cell r="O91">
            <v>1</v>
          </cell>
          <cell r="P91">
            <v>46062</v>
          </cell>
          <cell r="Q91">
            <v>5</v>
          </cell>
          <cell r="R91" t="str">
            <v>NA</v>
          </cell>
          <cell r="S91">
            <v>5</v>
          </cell>
        </row>
        <row r="92">
          <cell r="B92" t="str">
            <v>EMMC</v>
          </cell>
          <cell r="C92" t="str">
            <v>HSLB12205</v>
          </cell>
          <cell r="D92">
            <v>112060</v>
          </cell>
          <cell r="E92" t="str">
            <v>Mesa Comer en Cama</v>
          </cell>
          <cell r="F92" t="str">
            <v>NO</v>
          </cell>
          <cell r="G92" t="str">
            <v>NO</v>
          </cell>
          <cell r="H92" t="str">
            <v>SALA 1 CAMA</v>
          </cell>
          <cell r="I92">
            <v>1</v>
          </cell>
          <cell r="J92" t="str">
            <v>C.3.4.2.11.5</v>
          </cell>
          <cell r="K92" t="str">
            <v>Hospitalización</v>
          </cell>
          <cell r="L92">
            <v>5</v>
          </cell>
          <cell r="M92">
            <v>46058</v>
          </cell>
          <cell r="N92">
            <v>46059</v>
          </cell>
          <cell r="O92">
            <v>1</v>
          </cell>
          <cell r="P92">
            <v>46062</v>
          </cell>
          <cell r="Q92">
            <v>5</v>
          </cell>
          <cell r="R92" t="str">
            <v>NA</v>
          </cell>
          <cell r="S92">
            <v>5</v>
          </cell>
        </row>
        <row r="93">
          <cell r="B93" t="str">
            <v>EMMC</v>
          </cell>
          <cell r="C93" t="str">
            <v>HSLB12206</v>
          </cell>
          <cell r="D93">
            <v>112060</v>
          </cell>
          <cell r="E93" t="str">
            <v>Mesa Comer en Cama</v>
          </cell>
          <cell r="F93" t="str">
            <v>NO</v>
          </cell>
          <cell r="G93" t="str">
            <v>NO</v>
          </cell>
          <cell r="H93" t="str">
            <v>SALA 1 CAMA</v>
          </cell>
          <cell r="I93">
            <v>1</v>
          </cell>
          <cell r="J93" t="str">
            <v>C.3.4.2.11.6</v>
          </cell>
          <cell r="K93" t="str">
            <v>Hospitalización</v>
          </cell>
          <cell r="L93">
            <v>5</v>
          </cell>
          <cell r="M93">
            <v>46058</v>
          </cell>
          <cell r="N93">
            <v>46059</v>
          </cell>
          <cell r="O93">
            <v>1</v>
          </cell>
          <cell r="P93">
            <v>46062</v>
          </cell>
          <cell r="Q93">
            <v>5</v>
          </cell>
          <cell r="R93" t="str">
            <v>NA</v>
          </cell>
          <cell r="S93">
            <v>5</v>
          </cell>
        </row>
        <row r="94">
          <cell r="B94" t="str">
            <v>EMMC</v>
          </cell>
          <cell r="C94" t="str">
            <v>HSLB12207</v>
          </cell>
          <cell r="D94">
            <v>112060</v>
          </cell>
          <cell r="E94" t="str">
            <v>Mesa Comer en Cama</v>
          </cell>
          <cell r="F94" t="str">
            <v>NO</v>
          </cell>
          <cell r="G94" t="str">
            <v>NO</v>
          </cell>
          <cell r="H94" t="str">
            <v>SALA 1 CAMA</v>
          </cell>
          <cell r="I94">
            <v>1</v>
          </cell>
          <cell r="J94" t="str">
            <v>C.3.4.2.11.7</v>
          </cell>
          <cell r="K94" t="str">
            <v>Hospitalización</v>
          </cell>
          <cell r="L94">
            <v>5</v>
          </cell>
          <cell r="M94">
            <v>46058</v>
          </cell>
          <cell r="N94">
            <v>46059</v>
          </cell>
          <cell r="O94">
            <v>1</v>
          </cell>
          <cell r="P94">
            <v>46062</v>
          </cell>
          <cell r="Q94">
            <v>5</v>
          </cell>
          <cell r="R94" t="str">
            <v>NA</v>
          </cell>
          <cell r="S94">
            <v>5</v>
          </cell>
        </row>
        <row r="95">
          <cell r="B95" t="str">
            <v>EMMC</v>
          </cell>
          <cell r="C95" t="str">
            <v>HSLB12208</v>
          </cell>
          <cell r="D95">
            <v>112060</v>
          </cell>
          <cell r="E95" t="str">
            <v>Mesa Comer en Cama</v>
          </cell>
          <cell r="F95" t="str">
            <v>NO</v>
          </cell>
          <cell r="G95" t="str">
            <v>NO</v>
          </cell>
          <cell r="H95" t="str">
            <v>SALA 1 CAMA</v>
          </cell>
          <cell r="I95">
            <v>1</v>
          </cell>
          <cell r="J95" t="str">
            <v>C.3.4.2.11.8</v>
          </cell>
          <cell r="K95" t="str">
            <v>Hospitalización</v>
          </cell>
          <cell r="L95">
            <v>5</v>
          </cell>
          <cell r="M95">
            <v>46058</v>
          </cell>
          <cell r="N95">
            <v>46059</v>
          </cell>
          <cell r="O95">
            <v>1</v>
          </cell>
          <cell r="P95">
            <v>46062</v>
          </cell>
          <cell r="Q95">
            <v>5</v>
          </cell>
          <cell r="R95" t="str">
            <v>NA</v>
          </cell>
          <cell r="S95">
            <v>5</v>
          </cell>
        </row>
        <row r="96">
          <cell r="B96" t="str">
            <v>EMMC</v>
          </cell>
          <cell r="C96" t="str">
            <v>HSLB12209</v>
          </cell>
          <cell r="D96">
            <v>112060</v>
          </cell>
          <cell r="E96" t="str">
            <v>Mesa Comer en Cama</v>
          </cell>
          <cell r="F96" t="str">
            <v>NO</v>
          </cell>
          <cell r="G96" t="str">
            <v>NO</v>
          </cell>
          <cell r="H96" t="str">
            <v>SALA 1 CAMA</v>
          </cell>
          <cell r="I96">
            <v>1</v>
          </cell>
          <cell r="J96" t="str">
            <v>C.3.4.2.11.9</v>
          </cell>
          <cell r="K96" t="str">
            <v>Hospitalización</v>
          </cell>
          <cell r="L96">
            <v>5</v>
          </cell>
          <cell r="M96">
            <v>46058</v>
          </cell>
          <cell r="N96">
            <v>46059</v>
          </cell>
          <cell r="O96">
            <v>1</v>
          </cell>
          <cell r="P96">
            <v>46062</v>
          </cell>
          <cell r="Q96">
            <v>5</v>
          </cell>
          <cell r="R96" t="str">
            <v>NA</v>
          </cell>
          <cell r="S96">
            <v>5</v>
          </cell>
        </row>
        <row r="97">
          <cell r="B97" t="str">
            <v>EMMC</v>
          </cell>
          <cell r="C97" t="str">
            <v>HSLB12247</v>
          </cell>
          <cell r="D97">
            <v>112060</v>
          </cell>
          <cell r="E97" t="str">
            <v>Mesa Comer en Cama</v>
          </cell>
          <cell r="F97" t="str">
            <v>NO</v>
          </cell>
          <cell r="G97" t="str">
            <v>NO</v>
          </cell>
          <cell r="H97" t="str">
            <v>SALA 1 CAMA</v>
          </cell>
          <cell r="I97">
            <v>1</v>
          </cell>
          <cell r="J97" t="str">
            <v>C.3.5.15.1</v>
          </cell>
          <cell r="K97" t="str">
            <v>Hospitalización</v>
          </cell>
          <cell r="L97">
            <v>5</v>
          </cell>
          <cell r="M97">
            <v>46058</v>
          </cell>
          <cell r="N97">
            <v>46059</v>
          </cell>
          <cell r="O97">
            <v>1</v>
          </cell>
          <cell r="P97">
            <v>46062</v>
          </cell>
          <cell r="Q97">
            <v>5</v>
          </cell>
          <cell r="R97" t="str">
            <v>NA</v>
          </cell>
          <cell r="S97">
            <v>5</v>
          </cell>
        </row>
        <row r="98">
          <cell r="B98" t="str">
            <v>EMMC</v>
          </cell>
          <cell r="C98" t="str">
            <v>HSLB12248</v>
          </cell>
          <cell r="D98">
            <v>112060</v>
          </cell>
          <cell r="E98" t="str">
            <v>Mesa Comer en Cama</v>
          </cell>
          <cell r="F98" t="str">
            <v>NO</v>
          </cell>
          <cell r="G98" t="str">
            <v>NO</v>
          </cell>
          <cell r="H98" t="str">
            <v>SALA 1 CAMA</v>
          </cell>
          <cell r="I98">
            <v>1</v>
          </cell>
          <cell r="J98" t="str">
            <v>C.3.5.15.2</v>
          </cell>
          <cell r="K98" t="str">
            <v>Hospitalización</v>
          </cell>
          <cell r="L98">
            <v>5</v>
          </cell>
          <cell r="M98">
            <v>46058</v>
          </cell>
          <cell r="N98">
            <v>46059</v>
          </cell>
          <cell r="O98">
            <v>1</v>
          </cell>
          <cell r="P98">
            <v>46062</v>
          </cell>
          <cell r="Q98">
            <v>5</v>
          </cell>
          <cell r="R98" t="str">
            <v>NA</v>
          </cell>
          <cell r="S98">
            <v>5</v>
          </cell>
        </row>
        <row r="99">
          <cell r="B99" t="str">
            <v>EMMC</v>
          </cell>
          <cell r="C99" t="str">
            <v>HSLB12249</v>
          </cell>
          <cell r="D99">
            <v>112060</v>
          </cell>
          <cell r="E99" t="str">
            <v>Mesa Comer en Cama</v>
          </cell>
          <cell r="F99" t="str">
            <v>NO</v>
          </cell>
          <cell r="G99" t="str">
            <v>NO</v>
          </cell>
          <cell r="H99" t="str">
            <v>SALA 1 CAMA</v>
          </cell>
          <cell r="I99">
            <v>1</v>
          </cell>
          <cell r="J99" t="str">
            <v>C.3.5.15.3</v>
          </cell>
          <cell r="K99" t="str">
            <v>Hospitalización</v>
          </cell>
          <cell r="L99">
            <v>5</v>
          </cell>
          <cell r="M99">
            <v>46058</v>
          </cell>
          <cell r="N99">
            <v>46059</v>
          </cell>
          <cell r="O99">
            <v>1</v>
          </cell>
          <cell r="P99">
            <v>46062</v>
          </cell>
          <cell r="Q99">
            <v>5</v>
          </cell>
          <cell r="R99" t="str">
            <v>NA</v>
          </cell>
          <cell r="S99">
            <v>5</v>
          </cell>
        </row>
        <row r="100">
          <cell r="B100" t="str">
            <v>EMMC</v>
          </cell>
          <cell r="C100" t="str">
            <v>HSLB12250</v>
          </cell>
          <cell r="D100">
            <v>112060</v>
          </cell>
          <cell r="E100" t="str">
            <v>Mesa Comer en Cama</v>
          </cell>
          <cell r="F100" t="str">
            <v>NO</v>
          </cell>
          <cell r="G100" t="str">
            <v>NO</v>
          </cell>
          <cell r="H100" t="str">
            <v>SALA 1 CAMA</v>
          </cell>
          <cell r="I100">
            <v>1</v>
          </cell>
          <cell r="J100" t="str">
            <v>C.3.5.15.4</v>
          </cell>
          <cell r="K100" t="str">
            <v>Hospitalización</v>
          </cell>
          <cell r="L100">
            <v>5</v>
          </cell>
          <cell r="M100">
            <v>46058</v>
          </cell>
          <cell r="N100">
            <v>46059</v>
          </cell>
          <cell r="O100">
            <v>1</v>
          </cell>
          <cell r="P100">
            <v>46062</v>
          </cell>
          <cell r="Q100">
            <v>5</v>
          </cell>
          <cell r="R100" t="str">
            <v>NA</v>
          </cell>
          <cell r="S100">
            <v>5</v>
          </cell>
        </row>
        <row r="101">
          <cell r="B101" t="str">
            <v>EMMC</v>
          </cell>
          <cell r="C101" t="str">
            <v>HSLB12251</v>
          </cell>
          <cell r="D101">
            <v>112060</v>
          </cell>
          <cell r="E101" t="str">
            <v>Mesa Comer en Cama</v>
          </cell>
          <cell r="F101" t="str">
            <v>NO</v>
          </cell>
          <cell r="G101" t="str">
            <v>NO</v>
          </cell>
          <cell r="H101" t="str">
            <v>SALA 1 CAMA</v>
          </cell>
          <cell r="I101">
            <v>1</v>
          </cell>
          <cell r="J101" t="str">
            <v>C.3.5.15.5</v>
          </cell>
          <cell r="K101" t="str">
            <v>Hospitalización</v>
          </cell>
          <cell r="L101">
            <v>5</v>
          </cell>
          <cell r="M101">
            <v>46058</v>
          </cell>
          <cell r="N101">
            <v>46059</v>
          </cell>
          <cell r="O101">
            <v>1</v>
          </cell>
          <cell r="P101">
            <v>46062</v>
          </cell>
          <cell r="Q101">
            <v>5</v>
          </cell>
          <cell r="R101" t="str">
            <v>NA</v>
          </cell>
          <cell r="S101">
            <v>5</v>
          </cell>
        </row>
        <row r="102">
          <cell r="B102" t="str">
            <v>EMMC</v>
          </cell>
          <cell r="C102" t="str">
            <v>HSLB12252</v>
          </cell>
          <cell r="D102">
            <v>112060</v>
          </cell>
          <cell r="E102" t="str">
            <v>Mesa Comer en Cama</v>
          </cell>
          <cell r="F102" t="str">
            <v>NO</v>
          </cell>
          <cell r="G102" t="str">
            <v>SI</v>
          </cell>
          <cell r="H102" t="str">
            <v>SALA 4 CAMAS</v>
          </cell>
          <cell r="I102">
            <v>4</v>
          </cell>
          <cell r="J102" t="str">
            <v>C.3.5.16.1</v>
          </cell>
          <cell r="K102" t="str">
            <v>Hospitalización</v>
          </cell>
          <cell r="L102">
            <v>5</v>
          </cell>
          <cell r="M102">
            <v>46003</v>
          </cell>
          <cell r="N102">
            <v>46006</v>
          </cell>
          <cell r="O102">
            <v>1</v>
          </cell>
          <cell r="P102">
            <v>46007</v>
          </cell>
          <cell r="Q102">
            <v>5</v>
          </cell>
          <cell r="R102" t="str">
            <v>NA</v>
          </cell>
          <cell r="S102">
            <v>5</v>
          </cell>
        </row>
        <row r="103">
          <cell r="B103" t="str">
            <v>EMMC</v>
          </cell>
          <cell r="C103" t="str">
            <v>HSLB12253</v>
          </cell>
          <cell r="D103">
            <v>112060</v>
          </cell>
          <cell r="E103" t="str">
            <v>Mesa Comer en Cama</v>
          </cell>
          <cell r="F103" t="str">
            <v>NO</v>
          </cell>
          <cell r="G103" t="str">
            <v>SI</v>
          </cell>
          <cell r="H103" t="str">
            <v>SALA 4 CAMAS</v>
          </cell>
          <cell r="I103">
            <v>4</v>
          </cell>
          <cell r="J103" t="str">
            <v>C.3.5.16.2</v>
          </cell>
          <cell r="K103" t="str">
            <v>Hospitalización</v>
          </cell>
          <cell r="L103">
            <v>5</v>
          </cell>
          <cell r="M103">
            <v>46003</v>
          </cell>
          <cell r="N103">
            <v>46006</v>
          </cell>
          <cell r="O103">
            <v>1</v>
          </cell>
          <cell r="P103">
            <v>46007</v>
          </cell>
          <cell r="Q103">
            <v>5</v>
          </cell>
          <cell r="R103" t="str">
            <v>NA</v>
          </cell>
          <cell r="S103">
            <v>5</v>
          </cell>
        </row>
        <row r="104">
          <cell r="B104" t="str">
            <v>EMMC</v>
          </cell>
          <cell r="C104" t="str">
            <v>HSLB12254</v>
          </cell>
          <cell r="D104">
            <v>112060</v>
          </cell>
          <cell r="E104" t="str">
            <v>Mesa Comer en Cama</v>
          </cell>
          <cell r="F104" t="str">
            <v>NO</v>
          </cell>
          <cell r="G104" t="str">
            <v>NO</v>
          </cell>
          <cell r="H104" t="str">
            <v>SALA 1 CAMA AISLAMIENTO (1)</v>
          </cell>
          <cell r="I104">
            <v>1</v>
          </cell>
          <cell r="J104" t="str">
            <v>C.3.5.17.1</v>
          </cell>
          <cell r="K104" t="str">
            <v>Hospitalización</v>
          </cell>
          <cell r="L104">
            <v>5</v>
          </cell>
          <cell r="M104">
            <v>46058</v>
          </cell>
          <cell r="N104">
            <v>46059</v>
          </cell>
          <cell r="O104">
            <v>1</v>
          </cell>
          <cell r="P104">
            <v>46062</v>
          </cell>
          <cell r="Q104">
            <v>5</v>
          </cell>
          <cell r="R104" t="str">
            <v>NA</v>
          </cell>
          <cell r="S104">
            <v>5</v>
          </cell>
        </row>
        <row r="105">
          <cell r="B105" t="str">
            <v>EMMC</v>
          </cell>
          <cell r="C105" t="str">
            <v>HSLB12255</v>
          </cell>
          <cell r="D105">
            <v>112060</v>
          </cell>
          <cell r="E105" t="str">
            <v>Mesa Comer en Cama</v>
          </cell>
          <cell r="F105" t="str">
            <v>NO</v>
          </cell>
          <cell r="G105" t="str">
            <v>NO</v>
          </cell>
          <cell r="H105" t="str">
            <v>SALA 1 CAMA AISLAMIENTO (2)</v>
          </cell>
          <cell r="I105">
            <v>1</v>
          </cell>
          <cell r="J105" t="str">
            <v>C.3.5.17.2</v>
          </cell>
          <cell r="K105" t="str">
            <v>Hospitalización</v>
          </cell>
          <cell r="L105">
            <v>5</v>
          </cell>
          <cell r="M105">
            <v>46058</v>
          </cell>
          <cell r="N105">
            <v>46059</v>
          </cell>
          <cell r="O105">
            <v>1</v>
          </cell>
          <cell r="P105">
            <v>46062</v>
          </cell>
          <cell r="Q105">
            <v>5</v>
          </cell>
          <cell r="R105" t="str">
            <v>NA</v>
          </cell>
          <cell r="S105">
            <v>5</v>
          </cell>
        </row>
        <row r="106">
          <cell r="B106" t="str">
            <v>EMMC</v>
          </cell>
          <cell r="C106" t="str">
            <v>HSLB12256</v>
          </cell>
          <cell r="D106">
            <v>112060</v>
          </cell>
          <cell r="E106" t="str">
            <v>Mesa Comer en Cama</v>
          </cell>
          <cell r="F106" t="str">
            <v>NO</v>
          </cell>
          <cell r="G106" t="str">
            <v>NO</v>
          </cell>
          <cell r="H106" t="str">
            <v>SALA 1 CAMA AISLAMIENTO (3)</v>
          </cell>
          <cell r="I106">
            <v>1</v>
          </cell>
          <cell r="J106" t="str">
            <v>C.3.5.17.3</v>
          </cell>
          <cell r="K106" t="str">
            <v>Hospitalización</v>
          </cell>
          <cell r="L106">
            <v>5</v>
          </cell>
          <cell r="M106">
            <v>46058</v>
          </cell>
          <cell r="N106">
            <v>46059</v>
          </cell>
          <cell r="O106">
            <v>1</v>
          </cell>
          <cell r="P106">
            <v>46062</v>
          </cell>
          <cell r="Q106">
            <v>5</v>
          </cell>
          <cell r="R106" t="str">
            <v>NA</v>
          </cell>
          <cell r="S106">
            <v>5</v>
          </cell>
        </row>
        <row r="107">
          <cell r="B107" t="str">
            <v>EMMC</v>
          </cell>
          <cell r="C107" t="str">
            <v>HSLB12508</v>
          </cell>
          <cell r="D107">
            <v>112089</v>
          </cell>
          <cell r="E107" t="str">
            <v>Soporte Universal</v>
          </cell>
          <cell r="F107" t="str">
            <v>NO</v>
          </cell>
          <cell r="G107" t="str">
            <v>NO</v>
          </cell>
          <cell r="H107" t="str">
            <v>SALA DE PROCEDIMIENTOS</v>
          </cell>
          <cell r="I107">
            <v>1</v>
          </cell>
          <cell r="J107" t="str">
            <v>C.3.4.2.10</v>
          </cell>
          <cell r="K107" t="str">
            <v>Hospitalización</v>
          </cell>
          <cell r="L107">
            <v>5</v>
          </cell>
          <cell r="M107">
            <v>46058</v>
          </cell>
          <cell r="N107">
            <v>46059</v>
          </cell>
          <cell r="O107">
            <v>1</v>
          </cell>
          <cell r="P107">
            <v>46062</v>
          </cell>
          <cell r="Q107">
            <v>5</v>
          </cell>
          <cell r="R107" t="str">
            <v>NA</v>
          </cell>
          <cell r="S107">
            <v>5</v>
          </cell>
        </row>
        <row r="108">
          <cell r="B108" t="str">
            <v>EMMC</v>
          </cell>
          <cell r="C108" t="str">
            <v>HSLB12509</v>
          </cell>
          <cell r="D108">
            <v>112089</v>
          </cell>
          <cell r="E108" t="str">
            <v>Soporte Universal</v>
          </cell>
          <cell r="F108" t="str">
            <v>NO</v>
          </cell>
          <cell r="G108" t="str">
            <v>NO</v>
          </cell>
          <cell r="H108" t="str">
            <v>SALA 1 CAMA</v>
          </cell>
          <cell r="I108">
            <v>1</v>
          </cell>
          <cell r="J108" t="str">
            <v>C.3.4.2.11.1</v>
          </cell>
          <cell r="K108" t="str">
            <v>Hospitalización</v>
          </cell>
          <cell r="L108">
            <v>5</v>
          </cell>
          <cell r="M108">
            <v>46058</v>
          </cell>
          <cell r="N108">
            <v>46059</v>
          </cell>
          <cell r="O108">
            <v>1</v>
          </cell>
          <cell r="P108">
            <v>46062</v>
          </cell>
          <cell r="Q108">
            <v>5</v>
          </cell>
          <cell r="R108" t="str">
            <v>NA</v>
          </cell>
          <cell r="S108">
            <v>5</v>
          </cell>
        </row>
        <row r="109">
          <cell r="B109" t="str">
            <v>EMMC</v>
          </cell>
          <cell r="C109" t="str">
            <v>HSLB12510</v>
          </cell>
          <cell r="D109">
            <v>112089</v>
          </cell>
          <cell r="E109" t="str">
            <v>Soporte Universal</v>
          </cell>
          <cell r="F109" t="str">
            <v>NO</v>
          </cell>
          <cell r="G109" t="str">
            <v>NO</v>
          </cell>
          <cell r="H109" t="str">
            <v>SALA 1 CAMA</v>
          </cell>
          <cell r="I109">
            <v>1</v>
          </cell>
          <cell r="J109" t="str">
            <v>C.3.4.2.11.10</v>
          </cell>
          <cell r="K109" t="str">
            <v>Hospitalización</v>
          </cell>
          <cell r="L109">
            <v>5</v>
          </cell>
          <cell r="M109">
            <v>46058</v>
          </cell>
          <cell r="N109">
            <v>46059</v>
          </cell>
          <cell r="O109">
            <v>1</v>
          </cell>
          <cell r="P109">
            <v>46062</v>
          </cell>
          <cell r="Q109">
            <v>5</v>
          </cell>
          <cell r="R109" t="str">
            <v>NA</v>
          </cell>
          <cell r="S109">
            <v>5</v>
          </cell>
        </row>
        <row r="110">
          <cell r="B110" t="str">
            <v>EMMC</v>
          </cell>
          <cell r="C110" t="str">
            <v>HSLB12511</v>
          </cell>
          <cell r="D110">
            <v>112089</v>
          </cell>
          <cell r="E110" t="str">
            <v>Soporte Universal</v>
          </cell>
          <cell r="F110" t="str">
            <v>NO</v>
          </cell>
          <cell r="G110" t="str">
            <v>NO</v>
          </cell>
          <cell r="H110" t="str">
            <v>SALA 1 CAMA</v>
          </cell>
          <cell r="I110">
            <v>1</v>
          </cell>
          <cell r="J110" t="str">
            <v>C.3.4.2.11.11</v>
          </cell>
          <cell r="K110" t="str">
            <v>Hospitalización</v>
          </cell>
          <cell r="L110">
            <v>5</v>
          </cell>
          <cell r="M110">
            <v>46058</v>
          </cell>
          <cell r="N110">
            <v>46059</v>
          </cell>
          <cell r="O110">
            <v>1</v>
          </cell>
          <cell r="P110">
            <v>46062</v>
          </cell>
          <cell r="Q110">
            <v>5</v>
          </cell>
          <cell r="R110" t="str">
            <v>NA</v>
          </cell>
          <cell r="S110">
            <v>5</v>
          </cell>
        </row>
        <row r="111">
          <cell r="B111" t="str">
            <v>EMMC</v>
          </cell>
          <cell r="C111" t="str">
            <v>HSLB12512</v>
          </cell>
          <cell r="D111">
            <v>112089</v>
          </cell>
          <cell r="E111" t="str">
            <v>Soporte Universal</v>
          </cell>
          <cell r="F111" t="str">
            <v>NO</v>
          </cell>
          <cell r="G111" t="str">
            <v>NO</v>
          </cell>
          <cell r="H111" t="str">
            <v>SALA 1 CAMA</v>
          </cell>
          <cell r="I111">
            <v>1</v>
          </cell>
          <cell r="J111" t="str">
            <v>C.3.4.2.11.12</v>
          </cell>
          <cell r="K111" t="str">
            <v>Hospitalización</v>
          </cell>
          <cell r="L111">
            <v>5</v>
          </cell>
          <cell r="M111">
            <v>46058</v>
          </cell>
          <cell r="N111">
            <v>46059</v>
          </cell>
          <cell r="O111">
            <v>1</v>
          </cell>
          <cell r="P111">
            <v>46062</v>
          </cell>
          <cell r="Q111">
            <v>5</v>
          </cell>
          <cell r="R111" t="str">
            <v>NA</v>
          </cell>
          <cell r="S111">
            <v>5</v>
          </cell>
        </row>
        <row r="112">
          <cell r="B112" t="str">
            <v>EMMC</v>
          </cell>
          <cell r="C112" t="str">
            <v>HSLB12513</v>
          </cell>
          <cell r="D112">
            <v>112089</v>
          </cell>
          <cell r="E112" t="str">
            <v>Soporte Universal</v>
          </cell>
          <cell r="F112" t="str">
            <v>NO</v>
          </cell>
          <cell r="G112" t="str">
            <v>NO</v>
          </cell>
          <cell r="H112" t="str">
            <v>SALA 1 CAMA</v>
          </cell>
          <cell r="I112">
            <v>1</v>
          </cell>
          <cell r="J112" t="str">
            <v>C.3.4.2.11.2</v>
          </cell>
          <cell r="K112" t="str">
            <v>Hospitalización</v>
          </cell>
          <cell r="L112">
            <v>5</v>
          </cell>
          <cell r="M112">
            <v>46058</v>
          </cell>
          <cell r="N112">
            <v>46059</v>
          </cell>
          <cell r="O112">
            <v>1</v>
          </cell>
          <cell r="P112">
            <v>46062</v>
          </cell>
          <cell r="Q112">
            <v>5</v>
          </cell>
          <cell r="R112" t="str">
            <v>NA</v>
          </cell>
          <cell r="S112">
            <v>5</v>
          </cell>
        </row>
        <row r="113">
          <cell r="B113" t="str">
            <v>EMMC</v>
          </cell>
          <cell r="C113" t="str">
            <v>HSLB12514</v>
          </cell>
          <cell r="D113">
            <v>112089</v>
          </cell>
          <cell r="E113" t="str">
            <v>Soporte Universal</v>
          </cell>
          <cell r="F113" t="str">
            <v>NO</v>
          </cell>
          <cell r="G113" t="str">
            <v>NO</v>
          </cell>
          <cell r="H113" t="str">
            <v>SALA 1 CAMA</v>
          </cell>
          <cell r="I113">
            <v>1</v>
          </cell>
          <cell r="J113" t="str">
            <v>C.3.4.2.11.3</v>
          </cell>
          <cell r="K113" t="str">
            <v>Hospitalización</v>
          </cell>
          <cell r="L113">
            <v>5</v>
          </cell>
          <cell r="M113">
            <v>46058</v>
          </cell>
          <cell r="N113">
            <v>46059</v>
          </cell>
          <cell r="O113">
            <v>1</v>
          </cell>
          <cell r="P113">
            <v>46062</v>
          </cell>
          <cell r="Q113">
            <v>5</v>
          </cell>
          <cell r="R113" t="str">
            <v>NA</v>
          </cell>
          <cell r="S113">
            <v>5</v>
          </cell>
        </row>
        <row r="114">
          <cell r="B114" t="str">
            <v>EMMC</v>
          </cell>
          <cell r="C114" t="str">
            <v>HSLB12515</v>
          </cell>
          <cell r="D114">
            <v>112089</v>
          </cell>
          <cell r="E114" t="str">
            <v>Soporte Universal</v>
          </cell>
          <cell r="F114" t="str">
            <v>NO</v>
          </cell>
          <cell r="G114" t="str">
            <v>NO</v>
          </cell>
          <cell r="H114" t="str">
            <v>SALA 1 CAMA</v>
          </cell>
          <cell r="I114">
            <v>1</v>
          </cell>
          <cell r="J114" t="str">
            <v>C.3.4.2.11.4</v>
          </cell>
          <cell r="K114" t="str">
            <v>Hospitalización</v>
          </cell>
          <cell r="L114">
            <v>5</v>
          </cell>
          <cell r="M114">
            <v>46058</v>
          </cell>
          <cell r="N114">
            <v>46059</v>
          </cell>
          <cell r="O114">
            <v>1</v>
          </cell>
          <cell r="P114">
            <v>46062</v>
          </cell>
          <cell r="Q114">
            <v>5</v>
          </cell>
          <cell r="R114" t="str">
            <v>NA</v>
          </cell>
          <cell r="S114">
            <v>5</v>
          </cell>
        </row>
        <row r="115">
          <cell r="B115" t="str">
            <v>EMMC</v>
          </cell>
          <cell r="C115" t="str">
            <v>HSLB12516</v>
          </cell>
          <cell r="D115">
            <v>112089</v>
          </cell>
          <cell r="E115" t="str">
            <v>Soporte Universal</v>
          </cell>
          <cell r="F115" t="str">
            <v>NO</v>
          </cell>
          <cell r="G115" t="str">
            <v>NO</v>
          </cell>
          <cell r="H115" t="str">
            <v>SALA 1 CAMA</v>
          </cell>
          <cell r="I115">
            <v>1</v>
          </cell>
          <cell r="J115" t="str">
            <v>C.3.4.2.11.5</v>
          </cell>
          <cell r="K115" t="str">
            <v>Hospitalización</v>
          </cell>
          <cell r="L115">
            <v>5</v>
          </cell>
          <cell r="M115">
            <v>46058</v>
          </cell>
          <cell r="N115">
            <v>46059</v>
          </cell>
          <cell r="O115">
            <v>1</v>
          </cell>
          <cell r="P115">
            <v>46062</v>
          </cell>
          <cell r="Q115">
            <v>5</v>
          </cell>
          <cell r="R115" t="str">
            <v>NA</v>
          </cell>
          <cell r="S115">
            <v>5</v>
          </cell>
        </row>
        <row r="116">
          <cell r="B116" t="str">
            <v>EMMC</v>
          </cell>
          <cell r="C116" t="str">
            <v>HSLB12517</v>
          </cell>
          <cell r="D116">
            <v>112089</v>
          </cell>
          <cell r="E116" t="str">
            <v>Soporte Universal</v>
          </cell>
          <cell r="F116" t="str">
            <v>NO</v>
          </cell>
          <cell r="G116" t="str">
            <v>NO</v>
          </cell>
          <cell r="H116" t="str">
            <v>SALA 1 CAMA</v>
          </cell>
          <cell r="I116">
            <v>1</v>
          </cell>
          <cell r="J116" t="str">
            <v>C.3.4.2.11.6</v>
          </cell>
          <cell r="K116" t="str">
            <v>Hospitalización</v>
          </cell>
          <cell r="L116">
            <v>5</v>
          </cell>
          <cell r="M116">
            <v>46058</v>
          </cell>
          <cell r="N116">
            <v>46059</v>
          </cell>
          <cell r="O116">
            <v>1</v>
          </cell>
          <cell r="P116">
            <v>46062</v>
          </cell>
          <cell r="Q116">
            <v>5</v>
          </cell>
          <cell r="R116" t="str">
            <v>NA</v>
          </cell>
          <cell r="S116">
            <v>5</v>
          </cell>
        </row>
        <row r="117">
          <cell r="B117" t="str">
            <v>EMMC</v>
          </cell>
          <cell r="C117" t="str">
            <v>HSLB12518</v>
          </cell>
          <cell r="D117">
            <v>112089</v>
          </cell>
          <cell r="E117" t="str">
            <v>Soporte Universal</v>
          </cell>
          <cell r="F117" t="str">
            <v>NO</v>
          </cell>
          <cell r="G117" t="str">
            <v>NO</v>
          </cell>
          <cell r="H117" t="str">
            <v>SALA 1 CAMA</v>
          </cell>
          <cell r="I117">
            <v>1</v>
          </cell>
          <cell r="J117" t="str">
            <v>C.3.4.2.11.7</v>
          </cell>
          <cell r="K117" t="str">
            <v>Hospitalización</v>
          </cell>
          <cell r="L117">
            <v>5</v>
          </cell>
          <cell r="M117">
            <v>46058</v>
          </cell>
          <cell r="N117">
            <v>46059</v>
          </cell>
          <cell r="O117">
            <v>1</v>
          </cell>
          <cell r="P117">
            <v>46062</v>
          </cell>
          <cell r="Q117">
            <v>5</v>
          </cell>
          <cell r="R117" t="str">
            <v>NA</v>
          </cell>
          <cell r="S117">
            <v>5</v>
          </cell>
        </row>
        <row r="118">
          <cell r="B118" t="str">
            <v>EMMC</v>
          </cell>
          <cell r="C118" t="str">
            <v>HSLB12519</v>
          </cell>
          <cell r="D118">
            <v>112089</v>
          </cell>
          <cell r="E118" t="str">
            <v>Soporte Universal</v>
          </cell>
          <cell r="F118" t="str">
            <v>NO</v>
          </cell>
          <cell r="G118" t="str">
            <v>NO</v>
          </cell>
          <cell r="H118" t="str">
            <v>SALA 1 CAMA</v>
          </cell>
          <cell r="I118">
            <v>1</v>
          </cell>
          <cell r="J118" t="str">
            <v>C.3.4.2.11.8</v>
          </cell>
          <cell r="K118" t="str">
            <v>Hospitalización</v>
          </cell>
          <cell r="L118">
            <v>5</v>
          </cell>
          <cell r="M118">
            <v>46058</v>
          </cell>
          <cell r="N118">
            <v>46059</v>
          </cell>
          <cell r="O118">
            <v>1</v>
          </cell>
          <cell r="P118">
            <v>46062</v>
          </cell>
          <cell r="Q118">
            <v>5</v>
          </cell>
          <cell r="R118" t="str">
            <v>NA</v>
          </cell>
          <cell r="S118">
            <v>5</v>
          </cell>
        </row>
        <row r="119">
          <cell r="B119" t="str">
            <v>EMMC</v>
          </cell>
          <cell r="C119" t="str">
            <v>HSLB12520</v>
          </cell>
          <cell r="D119">
            <v>112089</v>
          </cell>
          <cell r="E119" t="str">
            <v>Soporte Universal</v>
          </cell>
          <cell r="F119" t="str">
            <v>NO</v>
          </cell>
          <cell r="G119" t="str">
            <v>NO</v>
          </cell>
          <cell r="H119" t="str">
            <v>SALA 1 CAMA</v>
          </cell>
          <cell r="I119">
            <v>1</v>
          </cell>
          <cell r="J119" t="str">
            <v>C.3.4.2.11.9</v>
          </cell>
          <cell r="K119" t="str">
            <v>Hospitalización</v>
          </cell>
          <cell r="L119">
            <v>5</v>
          </cell>
          <cell r="M119">
            <v>46058</v>
          </cell>
          <cell r="N119">
            <v>46059</v>
          </cell>
          <cell r="O119">
            <v>1</v>
          </cell>
          <cell r="P119">
            <v>46062</v>
          </cell>
          <cell r="Q119">
            <v>5</v>
          </cell>
          <cell r="R119" t="str">
            <v>NA</v>
          </cell>
          <cell r="S119">
            <v>5</v>
          </cell>
        </row>
        <row r="120">
          <cell r="B120" t="str">
            <v>EMMC</v>
          </cell>
          <cell r="C120" t="str">
            <v>HSLB12560</v>
          </cell>
          <cell r="D120">
            <v>112089</v>
          </cell>
          <cell r="E120" t="str">
            <v>Soporte Universal</v>
          </cell>
          <cell r="F120" t="str">
            <v>NO</v>
          </cell>
          <cell r="G120" t="str">
            <v>NO</v>
          </cell>
          <cell r="H120" t="str">
            <v>SALA 1 CAMA</v>
          </cell>
          <cell r="I120">
            <v>1</v>
          </cell>
          <cell r="J120" t="str">
            <v>C.3.5.15.1</v>
          </cell>
          <cell r="K120" t="str">
            <v>Hospitalización</v>
          </cell>
          <cell r="L120">
            <v>5</v>
          </cell>
          <cell r="M120">
            <v>46058</v>
          </cell>
          <cell r="N120">
            <v>46059</v>
          </cell>
          <cell r="O120">
            <v>1</v>
          </cell>
          <cell r="P120">
            <v>46062</v>
          </cell>
          <cell r="Q120">
            <v>5</v>
          </cell>
          <cell r="R120" t="str">
            <v>NA</v>
          </cell>
          <cell r="S120">
            <v>5</v>
          </cell>
        </row>
        <row r="121">
          <cell r="B121" t="str">
            <v>EMMC</v>
          </cell>
          <cell r="C121" t="str">
            <v>HSLB12561</v>
          </cell>
          <cell r="D121">
            <v>112089</v>
          </cell>
          <cell r="E121" t="str">
            <v>Soporte Universal</v>
          </cell>
          <cell r="F121" t="str">
            <v>NO</v>
          </cell>
          <cell r="G121" t="str">
            <v>NO</v>
          </cell>
          <cell r="H121" t="str">
            <v>SALA 1 CAMA</v>
          </cell>
          <cell r="I121">
            <v>1</v>
          </cell>
          <cell r="J121" t="str">
            <v>C.3.5.15.2</v>
          </cell>
          <cell r="K121" t="str">
            <v>Hospitalización</v>
          </cell>
          <cell r="L121">
            <v>5</v>
          </cell>
          <cell r="M121">
            <v>46058</v>
          </cell>
          <cell r="N121">
            <v>46059</v>
          </cell>
          <cell r="O121">
            <v>1</v>
          </cell>
          <cell r="P121">
            <v>46062</v>
          </cell>
          <cell r="Q121">
            <v>5</v>
          </cell>
          <cell r="R121" t="str">
            <v>NA</v>
          </cell>
          <cell r="S121">
            <v>5</v>
          </cell>
        </row>
        <row r="122">
          <cell r="B122" t="str">
            <v>EMMC</v>
          </cell>
          <cell r="C122" t="str">
            <v>HSLB12562</v>
          </cell>
          <cell r="D122">
            <v>112089</v>
          </cell>
          <cell r="E122" t="str">
            <v>Soporte Universal</v>
          </cell>
          <cell r="F122" t="str">
            <v>NO</v>
          </cell>
          <cell r="G122" t="str">
            <v>NO</v>
          </cell>
          <cell r="H122" t="str">
            <v>SALA 1 CAMA</v>
          </cell>
          <cell r="I122">
            <v>1</v>
          </cell>
          <cell r="J122" t="str">
            <v>C.3.5.15.3</v>
          </cell>
          <cell r="K122" t="str">
            <v>Hospitalización</v>
          </cell>
          <cell r="L122">
            <v>5</v>
          </cell>
          <cell r="M122">
            <v>46058</v>
          </cell>
          <cell r="N122">
            <v>46059</v>
          </cell>
          <cell r="O122">
            <v>1</v>
          </cell>
          <cell r="P122">
            <v>46062</v>
          </cell>
          <cell r="Q122">
            <v>5</v>
          </cell>
          <cell r="R122" t="str">
            <v>NA</v>
          </cell>
          <cell r="S122">
            <v>5</v>
          </cell>
        </row>
        <row r="123">
          <cell r="B123" t="str">
            <v>EMMC</v>
          </cell>
          <cell r="C123" t="str">
            <v>HSLB12563</v>
          </cell>
          <cell r="D123">
            <v>112089</v>
          </cell>
          <cell r="E123" t="str">
            <v>Soporte Universal</v>
          </cell>
          <cell r="F123" t="str">
            <v>NO</v>
          </cell>
          <cell r="G123" t="str">
            <v>NO</v>
          </cell>
          <cell r="H123" t="str">
            <v>SALA 1 CAMA</v>
          </cell>
          <cell r="I123">
            <v>1</v>
          </cell>
          <cell r="J123" t="str">
            <v>C.3.5.15.4</v>
          </cell>
          <cell r="K123" t="str">
            <v>Hospitalización</v>
          </cell>
          <cell r="L123">
            <v>5</v>
          </cell>
          <cell r="M123">
            <v>46058</v>
          </cell>
          <cell r="N123">
            <v>46059</v>
          </cell>
          <cell r="O123">
            <v>1</v>
          </cell>
          <cell r="P123">
            <v>46062</v>
          </cell>
          <cell r="Q123">
            <v>5</v>
          </cell>
          <cell r="R123" t="str">
            <v>NA</v>
          </cell>
          <cell r="S123">
            <v>5</v>
          </cell>
        </row>
        <row r="124">
          <cell r="B124" t="str">
            <v>EMMC</v>
          </cell>
          <cell r="C124" t="str">
            <v>HSLB12564</v>
          </cell>
          <cell r="D124">
            <v>112089</v>
          </cell>
          <cell r="E124" t="str">
            <v>Soporte Universal</v>
          </cell>
          <cell r="F124" t="str">
            <v>NO</v>
          </cell>
          <cell r="G124" t="str">
            <v>NO</v>
          </cell>
          <cell r="H124" t="str">
            <v>SALA 1 CAMA</v>
          </cell>
          <cell r="I124">
            <v>1</v>
          </cell>
          <cell r="J124" t="str">
            <v>C.3.5.15.5</v>
          </cell>
          <cell r="K124" t="str">
            <v>Hospitalización</v>
          </cell>
          <cell r="L124">
            <v>5</v>
          </cell>
          <cell r="M124">
            <v>46058</v>
          </cell>
          <cell r="N124">
            <v>46059</v>
          </cell>
          <cell r="O124">
            <v>1</v>
          </cell>
          <cell r="P124">
            <v>46062</v>
          </cell>
          <cell r="Q124">
            <v>5</v>
          </cell>
          <cell r="R124" t="str">
            <v>NA</v>
          </cell>
          <cell r="S124">
            <v>5</v>
          </cell>
        </row>
        <row r="125">
          <cell r="B125" t="str">
            <v>EMMC</v>
          </cell>
          <cell r="C125" t="str">
            <v>HSLB12565</v>
          </cell>
          <cell r="D125">
            <v>112089</v>
          </cell>
          <cell r="E125" t="str">
            <v>Soporte Universal</v>
          </cell>
          <cell r="F125" t="str">
            <v>NO</v>
          </cell>
          <cell r="G125" t="str">
            <v>SI</v>
          </cell>
          <cell r="H125" t="str">
            <v>SALA 4 CAMAS</v>
          </cell>
          <cell r="I125">
            <v>4</v>
          </cell>
          <cell r="J125" t="str">
            <v>C.3.5.16.1</v>
          </cell>
          <cell r="K125" t="str">
            <v>Hospitalización</v>
          </cell>
          <cell r="L125">
            <v>5</v>
          </cell>
          <cell r="M125">
            <v>46003</v>
          </cell>
          <cell r="N125">
            <v>46006</v>
          </cell>
          <cell r="O125">
            <v>1</v>
          </cell>
          <cell r="P125">
            <v>46007</v>
          </cell>
          <cell r="Q125">
            <v>5</v>
          </cell>
          <cell r="R125" t="str">
            <v>NA</v>
          </cell>
          <cell r="S125">
            <v>5</v>
          </cell>
        </row>
        <row r="126">
          <cell r="B126" t="str">
            <v>EMMC</v>
          </cell>
          <cell r="C126" t="str">
            <v>HSLB12566</v>
          </cell>
          <cell r="D126">
            <v>112089</v>
          </cell>
          <cell r="E126" t="str">
            <v>Soporte Universal</v>
          </cell>
          <cell r="F126" t="str">
            <v>NO</v>
          </cell>
          <cell r="G126" t="str">
            <v>SI</v>
          </cell>
          <cell r="H126" t="str">
            <v>SALA 4 CAMAS</v>
          </cell>
          <cell r="I126">
            <v>4</v>
          </cell>
          <cell r="J126" t="str">
            <v>C.3.5.16.2</v>
          </cell>
          <cell r="K126" t="str">
            <v>Hospitalización</v>
          </cell>
          <cell r="L126">
            <v>5</v>
          </cell>
          <cell r="M126">
            <v>46003</v>
          </cell>
          <cell r="N126">
            <v>46006</v>
          </cell>
          <cell r="O126">
            <v>1</v>
          </cell>
          <cell r="P126">
            <v>46007</v>
          </cell>
          <cell r="Q126">
            <v>5</v>
          </cell>
          <cell r="R126" t="str">
            <v>NA</v>
          </cell>
          <cell r="S126">
            <v>5</v>
          </cell>
        </row>
        <row r="127">
          <cell r="B127" t="str">
            <v>EMMC</v>
          </cell>
          <cell r="C127" t="str">
            <v>HSLB12567</v>
          </cell>
          <cell r="D127">
            <v>112089</v>
          </cell>
          <cell r="E127" t="str">
            <v>Soporte Universal</v>
          </cell>
          <cell r="F127" t="str">
            <v>NO</v>
          </cell>
          <cell r="G127" t="str">
            <v>NO</v>
          </cell>
          <cell r="H127" t="str">
            <v>SALA 1 CAMA AISLAMIENTO (1)</v>
          </cell>
          <cell r="I127">
            <v>1</v>
          </cell>
          <cell r="J127" t="str">
            <v>C.3.5.17.1</v>
          </cell>
          <cell r="K127" t="str">
            <v>Hospitalización</v>
          </cell>
          <cell r="L127">
            <v>5</v>
          </cell>
          <cell r="M127">
            <v>46058</v>
          </cell>
          <cell r="N127">
            <v>46059</v>
          </cell>
          <cell r="O127">
            <v>1</v>
          </cell>
          <cell r="P127">
            <v>46062</v>
          </cell>
          <cell r="Q127">
            <v>5</v>
          </cell>
          <cell r="R127" t="str">
            <v>NA</v>
          </cell>
          <cell r="S127">
            <v>5</v>
          </cell>
        </row>
        <row r="128">
          <cell r="B128" t="str">
            <v>EMMC</v>
          </cell>
          <cell r="C128" t="str">
            <v>HSLB12568</v>
          </cell>
          <cell r="D128">
            <v>112089</v>
          </cell>
          <cell r="E128" t="str">
            <v>Soporte Universal</v>
          </cell>
          <cell r="F128" t="str">
            <v>NO</v>
          </cell>
          <cell r="G128" t="str">
            <v>NO</v>
          </cell>
          <cell r="H128" t="str">
            <v>SALA 1 CAMA AISLAMIENTO (2)</v>
          </cell>
          <cell r="I128">
            <v>1</v>
          </cell>
          <cell r="J128" t="str">
            <v>C.3.5.17.2</v>
          </cell>
          <cell r="K128" t="str">
            <v>Hospitalización</v>
          </cell>
          <cell r="L128">
            <v>5</v>
          </cell>
          <cell r="M128">
            <v>46058</v>
          </cell>
          <cell r="N128">
            <v>46059</v>
          </cell>
          <cell r="O128">
            <v>1</v>
          </cell>
          <cell r="P128">
            <v>46062</v>
          </cell>
          <cell r="Q128">
            <v>5</v>
          </cell>
          <cell r="R128" t="str">
            <v>NA</v>
          </cell>
          <cell r="S128">
            <v>5</v>
          </cell>
        </row>
        <row r="129">
          <cell r="B129" t="str">
            <v>EMMC</v>
          </cell>
          <cell r="C129" t="str">
            <v>HSLB12569</v>
          </cell>
          <cell r="D129">
            <v>112089</v>
          </cell>
          <cell r="E129" t="str">
            <v>Soporte Universal</v>
          </cell>
          <cell r="F129" t="str">
            <v>NO</v>
          </cell>
          <cell r="G129" t="str">
            <v>NO</v>
          </cell>
          <cell r="H129" t="str">
            <v>SALA 1 CAMA AISLAMIENTO (3)</v>
          </cell>
          <cell r="I129">
            <v>1</v>
          </cell>
          <cell r="J129" t="str">
            <v>C.3.5.17.3</v>
          </cell>
          <cell r="K129" t="str">
            <v>Hospitalización</v>
          </cell>
          <cell r="L129">
            <v>5</v>
          </cell>
          <cell r="M129">
            <v>46058</v>
          </cell>
          <cell r="N129">
            <v>46059</v>
          </cell>
          <cell r="O129">
            <v>1</v>
          </cell>
          <cell r="P129">
            <v>46062</v>
          </cell>
          <cell r="Q129">
            <v>5</v>
          </cell>
          <cell r="R129" t="str">
            <v>NA</v>
          </cell>
          <cell r="S129">
            <v>5</v>
          </cell>
        </row>
        <row r="130">
          <cell r="B130" t="str">
            <v>EMMC</v>
          </cell>
          <cell r="C130" t="str">
            <v>HSLB12570</v>
          </cell>
          <cell r="D130">
            <v>112089</v>
          </cell>
          <cell r="E130" t="str">
            <v>Soporte Universal</v>
          </cell>
          <cell r="F130" t="str">
            <v>NO</v>
          </cell>
          <cell r="G130" t="str">
            <v>NO</v>
          </cell>
          <cell r="H130" t="str">
            <v>SALA DE PROCEDIMIENTOS</v>
          </cell>
          <cell r="I130">
            <v>1</v>
          </cell>
          <cell r="J130" t="str">
            <v>C.3.5.18</v>
          </cell>
          <cell r="K130" t="str">
            <v>Hospitalización</v>
          </cell>
          <cell r="L130">
            <v>5</v>
          </cell>
          <cell r="M130">
            <v>46058</v>
          </cell>
          <cell r="N130">
            <v>46059</v>
          </cell>
          <cell r="O130">
            <v>1</v>
          </cell>
          <cell r="P130">
            <v>46062</v>
          </cell>
          <cell r="Q130">
            <v>5</v>
          </cell>
          <cell r="R130" t="str">
            <v>NA</v>
          </cell>
          <cell r="S130">
            <v>5</v>
          </cell>
        </row>
        <row r="131">
          <cell r="B131" t="str">
            <v>EMMC</v>
          </cell>
          <cell r="C131" t="str">
            <v>HSLB12615</v>
          </cell>
          <cell r="D131">
            <v>112092</v>
          </cell>
          <cell r="E131" t="str">
            <v>Velador Clínico</v>
          </cell>
          <cell r="F131" t="str">
            <v>NO</v>
          </cell>
          <cell r="G131" t="str">
            <v>NO</v>
          </cell>
          <cell r="H131" t="str">
            <v>SALA 1 CAMA</v>
          </cell>
          <cell r="I131">
            <v>1</v>
          </cell>
          <cell r="J131" t="str">
            <v>C.3.4.2.11.1</v>
          </cell>
          <cell r="K131" t="str">
            <v>Hospitalización</v>
          </cell>
          <cell r="L131">
            <v>5</v>
          </cell>
          <cell r="M131">
            <v>46058</v>
          </cell>
          <cell r="N131">
            <v>46059</v>
          </cell>
          <cell r="O131">
            <v>1</v>
          </cell>
          <cell r="P131">
            <v>46062</v>
          </cell>
          <cell r="Q131">
            <v>5</v>
          </cell>
          <cell r="R131" t="str">
            <v>NA</v>
          </cell>
          <cell r="S131">
            <v>5</v>
          </cell>
        </row>
        <row r="132">
          <cell r="B132" t="str">
            <v>EMMC</v>
          </cell>
          <cell r="C132" t="str">
            <v>HSLB12616</v>
          </cell>
          <cell r="D132">
            <v>112092</v>
          </cell>
          <cell r="E132" t="str">
            <v>Velador Clínico</v>
          </cell>
          <cell r="F132" t="str">
            <v>NO</v>
          </cell>
          <cell r="G132" t="str">
            <v>NO</v>
          </cell>
          <cell r="H132" t="str">
            <v>SALA 1 CAMA</v>
          </cell>
          <cell r="I132">
            <v>1</v>
          </cell>
          <cell r="J132" t="str">
            <v>C.3.4.2.11.10</v>
          </cell>
          <cell r="K132" t="str">
            <v>Hospitalización</v>
          </cell>
          <cell r="L132">
            <v>5</v>
          </cell>
          <cell r="M132">
            <v>46058</v>
          </cell>
          <cell r="N132">
            <v>46059</v>
          </cell>
          <cell r="O132">
            <v>1</v>
          </cell>
          <cell r="P132">
            <v>46062</v>
          </cell>
          <cell r="Q132">
            <v>5</v>
          </cell>
          <cell r="R132" t="str">
            <v>NA</v>
          </cell>
          <cell r="S132">
            <v>5</v>
          </cell>
        </row>
        <row r="133">
          <cell r="B133" t="str">
            <v>EMMC</v>
          </cell>
          <cell r="C133" t="str">
            <v>HSLB12617</v>
          </cell>
          <cell r="D133">
            <v>112092</v>
          </cell>
          <cell r="E133" t="str">
            <v>Velador Clínico</v>
          </cell>
          <cell r="F133" t="str">
            <v>NO</v>
          </cell>
          <cell r="G133" t="str">
            <v>NO</v>
          </cell>
          <cell r="H133" t="str">
            <v>SALA 1 CAMA</v>
          </cell>
          <cell r="I133">
            <v>1</v>
          </cell>
          <cell r="J133" t="str">
            <v>C.3.4.2.11.11</v>
          </cell>
          <cell r="K133" t="str">
            <v>Hospitalización</v>
          </cell>
          <cell r="L133">
            <v>5</v>
          </cell>
          <cell r="M133">
            <v>46058</v>
          </cell>
          <cell r="N133">
            <v>46059</v>
          </cell>
          <cell r="O133">
            <v>1</v>
          </cell>
          <cell r="P133">
            <v>46062</v>
          </cell>
          <cell r="Q133">
            <v>5</v>
          </cell>
          <cell r="R133" t="str">
            <v>NA</v>
          </cell>
          <cell r="S133">
            <v>5</v>
          </cell>
        </row>
        <row r="134">
          <cell r="B134" t="str">
            <v>EMMC</v>
          </cell>
          <cell r="C134" t="str">
            <v>HSLB12618</v>
          </cell>
          <cell r="D134">
            <v>112092</v>
          </cell>
          <cell r="E134" t="str">
            <v>Velador Clínico</v>
          </cell>
          <cell r="F134" t="str">
            <v>NO</v>
          </cell>
          <cell r="G134" t="str">
            <v>NO</v>
          </cell>
          <cell r="H134" t="str">
            <v>SALA 1 CAMA</v>
          </cell>
          <cell r="I134">
            <v>1</v>
          </cell>
          <cell r="J134" t="str">
            <v>C.3.4.2.11.12</v>
          </cell>
          <cell r="K134" t="str">
            <v>Hospitalización</v>
          </cell>
          <cell r="L134">
            <v>5</v>
          </cell>
          <cell r="M134">
            <v>46058</v>
          </cell>
          <cell r="N134">
            <v>46059</v>
          </cell>
          <cell r="O134">
            <v>1</v>
          </cell>
          <cell r="P134">
            <v>46062</v>
          </cell>
          <cell r="Q134">
            <v>5</v>
          </cell>
          <cell r="R134" t="str">
            <v>NA</v>
          </cell>
          <cell r="S134">
            <v>5</v>
          </cell>
        </row>
        <row r="135">
          <cell r="B135" t="str">
            <v>EMMC</v>
          </cell>
          <cell r="C135" t="str">
            <v>HSLB12619</v>
          </cell>
          <cell r="D135">
            <v>112092</v>
          </cell>
          <cell r="E135" t="str">
            <v>Velador Clínico</v>
          </cell>
          <cell r="F135" t="str">
            <v>NO</v>
          </cell>
          <cell r="G135" t="str">
            <v>NO</v>
          </cell>
          <cell r="H135" t="str">
            <v>SALA 1 CAMA</v>
          </cell>
          <cell r="I135">
            <v>1</v>
          </cell>
          <cell r="J135" t="str">
            <v>C.3.4.2.11.2</v>
          </cell>
          <cell r="K135" t="str">
            <v>Hospitalización</v>
          </cell>
          <cell r="L135">
            <v>5</v>
          </cell>
          <cell r="M135">
            <v>46058</v>
          </cell>
          <cell r="N135">
            <v>46059</v>
          </cell>
          <cell r="O135">
            <v>1</v>
          </cell>
          <cell r="P135">
            <v>46062</v>
          </cell>
          <cell r="Q135">
            <v>5</v>
          </cell>
          <cell r="R135" t="str">
            <v>NA</v>
          </cell>
          <cell r="S135">
            <v>5</v>
          </cell>
        </row>
        <row r="136">
          <cell r="B136" t="str">
            <v>EMMC</v>
          </cell>
          <cell r="C136" t="str">
            <v>HSLB12620</v>
          </cell>
          <cell r="D136">
            <v>112092</v>
          </cell>
          <cell r="E136" t="str">
            <v>Velador Clínico</v>
          </cell>
          <cell r="F136" t="str">
            <v>NO</v>
          </cell>
          <cell r="G136" t="str">
            <v>NO</v>
          </cell>
          <cell r="H136" t="str">
            <v>SALA 1 CAMA</v>
          </cell>
          <cell r="I136">
            <v>1</v>
          </cell>
          <cell r="J136" t="str">
            <v>C.3.4.2.11.3</v>
          </cell>
          <cell r="K136" t="str">
            <v>Hospitalización</v>
          </cell>
          <cell r="L136">
            <v>5</v>
          </cell>
          <cell r="M136">
            <v>46058</v>
          </cell>
          <cell r="N136">
            <v>46059</v>
          </cell>
          <cell r="O136">
            <v>1</v>
          </cell>
          <cell r="P136">
            <v>46062</v>
          </cell>
          <cell r="Q136">
            <v>5</v>
          </cell>
          <cell r="R136" t="str">
            <v>NA</v>
          </cell>
          <cell r="S136">
            <v>5</v>
          </cell>
        </row>
        <row r="137">
          <cell r="B137" t="str">
            <v>EMMC</v>
          </cell>
          <cell r="C137" t="str">
            <v>HSLB12621</v>
          </cell>
          <cell r="D137">
            <v>112092</v>
          </cell>
          <cell r="E137" t="str">
            <v>Velador Clínico</v>
          </cell>
          <cell r="F137" t="str">
            <v>NO</v>
          </cell>
          <cell r="G137" t="str">
            <v>NO</v>
          </cell>
          <cell r="H137" t="str">
            <v>SALA 1 CAMA</v>
          </cell>
          <cell r="I137">
            <v>1</v>
          </cell>
          <cell r="J137" t="str">
            <v>C.3.4.2.11.4</v>
          </cell>
          <cell r="K137" t="str">
            <v>Hospitalización</v>
          </cell>
          <cell r="L137">
            <v>5</v>
          </cell>
          <cell r="M137">
            <v>46058</v>
          </cell>
          <cell r="N137">
            <v>46059</v>
          </cell>
          <cell r="O137">
            <v>1</v>
          </cell>
          <cell r="P137">
            <v>46062</v>
          </cell>
          <cell r="Q137">
            <v>5</v>
          </cell>
          <cell r="R137" t="str">
            <v>NA</v>
          </cell>
          <cell r="S137">
            <v>5</v>
          </cell>
        </row>
        <row r="138">
          <cell r="B138" t="str">
            <v>EMMC</v>
          </cell>
          <cell r="C138" t="str">
            <v>HSLB12622</v>
          </cell>
          <cell r="D138">
            <v>112092</v>
          </cell>
          <cell r="E138" t="str">
            <v>Velador Clínico</v>
          </cell>
          <cell r="F138" t="str">
            <v>NO</v>
          </cell>
          <cell r="G138" t="str">
            <v>NO</v>
          </cell>
          <cell r="H138" t="str">
            <v>SALA 1 CAMA</v>
          </cell>
          <cell r="I138">
            <v>1</v>
          </cell>
          <cell r="J138" t="str">
            <v>C.3.4.2.11.5</v>
          </cell>
          <cell r="K138" t="str">
            <v>Hospitalización</v>
          </cell>
          <cell r="L138">
            <v>5</v>
          </cell>
          <cell r="M138">
            <v>46058</v>
          </cell>
          <cell r="N138">
            <v>46059</v>
          </cell>
          <cell r="O138">
            <v>1</v>
          </cell>
          <cell r="P138">
            <v>46062</v>
          </cell>
          <cell r="Q138">
            <v>5</v>
          </cell>
          <cell r="R138" t="str">
            <v>NA</v>
          </cell>
          <cell r="S138">
            <v>5</v>
          </cell>
        </row>
        <row r="139">
          <cell r="B139" t="str">
            <v>EMMC</v>
          </cell>
          <cell r="C139" t="str">
            <v>HSLB12623</v>
          </cell>
          <cell r="D139">
            <v>112092</v>
          </cell>
          <cell r="E139" t="str">
            <v>Velador Clínico</v>
          </cell>
          <cell r="F139" t="str">
            <v>NO</v>
          </cell>
          <cell r="G139" t="str">
            <v>NO</v>
          </cell>
          <cell r="H139" t="str">
            <v>SALA 1 CAMA</v>
          </cell>
          <cell r="I139">
            <v>1</v>
          </cell>
          <cell r="J139" t="str">
            <v>C.3.4.2.11.6</v>
          </cell>
          <cell r="K139" t="str">
            <v>Hospitalización</v>
          </cell>
          <cell r="L139">
            <v>5</v>
          </cell>
          <cell r="M139">
            <v>46058</v>
          </cell>
          <cell r="N139">
            <v>46059</v>
          </cell>
          <cell r="O139">
            <v>1</v>
          </cell>
          <cell r="P139">
            <v>46062</v>
          </cell>
          <cell r="Q139">
            <v>5</v>
          </cell>
          <cell r="R139" t="str">
            <v>NA</v>
          </cell>
          <cell r="S139">
            <v>5</v>
          </cell>
        </row>
        <row r="140">
          <cell r="B140" t="str">
            <v>EMMC</v>
          </cell>
          <cell r="C140" t="str">
            <v>HSLB12624</v>
          </cell>
          <cell r="D140">
            <v>112092</v>
          </cell>
          <cell r="E140" t="str">
            <v>Velador Clínico</v>
          </cell>
          <cell r="F140" t="str">
            <v>NO</v>
          </cell>
          <cell r="G140" t="str">
            <v>NO</v>
          </cell>
          <cell r="H140" t="str">
            <v>SALA 1 CAMA</v>
          </cell>
          <cell r="I140">
            <v>1</v>
          </cell>
          <cell r="J140" t="str">
            <v>C.3.4.2.11.7</v>
          </cell>
          <cell r="K140" t="str">
            <v>Hospitalización</v>
          </cell>
          <cell r="L140">
            <v>5</v>
          </cell>
          <cell r="M140">
            <v>46058</v>
          </cell>
          <cell r="N140">
            <v>46059</v>
          </cell>
          <cell r="O140">
            <v>1</v>
          </cell>
          <cell r="P140">
            <v>46062</v>
          </cell>
          <cell r="Q140">
            <v>5</v>
          </cell>
          <cell r="R140" t="str">
            <v>NA</v>
          </cell>
          <cell r="S140">
            <v>5</v>
          </cell>
        </row>
        <row r="141">
          <cell r="B141" t="str">
            <v>EMMC</v>
          </cell>
          <cell r="C141" t="str">
            <v>HSLB12625</v>
          </cell>
          <cell r="D141">
            <v>112092</v>
          </cell>
          <cell r="E141" t="str">
            <v>Velador Clínico</v>
          </cell>
          <cell r="F141" t="str">
            <v>NO</v>
          </cell>
          <cell r="G141" t="str">
            <v>NO</v>
          </cell>
          <cell r="H141" t="str">
            <v>SALA 1 CAMA</v>
          </cell>
          <cell r="I141">
            <v>1</v>
          </cell>
          <cell r="J141" t="str">
            <v>C.3.4.2.11.8</v>
          </cell>
          <cell r="K141" t="str">
            <v>Hospitalización</v>
          </cell>
          <cell r="L141">
            <v>5</v>
          </cell>
          <cell r="M141">
            <v>46058</v>
          </cell>
          <cell r="N141">
            <v>46059</v>
          </cell>
          <cell r="O141">
            <v>1</v>
          </cell>
          <cell r="P141">
            <v>46062</v>
          </cell>
          <cell r="Q141">
            <v>5</v>
          </cell>
          <cell r="R141" t="str">
            <v>NA</v>
          </cell>
          <cell r="S141">
            <v>5</v>
          </cell>
        </row>
        <row r="142">
          <cell r="B142" t="str">
            <v>EMMC</v>
          </cell>
          <cell r="C142" t="str">
            <v>HSLB12626</v>
          </cell>
          <cell r="D142">
            <v>112092</v>
          </cell>
          <cell r="E142" t="str">
            <v>Velador Clínico</v>
          </cell>
          <cell r="F142" t="str">
            <v>NO</v>
          </cell>
          <cell r="G142" t="str">
            <v>NO</v>
          </cell>
          <cell r="H142" t="str">
            <v>SALA 1 CAMA</v>
          </cell>
          <cell r="I142">
            <v>1</v>
          </cell>
          <cell r="J142" t="str">
            <v>C.3.4.2.11.9</v>
          </cell>
          <cell r="K142" t="str">
            <v>Hospitalización</v>
          </cell>
          <cell r="L142">
            <v>5</v>
          </cell>
          <cell r="M142">
            <v>46058</v>
          </cell>
          <cell r="N142">
            <v>46059</v>
          </cell>
          <cell r="O142">
            <v>1</v>
          </cell>
          <cell r="P142">
            <v>46062</v>
          </cell>
          <cell r="Q142">
            <v>5</v>
          </cell>
          <cell r="R142" t="str">
            <v>NA</v>
          </cell>
          <cell r="S142">
            <v>5</v>
          </cell>
        </row>
        <row r="143">
          <cell r="B143" t="str">
            <v>EMMC</v>
          </cell>
          <cell r="C143" t="str">
            <v>HSLB12664</v>
          </cell>
          <cell r="D143">
            <v>112092</v>
          </cell>
          <cell r="E143" t="str">
            <v>Velador Clínico</v>
          </cell>
          <cell r="F143" t="str">
            <v>NO</v>
          </cell>
          <cell r="G143" t="str">
            <v>NO</v>
          </cell>
          <cell r="H143" t="str">
            <v>SALA 1 CAMA</v>
          </cell>
          <cell r="I143">
            <v>1</v>
          </cell>
          <cell r="J143" t="str">
            <v>C.3.5.15.1</v>
          </cell>
          <cell r="K143" t="str">
            <v>Hospitalización</v>
          </cell>
          <cell r="L143">
            <v>5</v>
          </cell>
          <cell r="M143">
            <v>46058</v>
          </cell>
          <cell r="N143">
            <v>46059</v>
          </cell>
          <cell r="O143">
            <v>1</v>
          </cell>
          <cell r="P143">
            <v>46062</v>
          </cell>
          <cell r="Q143">
            <v>5</v>
          </cell>
          <cell r="R143" t="str">
            <v>NA</v>
          </cell>
          <cell r="S143">
            <v>5</v>
          </cell>
        </row>
        <row r="144">
          <cell r="B144" t="str">
            <v>EMMC</v>
          </cell>
          <cell r="C144" t="str">
            <v>HSLB12665</v>
          </cell>
          <cell r="D144">
            <v>112092</v>
          </cell>
          <cell r="E144" t="str">
            <v>Velador Clínico</v>
          </cell>
          <cell r="F144" t="str">
            <v>NO</v>
          </cell>
          <cell r="G144" t="str">
            <v>NO</v>
          </cell>
          <cell r="H144" t="str">
            <v>SALA 1 CAMA</v>
          </cell>
          <cell r="I144">
            <v>1</v>
          </cell>
          <cell r="J144" t="str">
            <v>C.3.5.15.2</v>
          </cell>
          <cell r="K144" t="str">
            <v>Hospitalización</v>
          </cell>
          <cell r="L144">
            <v>5</v>
          </cell>
          <cell r="M144">
            <v>46058</v>
          </cell>
          <cell r="N144">
            <v>46059</v>
          </cell>
          <cell r="O144">
            <v>1</v>
          </cell>
          <cell r="P144">
            <v>46062</v>
          </cell>
          <cell r="Q144">
            <v>5</v>
          </cell>
          <cell r="R144" t="str">
            <v>NA</v>
          </cell>
          <cell r="S144">
            <v>5</v>
          </cell>
        </row>
        <row r="145">
          <cell r="B145" t="str">
            <v>EMMC</v>
          </cell>
          <cell r="C145" t="str">
            <v>HSLB12666</v>
          </cell>
          <cell r="D145">
            <v>112092</v>
          </cell>
          <cell r="E145" t="str">
            <v>Velador Clínico</v>
          </cell>
          <cell r="F145" t="str">
            <v>NO</v>
          </cell>
          <cell r="G145" t="str">
            <v>NO</v>
          </cell>
          <cell r="H145" t="str">
            <v>SALA 1 CAMA</v>
          </cell>
          <cell r="I145">
            <v>1</v>
          </cell>
          <cell r="J145" t="str">
            <v>C.3.5.15.3</v>
          </cell>
          <cell r="K145" t="str">
            <v>Hospitalización</v>
          </cell>
          <cell r="L145">
            <v>5</v>
          </cell>
          <cell r="M145">
            <v>46058</v>
          </cell>
          <cell r="N145">
            <v>46059</v>
          </cell>
          <cell r="O145">
            <v>1</v>
          </cell>
          <cell r="P145">
            <v>46062</v>
          </cell>
          <cell r="Q145">
            <v>5</v>
          </cell>
          <cell r="R145" t="str">
            <v>NA</v>
          </cell>
          <cell r="S145">
            <v>5</v>
          </cell>
        </row>
        <row r="146">
          <cell r="B146" t="str">
            <v>EMMC</v>
          </cell>
          <cell r="C146" t="str">
            <v>HSLB12667</v>
          </cell>
          <cell r="D146">
            <v>112092</v>
          </cell>
          <cell r="E146" t="str">
            <v>Velador Clínico</v>
          </cell>
          <cell r="F146" t="str">
            <v>NO</v>
          </cell>
          <cell r="G146" t="str">
            <v>NO</v>
          </cell>
          <cell r="H146" t="str">
            <v>SALA 1 CAMA</v>
          </cell>
          <cell r="I146">
            <v>1</v>
          </cell>
          <cell r="J146" t="str">
            <v>C.3.5.15.4</v>
          </cell>
          <cell r="K146" t="str">
            <v>Hospitalización</v>
          </cell>
          <cell r="L146">
            <v>5</v>
          </cell>
          <cell r="M146">
            <v>46058</v>
          </cell>
          <cell r="N146">
            <v>46059</v>
          </cell>
          <cell r="O146">
            <v>1</v>
          </cell>
          <cell r="P146">
            <v>46062</v>
          </cell>
          <cell r="Q146">
            <v>5</v>
          </cell>
          <cell r="R146" t="str">
            <v>NA</v>
          </cell>
          <cell r="S146">
            <v>5</v>
          </cell>
        </row>
        <row r="147">
          <cell r="B147" t="str">
            <v>EMMC</v>
          </cell>
          <cell r="C147" t="str">
            <v>HSLB12668</v>
          </cell>
          <cell r="D147">
            <v>112092</v>
          </cell>
          <cell r="E147" t="str">
            <v>Velador Clínico</v>
          </cell>
          <cell r="F147" t="str">
            <v>NO</v>
          </cell>
          <cell r="G147" t="str">
            <v>NO</v>
          </cell>
          <cell r="H147" t="str">
            <v>SALA 1 CAMA</v>
          </cell>
          <cell r="I147">
            <v>1</v>
          </cell>
          <cell r="J147" t="str">
            <v>C.3.5.15.5</v>
          </cell>
          <cell r="K147" t="str">
            <v>Hospitalización</v>
          </cell>
          <cell r="L147">
            <v>5</v>
          </cell>
          <cell r="M147">
            <v>46058</v>
          </cell>
          <cell r="N147">
            <v>46059</v>
          </cell>
          <cell r="O147">
            <v>1</v>
          </cell>
          <cell r="P147">
            <v>46062</v>
          </cell>
          <cell r="Q147">
            <v>5</v>
          </cell>
          <cell r="R147" t="str">
            <v>NA</v>
          </cell>
          <cell r="S147">
            <v>5</v>
          </cell>
        </row>
        <row r="148">
          <cell r="B148" t="str">
            <v>EMMC</v>
          </cell>
          <cell r="C148" t="str">
            <v>HSLB12669</v>
          </cell>
          <cell r="D148">
            <v>112092</v>
          </cell>
          <cell r="E148" t="str">
            <v>Velador Clínico</v>
          </cell>
          <cell r="F148" t="str">
            <v>NO</v>
          </cell>
          <cell r="G148" t="str">
            <v>SI</v>
          </cell>
          <cell r="H148" t="str">
            <v>SALA 4 CAMAS</v>
          </cell>
          <cell r="I148">
            <v>4</v>
          </cell>
          <cell r="J148" t="str">
            <v>C.3.5.16.1</v>
          </cell>
          <cell r="K148" t="str">
            <v>Hospitalización</v>
          </cell>
          <cell r="L148">
            <v>5</v>
          </cell>
          <cell r="M148">
            <v>46003</v>
          </cell>
          <cell r="N148">
            <v>46006</v>
          </cell>
          <cell r="O148">
            <v>1</v>
          </cell>
          <cell r="P148">
            <v>46007</v>
          </cell>
          <cell r="Q148">
            <v>5</v>
          </cell>
          <cell r="R148" t="str">
            <v>NA</v>
          </cell>
          <cell r="S148">
            <v>5</v>
          </cell>
        </row>
        <row r="149">
          <cell r="B149" t="str">
            <v>EMMC</v>
          </cell>
          <cell r="C149" t="str">
            <v>HSLB12670</v>
          </cell>
          <cell r="D149">
            <v>112092</v>
          </cell>
          <cell r="E149" t="str">
            <v>Velador Clínico</v>
          </cell>
          <cell r="F149" t="str">
            <v>NO</v>
          </cell>
          <cell r="G149" t="str">
            <v>SI</v>
          </cell>
          <cell r="H149" t="str">
            <v>SALA 4 CAMAS</v>
          </cell>
          <cell r="I149">
            <v>4</v>
          </cell>
          <cell r="J149" t="str">
            <v>C.3.5.16.2</v>
          </cell>
          <cell r="K149" t="str">
            <v>Hospitalización</v>
          </cell>
          <cell r="L149">
            <v>5</v>
          </cell>
          <cell r="M149">
            <v>46003</v>
          </cell>
          <cell r="N149">
            <v>46006</v>
          </cell>
          <cell r="O149">
            <v>1</v>
          </cell>
          <cell r="P149">
            <v>46007</v>
          </cell>
          <cell r="Q149">
            <v>5</v>
          </cell>
          <cell r="R149" t="str">
            <v>NA</v>
          </cell>
          <cell r="S149">
            <v>5</v>
          </cell>
        </row>
        <row r="150">
          <cell r="B150" t="str">
            <v>EMMC</v>
          </cell>
          <cell r="C150" t="str">
            <v>HSLB12671</v>
          </cell>
          <cell r="D150">
            <v>112092</v>
          </cell>
          <cell r="E150" t="str">
            <v>Velador Clínico</v>
          </cell>
          <cell r="F150" t="str">
            <v>NO</v>
          </cell>
          <cell r="G150" t="str">
            <v>NO</v>
          </cell>
          <cell r="H150" t="str">
            <v>SALA 1 CAMA AISLAMIENTO (1)</v>
          </cell>
          <cell r="I150">
            <v>1</v>
          </cell>
          <cell r="J150" t="str">
            <v>C.3.5.17.1</v>
          </cell>
          <cell r="K150" t="str">
            <v>Hospitalización</v>
          </cell>
          <cell r="L150">
            <v>5</v>
          </cell>
          <cell r="M150">
            <v>46058</v>
          </cell>
          <cell r="N150">
            <v>46059</v>
          </cell>
          <cell r="O150">
            <v>1</v>
          </cell>
          <cell r="P150">
            <v>46062</v>
          </cell>
          <cell r="Q150">
            <v>5</v>
          </cell>
          <cell r="R150" t="str">
            <v>NA</v>
          </cell>
          <cell r="S150">
            <v>5</v>
          </cell>
        </row>
        <row r="151">
          <cell r="B151" t="str">
            <v>EMMC</v>
          </cell>
          <cell r="C151" t="str">
            <v>HSLB12672</v>
          </cell>
          <cell r="D151">
            <v>112092</v>
          </cell>
          <cell r="E151" t="str">
            <v>Velador Clínico</v>
          </cell>
          <cell r="F151" t="str">
            <v>NO</v>
          </cell>
          <cell r="G151" t="str">
            <v>NO</v>
          </cell>
          <cell r="H151" t="str">
            <v>SALA 1 CAMA AISLAMIENTO (2)</v>
          </cell>
          <cell r="I151">
            <v>1</v>
          </cell>
          <cell r="J151" t="str">
            <v>C.3.5.17.2</v>
          </cell>
          <cell r="K151" t="str">
            <v>Hospitalización</v>
          </cell>
          <cell r="L151">
            <v>5</v>
          </cell>
          <cell r="M151">
            <v>46058</v>
          </cell>
          <cell r="N151">
            <v>46059</v>
          </cell>
          <cell r="O151">
            <v>1</v>
          </cell>
          <cell r="P151">
            <v>46062</v>
          </cell>
          <cell r="Q151">
            <v>5</v>
          </cell>
          <cell r="R151" t="str">
            <v>NA</v>
          </cell>
          <cell r="S151">
            <v>5</v>
          </cell>
        </row>
        <row r="152">
          <cell r="B152" t="str">
            <v>EMMC</v>
          </cell>
          <cell r="C152" t="str">
            <v>HSLB12673</v>
          </cell>
          <cell r="D152">
            <v>112092</v>
          </cell>
          <cell r="E152" t="str">
            <v>Velador Clínico</v>
          </cell>
          <cell r="F152" t="str">
            <v>NO</v>
          </cell>
          <cell r="G152" t="str">
            <v>NO</v>
          </cell>
          <cell r="H152" t="str">
            <v>SALA 1 CAMA AISLAMIENTO (3)</v>
          </cell>
          <cell r="I152">
            <v>1</v>
          </cell>
          <cell r="J152" t="str">
            <v>C.3.5.17.3</v>
          </cell>
          <cell r="K152" t="str">
            <v>Hospitalización</v>
          </cell>
          <cell r="L152">
            <v>5</v>
          </cell>
          <cell r="M152">
            <v>46058</v>
          </cell>
          <cell r="N152">
            <v>46059</v>
          </cell>
          <cell r="O152">
            <v>1</v>
          </cell>
          <cell r="P152">
            <v>46062</v>
          </cell>
          <cell r="Q152">
            <v>5</v>
          </cell>
          <cell r="R152" t="str">
            <v>NA</v>
          </cell>
          <cell r="S152">
            <v>5</v>
          </cell>
        </row>
        <row r="153">
          <cell r="B153" t="str">
            <v>EMMC</v>
          </cell>
          <cell r="C153" t="str">
            <v>HSLB10711</v>
          </cell>
          <cell r="D153">
            <v>105023</v>
          </cell>
          <cell r="E153" t="str">
            <v>Ventilador Mecánico no Invasivo</v>
          </cell>
          <cell r="F153" t="str">
            <v>NO</v>
          </cell>
          <cell r="G153" t="str">
            <v>NO</v>
          </cell>
          <cell r="H153" t="str">
            <v>ESTACIÓN DE ENFERMERÍA</v>
          </cell>
          <cell r="I153">
            <v>1</v>
          </cell>
          <cell r="J153" t="str">
            <v>C.3.4.2.5</v>
          </cell>
          <cell r="K153" t="str">
            <v>Hospitalización</v>
          </cell>
          <cell r="L153">
            <v>5</v>
          </cell>
          <cell r="M153">
            <v>46058</v>
          </cell>
          <cell r="N153">
            <v>46059</v>
          </cell>
          <cell r="O153">
            <v>1</v>
          </cell>
          <cell r="P153">
            <v>46062</v>
          </cell>
          <cell r="Q153">
            <v>5</v>
          </cell>
          <cell r="R153" t="str">
            <v>NA</v>
          </cell>
          <cell r="S153">
            <v>5</v>
          </cell>
        </row>
        <row r="154">
          <cell r="B154" t="str">
            <v>EMMC</v>
          </cell>
          <cell r="C154" t="str">
            <v>HSLB10714</v>
          </cell>
          <cell r="D154">
            <v>105023</v>
          </cell>
          <cell r="E154" t="str">
            <v>Ventilador Mecánico no Invasivo</v>
          </cell>
          <cell r="F154" t="str">
            <v>NO</v>
          </cell>
          <cell r="G154" t="str">
            <v>NO</v>
          </cell>
          <cell r="H154" t="str">
            <v>ESTACIÓN DE ENFERMERÍA</v>
          </cell>
          <cell r="I154">
            <v>2</v>
          </cell>
          <cell r="J154" t="str">
            <v>C.3.5.11</v>
          </cell>
          <cell r="K154" t="str">
            <v>Hospitalización</v>
          </cell>
          <cell r="L154">
            <v>5</v>
          </cell>
          <cell r="M154">
            <v>46058</v>
          </cell>
          <cell r="N154">
            <v>46059</v>
          </cell>
          <cell r="O154">
            <v>1</v>
          </cell>
          <cell r="P154">
            <v>46062</v>
          </cell>
          <cell r="Q154">
            <v>5</v>
          </cell>
          <cell r="R154" t="str">
            <v>NA</v>
          </cell>
          <cell r="S154">
            <v>5</v>
          </cell>
        </row>
        <row r="155">
          <cell r="B155" t="str">
            <v>EMMC</v>
          </cell>
          <cell r="C155" t="str">
            <v>HSLB12028</v>
          </cell>
          <cell r="D155">
            <v>112051</v>
          </cell>
          <cell r="E155" t="str">
            <v>Cuna Lactante</v>
          </cell>
          <cell r="F155" t="str">
            <v>NO</v>
          </cell>
          <cell r="G155" t="str">
            <v>SI</v>
          </cell>
          <cell r="H155" t="str">
            <v>SALA 4 CAMAS</v>
          </cell>
          <cell r="I155">
            <v>2</v>
          </cell>
          <cell r="J155" t="str">
            <v>C.3.5.16.2</v>
          </cell>
          <cell r="K155" t="str">
            <v>Hospitalización</v>
          </cell>
          <cell r="L155">
            <v>5</v>
          </cell>
          <cell r="M155">
            <v>46003</v>
          </cell>
          <cell r="N155">
            <v>46006</v>
          </cell>
          <cell r="O155">
            <v>1</v>
          </cell>
          <cell r="P155">
            <v>46007</v>
          </cell>
          <cell r="Q155">
            <v>5</v>
          </cell>
          <cell r="R155" t="str">
            <v>NA</v>
          </cell>
          <cell r="S155">
            <v>5</v>
          </cell>
        </row>
        <row r="156">
          <cell r="B156" t="str">
            <v>EMMC</v>
          </cell>
          <cell r="C156" t="str">
            <v>HSLB11821</v>
          </cell>
          <cell r="D156">
            <v>112022</v>
          </cell>
          <cell r="E156" t="str">
            <v>Carro de Paro</v>
          </cell>
          <cell r="F156" t="str">
            <v>NO</v>
          </cell>
          <cell r="G156" t="str">
            <v>NO</v>
          </cell>
          <cell r="H156" t="str">
            <v>ESTACIÓN DE ENFERMERÍA</v>
          </cell>
          <cell r="I156">
            <v>1</v>
          </cell>
          <cell r="J156" t="str">
            <v>C.3.5.11</v>
          </cell>
          <cell r="K156" t="str">
            <v>Hospitalización</v>
          </cell>
          <cell r="L156">
            <v>5</v>
          </cell>
          <cell r="M156">
            <v>46058</v>
          </cell>
          <cell r="N156">
            <v>46059</v>
          </cell>
          <cell r="O156">
            <v>1</v>
          </cell>
          <cell r="P156">
            <v>46062</v>
          </cell>
          <cell r="Q156">
            <v>5</v>
          </cell>
          <cell r="R156" t="str">
            <v>NA</v>
          </cell>
          <cell r="S156">
            <v>5</v>
          </cell>
        </row>
        <row r="157">
          <cell r="B157" t="str">
            <v>EMMC</v>
          </cell>
          <cell r="C157" t="str">
            <v>HSLB10144</v>
          </cell>
          <cell r="D157">
            <v>101037</v>
          </cell>
          <cell r="E157" t="str">
            <v>LÁMPARA DE EXAMEN RODABLE</v>
          </cell>
          <cell r="F157" t="str">
            <v>NO</v>
          </cell>
          <cell r="G157" t="str">
            <v>NO</v>
          </cell>
          <cell r="H157" t="str">
            <v>BODEGA DE EQUIPOS</v>
          </cell>
          <cell r="I157">
            <v>1</v>
          </cell>
          <cell r="J157" t="str">
            <v>C.3.4.2.13</v>
          </cell>
          <cell r="K157" t="str">
            <v>Hospitalización</v>
          </cell>
          <cell r="L157">
            <v>5</v>
          </cell>
          <cell r="M157">
            <v>46058</v>
          </cell>
          <cell r="N157">
            <v>46059</v>
          </cell>
          <cell r="O157">
            <v>1</v>
          </cell>
          <cell r="P157">
            <v>46062</v>
          </cell>
          <cell r="Q157">
            <v>5</v>
          </cell>
          <cell r="R157" t="str">
            <v>NA</v>
          </cell>
          <cell r="S157">
            <v>5</v>
          </cell>
        </row>
        <row r="158">
          <cell r="B158" t="str">
            <v>EMMC</v>
          </cell>
          <cell r="C158" t="str">
            <v>HSLB10148</v>
          </cell>
          <cell r="D158">
            <v>101037</v>
          </cell>
          <cell r="E158" t="str">
            <v>LÁMPARA DE EXAMEN RODABLE</v>
          </cell>
          <cell r="F158" t="str">
            <v>NO</v>
          </cell>
          <cell r="G158" t="str">
            <v>NO</v>
          </cell>
          <cell r="H158" t="str">
            <v>ESTACIÓN DE ENFERMERÍA</v>
          </cell>
          <cell r="I158">
            <v>1</v>
          </cell>
          <cell r="J158" t="str">
            <v>C.3.5.11</v>
          </cell>
          <cell r="K158" t="str">
            <v>Hospitalización</v>
          </cell>
          <cell r="L158">
            <v>5</v>
          </cell>
          <cell r="M158">
            <v>46058</v>
          </cell>
          <cell r="N158">
            <v>46059</v>
          </cell>
          <cell r="O158">
            <v>1</v>
          </cell>
          <cell r="P158">
            <v>46062</v>
          </cell>
          <cell r="Q158">
            <v>5</v>
          </cell>
          <cell r="R158" t="str">
            <v>NA</v>
          </cell>
          <cell r="S158">
            <v>5</v>
          </cell>
        </row>
        <row r="159">
          <cell r="B159" t="str">
            <v>EMMC</v>
          </cell>
          <cell r="C159" t="str">
            <v>HSLB11414</v>
          </cell>
          <cell r="D159">
            <v>110051</v>
          </cell>
          <cell r="E159" t="str">
            <v>Refrigerador Clínico 60 l</v>
          </cell>
          <cell r="F159" t="str">
            <v>NO</v>
          </cell>
          <cell r="G159" t="str">
            <v>NO</v>
          </cell>
          <cell r="H159" t="str">
            <v>AREA LIMPIA</v>
          </cell>
          <cell r="I159">
            <v>1</v>
          </cell>
          <cell r="J159" t="str">
            <v>C.3.4.2.6.1</v>
          </cell>
          <cell r="K159" t="str">
            <v>Hospitalización</v>
          </cell>
          <cell r="L159">
            <v>5</v>
          </cell>
          <cell r="M159">
            <v>46058</v>
          </cell>
          <cell r="N159">
            <v>46059</v>
          </cell>
          <cell r="O159">
            <v>1</v>
          </cell>
          <cell r="P159">
            <v>46062</v>
          </cell>
          <cell r="Q159">
            <v>5</v>
          </cell>
          <cell r="R159" t="str">
            <v>NA</v>
          </cell>
          <cell r="S159">
            <v>5</v>
          </cell>
        </row>
        <row r="160">
          <cell r="B160" t="str">
            <v>EMMC</v>
          </cell>
          <cell r="C160" t="str">
            <v>HSLB11419</v>
          </cell>
          <cell r="D160">
            <v>110051</v>
          </cell>
          <cell r="E160" t="str">
            <v>Refrigerador Clínico 60 l</v>
          </cell>
          <cell r="F160" t="str">
            <v>NO</v>
          </cell>
          <cell r="G160" t="str">
            <v>NO</v>
          </cell>
          <cell r="H160" t="str">
            <v>AREA LIMPIA</v>
          </cell>
          <cell r="I160">
            <v>1</v>
          </cell>
          <cell r="J160" t="str">
            <v>C.3.5.12.1</v>
          </cell>
          <cell r="K160" t="str">
            <v>Hospitalización</v>
          </cell>
          <cell r="L160">
            <v>5</v>
          </cell>
          <cell r="M160">
            <v>46058</v>
          </cell>
          <cell r="N160">
            <v>46059</v>
          </cell>
          <cell r="O160">
            <v>1</v>
          </cell>
          <cell r="P160">
            <v>46062</v>
          </cell>
          <cell r="Q160">
            <v>5</v>
          </cell>
          <cell r="R160" t="str">
            <v>NA</v>
          </cell>
          <cell r="S160">
            <v>5</v>
          </cell>
        </row>
        <row r="161">
          <cell r="B161" t="str">
            <v>EMMC</v>
          </cell>
          <cell r="C161" t="str">
            <v>HSLB10400</v>
          </cell>
          <cell r="D161">
            <v>103048</v>
          </cell>
          <cell r="E161" t="str">
            <v>Refrigerador Doméstico</v>
          </cell>
          <cell r="F161" t="str">
            <v>NO</v>
          </cell>
          <cell r="G161" t="str">
            <v>NO</v>
          </cell>
          <cell r="H161" t="str">
            <v>ESTAR PERSONAL C/ KITCHENETTE</v>
          </cell>
          <cell r="I161">
            <v>1</v>
          </cell>
          <cell r="J161" t="str">
            <v>C.3.4.2.19</v>
          </cell>
          <cell r="K161" t="str">
            <v>Hospitalización</v>
          </cell>
          <cell r="L161">
            <v>5</v>
          </cell>
          <cell r="M161">
            <v>46058</v>
          </cell>
          <cell r="N161">
            <v>46059</v>
          </cell>
          <cell r="O161">
            <v>1</v>
          </cell>
          <cell r="P161">
            <v>46062</v>
          </cell>
          <cell r="Q161">
            <v>5</v>
          </cell>
          <cell r="R161" t="str">
            <v>NA</v>
          </cell>
          <cell r="S161">
            <v>5</v>
          </cell>
        </row>
        <row r="162">
          <cell r="B162" t="str">
            <v>EMMC</v>
          </cell>
          <cell r="C162" t="str">
            <v>HSLB10405</v>
          </cell>
          <cell r="D162">
            <v>103048</v>
          </cell>
          <cell r="E162" t="str">
            <v>Refrigerador Doméstico</v>
          </cell>
          <cell r="F162" t="str">
            <v>NO</v>
          </cell>
          <cell r="G162" t="str">
            <v>NO</v>
          </cell>
          <cell r="H162" t="str">
            <v>ESTAR PERSONAL C/ KITCHENETTE</v>
          </cell>
          <cell r="I162">
            <v>1</v>
          </cell>
          <cell r="J162" t="str">
            <v>C.3.5.31</v>
          </cell>
          <cell r="K162" t="str">
            <v>Hospitalización</v>
          </cell>
          <cell r="L162">
            <v>5</v>
          </cell>
          <cell r="M162">
            <v>46058</v>
          </cell>
          <cell r="N162">
            <v>46059</v>
          </cell>
          <cell r="O162">
            <v>1</v>
          </cell>
          <cell r="P162">
            <v>46062</v>
          </cell>
          <cell r="Q162">
            <v>5</v>
          </cell>
          <cell r="R162" t="str">
            <v>NA</v>
          </cell>
          <cell r="S162">
            <v>5</v>
          </cell>
        </row>
        <row r="163">
          <cell r="B163" t="str">
            <v>EMMC</v>
          </cell>
          <cell r="C163" t="str">
            <v>HSLB11761</v>
          </cell>
          <cell r="D163">
            <v>112019</v>
          </cell>
          <cell r="E163" t="str">
            <v>Carro Aseo Paciente</v>
          </cell>
          <cell r="F163" t="str">
            <v>NO</v>
          </cell>
          <cell r="G163" t="str">
            <v>NO</v>
          </cell>
          <cell r="H163" t="str">
            <v>ESTACIÓN DE ENFERMERÍA</v>
          </cell>
          <cell r="I163">
            <v>1</v>
          </cell>
          <cell r="J163" t="str">
            <v>C.3.4.2.5</v>
          </cell>
          <cell r="K163" t="str">
            <v>Hospitalización</v>
          </cell>
          <cell r="L163">
            <v>5</v>
          </cell>
          <cell r="M163">
            <v>46058</v>
          </cell>
          <cell r="N163">
            <v>46059</v>
          </cell>
          <cell r="O163">
            <v>1</v>
          </cell>
          <cell r="P163">
            <v>46062</v>
          </cell>
          <cell r="Q163">
            <v>5</v>
          </cell>
          <cell r="R163" t="str">
            <v>NA</v>
          </cell>
          <cell r="S163">
            <v>5</v>
          </cell>
        </row>
        <row r="164">
          <cell r="B164" t="str">
            <v>EMMC</v>
          </cell>
          <cell r="C164" t="str">
            <v>HSLB11766</v>
          </cell>
          <cell r="D164">
            <v>112019</v>
          </cell>
          <cell r="E164" t="str">
            <v>Carro Aseo Paciente</v>
          </cell>
          <cell r="F164" t="str">
            <v>NO</v>
          </cell>
          <cell r="G164" t="str">
            <v>NO</v>
          </cell>
          <cell r="H164" t="str">
            <v>ESTACIÓN DE ENFERMERÍA</v>
          </cell>
          <cell r="I164">
            <v>1</v>
          </cell>
          <cell r="J164" t="str">
            <v>C.3.5.11</v>
          </cell>
          <cell r="K164" t="str">
            <v>Hospitalización</v>
          </cell>
          <cell r="L164">
            <v>5</v>
          </cell>
          <cell r="M164">
            <v>46058</v>
          </cell>
          <cell r="N164">
            <v>46059</v>
          </cell>
          <cell r="O164">
            <v>1</v>
          </cell>
          <cell r="P164">
            <v>46062</v>
          </cell>
          <cell r="Q164">
            <v>5</v>
          </cell>
          <cell r="R164" t="str">
            <v>NA</v>
          </cell>
          <cell r="S164">
            <v>5</v>
          </cell>
        </row>
        <row r="165">
          <cell r="B165" t="str">
            <v>EMMC</v>
          </cell>
          <cell r="C165" t="str">
            <v>HSLB11789</v>
          </cell>
          <cell r="D165">
            <v>112021</v>
          </cell>
          <cell r="E165" t="str">
            <v>Carro Curación</v>
          </cell>
          <cell r="F165" t="str">
            <v>NO</v>
          </cell>
          <cell r="G165" t="str">
            <v>NO</v>
          </cell>
          <cell r="H165" t="str">
            <v>ESTACIÓN DE ENFERMERÍA</v>
          </cell>
          <cell r="I165">
            <v>1</v>
          </cell>
          <cell r="J165" t="str">
            <v>C.3.4.2.5</v>
          </cell>
          <cell r="K165" t="str">
            <v>Hospitalización</v>
          </cell>
          <cell r="L165">
            <v>5</v>
          </cell>
          <cell r="M165">
            <v>46058</v>
          </cell>
          <cell r="N165">
            <v>46059</v>
          </cell>
          <cell r="O165">
            <v>1</v>
          </cell>
          <cell r="P165">
            <v>46062</v>
          </cell>
          <cell r="Q165">
            <v>5</v>
          </cell>
          <cell r="R165" t="str">
            <v>NA</v>
          </cell>
          <cell r="S165">
            <v>5</v>
          </cell>
        </row>
        <row r="166">
          <cell r="B166" t="str">
            <v>EMMC</v>
          </cell>
          <cell r="C166" t="str">
            <v>HSLB11794</v>
          </cell>
          <cell r="D166">
            <v>112021</v>
          </cell>
          <cell r="E166" t="str">
            <v>Carro Curación</v>
          </cell>
          <cell r="F166" t="str">
            <v>NO</v>
          </cell>
          <cell r="G166" t="str">
            <v>NO</v>
          </cell>
          <cell r="H166" t="str">
            <v>ESTACIÓN DE ENFERMERÍA</v>
          </cell>
          <cell r="I166">
            <v>1</v>
          </cell>
          <cell r="J166" t="str">
            <v>C.3.5.11</v>
          </cell>
          <cell r="K166" t="str">
            <v>Hospitalización</v>
          </cell>
          <cell r="L166">
            <v>5</v>
          </cell>
          <cell r="M166">
            <v>46058</v>
          </cell>
          <cell r="N166">
            <v>46059</v>
          </cell>
          <cell r="O166">
            <v>1</v>
          </cell>
          <cell r="P166">
            <v>46062</v>
          </cell>
          <cell r="Q166">
            <v>5</v>
          </cell>
          <cell r="R166" t="str">
            <v>NA</v>
          </cell>
          <cell r="S166">
            <v>5</v>
          </cell>
        </row>
        <row r="167">
          <cell r="B167" t="str">
            <v>EMMC</v>
          </cell>
          <cell r="C167" t="str">
            <v>HSLB11845</v>
          </cell>
          <cell r="D167">
            <v>112023</v>
          </cell>
          <cell r="E167" t="str">
            <v>Carro de Procedimientos</v>
          </cell>
          <cell r="F167" t="str">
            <v>NO</v>
          </cell>
          <cell r="G167" t="str">
            <v>NO</v>
          </cell>
          <cell r="H167" t="str">
            <v>SALA DE PROCEDIMIENTOS</v>
          </cell>
          <cell r="I167">
            <v>1</v>
          </cell>
          <cell r="J167" t="str">
            <v>C.3.4.2.10</v>
          </cell>
          <cell r="K167" t="str">
            <v>Hospitalización</v>
          </cell>
          <cell r="L167">
            <v>5</v>
          </cell>
          <cell r="M167">
            <v>46058</v>
          </cell>
          <cell r="N167">
            <v>46059</v>
          </cell>
          <cell r="O167">
            <v>1</v>
          </cell>
          <cell r="P167">
            <v>46062</v>
          </cell>
          <cell r="Q167">
            <v>5</v>
          </cell>
          <cell r="R167" t="str">
            <v>NA</v>
          </cell>
          <cell r="S167">
            <v>5</v>
          </cell>
        </row>
        <row r="168">
          <cell r="B168" t="str">
            <v>EMMC</v>
          </cell>
          <cell r="C168" t="str">
            <v>HSLB11846</v>
          </cell>
          <cell r="D168">
            <v>112023</v>
          </cell>
          <cell r="E168" t="str">
            <v>Carro de Procedimientos</v>
          </cell>
          <cell r="F168" t="str">
            <v>NO</v>
          </cell>
          <cell r="G168" t="str">
            <v>NO</v>
          </cell>
          <cell r="H168" t="str">
            <v>ESTACIÓN DE ENFERMERÍA</v>
          </cell>
          <cell r="I168">
            <v>1</v>
          </cell>
          <cell r="J168" t="str">
            <v>C.3.4.2.5</v>
          </cell>
          <cell r="K168" t="str">
            <v>Hospitalización</v>
          </cell>
          <cell r="L168">
            <v>5</v>
          </cell>
          <cell r="M168">
            <v>46058</v>
          </cell>
          <cell r="N168">
            <v>46059</v>
          </cell>
          <cell r="O168">
            <v>1</v>
          </cell>
          <cell r="P168">
            <v>46062</v>
          </cell>
          <cell r="Q168">
            <v>5</v>
          </cell>
          <cell r="R168" t="str">
            <v>NA</v>
          </cell>
          <cell r="S168">
            <v>5</v>
          </cell>
        </row>
        <row r="169">
          <cell r="B169" t="str">
            <v>EMMC</v>
          </cell>
          <cell r="C169" t="str">
            <v>HSLB11853</v>
          </cell>
          <cell r="D169">
            <v>112023</v>
          </cell>
          <cell r="E169" t="str">
            <v>Carro de Procedimientos</v>
          </cell>
          <cell r="F169" t="str">
            <v>NO</v>
          </cell>
          <cell r="G169" t="str">
            <v>NO</v>
          </cell>
          <cell r="H169" t="str">
            <v>ESTACIÓN DE ENFERMERÍA</v>
          </cell>
          <cell r="I169">
            <v>1</v>
          </cell>
          <cell r="J169" t="str">
            <v>C.3.5.11</v>
          </cell>
          <cell r="K169" t="str">
            <v>Hospitalización</v>
          </cell>
          <cell r="L169">
            <v>5</v>
          </cell>
          <cell r="M169">
            <v>46058</v>
          </cell>
          <cell r="N169">
            <v>46059</v>
          </cell>
          <cell r="O169">
            <v>1</v>
          </cell>
          <cell r="P169">
            <v>46062</v>
          </cell>
          <cell r="Q169">
            <v>5</v>
          </cell>
          <cell r="R169" t="str">
            <v>NA</v>
          </cell>
          <cell r="S169">
            <v>5</v>
          </cell>
        </row>
        <row r="170">
          <cell r="B170" t="str">
            <v>EMMC</v>
          </cell>
          <cell r="C170" t="str">
            <v>HSLB11854</v>
          </cell>
          <cell r="D170">
            <v>112023</v>
          </cell>
          <cell r="E170" t="str">
            <v>Carro de Procedimientos</v>
          </cell>
          <cell r="F170" t="str">
            <v>NO</v>
          </cell>
          <cell r="G170" t="str">
            <v>NO</v>
          </cell>
          <cell r="H170" t="str">
            <v>SALA DE PROCEDIMIENTOS</v>
          </cell>
          <cell r="I170">
            <v>1</v>
          </cell>
          <cell r="J170" t="str">
            <v>C.3.5.18</v>
          </cell>
          <cell r="K170" t="str">
            <v>Hospitalización</v>
          </cell>
          <cell r="L170">
            <v>5</v>
          </cell>
          <cell r="M170">
            <v>46058</v>
          </cell>
          <cell r="N170">
            <v>46059</v>
          </cell>
          <cell r="O170">
            <v>1</v>
          </cell>
          <cell r="P170">
            <v>46062</v>
          </cell>
          <cell r="Q170">
            <v>5</v>
          </cell>
          <cell r="R170" t="str">
            <v>NA</v>
          </cell>
          <cell r="S170">
            <v>5</v>
          </cell>
        </row>
        <row r="171">
          <cell r="B171" t="str">
            <v>EMMC</v>
          </cell>
          <cell r="C171" t="str">
            <v>HSLB11876</v>
          </cell>
          <cell r="D171">
            <v>112024</v>
          </cell>
          <cell r="E171" t="str">
            <v>Carro Dosis Unitaria 1x12</v>
          </cell>
          <cell r="F171" t="str">
            <v>NO</v>
          </cell>
          <cell r="G171" t="str">
            <v>NO</v>
          </cell>
          <cell r="H171" t="str">
            <v>ESTACIÓN DE ENFERMERÍA</v>
          </cell>
          <cell r="I171">
            <v>1</v>
          </cell>
          <cell r="J171" t="str">
            <v>C.3.4.2.5</v>
          </cell>
          <cell r="K171" t="str">
            <v>Hospitalización</v>
          </cell>
          <cell r="L171">
            <v>5</v>
          </cell>
          <cell r="M171">
            <v>46058</v>
          </cell>
          <cell r="N171">
            <v>46059</v>
          </cell>
          <cell r="O171">
            <v>1</v>
          </cell>
          <cell r="P171">
            <v>46062</v>
          </cell>
          <cell r="Q171">
            <v>5</v>
          </cell>
          <cell r="R171" t="str">
            <v>NA</v>
          </cell>
          <cell r="S171">
            <v>5</v>
          </cell>
        </row>
        <row r="172">
          <cell r="B172" t="str">
            <v>EMMC</v>
          </cell>
          <cell r="C172" t="str">
            <v>HSLB11880</v>
          </cell>
          <cell r="D172">
            <v>112026</v>
          </cell>
          <cell r="E172" t="str">
            <v>Carro Dosis Unitaria 2x12</v>
          </cell>
          <cell r="F172" t="str">
            <v>NO</v>
          </cell>
          <cell r="G172" t="str">
            <v>NO</v>
          </cell>
          <cell r="H172" t="str">
            <v>ESTACIÓN DE ENFERMERÍA</v>
          </cell>
          <cell r="I172">
            <v>1</v>
          </cell>
          <cell r="J172" t="str">
            <v>C.3.4.4.8.2</v>
          </cell>
          <cell r="K172" t="str">
            <v>Hospitalización</v>
          </cell>
          <cell r="L172">
            <v>5</v>
          </cell>
          <cell r="M172">
            <v>46058</v>
          </cell>
          <cell r="N172">
            <v>46059</v>
          </cell>
          <cell r="O172">
            <v>1</v>
          </cell>
          <cell r="P172">
            <v>46062</v>
          </cell>
          <cell r="Q172">
            <v>5</v>
          </cell>
          <cell r="R172" t="str">
            <v>NA</v>
          </cell>
          <cell r="S172">
            <v>5</v>
          </cell>
        </row>
        <row r="173">
          <cell r="B173" t="str">
            <v>EMMC</v>
          </cell>
          <cell r="C173" t="str">
            <v>HSLB11883</v>
          </cell>
          <cell r="D173">
            <v>112028</v>
          </cell>
          <cell r="E173" t="str">
            <v>Carro Dosis Unitaria 2x9</v>
          </cell>
          <cell r="F173" t="str">
            <v>NO</v>
          </cell>
          <cell r="G173" t="str">
            <v>NO</v>
          </cell>
          <cell r="H173" t="str">
            <v>ESTACIÓN DE ENFERMERÍA</v>
          </cell>
          <cell r="I173">
            <v>1</v>
          </cell>
          <cell r="J173" t="str">
            <v>C.3.5.11</v>
          </cell>
          <cell r="K173" t="str">
            <v>Hospitalización</v>
          </cell>
          <cell r="L173">
            <v>5</v>
          </cell>
          <cell r="M173">
            <v>46058</v>
          </cell>
          <cell r="N173">
            <v>46059</v>
          </cell>
          <cell r="O173">
            <v>1</v>
          </cell>
          <cell r="P173">
            <v>46062</v>
          </cell>
          <cell r="Q173">
            <v>5</v>
          </cell>
          <cell r="R173" t="str">
            <v>NA</v>
          </cell>
          <cell r="S173">
            <v>5</v>
          </cell>
        </row>
        <row r="174">
          <cell r="B174" t="str">
            <v>EMMC</v>
          </cell>
          <cell r="C174" t="str">
            <v>HSLB11911</v>
          </cell>
          <cell r="D174">
            <v>112039</v>
          </cell>
          <cell r="E174" t="str">
            <v>Carro Transporte Ropa Sucia Tipo I</v>
          </cell>
          <cell r="F174" t="str">
            <v>NO</v>
          </cell>
          <cell r="G174" t="str">
            <v>NO</v>
          </cell>
          <cell r="H174" t="str">
            <v>BODEGA ROPA SUCIA</v>
          </cell>
          <cell r="I174">
            <v>1</v>
          </cell>
          <cell r="J174" t="str">
            <v>C.3.4.2.15</v>
          </cell>
          <cell r="K174" t="str">
            <v>Hospitalización</v>
          </cell>
          <cell r="L174">
            <v>5</v>
          </cell>
          <cell r="M174">
            <v>46058</v>
          </cell>
          <cell r="N174">
            <v>46059</v>
          </cell>
          <cell r="O174">
            <v>1</v>
          </cell>
          <cell r="P174">
            <v>46062</v>
          </cell>
          <cell r="Q174">
            <v>5</v>
          </cell>
          <cell r="R174" t="str">
            <v>NA</v>
          </cell>
          <cell r="S174">
            <v>5</v>
          </cell>
        </row>
        <row r="175">
          <cell r="B175" t="str">
            <v>EMMC</v>
          </cell>
          <cell r="C175" t="str">
            <v>HSLB11916</v>
          </cell>
          <cell r="D175">
            <v>112039</v>
          </cell>
          <cell r="E175" t="str">
            <v>Carro Transporte Ropa Sucia Tipo I</v>
          </cell>
          <cell r="F175" t="str">
            <v>NO</v>
          </cell>
          <cell r="G175" t="str">
            <v>NO</v>
          </cell>
          <cell r="H175" t="str">
            <v>BODEGA ROPA SUCIA</v>
          </cell>
          <cell r="I175">
            <v>1</v>
          </cell>
          <cell r="J175" t="str">
            <v>C.3.5.23</v>
          </cell>
          <cell r="K175" t="str">
            <v>Hospitalización</v>
          </cell>
          <cell r="L175">
            <v>5</v>
          </cell>
          <cell r="M175">
            <v>46058</v>
          </cell>
          <cell r="N175">
            <v>46059</v>
          </cell>
          <cell r="O175">
            <v>1</v>
          </cell>
          <cell r="P175">
            <v>46062</v>
          </cell>
          <cell r="Q175">
            <v>5</v>
          </cell>
          <cell r="R175" t="str">
            <v>NA</v>
          </cell>
          <cell r="S175">
            <v>5</v>
          </cell>
        </row>
        <row r="176">
          <cell r="B176" t="str">
            <v>EMMC</v>
          </cell>
          <cell r="C176" t="str">
            <v>HSLB12437</v>
          </cell>
          <cell r="D176">
            <v>112071</v>
          </cell>
          <cell r="E176" t="str">
            <v>Rodillo Transferencia</v>
          </cell>
          <cell r="F176" t="str">
            <v>NO</v>
          </cell>
          <cell r="G176" t="str">
            <v>NO</v>
          </cell>
          <cell r="H176" t="str">
            <v>ESTACIÓN DE ENFERMERÍA</v>
          </cell>
          <cell r="I176">
            <v>1</v>
          </cell>
          <cell r="J176" t="str">
            <v>C.3.5.11</v>
          </cell>
          <cell r="K176" t="str">
            <v>Hospitalización</v>
          </cell>
          <cell r="L176">
            <v>5</v>
          </cell>
          <cell r="M176">
            <v>46058</v>
          </cell>
          <cell r="N176">
            <v>46059</v>
          </cell>
          <cell r="O176">
            <v>1</v>
          </cell>
          <cell r="P176">
            <v>46062</v>
          </cell>
          <cell r="Q176">
            <v>5</v>
          </cell>
          <cell r="R176" t="str">
            <v>NA</v>
          </cell>
          <cell r="S176">
            <v>5</v>
          </cell>
        </row>
        <row r="177">
          <cell r="B177" t="str">
            <v>EMMC</v>
          </cell>
          <cell r="C177" t="str">
            <v>HSLB11093</v>
          </cell>
          <cell r="D177">
            <v>106021</v>
          </cell>
          <cell r="E177" t="str">
            <v>Telón</v>
          </cell>
          <cell r="F177" t="str">
            <v>NO</v>
          </cell>
          <cell r="G177" t="str">
            <v>NO</v>
          </cell>
          <cell r="H177" t="str">
            <v>SALA MULTIUSO</v>
          </cell>
          <cell r="I177">
            <v>1</v>
          </cell>
          <cell r="J177" t="str">
            <v>C.3.4.2.9</v>
          </cell>
          <cell r="K177" t="str">
            <v>Hospitalización</v>
          </cell>
          <cell r="L177">
            <v>5</v>
          </cell>
          <cell r="M177">
            <v>46058</v>
          </cell>
          <cell r="N177">
            <v>46059</v>
          </cell>
          <cell r="O177">
            <v>1</v>
          </cell>
          <cell r="P177">
            <v>46062</v>
          </cell>
          <cell r="Q177">
            <v>5</v>
          </cell>
          <cell r="R177" t="str">
            <v>NA</v>
          </cell>
          <cell r="S177">
            <v>5</v>
          </cell>
        </row>
        <row r="178">
          <cell r="B178" t="str">
            <v>EMMC</v>
          </cell>
          <cell r="C178" t="str">
            <v>HSLB11094</v>
          </cell>
          <cell r="D178">
            <v>106021</v>
          </cell>
          <cell r="E178" t="str">
            <v>Telón</v>
          </cell>
          <cell r="F178" t="str">
            <v>NO</v>
          </cell>
          <cell r="G178" t="str">
            <v>NO</v>
          </cell>
          <cell r="H178" t="str">
            <v>AULA HOSPITALARIA</v>
          </cell>
          <cell r="I178">
            <v>1</v>
          </cell>
          <cell r="J178" t="str">
            <v>C.3.5.34</v>
          </cell>
          <cell r="K178" t="str">
            <v>Hospitalización</v>
          </cell>
          <cell r="L178">
            <v>5</v>
          </cell>
          <cell r="M178">
            <v>46058</v>
          </cell>
          <cell r="N178">
            <v>46059</v>
          </cell>
          <cell r="O178">
            <v>1</v>
          </cell>
          <cell r="P178">
            <v>46062</v>
          </cell>
          <cell r="Q178">
            <v>5</v>
          </cell>
          <cell r="R178" t="str">
            <v>NA</v>
          </cell>
          <cell r="S178">
            <v>5</v>
          </cell>
        </row>
        <row r="179">
          <cell r="B179" t="str">
            <v>EMMC</v>
          </cell>
          <cell r="C179" t="str">
            <v>HSLB10637</v>
          </cell>
          <cell r="D179">
            <v>105004</v>
          </cell>
          <cell r="E179" t="str">
            <v>Calentador de Paciente</v>
          </cell>
          <cell r="F179" t="str">
            <v>NO</v>
          </cell>
          <cell r="G179" t="str">
            <v>NO</v>
          </cell>
          <cell r="H179" t="str">
            <v>ESTACIÓN DE ENFERMERÍA</v>
          </cell>
          <cell r="I179">
            <v>8</v>
          </cell>
          <cell r="J179" t="str">
            <v>C.3.5.11</v>
          </cell>
          <cell r="K179" t="str">
            <v>Hospitalización</v>
          </cell>
          <cell r="L179">
            <v>5</v>
          </cell>
          <cell r="M179">
            <v>46058</v>
          </cell>
          <cell r="N179">
            <v>46059</v>
          </cell>
          <cell r="O179">
            <v>1</v>
          </cell>
          <cell r="P179">
            <v>46062</v>
          </cell>
          <cell r="Q179">
            <v>5</v>
          </cell>
          <cell r="R179" t="str">
            <v>NA</v>
          </cell>
          <cell r="S179">
            <v>5</v>
          </cell>
        </row>
        <row r="180">
          <cell r="B180" t="str">
            <v>EMMC</v>
          </cell>
          <cell r="C180" t="str">
            <v>HSLB10671</v>
          </cell>
          <cell r="D180">
            <v>105011</v>
          </cell>
          <cell r="E180" t="str">
            <v>Generador de Alto Flujo</v>
          </cell>
          <cell r="F180" t="str">
            <v>NO</v>
          </cell>
          <cell r="G180" t="str">
            <v>NO</v>
          </cell>
          <cell r="H180" t="str">
            <v>BODEGA DE EQUIPOS Y CUNAS</v>
          </cell>
          <cell r="I180">
            <v>4</v>
          </cell>
          <cell r="J180" t="str">
            <v>C.3.5.26</v>
          </cell>
          <cell r="K180" t="str">
            <v>Hospitalización</v>
          </cell>
          <cell r="L180">
            <v>5</v>
          </cell>
          <cell r="M180">
            <v>46058</v>
          </cell>
          <cell r="N180">
            <v>46059</v>
          </cell>
          <cell r="O180">
            <v>1</v>
          </cell>
          <cell r="P180">
            <v>46062</v>
          </cell>
          <cell r="Q180">
            <v>5</v>
          </cell>
          <cell r="R180" t="str">
            <v>NA</v>
          </cell>
          <cell r="S180">
            <v>5</v>
          </cell>
        </row>
        <row r="181">
          <cell r="B181" t="str">
            <v>EMMC</v>
          </cell>
          <cell r="C181" t="str">
            <v>HSLB12029</v>
          </cell>
          <cell r="D181">
            <v>112051</v>
          </cell>
          <cell r="E181" t="str">
            <v>Cuna Lactante</v>
          </cell>
          <cell r="F181" t="str">
            <v>NO</v>
          </cell>
          <cell r="G181" t="str">
            <v>NO</v>
          </cell>
          <cell r="H181" t="str">
            <v>BODEGA DE EQUIPOS Y CUNAS</v>
          </cell>
          <cell r="I181">
            <v>3</v>
          </cell>
          <cell r="J181" t="str">
            <v>C.3.5.26</v>
          </cell>
          <cell r="K181" t="str">
            <v>Hospitalización</v>
          </cell>
          <cell r="L181">
            <v>5</v>
          </cell>
          <cell r="M181">
            <v>46058</v>
          </cell>
          <cell r="N181">
            <v>46059</v>
          </cell>
          <cell r="O181">
            <v>1</v>
          </cell>
          <cell r="P181">
            <v>46062</v>
          </cell>
          <cell r="Q181">
            <v>5</v>
          </cell>
          <cell r="R181" t="str">
            <v>NA</v>
          </cell>
          <cell r="S181">
            <v>5</v>
          </cell>
        </row>
        <row r="182">
          <cell r="B182" t="str">
            <v>EMMC</v>
          </cell>
          <cell r="C182" t="str">
            <v>HSLB10074</v>
          </cell>
          <cell r="D182">
            <v>101023</v>
          </cell>
          <cell r="E182" t="str">
            <v>DETECTOR DE LATIDOS CARDIOFETALES</v>
          </cell>
          <cell r="F182" t="str">
            <v>NO</v>
          </cell>
          <cell r="G182" t="str">
            <v>NO</v>
          </cell>
          <cell r="H182" t="str">
            <v>ESTACIÓN DE ENFERMERÍA</v>
          </cell>
          <cell r="I182">
            <v>2</v>
          </cell>
          <cell r="J182" t="str">
            <v>C.3.4.2.5</v>
          </cell>
          <cell r="K182" t="str">
            <v>Hospitalización</v>
          </cell>
          <cell r="L182">
            <v>5</v>
          </cell>
          <cell r="M182">
            <v>46058</v>
          </cell>
          <cell r="N182">
            <v>46059</v>
          </cell>
          <cell r="O182">
            <v>1</v>
          </cell>
          <cell r="P182">
            <v>46062</v>
          </cell>
          <cell r="Q182">
            <v>5</v>
          </cell>
          <cell r="R182" t="str">
            <v>NA</v>
          </cell>
          <cell r="S182">
            <v>5</v>
          </cell>
        </row>
        <row r="183">
          <cell r="B183" t="str">
            <v>EMMC</v>
          </cell>
          <cell r="C183" t="str">
            <v>HSLB10017</v>
          </cell>
          <cell r="D183">
            <v>101005</v>
          </cell>
          <cell r="E183" t="str">
            <v>Balanza Adulto con Tallímetro</v>
          </cell>
          <cell r="F183" t="str">
            <v>NO</v>
          </cell>
          <cell r="G183" t="str">
            <v>NO</v>
          </cell>
          <cell r="H183" t="str">
            <v>SALA DE PROCEDIMIENTOS</v>
          </cell>
          <cell r="I183">
            <v>1</v>
          </cell>
          <cell r="J183" t="str">
            <v>C.3.4.2.10</v>
          </cell>
          <cell r="K183" t="str">
            <v>Hospitalización</v>
          </cell>
          <cell r="L183">
            <v>5</v>
          </cell>
          <cell r="M183">
            <v>46058</v>
          </cell>
          <cell r="N183">
            <v>46059</v>
          </cell>
          <cell r="O183">
            <v>1</v>
          </cell>
          <cell r="P183">
            <v>46062</v>
          </cell>
          <cell r="Q183">
            <v>5</v>
          </cell>
          <cell r="R183" t="str">
            <v>NA</v>
          </cell>
          <cell r="S183">
            <v>5</v>
          </cell>
        </row>
        <row r="184">
          <cell r="B184" t="str">
            <v>EMMC</v>
          </cell>
          <cell r="C184" t="str">
            <v>HSLB10020</v>
          </cell>
          <cell r="D184">
            <v>101005</v>
          </cell>
          <cell r="E184" t="str">
            <v>Balanza Adulto con Tallímetro</v>
          </cell>
          <cell r="F184" t="str">
            <v>NO</v>
          </cell>
          <cell r="G184" t="str">
            <v>NO</v>
          </cell>
          <cell r="H184" t="str">
            <v>ESTACIÓN DE ENFERMERÍA</v>
          </cell>
          <cell r="I184">
            <v>1</v>
          </cell>
          <cell r="J184" t="str">
            <v>C.3.5.11</v>
          </cell>
          <cell r="K184" t="str">
            <v>Hospitalización</v>
          </cell>
          <cell r="L184">
            <v>5</v>
          </cell>
          <cell r="M184">
            <v>46058</v>
          </cell>
          <cell r="N184">
            <v>46059</v>
          </cell>
          <cell r="O184">
            <v>1</v>
          </cell>
          <cell r="P184">
            <v>46062</v>
          </cell>
          <cell r="Q184">
            <v>5</v>
          </cell>
          <cell r="R184" t="str">
            <v>NA</v>
          </cell>
          <cell r="S184">
            <v>5</v>
          </cell>
        </row>
        <row r="185">
          <cell r="B185" t="str">
            <v>EMMC</v>
          </cell>
          <cell r="C185" t="str">
            <v>HSLB10038</v>
          </cell>
          <cell r="D185">
            <v>101009</v>
          </cell>
          <cell r="E185" t="str">
            <v>Balanza Lactante con Cartabón</v>
          </cell>
          <cell r="F185" t="str">
            <v>NO</v>
          </cell>
          <cell r="G185" t="str">
            <v>NO</v>
          </cell>
          <cell r="H185" t="str">
            <v>SALA DE PROCEDIMIENTOS</v>
          </cell>
          <cell r="I185">
            <v>1</v>
          </cell>
          <cell r="J185" t="str">
            <v>C.3.4.2.10</v>
          </cell>
          <cell r="K185" t="str">
            <v>Hospitalización</v>
          </cell>
          <cell r="L185">
            <v>5</v>
          </cell>
          <cell r="M185">
            <v>46058</v>
          </cell>
          <cell r="N185">
            <v>46059</v>
          </cell>
          <cell r="O185">
            <v>1</v>
          </cell>
          <cell r="P185">
            <v>46062</v>
          </cell>
          <cell r="Q185">
            <v>5</v>
          </cell>
          <cell r="R185" t="str">
            <v>NA</v>
          </cell>
          <cell r="S185">
            <v>5</v>
          </cell>
        </row>
        <row r="186">
          <cell r="B186" t="str">
            <v>EMMC</v>
          </cell>
          <cell r="C186" t="str">
            <v>HSLB10039</v>
          </cell>
          <cell r="D186">
            <v>101009</v>
          </cell>
          <cell r="E186" t="str">
            <v>Balanza Lactante con Cartabón</v>
          </cell>
          <cell r="F186" t="str">
            <v>NO</v>
          </cell>
          <cell r="G186" t="str">
            <v>NO</v>
          </cell>
          <cell r="H186" t="str">
            <v>ESTACIÓN DE ENFERMERÍA</v>
          </cell>
          <cell r="I186">
            <v>1</v>
          </cell>
          <cell r="J186" t="str">
            <v>C.3.5.11</v>
          </cell>
          <cell r="K186" t="str">
            <v>Hospitalización</v>
          </cell>
          <cell r="L186">
            <v>5</v>
          </cell>
          <cell r="M186">
            <v>46058</v>
          </cell>
          <cell r="N186">
            <v>46059</v>
          </cell>
          <cell r="O186">
            <v>1</v>
          </cell>
          <cell r="P186">
            <v>46062</v>
          </cell>
          <cell r="Q186">
            <v>5</v>
          </cell>
          <cell r="R186" t="str">
            <v>NA</v>
          </cell>
          <cell r="S186">
            <v>5</v>
          </cell>
        </row>
        <row r="187">
          <cell r="B187" t="str">
            <v>EMMC</v>
          </cell>
          <cell r="C187" t="str">
            <v>HSLB10467</v>
          </cell>
          <cell r="D187">
            <v>104002</v>
          </cell>
          <cell r="E187" t="str">
            <v>BOMBA ASPIRACIÓN UNIVERSAL</v>
          </cell>
          <cell r="F187" t="str">
            <v>NO</v>
          </cell>
          <cell r="G187" t="str">
            <v>NO</v>
          </cell>
          <cell r="H187" t="str">
            <v>ESTACIÓN DE ENFERMERÍA</v>
          </cell>
          <cell r="I187">
            <v>1</v>
          </cell>
          <cell r="J187" t="str">
            <v>C.3.4.2.5</v>
          </cell>
          <cell r="K187" t="str">
            <v>Hospitalización</v>
          </cell>
          <cell r="L187">
            <v>5</v>
          </cell>
          <cell r="M187">
            <v>46058</v>
          </cell>
          <cell r="N187">
            <v>46059</v>
          </cell>
          <cell r="O187">
            <v>1</v>
          </cell>
          <cell r="P187">
            <v>46062</v>
          </cell>
          <cell r="Q187">
            <v>5</v>
          </cell>
          <cell r="R187" t="str">
            <v>NA</v>
          </cell>
          <cell r="S187">
            <v>5</v>
          </cell>
        </row>
        <row r="188">
          <cell r="B188" t="str">
            <v>EMMC</v>
          </cell>
          <cell r="C188" t="str">
            <v>HSLB10472</v>
          </cell>
          <cell r="D188">
            <v>104002</v>
          </cell>
          <cell r="E188" t="str">
            <v>BOMBA ASPIRACIÓN UNIVERSAL</v>
          </cell>
          <cell r="F188" t="str">
            <v>NO</v>
          </cell>
          <cell r="G188" t="str">
            <v>NO</v>
          </cell>
          <cell r="H188" t="str">
            <v>ESTACIÓN DE ENFERMERÍA</v>
          </cell>
          <cell r="I188">
            <v>1</v>
          </cell>
          <cell r="J188" t="str">
            <v>C.3.5.11</v>
          </cell>
          <cell r="K188" t="str">
            <v>Hospitalización</v>
          </cell>
          <cell r="L188">
            <v>5</v>
          </cell>
          <cell r="M188">
            <v>46058</v>
          </cell>
          <cell r="N188">
            <v>46059</v>
          </cell>
          <cell r="O188">
            <v>1</v>
          </cell>
          <cell r="P188">
            <v>46062</v>
          </cell>
          <cell r="Q188">
            <v>5</v>
          </cell>
          <cell r="R188" t="str">
            <v>NA</v>
          </cell>
          <cell r="S188">
            <v>5</v>
          </cell>
        </row>
        <row r="189">
          <cell r="B189" t="str">
            <v>EMMC</v>
          </cell>
          <cell r="C189" t="str">
            <v>HSLB10634</v>
          </cell>
          <cell r="D189">
            <v>105004</v>
          </cell>
          <cell r="E189" t="str">
            <v>Calentador de Paciente</v>
          </cell>
          <cell r="F189" t="str">
            <v>NO</v>
          </cell>
          <cell r="G189" t="str">
            <v>NO</v>
          </cell>
          <cell r="H189" t="str">
            <v>BODEGA DE EQUIPOS</v>
          </cell>
          <cell r="I189">
            <v>1</v>
          </cell>
          <cell r="J189" t="str">
            <v>C.3.4.2.13</v>
          </cell>
          <cell r="K189" t="str">
            <v>Hospitalización</v>
          </cell>
          <cell r="L189">
            <v>5</v>
          </cell>
          <cell r="M189">
            <v>46058</v>
          </cell>
          <cell r="N189">
            <v>46059</v>
          </cell>
          <cell r="O189">
            <v>1</v>
          </cell>
          <cell r="P189">
            <v>46062</v>
          </cell>
          <cell r="Q189">
            <v>5</v>
          </cell>
          <cell r="R189" t="str">
            <v>NA</v>
          </cell>
          <cell r="S189">
            <v>5</v>
          </cell>
        </row>
        <row r="190">
          <cell r="B190" t="str">
            <v>EMMC</v>
          </cell>
          <cell r="C190" t="str">
            <v>HSLB11708</v>
          </cell>
          <cell r="D190">
            <v>112016</v>
          </cell>
          <cell r="E190" t="str">
            <v>Camilla Transporte Paciente</v>
          </cell>
          <cell r="F190" t="str">
            <v>NO</v>
          </cell>
          <cell r="G190" t="str">
            <v>NO</v>
          </cell>
          <cell r="H190" t="str">
            <v>SALA DE PROCEDIMIENTOS</v>
          </cell>
          <cell r="I190">
            <v>1</v>
          </cell>
          <cell r="J190" t="str">
            <v>C.3.4.2.10</v>
          </cell>
          <cell r="K190" t="str">
            <v>Hospitalización</v>
          </cell>
          <cell r="L190">
            <v>5</v>
          </cell>
          <cell r="M190">
            <v>46058</v>
          </cell>
          <cell r="N190">
            <v>46059</v>
          </cell>
          <cell r="O190">
            <v>1</v>
          </cell>
          <cell r="P190">
            <v>46062</v>
          </cell>
          <cell r="Q190">
            <v>5</v>
          </cell>
          <cell r="R190" t="str">
            <v>NA</v>
          </cell>
          <cell r="S190">
            <v>5</v>
          </cell>
        </row>
        <row r="191">
          <cell r="B191" t="str">
            <v>EMMC</v>
          </cell>
          <cell r="C191" t="str">
            <v>HSLB11709</v>
          </cell>
          <cell r="D191">
            <v>112016</v>
          </cell>
          <cell r="E191" t="str">
            <v>Camilla Transporte Paciente</v>
          </cell>
          <cell r="F191" t="str">
            <v>NO</v>
          </cell>
          <cell r="G191" t="str">
            <v>NO</v>
          </cell>
          <cell r="H191" t="str">
            <v>ESTACIONAMIENTO CAMILLAS Y SILLAS DE RUEDAS</v>
          </cell>
          <cell r="I191">
            <v>1</v>
          </cell>
          <cell r="J191" t="str">
            <v>C.3.4.2.22</v>
          </cell>
          <cell r="K191" t="str">
            <v>Hospitalización</v>
          </cell>
          <cell r="L191">
            <v>5</v>
          </cell>
          <cell r="M191">
            <v>46058</v>
          </cell>
          <cell r="N191">
            <v>46059</v>
          </cell>
          <cell r="O191">
            <v>1</v>
          </cell>
          <cell r="P191">
            <v>46062</v>
          </cell>
          <cell r="Q191">
            <v>5</v>
          </cell>
          <cell r="R191" t="str">
            <v>NA</v>
          </cell>
          <cell r="S191">
            <v>5</v>
          </cell>
        </row>
        <row r="192">
          <cell r="B192" t="str">
            <v>EMMC</v>
          </cell>
          <cell r="C192" t="str">
            <v>HSLB11714</v>
          </cell>
          <cell r="D192">
            <v>112016</v>
          </cell>
          <cell r="E192" t="str">
            <v>Camilla Transporte Paciente</v>
          </cell>
          <cell r="F192" t="str">
            <v>NO</v>
          </cell>
          <cell r="G192" t="str">
            <v>NO</v>
          </cell>
          <cell r="H192" t="str">
            <v>SALA DE PROCEDIMIENTOS</v>
          </cell>
          <cell r="I192">
            <v>1</v>
          </cell>
          <cell r="J192" t="str">
            <v>C.3.5.18</v>
          </cell>
          <cell r="K192" t="str">
            <v>Hospitalización</v>
          </cell>
          <cell r="L192">
            <v>5</v>
          </cell>
          <cell r="M192">
            <v>46058</v>
          </cell>
          <cell r="N192">
            <v>46059</v>
          </cell>
          <cell r="O192">
            <v>1</v>
          </cell>
          <cell r="P192">
            <v>46062</v>
          </cell>
          <cell r="Q192">
            <v>5</v>
          </cell>
          <cell r="R192" t="str">
            <v>NA</v>
          </cell>
          <cell r="S192">
            <v>5</v>
          </cell>
        </row>
        <row r="193">
          <cell r="B193" t="str">
            <v>EMMC</v>
          </cell>
          <cell r="C193" t="str">
            <v>HSLB11715</v>
          </cell>
          <cell r="D193">
            <v>112016</v>
          </cell>
          <cell r="E193" t="str">
            <v>Camilla Transporte Paciente</v>
          </cell>
          <cell r="F193" t="str">
            <v>NO</v>
          </cell>
          <cell r="G193" t="str">
            <v>NO</v>
          </cell>
          <cell r="H193" t="str">
            <v>ESTACIONAMIENTO CAMILLAS Y SILLAS DE RUEDAS</v>
          </cell>
          <cell r="I193">
            <v>1</v>
          </cell>
          <cell r="J193" t="str">
            <v>C.3.5.29</v>
          </cell>
          <cell r="K193" t="str">
            <v>Hospitalización</v>
          </cell>
          <cell r="L193">
            <v>5</v>
          </cell>
          <cell r="M193">
            <v>46058</v>
          </cell>
          <cell r="N193">
            <v>46059</v>
          </cell>
          <cell r="O193">
            <v>1</v>
          </cell>
          <cell r="P193">
            <v>46062</v>
          </cell>
          <cell r="Q193">
            <v>5</v>
          </cell>
          <cell r="R193" t="str">
            <v>NA</v>
          </cell>
          <cell r="S193">
            <v>5</v>
          </cell>
        </row>
        <row r="194">
          <cell r="B194" t="str">
            <v>EMMC</v>
          </cell>
          <cell r="C194" t="str">
            <v>HSLB11816</v>
          </cell>
          <cell r="D194">
            <v>112022</v>
          </cell>
          <cell r="E194" t="str">
            <v>Carro de Paro</v>
          </cell>
          <cell r="F194" t="str">
            <v>NO</v>
          </cell>
          <cell r="G194" t="str">
            <v>NO</v>
          </cell>
          <cell r="H194" t="str">
            <v>ESTACIÓN DE ENFERMERÍA</v>
          </cell>
          <cell r="I194">
            <v>1</v>
          </cell>
          <cell r="J194" t="str">
            <v>C.3.4.2.5</v>
          </cell>
          <cell r="K194" t="str">
            <v>Hospitalización</v>
          </cell>
          <cell r="L194">
            <v>5</v>
          </cell>
          <cell r="M194">
            <v>46058</v>
          </cell>
          <cell r="N194">
            <v>46059</v>
          </cell>
          <cell r="O194">
            <v>1</v>
          </cell>
          <cell r="P194">
            <v>46062</v>
          </cell>
          <cell r="Q194">
            <v>5</v>
          </cell>
          <cell r="R194" t="str">
            <v>NA</v>
          </cell>
          <cell r="S194">
            <v>5</v>
          </cell>
        </row>
        <row r="195">
          <cell r="B195" t="str">
            <v>EMMC</v>
          </cell>
          <cell r="C195" t="str">
            <v>HSLB12027</v>
          </cell>
          <cell r="D195">
            <v>112051</v>
          </cell>
          <cell r="E195" t="str">
            <v>Cuna Lactante</v>
          </cell>
          <cell r="F195" t="str">
            <v>NO</v>
          </cell>
          <cell r="G195" t="str">
            <v>SI</v>
          </cell>
          <cell r="H195" t="str">
            <v>SALA 4 CAMAS</v>
          </cell>
          <cell r="I195">
            <v>1</v>
          </cell>
          <cell r="J195" t="str">
            <v>C.3.5.16.1</v>
          </cell>
          <cell r="K195" t="str">
            <v>Hospitalización</v>
          </cell>
          <cell r="L195">
            <v>5</v>
          </cell>
          <cell r="M195">
            <v>46003</v>
          </cell>
          <cell r="N195">
            <v>46006</v>
          </cell>
          <cell r="O195">
            <v>1</v>
          </cell>
          <cell r="P195">
            <v>46007</v>
          </cell>
          <cell r="Q195">
            <v>5</v>
          </cell>
          <cell r="R195" t="str">
            <v>NA</v>
          </cell>
          <cell r="S195">
            <v>5</v>
          </cell>
        </row>
        <row r="196">
          <cell r="B196" t="str">
            <v>EMMC</v>
          </cell>
          <cell r="C196" t="str">
            <v>HSLB10086</v>
          </cell>
          <cell r="D196">
            <v>101024</v>
          </cell>
          <cell r="E196" t="str">
            <v>Electrocardiógrafo</v>
          </cell>
          <cell r="F196" t="str">
            <v>NO</v>
          </cell>
          <cell r="G196" t="str">
            <v>NO</v>
          </cell>
          <cell r="H196" t="str">
            <v>ESTACIÓN DE ENFERMERÍA</v>
          </cell>
          <cell r="I196">
            <v>1</v>
          </cell>
          <cell r="J196" t="str">
            <v>C.3.4.2.5</v>
          </cell>
          <cell r="K196" t="str">
            <v>Hospitalización</v>
          </cell>
          <cell r="L196">
            <v>5</v>
          </cell>
          <cell r="M196">
            <v>46058</v>
          </cell>
          <cell r="N196">
            <v>46059</v>
          </cell>
          <cell r="O196">
            <v>1</v>
          </cell>
          <cell r="P196">
            <v>46062</v>
          </cell>
          <cell r="Q196">
            <v>5</v>
          </cell>
          <cell r="R196" t="str">
            <v>NA</v>
          </cell>
          <cell r="S196">
            <v>5</v>
          </cell>
        </row>
        <row r="197">
          <cell r="B197" t="str">
            <v>EMMC</v>
          </cell>
          <cell r="C197" t="str">
            <v>HSLB10091</v>
          </cell>
          <cell r="D197">
            <v>101024</v>
          </cell>
          <cell r="E197" t="str">
            <v>Electrocardiógrafo</v>
          </cell>
          <cell r="F197" t="str">
            <v>NO</v>
          </cell>
          <cell r="G197" t="str">
            <v>NO</v>
          </cell>
          <cell r="H197" t="str">
            <v>ESTACIÓN DE ENFERMERÍA</v>
          </cell>
          <cell r="I197">
            <v>1</v>
          </cell>
          <cell r="J197" t="str">
            <v>C.3.5.11</v>
          </cell>
          <cell r="K197" t="str">
            <v>Hospitalización</v>
          </cell>
          <cell r="L197">
            <v>5</v>
          </cell>
          <cell r="M197">
            <v>46058</v>
          </cell>
          <cell r="N197">
            <v>46059</v>
          </cell>
          <cell r="O197">
            <v>1</v>
          </cell>
          <cell r="P197">
            <v>46062</v>
          </cell>
          <cell r="Q197">
            <v>5</v>
          </cell>
          <cell r="R197" t="str">
            <v>NA</v>
          </cell>
          <cell r="S197">
            <v>5</v>
          </cell>
        </row>
        <row r="198">
          <cell r="B198" t="str">
            <v>EMMC</v>
          </cell>
          <cell r="C198" t="str">
            <v>HSLB10522</v>
          </cell>
          <cell r="D198">
            <v>104010</v>
          </cell>
          <cell r="E198" t="str">
            <v>Lámpara de Procedimientos Rodable</v>
          </cell>
          <cell r="F198" t="str">
            <v>NO</v>
          </cell>
          <cell r="G198" t="str">
            <v>NO</v>
          </cell>
          <cell r="H198" t="str">
            <v>SALA DE PROCEDIMIENTOS</v>
          </cell>
          <cell r="I198">
            <v>1</v>
          </cell>
          <cell r="J198" t="str">
            <v>C.3.4.2.10</v>
          </cell>
          <cell r="K198" t="str">
            <v>Hospitalización</v>
          </cell>
          <cell r="L198">
            <v>5</v>
          </cell>
          <cell r="M198">
            <v>46058</v>
          </cell>
          <cell r="N198">
            <v>46059</v>
          </cell>
          <cell r="O198">
            <v>1</v>
          </cell>
          <cell r="P198">
            <v>46062</v>
          </cell>
          <cell r="Q198">
            <v>5</v>
          </cell>
          <cell r="R198" t="str">
            <v>NA</v>
          </cell>
          <cell r="S198">
            <v>5</v>
          </cell>
        </row>
        <row r="199">
          <cell r="B199" t="str">
            <v>EMMC</v>
          </cell>
          <cell r="C199" t="str">
            <v>HSLB10525</v>
          </cell>
          <cell r="D199">
            <v>104010</v>
          </cell>
          <cell r="E199" t="str">
            <v>Lámpara de Procedimientos Rodable</v>
          </cell>
          <cell r="F199" t="str">
            <v>NO</v>
          </cell>
          <cell r="G199" t="str">
            <v>NO</v>
          </cell>
          <cell r="H199" t="str">
            <v>SALA DE PROCEDIMIENTOS</v>
          </cell>
          <cell r="I199">
            <v>1</v>
          </cell>
          <cell r="J199" t="str">
            <v>C.3.5.18</v>
          </cell>
          <cell r="K199" t="str">
            <v>Hospitalización</v>
          </cell>
          <cell r="L199">
            <v>5</v>
          </cell>
          <cell r="M199">
            <v>46058</v>
          </cell>
          <cell r="N199">
            <v>46059</v>
          </cell>
          <cell r="O199">
            <v>1</v>
          </cell>
          <cell r="P199">
            <v>46062</v>
          </cell>
          <cell r="Q199">
            <v>5</v>
          </cell>
          <cell r="R199" t="str">
            <v>NA</v>
          </cell>
          <cell r="S199">
            <v>5</v>
          </cell>
        </row>
        <row r="200">
          <cell r="B200" t="str">
            <v>EMMC</v>
          </cell>
          <cell r="C200" t="str">
            <v>HSLB11234</v>
          </cell>
          <cell r="D200">
            <v>109010</v>
          </cell>
          <cell r="E200" t="str">
            <v>Set Instrumental Curación</v>
          </cell>
          <cell r="F200" t="str">
            <v>NO</v>
          </cell>
          <cell r="G200" t="str">
            <v>NO</v>
          </cell>
          <cell r="H200" t="str">
            <v>SALA DE PROCEDIMIENTOS</v>
          </cell>
          <cell r="I200">
            <v>3</v>
          </cell>
          <cell r="J200" t="str">
            <v>C.3.4.2.10</v>
          </cell>
          <cell r="K200" t="str">
            <v>Hospitalización</v>
          </cell>
          <cell r="L200">
            <v>5</v>
          </cell>
          <cell r="M200">
            <v>46058</v>
          </cell>
          <cell r="N200">
            <v>46059</v>
          </cell>
          <cell r="O200">
            <v>1</v>
          </cell>
          <cell r="P200">
            <v>46062</v>
          </cell>
          <cell r="Q200">
            <v>5</v>
          </cell>
          <cell r="R200" t="str">
            <v>NA</v>
          </cell>
          <cell r="S200">
            <v>5</v>
          </cell>
        </row>
        <row r="201">
          <cell r="B201" t="str">
            <v>EMMC</v>
          </cell>
          <cell r="C201" t="str">
            <v>HSLB11235</v>
          </cell>
          <cell r="D201">
            <v>109010</v>
          </cell>
          <cell r="E201" t="str">
            <v>Set Instrumental Curación</v>
          </cell>
          <cell r="F201" t="str">
            <v>NO</v>
          </cell>
          <cell r="G201" t="str">
            <v>NO</v>
          </cell>
          <cell r="H201" t="str">
            <v>ESTACIÓN DE ENFERMERÍA</v>
          </cell>
          <cell r="I201">
            <v>6</v>
          </cell>
          <cell r="J201" t="str">
            <v>C.3.4.2.5</v>
          </cell>
          <cell r="K201" t="str">
            <v>Hospitalización</v>
          </cell>
          <cell r="L201">
            <v>5</v>
          </cell>
          <cell r="M201">
            <v>46058</v>
          </cell>
          <cell r="N201">
            <v>46059</v>
          </cell>
          <cell r="O201">
            <v>1</v>
          </cell>
          <cell r="P201">
            <v>46062</v>
          </cell>
          <cell r="Q201">
            <v>5</v>
          </cell>
          <cell r="R201" t="str">
            <v>NA</v>
          </cell>
          <cell r="S201">
            <v>5</v>
          </cell>
        </row>
        <row r="202">
          <cell r="B202" t="str">
            <v>EMMC</v>
          </cell>
          <cell r="C202" t="str">
            <v>HSLB11238</v>
          </cell>
          <cell r="D202">
            <v>109010</v>
          </cell>
          <cell r="E202" t="str">
            <v>Set Instrumental Curación</v>
          </cell>
          <cell r="F202" t="str">
            <v>NO</v>
          </cell>
          <cell r="G202" t="str">
            <v>NO</v>
          </cell>
          <cell r="H202" t="str">
            <v>ESTACIÓN DE ENFERMERÍA</v>
          </cell>
          <cell r="I202">
            <v>2</v>
          </cell>
          <cell r="J202" t="str">
            <v>C.3.5.11</v>
          </cell>
          <cell r="K202" t="str">
            <v>Hospitalización</v>
          </cell>
          <cell r="L202">
            <v>5</v>
          </cell>
          <cell r="M202">
            <v>46058</v>
          </cell>
          <cell r="N202">
            <v>46059</v>
          </cell>
          <cell r="O202">
            <v>1</v>
          </cell>
          <cell r="P202">
            <v>46062</v>
          </cell>
          <cell r="Q202">
            <v>5</v>
          </cell>
          <cell r="R202" t="str">
            <v>NA</v>
          </cell>
          <cell r="S202">
            <v>5</v>
          </cell>
        </row>
        <row r="203">
          <cell r="B203" t="str">
            <v>EMMC</v>
          </cell>
          <cell r="C203" t="str">
            <v>HSLB11239</v>
          </cell>
          <cell r="D203">
            <v>109010</v>
          </cell>
          <cell r="E203" t="str">
            <v>Set Instrumental Curación</v>
          </cell>
          <cell r="F203" t="str">
            <v>NO</v>
          </cell>
          <cell r="G203" t="str">
            <v>NO</v>
          </cell>
          <cell r="H203" t="str">
            <v>SALA DE PROCEDIMIENTOS</v>
          </cell>
          <cell r="I203">
            <v>2</v>
          </cell>
          <cell r="J203" t="str">
            <v>C.3.5.18</v>
          </cell>
          <cell r="K203" t="str">
            <v>Hospitalización</v>
          </cell>
          <cell r="L203">
            <v>5</v>
          </cell>
          <cell r="M203">
            <v>46058</v>
          </cell>
          <cell r="N203">
            <v>46059</v>
          </cell>
          <cell r="O203">
            <v>1</v>
          </cell>
          <cell r="P203">
            <v>46062</v>
          </cell>
          <cell r="Q203">
            <v>5</v>
          </cell>
          <cell r="R203" t="str">
            <v>NA</v>
          </cell>
          <cell r="S203">
            <v>5</v>
          </cell>
        </row>
        <row r="204">
          <cell r="B204" t="str">
            <v>EMMC</v>
          </cell>
          <cell r="C204" t="str">
            <v>HSLB11252</v>
          </cell>
          <cell r="D204">
            <v>109011</v>
          </cell>
          <cell r="E204" t="str">
            <v>Set Instrumental de Punción</v>
          </cell>
          <cell r="F204" t="str">
            <v>NO</v>
          </cell>
          <cell r="G204" t="str">
            <v>NO</v>
          </cell>
          <cell r="H204" t="str">
            <v>ESTACIÓN DE ENFERMERÍA</v>
          </cell>
          <cell r="I204">
            <v>4</v>
          </cell>
          <cell r="J204" t="str">
            <v>C.3.5.11</v>
          </cell>
          <cell r="K204" t="str">
            <v>Hospitalización</v>
          </cell>
          <cell r="L204">
            <v>5</v>
          </cell>
          <cell r="M204">
            <v>46058</v>
          </cell>
          <cell r="N204">
            <v>46059</v>
          </cell>
          <cell r="O204">
            <v>1</v>
          </cell>
          <cell r="P204">
            <v>46062</v>
          </cell>
          <cell r="Q204">
            <v>5</v>
          </cell>
          <cell r="R204" t="str">
            <v>NA</v>
          </cell>
          <cell r="S204">
            <v>5</v>
          </cell>
        </row>
        <row r="205">
          <cell r="B205" t="str">
            <v>EMMC</v>
          </cell>
          <cell r="C205" t="str">
            <v>HSLB11296</v>
          </cell>
          <cell r="D205">
            <v>109021</v>
          </cell>
          <cell r="E205" t="str">
            <v>Set Instrumental Sutura</v>
          </cell>
          <cell r="F205" t="str">
            <v>NO</v>
          </cell>
          <cell r="G205" t="str">
            <v>NO</v>
          </cell>
          <cell r="H205" t="str">
            <v>SALA DE PROCEDIMIENTOS</v>
          </cell>
          <cell r="I205">
            <v>6</v>
          </cell>
          <cell r="J205" t="str">
            <v>C.3.4.2.10</v>
          </cell>
          <cell r="K205" t="str">
            <v>Hospitalización</v>
          </cell>
          <cell r="L205">
            <v>5</v>
          </cell>
          <cell r="M205">
            <v>46058</v>
          </cell>
          <cell r="N205">
            <v>46059</v>
          </cell>
          <cell r="O205">
            <v>1</v>
          </cell>
          <cell r="P205">
            <v>46062</v>
          </cell>
          <cell r="Q205">
            <v>5</v>
          </cell>
          <cell r="R205" t="str">
            <v>NA</v>
          </cell>
          <cell r="S205">
            <v>5</v>
          </cell>
        </row>
        <row r="206">
          <cell r="B206" t="str">
            <v>EMMC</v>
          </cell>
          <cell r="C206" t="str">
            <v>HSLB11299</v>
          </cell>
          <cell r="D206">
            <v>109021</v>
          </cell>
          <cell r="E206" t="str">
            <v>Set Instrumental Sutura</v>
          </cell>
          <cell r="F206" t="str">
            <v>NO</v>
          </cell>
          <cell r="G206" t="str">
            <v>NO</v>
          </cell>
          <cell r="H206" t="str">
            <v>SALA DE PROCEDIMIENTOS</v>
          </cell>
          <cell r="I206">
            <v>2</v>
          </cell>
          <cell r="J206" t="str">
            <v>C.3.5.18</v>
          </cell>
          <cell r="K206" t="str">
            <v>Hospitalización</v>
          </cell>
          <cell r="L206">
            <v>5</v>
          </cell>
          <cell r="M206">
            <v>46058</v>
          </cell>
          <cell r="N206">
            <v>46059</v>
          </cell>
          <cell r="O206">
            <v>1</v>
          </cell>
          <cell r="P206">
            <v>46062</v>
          </cell>
          <cell r="Q206">
            <v>5</v>
          </cell>
          <cell r="R206" t="str">
            <v>NA</v>
          </cell>
          <cell r="S206">
            <v>5</v>
          </cell>
        </row>
        <row r="207">
          <cell r="B207" t="str">
            <v>EMMC</v>
          </cell>
          <cell r="C207" t="str">
            <v>HSLB11612</v>
          </cell>
          <cell r="D207">
            <v>112002</v>
          </cell>
          <cell r="E207" t="str">
            <v>Biombo Clínico 2 Cuerpos</v>
          </cell>
          <cell r="F207" t="str">
            <v>NO</v>
          </cell>
          <cell r="G207" t="str">
            <v>NO</v>
          </cell>
          <cell r="H207" t="str">
            <v>BODEGA DE EQUIPOS</v>
          </cell>
          <cell r="I207">
            <v>1</v>
          </cell>
          <cell r="J207" t="str">
            <v>C.3.4.2.13</v>
          </cell>
          <cell r="K207" t="str">
            <v>Hospitalización</v>
          </cell>
          <cell r="L207">
            <v>5</v>
          </cell>
          <cell r="M207">
            <v>46058</v>
          </cell>
          <cell r="N207">
            <v>46059</v>
          </cell>
          <cell r="O207">
            <v>1</v>
          </cell>
          <cell r="P207">
            <v>46062</v>
          </cell>
          <cell r="Q207">
            <v>5</v>
          </cell>
          <cell r="R207" t="str">
            <v>NA</v>
          </cell>
          <cell r="S207">
            <v>5</v>
          </cell>
        </row>
        <row r="208">
          <cell r="B208" t="str">
            <v>EMMC</v>
          </cell>
          <cell r="C208" t="str">
            <v>HSLB11615</v>
          </cell>
          <cell r="D208">
            <v>112002</v>
          </cell>
          <cell r="E208" t="str">
            <v>Biombo Clínico 2 Cuerpos</v>
          </cell>
          <cell r="F208" t="str">
            <v>NO</v>
          </cell>
          <cell r="G208" t="str">
            <v>NO</v>
          </cell>
          <cell r="H208" t="str">
            <v>BODEGA DE EQUIPOS Y CUNAS</v>
          </cell>
          <cell r="I208">
            <v>3</v>
          </cell>
          <cell r="J208" t="str">
            <v>C.3.5.26</v>
          </cell>
          <cell r="K208" t="str">
            <v>Hospitalización</v>
          </cell>
          <cell r="L208">
            <v>5</v>
          </cell>
          <cell r="M208">
            <v>46058</v>
          </cell>
          <cell r="N208">
            <v>46059</v>
          </cell>
          <cell r="O208">
            <v>1</v>
          </cell>
          <cell r="P208">
            <v>46062</v>
          </cell>
          <cell r="Q208">
            <v>5</v>
          </cell>
          <cell r="R208" t="str">
            <v>NA</v>
          </cell>
          <cell r="S208">
            <v>5</v>
          </cell>
        </row>
        <row r="209">
          <cell r="B209" t="str">
            <v>EMMC</v>
          </cell>
          <cell r="C209" t="str">
            <v>HSLB11616</v>
          </cell>
          <cell r="D209">
            <v>112002</v>
          </cell>
          <cell r="E209" t="str">
            <v>Biombo Clínico 2 Cuerpos</v>
          </cell>
          <cell r="F209" t="str">
            <v>NO</v>
          </cell>
          <cell r="G209" t="str">
            <v>NO</v>
          </cell>
          <cell r="H209" t="str">
            <v>LACTARIO</v>
          </cell>
          <cell r="I209">
            <v>1</v>
          </cell>
          <cell r="J209" t="str">
            <v>C.3.5.30</v>
          </cell>
          <cell r="K209" t="str">
            <v>Hospitalización</v>
          </cell>
          <cell r="L209">
            <v>5</v>
          </cell>
          <cell r="M209">
            <v>46058</v>
          </cell>
          <cell r="N209">
            <v>46059</v>
          </cell>
          <cell r="O209">
            <v>1</v>
          </cell>
          <cell r="P209">
            <v>46062</v>
          </cell>
          <cell r="Q209">
            <v>5</v>
          </cell>
          <cell r="R209" t="str">
            <v>NA</v>
          </cell>
          <cell r="S209">
            <v>5</v>
          </cell>
        </row>
        <row r="210">
          <cell r="B210" t="str">
            <v>EMMC</v>
          </cell>
          <cell r="C210" t="str">
            <v>HSLB11469</v>
          </cell>
          <cell r="D210">
            <v>111021</v>
          </cell>
          <cell r="E210" t="str">
            <v>Carro Andador Sin Ruedas</v>
          </cell>
          <cell r="F210" t="str">
            <v>NO</v>
          </cell>
          <cell r="G210" t="str">
            <v>NO</v>
          </cell>
          <cell r="H210" t="str">
            <v>BODEGA DE EQUIPOS Y CUNAS</v>
          </cell>
          <cell r="I210">
            <v>2</v>
          </cell>
          <cell r="J210" t="str">
            <v>C.3.5.26</v>
          </cell>
          <cell r="K210" t="str">
            <v>Hospitalización</v>
          </cell>
          <cell r="L210">
            <v>5</v>
          </cell>
          <cell r="M210">
            <v>46058</v>
          </cell>
          <cell r="N210">
            <v>46059</v>
          </cell>
          <cell r="O210">
            <v>1</v>
          </cell>
          <cell r="P210">
            <v>46062</v>
          </cell>
          <cell r="Q210">
            <v>5</v>
          </cell>
          <cell r="R210" t="str">
            <v>NA</v>
          </cell>
          <cell r="S210">
            <v>5</v>
          </cell>
        </row>
        <row r="211">
          <cell r="B211" t="str">
            <v>EMMC</v>
          </cell>
          <cell r="C211" t="str">
            <v>HSLB10728</v>
          </cell>
          <cell r="D211">
            <v>106002</v>
          </cell>
          <cell r="E211" t="str">
            <v>Chatas</v>
          </cell>
          <cell r="F211" t="str">
            <v>NO</v>
          </cell>
          <cell r="G211" t="str">
            <v>NO</v>
          </cell>
          <cell r="H211" t="str">
            <v>LAVACHATA AUTOMATICO</v>
          </cell>
          <cell r="I211">
            <v>12</v>
          </cell>
          <cell r="J211" t="str">
            <v>C.3.4.2.16</v>
          </cell>
          <cell r="K211" t="str">
            <v>Hospitalización</v>
          </cell>
          <cell r="L211">
            <v>5</v>
          </cell>
          <cell r="M211">
            <v>46058</v>
          </cell>
          <cell r="N211">
            <v>46059</v>
          </cell>
          <cell r="O211">
            <v>1</v>
          </cell>
          <cell r="P211">
            <v>46062</v>
          </cell>
          <cell r="Q211">
            <v>5</v>
          </cell>
          <cell r="R211" t="str">
            <v>NA</v>
          </cell>
          <cell r="S211">
            <v>5</v>
          </cell>
        </row>
        <row r="212">
          <cell r="B212" t="str">
            <v>EMMC</v>
          </cell>
          <cell r="C212" t="str">
            <v>HSLB10733</v>
          </cell>
          <cell r="D212">
            <v>106002</v>
          </cell>
          <cell r="E212" t="str">
            <v>Chatas</v>
          </cell>
          <cell r="F212" t="str">
            <v>NO</v>
          </cell>
          <cell r="G212" t="str">
            <v>NO</v>
          </cell>
          <cell r="H212" t="str">
            <v>LAVACHATA AUTOMATICO</v>
          </cell>
          <cell r="I212">
            <v>20</v>
          </cell>
          <cell r="J212" t="str">
            <v>C.3.5.24</v>
          </cell>
          <cell r="K212" t="str">
            <v>Hospitalización</v>
          </cell>
          <cell r="L212">
            <v>5</v>
          </cell>
          <cell r="M212">
            <v>46058</v>
          </cell>
          <cell r="N212">
            <v>46059</v>
          </cell>
          <cell r="O212">
            <v>1</v>
          </cell>
          <cell r="P212">
            <v>46062</v>
          </cell>
          <cell r="Q212">
            <v>5</v>
          </cell>
          <cell r="R212" t="str">
            <v>NA</v>
          </cell>
          <cell r="S212">
            <v>5</v>
          </cell>
        </row>
        <row r="213">
          <cell r="B213" t="str">
            <v>EMMC</v>
          </cell>
          <cell r="C213" t="str">
            <v>HSLB12030</v>
          </cell>
          <cell r="D213">
            <v>112052</v>
          </cell>
          <cell r="E213" t="str">
            <v>Cuna Recién Nacido</v>
          </cell>
          <cell r="F213" t="str">
            <v>NO</v>
          </cell>
          <cell r="G213" t="str">
            <v>NO</v>
          </cell>
          <cell r="H213" t="str">
            <v>BODEGA DE EQUIPOS</v>
          </cell>
          <cell r="I213">
            <v>8</v>
          </cell>
          <cell r="J213" t="str">
            <v>C.3.4.2.13</v>
          </cell>
          <cell r="K213" t="str">
            <v>Hospitalización</v>
          </cell>
          <cell r="L213">
            <v>5</v>
          </cell>
          <cell r="M213">
            <v>46058</v>
          </cell>
          <cell r="N213">
            <v>46059</v>
          </cell>
          <cell r="O213">
            <v>1</v>
          </cell>
          <cell r="P213">
            <v>46062</v>
          </cell>
          <cell r="Q213">
            <v>5</v>
          </cell>
          <cell r="R213" t="str">
            <v>NA</v>
          </cell>
          <cell r="S213">
            <v>5</v>
          </cell>
        </row>
        <row r="214">
          <cell r="B214" t="str">
            <v>EMMC</v>
          </cell>
          <cell r="C214" t="str">
            <v>HSLB10749</v>
          </cell>
          <cell r="D214">
            <v>106003</v>
          </cell>
          <cell r="E214" t="str">
            <v>Equipo de Música</v>
          </cell>
          <cell r="F214" t="str">
            <v>NO</v>
          </cell>
          <cell r="G214" t="str">
            <v>NO</v>
          </cell>
          <cell r="H214" t="str">
            <v>SALA 1 CAMA</v>
          </cell>
          <cell r="I214">
            <v>1</v>
          </cell>
          <cell r="J214" t="str">
            <v>C.3.5.15.1</v>
          </cell>
          <cell r="K214" t="str">
            <v>Hospitalización</v>
          </cell>
          <cell r="L214">
            <v>5</v>
          </cell>
          <cell r="M214">
            <v>46058</v>
          </cell>
          <cell r="N214">
            <v>46059</v>
          </cell>
          <cell r="O214">
            <v>1</v>
          </cell>
          <cell r="P214">
            <v>46062</v>
          </cell>
          <cell r="Q214">
            <v>5</v>
          </cell>
          <cell r="R214" t="str">
            <v>NA</v>
          </cell>
          <cell r="S214">
            <v>5</v>
          </cell>
        </row>
        <row r="215">
          <cell r="B215" t="str">
            <v>EMMC</v>
          </cell>
          <cell r="C215" t="str">
            <v>HSLB10750</v>
          </cell>
          <cell r="D215">
            <v>106003</v>
          </cell>
          <cell r="E215" t="str">
            <v>Equipo de Música</v>
          </cell>
          <cell r="F215" t="str">
            <v>NO</v>
          </cell>
          <cell r="G215" t="str">
            <v>NO</v>
          </cell>
          <cell r="H215" t="str">
            <v>SALA 1 CAMA</v>
          </cell>
          <cell r="I215">
            <v>1</v>
          </cell>
          <cell r="J215" t="str">
            <v>C.3.5.15.2</v>
          </cell>
          <cell r="K215" t="str">
            <v>Hospitalización</v>
          </cell>
          <cell r="L215">
            <v>5</v>
          </cell>
          <cell r="M215">
            <v>46058</v>
          </cell>
          <cell r="N215">
            <v>46059</v>
          </cell>
          <cell r="O215">
            <v>1</v>
          </cell>
          <cell r="P215">
            <v>46062</v>
          </cell>
          <cell r="Q215">
            <v>5</v>
          </cell>
          <cell r="R215" t="str">
            <v>NA</v>
          </cell>
          <cell r="S215">
            <v>5</v>
          </cell>
        </row>
        <row r="216">
          <cell r="B216" t="str">
            <v>EMMC</v>
          </cell>
          <cell r="C216" t="str">
            <v>HSLB10751</v>
          </cell>
          <cell r="D216">
            <v>106003</v>
          </cell>
          <cell r="E216" t="str">
            <v>Equipo de Música</v>
          </cell>
          <cell r="F216" t="str">
            <v>NO</v>
          </cell>
          <cell r="G216" t="str">
            <v>NO</v>
          </cell>
          <cell r="H216" t="str">
            <v>SALA 1 CAMA</v>
          </cell>
          <cell r="I216">
            <v>1</v>
          </cell>
          <cell r="J216" t="str">
            <v>C.3.5.15.3</v>
          </cell>
          <cell r="K216" t="str">
            <v>Hospitalización</v>
          </cell>
          <cell r="L216">
            <v>5</v>
          </cell>
          <cell r="M216">
            <v>46058</v>
          </cell>
          <cell r="N216">
            <v>46059</v>
          </cell>
          <cell r="O216">
            <v>1</v>
          </cell>
          <cell r="P216">
            <v>46062</v>
          </cell>
          <cell r="Q216">
            <v>5</v>
          </cell>
          <cell r="R216" t="str">
            <v>NA</v>
          </cell>
          <cell r="S216">
            <v>5</v>
          </cell>
        </row>
        <row r="217">
          <cell r="B217" t="str">
            <v>EMMC</v>
          </cell>
          <cell r="C217" t="str">
            <v>HSLB10752</v>
          </cell>
          <cell r="D217">
            <v>106003</v>
          </cell>
          <cell r="E217" t="str">
            <v>Equipo de Música</v>
          </cell>
          <cell r="F217" t="str">
            <v>NO</v>
          </cell>
          <cell r="G217" t="str">
            <v>NO</v>
          </cell>
          <cell r="H217" t="str">
            <v>SALA 1 CAMA</v>
          </cell>
          <cell r="I217">
            <v>1</v>
          </cell>
          <cell r="J217" t="str">
            <v>C.3.5.15.4</v>
          </cell>
          <cell r="K217" t="str">
            <v>Hospitalización</v>
          </cell>
          <cell r="L217">
            <v>5</v>
          </cell>
          <cell r="M217">
            <v>46058</v>
          </cell>
          <cell r="N217">
            <v>46059</v>
          </cell>
          <cell r="O217">
            <v>1</v>
          </cell>
          <cell r="P217">
            <v>46062</v>
          </cell>
          <cell r="Q217">
            <v>5</v>
          </cell>
          <cell r="R217" t="str">
            <v>NA</v>
          </cell>
          <cell r="S217">
            <v>5</v>
          </cell>
        </row>
        <row r="218">
          <cell r="B218" t="str">
            <v>EMMC</v>
          </cell>
          <cell r="C218" t="str">
            <v>HSLB10753</v>
          </cell>
          <cell r="D218">
            <v>106003</v>
          </cell>
          <cell r="E218" t="str">
            <v>Equipo de Música</v>
          </cell>
          <cell r="F218" t="str">
            <v>NO</v>
          </cell>
          <cell r="G218" t="str">
            <v>NO</v>
          </cell>
          <cell r="H218" t="str">
            <v>SALA 1 CAMA</v>
          </cell>
          <cell r="I218">
            <v>1</v>
          </cell>
          <cell r="J218" t="str">
            <v>C.3.5.15.5</v>
          </cell>
          <cell r="K218" t="str">
            <v>Hospitalización</v>
          </cell>
          <cell r="L218">
            <v>5</v>
          </cell>
          <cell r="M218">
            <v>46058</v>
          </cell>
          <cell r="N218">
            <v>46059</v>
          </cell>
          <cell r="O218">
            <v>1</v>
          </cell>
          <cell r="P218">
            <v>46062</v>
          </cell>
          <cell r="Q218">
            <v>5</v>
          </cell>
          <cell r="R218" t="str">
            <v>NA</v>
          </cell>
          <cell r="S218">
            <v>5</v>
          </cell>
        </row>
        <row r="219">
          <cell r="B219" t="str">
            <v>EMMC</v>
          </cell>
          <cell r="C219" t="str">
            <v>HSLB10754</v>
          </cell>
          <cell r="D219">
            <v>106003</v>
          </cell>
          <cell r="E219" t="str">
            <v>Equipo de Música</v>
          </cell>
          <cell r="F219" t="str">
            <v>NO</v>
          </cell>
          <cell r="G219" t="str">
            <v>SI</v>
          </cell>
          <cell r="H219" t="str">
            <v>SALA 4 CAMAS</v>
          </cell>
          <cell r="I219">
            <v>1</v>
          </cell>
          <cell r="J219" t="str">
            <v>C.3.5.16.1</v>
          </cell>
          <cell r="K219" t="str">
            <v>Hospitalización</v>
          </cell>
          <cell r="L219">
            <v>5</v>
          </cell>
          <cell r="M219">
            <v>46003</v>
          </cell>
          <cell r="N219">
            <v>46006</v>
          </cell>
          <cell r="O219">
            <v>1</v>
          </cell>
          <cell r="P219">
            <v>46007</v>
          </cell>
          <cell r="Q219">
            <v>5</v>
          </cell>
          <cell r="R219" t="str">
            <v>NA</v>
          </cell>
          <cell r="S219">
            <v>5</v>
          </cell>
        </row>
        <row r="220">
          <cell r="B220" t="str">
            <v>EMMC</v>
          </cell>
          <cell r="C220" t="str">
            <v>HSLB10755</v>
          </cell>
          <cell r="D220">
            <v>106003</v>
          </cell>
          <cell r="E220" t="str">
            <v>Equipo de Música</v>
          </cell>
          <cell r="F220" t="str">
            <v>NO</v>
          </cell>
          <cell r="G220" t="str">
            <v>SI</v>
          </cell>
          <cell r="H220" t="str">
            <v>SALA 4 CAMAS</v>
          </cell>
          <cell r="I220">
            <v>1</v>
          </cell>
          <cell r="J220" t="str">
            <v>C.3.5.16.2</v>
          </cell>
          <cell r="K220" t="str">
            <v>Hospitalización</v>
          </cell>
          <cell r="L220">
            <v>5</v>
          </cell>
          <cell r="M220">
            <v>46003</v>
          </cell>
          <cell r="N220">
            <v>46006</v>
          </cell>
          <cell r="O220">
            <v>1</v>
          </cell>
          <cell r="P220">
            <v>46007</v>
          </cell>
          <cell r="Q220">
            <v>5</v>
          </cell>
          <cell r="R220" t="str">
            <v>NA</v>
          </cell>
          <cell r="S220">
            <v>5</v>
          </cell>
        </row>
        <row r="221">
          <cell r="B221" t="str">
            <v>EMMC</v>
          </cell>
          <cell r="C221" t="str">
            <v>HSLB10756</v>
          </cell>
          <cell r="D221">
            <v>106003</v>
          </cell>
          <cell r="E221" t="str">
            <v>Equipo de Música</v>
          </cell>
          <cell r="F221" t="str">
            <v>NO</v>
          </cell>
          <cell r="G221" t="str">
            <v>NO</v>
          </cell>
          <cell r="H221" t="str">
            <v>SALA 1 CAMA AISLAMIENTO (1)</v>
          </cell>
          <cell r="I221">
            <v>1</v>
          </cell>
          <cell r="J221" t="str">
            <v>C.3.5.17.1</v>
          </cell>
          <cell r="K221" t="str">
            <v>Hospitalización</v>
          </cell>
          <cell r="L221">
            <v>5</v>
          </cell>
          <cell r="M221">
            <v>46058</v>
          </cell>
          <cell r="N221">
            <v>46059</v>
          </cell>
          <cell r="O221">
            <v>1</v>
          </cell>
          <cell r="P221">
            <v>46062</v>
          </cell>
          <cell r="Q221">
            <v>5</v>
          </cell>
          <cell r="R221" t="str">
            <v>NA</v>
          </cell>
          <cell r="S221">
            <v>5</v>
          </cell>
        </row>
        <row r="222">
          <cell r="B222" t="str">
            <v>EMMC</v>
          </cell>
          <cell r="C222" t="str">
            <v>HSLB10757</v>
          </cell>
          <cell r="D222">
            <v>106003</v>
          </cell>
          <cell r="E222" t="str">
            <v>Equipo de Música</v>
          </cell>
          <cell r="F222" t="str">
            <v>NO</v>
          </cell>
          <cell r="G222" t="str">
            <v>NO</v>
          </cell>
          <cell r="H222" t="str">
            <v>SALA 1 CAMA AISLAMIENTO (2)</v>
          </cell>
          <cell r="I222">
            <v>1</v>
          </cell>
          <cell r="J222" t="str">
            <v>C.3.5.17.2</v>
          </cell>
          <cell r="K222" t="str">
            <v>Hospitalización</v>
          </cell>
          <cell r="L222">
            <v>5</v>
          </cell>
          <cell r="M222">
            <v>46058</v>
          </cell>
          <cell r="N222">
            <v>46059</v>
          </cell>
          <cell r="O222">
            <v>1</v>
          </cell>
          <cell r="P222">
            <v>46062</v>
          </cell>
          <cell r="Q222">
            <v>5</v>
          </cell>
          <cell r="R222" t="str">
            <v>NA</v>
          </cell>
          <cell r="S222">
            <v>5</v>
          </cell>
        </row>
        <row r="223">
          <cell r="B223" t="str">
            <v>EMMC</v>
          </cell>
          <cell r="C223" t="str">
            <v>HSLB10758</v>
          </cell>
          <cell r="D223">
            <v>106003</v>
          </cell>
          <cell r="E223" t="str">
            <v>Equipo de Música</v>
          </cell>
          <cell r="F223" t="str">
            <v>NO</v>
          </cell>
          <cell r="G223" t="str">
            <v>NO</v>
          </cell>
          <cell r="H223" t="str">
            <v>SALA 1 CAMA AISLAMIENTO (3)</v>
          </cell>
          <cell r="I223">
            <v>1</v>
          </cell>
          <cell r="J223" t="str">
            <v>C.3.5.17.3</v>
          </cell>
          <cell r="K223" t="str">
            <v>Hospitalización</v>
          </cell>
          <cell r="L223">
            <v>5</v>
          </cell>
          <cell r="M223">
            <v>46058</v>
          </cell>
          <cell r="N223">
            <v>46059</v>
          </cell>
          <cell r="O223">
            <v>1</v>
          </cell>
          <cell r="P223">
            <v>46062</v>
          </cell>
          <cell r="Q223">
            <v>5</v>
          </cell>
          <cell r="R223" t="str">
            <v>NA</v>
          </cell>
          <cell r="S223">
            <v>5</v>
          </cell>
        </row>
        <row r="224">
          <cell r="B224" t="str">
            <v>EMMC</v>
          </cell>
          <cell r="C224" t="str">
            <v>HSLB12080</v>
          </cell>
          <cell r="D224">
            <v>112054</v>
          </cell>
          <cell r="E224" t="str">
            <v>Escabel</v>
          </cell>
          <cell r="F224" t="str">
            <v>NO</v>
          </cell>
          <cell r="G224" t="str">
            <v>NO</v>
          </cell>
          <cell r="H224" t="str">
            <v>SALA DE PROCEDIMIENTOS</v>
          </cell>
          <cell r="I224">
            <v>1</v>
          </cell>
          <cell r="J224" t="str">
            <v>C.3.4.2.10</v>
          </cell>
          <cell r="K224" t="str">
            <v>Hospitalización</v>
          </cell>
          <cell r="L224">
            <v>5</v>
          </cell>
          <cell r="M224">
            <v>46058</v>
          </cell>
          <cell r="N224">
            <v>46059</v>
          </cell>
          <cell r="O224">
            <v>1</v>
          </cell>
          <cell r="P224">
            <v>46062</v>
          </cell>
          <cell r="Q224">
            <v>5</v>
          </cell>
          <cell r="R224" t="str">
            <v>NA</v>
          </cell>
          <cell r="S224">
            <v>5</v>
          </cell>
        </row>
        <row r="225">
          <cell r="B225" t="str">
            <v>EMMC</v>
          </cell>
          <cell r="C225" t="str">
            <v>HSLB12081</v>
          </cell>
          <cell r="D225">
            <v>112054</v>
          </cell>
          <cell r="E225" t="str">
            <v>Escabel</v>
          </cell>
          <cell r="F225" t="str">
            <v>NO</v>
          </cell>
          <cell r="G225" t="str">
            <v>NO</v>
          </cell>
          <cell r="H225" t="str">
            <v>SALA 1 CAMA</v>
          </cell>
          <cell r="I225">
            <v>1</v>
          </cell>
          <cell r="J225" t="str">
            <v>C.3.4.2.11.1</v>
          </cell>
          <cell r="K225" t="str">
            <v>Hospitalización</v>
          </cell>
          <cell r="L225">
            <v>5</v>
          </cell>
          <cell r="M225">
            <v>46058</v>
          </cell>
          <cell r="N225">
            <v>46059</v>
          </cell>
          <cell r="O225">
            <v>1</v>
          </cell>
          <cell r="P225">
            <v>46062</v>
          </cell>
          <cell r="Q225">
            <v>5</v>
          </cell>
          <cell r="R225" t="str">
            <v>NA</v>
          </cell>
          <cell r="S225">
            <v>5</v>
          </cell>
        </row>
        <row r="226">
          <cell r="B226" t="str">
            <v>EMMC</v>
          </cell>
          <cell r="C226" t="str">
            <v>HSLB12082</v>
          </cell>
          <cell r="D226">
            <v>112054</v>
          </cell>
          <cell r="E226" t="str">
            <v>Escabel</v>
          </cell>
          <cell r="F226" t="str">
            <v>NO</v>
          </cell>
          <cell r="G226" t="str">
            <v>NO</v>
          </cell>
          <cell r="H226" t="str">
            <v>SALA 1 CAMA</v>
          </cell>
          <cell r="I226">
            <v>1</v>
          </cell>
          <cell r="J226" t="str">
            <v>C.3.4.2.11.10</v>
          </cell>
          <cell r="K226" t="str">
            <v>Hospitalización</v>
          </cell>
          <cell r="L226">
            <v>5</v>
          </cell>
          <cell r="M226">
            <v>46058</v>
          </cell>
          <cell r="N226">
            <v>46059</v>
          </cell>
          <cell r="O226">
            <v>1</v>
          </cell>
          <cell r="P226">
            <v>46062</v>
          </cell>
          <cell r="Q226">
            <v>5</v>
          </cell>
          <cell r="R226" t="str">
            <v>NA</v>
          </cell>
          <cell r="S226">
            <v>5</v>
          </cell>
        </row>
        <row r="227">
          <cell r="B227" t="str">
            <v>EMMC</v>
          </cell>
          <cell r="C227" t="str">
            <v>HSLB12083</v>
          </cell>
          <cell r="D227">
            <v>112054</v>
          </cell>
          <cell r="E227" t="str">
            <v>Escabel</v>
          </cell>
          <cell r="F227" t="str">
            <v>NO</v>
          </cell>
          <cell r="G227" t="str">
            <v>NO</v>
          </cell>
          <cell r="H227" t="str">
            <v>SALA 1 CAMA</v>
          </cell>
          <cell r="I227">
            <v>1</v>
          </cell>
          <cell r="J227" t="str">
            <v>C.3.4.2.11.11</v>
          </cell>
          <cell r="K227" t="str">
            <v>Hospitalización</v>
          </cell>
          <cell r="L227">
            <v>5</v>
          </cell>
          <cell r="M227">
            <v>46058</v>
          </cell>
          <cell r="N227">
            <v>46059</v>
          </cell>
          <cell r="O227">
            <v>1</v>
          </cell>
          <cell r="P227">
            <v>46062</v>
          </cell>
          <cell r="Q227">
            <v>5</v>
          </cell>
          <cell r="R227" t="str">
            <v>NA</v>
          </cell>
          <cell r="S227">
            <v>5</v>
          </cell>
        </row>
        <row r="228">
          <cell r="B228" t="str">
            <v>EMMC</v>
          </cell>
          <cell r="C228" t="str">
            <v>HSLB12084</v>
          </cell>
          <cell r="D228">
            <v>112054</v>
          </cell>
          <cell r="E228" t="str">
            <v>Escabel</v>
          </cell>
          <cell r="F228" t="str">
            <v>NO</v>
          </cell>
          <cell r="G228" t="str">
            <v>NO</v>
          </cell>
          <cell r="H228" t="str">
            <v>SALA 1 CAMA</v>
          </cell>
          <cell r="I228">
            <v>1</v>
          </cell>
          <cell r="J228" t="str">
            <v>C.3.4.2.11.12</v>
          </cell>
          <cell r="K228" t="str">
            <v>Hospitalización</v>
          </cell>
          <cell r="L228">
            <v>5</v>
          </cell>
          <cell r="M228">
            <v>46058</v>
          </cell>
          <cell r="N228">
            <v>46059</v>
          </cell>
          <cell r="O228">
            <v>1</v>
          </cell>
          <cell r="P228">
            <v>46062</v>
          </cell>
          <cell r="Q228">
            <v>5</v>
          </cell>
          <cell r="R228" t="str">
            <v>NA</v>
          </cell>
          <cell r="S228">
            <v>5</v>
          </cell>
        </row>
        <row r="229">
          <cell r="B229" t="str">
            <v>EMMC</v>
          </cell>
          <cell r="C229" t="str">
            <v>HSLB12085</v>
          </cell>
          <cell r="D229">
            <v>112054</v>
          </cell>
          <cell r="E229" t="str">
            <v>Escabel</v>
          </cell>
          <cell r="F229" t="str">
            <v>NO</v>
          </cell>
          <cell r="G229" t="str">
            <v>NO</v>
          </cell>
          <cell r="H229" t="str">
            <v>SALA 1 CAMA</v>
          </cell>
          <cell r="I229">
            <v>1</v>
          </cell>
          <cell r="J229" t="str">
            <v>C.3.4.2.11.2</v>
          </cell>
          <cell r="K229" t="str">
            <v>Hospitalización</v>
          </cell>
          <cell r="L229">
            <v>5</v>
          </cell>
          <cell r="M229">
            <v>46058</v>
          </cell>
          <cell r="N229">
            <v>46059</v>
          </cell>
          <cell r="O229">
            <v>1</v>
          </cell>
          <cell r="P229">
            <v>46062</v>
          </cell>
          <cell r="Q229">
            <v>5</v>
          </cell>
          <cell r="R229" t="str">
            <v>NA</v>
          </cell>
          <cell r="S229">
            <v>5</v>
          </cell>
        </row>
        <row r="230">
          <cell r="B230" t="str">
            <v>EMMC</v>
          </cell>
          <cell r="C230" t="str">
            <v>HSLB12086</v>
          </cell>
          <cell r="D230">
            <v>112054</v>
          </cell>
          <cell r="E230" t="str">
            <v>Escabel</v>
          </cell>
          <cell r="F230" t="str">
            <v>NO</v>
          </cell>
          <cell r="G230" t="str">
            <v>NO</v>
          </cell>
          <cell r="H230" t="str">
            <v>SALA 1 CAMA</v>
          </cell>
          <cell r="I230">
            <v>1</v>
          </cell>
          <cell r="J230" t="str">
            <v>C.3.4.2.11.3</v>
          </cell>
          <cell r="K230" t="str">
            <v>Hospitalización</v>
          </cell>
          <cell r="L230">
            <v>5</v>
          </cell>
          <cell r="M230">
            <v>46058</v>
          </cell>
          <cell r="N230">
            <v>46059</v>
          </cell>
          <cell r="O230">
            <v>1</v>
          </cell>
          <cell r="P230">
            <v>46062</v>
          </cell>
          <cell r="Q230">
            <v>5</v>
          </cell>
          <cell r="R230" t="str">
            <v>NA</v>
          </cell>
          <cell r="S230">
            <v>5</v>
          </cell>
        </row>
        <row r="231">
          <cell r="B231" t="str">
            <v>EMMC</v>
          </cell>
          <cell r="C231" t="str">
            <v>HSLB12087</v>
          </cell>
          <cell r="D231">
            <v>112054</v>
          </cell>
          <cell r="E231" t="str">
            <v>Escabel</v>
          </cell>
          <cell r="F231" t="str">
            <v>NO</v>
          </cell>
          <cell r="G231" t="str">
            <v>NO</v>
          </cell>
          <cell r="H231" t="str">
            <v>SALA 1 CAMA</v>
          </cell>
          <cell r="I231">
            <v>1</v>
          </cell>
          <cell r="J231" t="str">
            <v>C.3.4.2.11.4</v>
          </cell>
          <cell r="K231" t="str">
            <v>Hospitalización</v>
          </cell>
          <cell r="L231">
            <v>5</v>
          </cell>
          <cell r="M231">
            <v>46058</v>
          </cell>
          <cell r="N231">
            <v>46059</v>
          </cell>
          <cell r="O231">
            <v>1</v>
          </cell>
          <cell r="P231">
            <v>46062</v>
          </cell>
          <cell r="Q231">
            <v>5</v>
          </cell>
          <cell r="R231" t="str">
            <v>NA</v>
          </cell>
          <cell r="S231">
            <v>5</v>
          </cell>
        </row>
        <row r="232">
          <cell r="B232" t="str">
            <v>EMMC</v>
          </cell>
          <cell r="C232" t="str">
            <v>HSLB12088</v>
          </cell>
          <cell r="D232">
            <v>112054</v>
          </cell>
          <cell r="E232" t="str">
            <v>Escabel</v>
          </cell>
          <cell r="F232" t="str">
            <v>NO</v>
          </cell>
          <cell r="G232" t="str">
            <v>NO</v>
          </cell>
          <cell r="H232" t="str">
            <v>SALA 1 CAMA</v>
          </cell>
          <cell r="I232">
            <v>1</v>
          </cell>
          <cell r="J232" t="str">
            <v>C.3.4.2.11.5</v>
          </cell>
          <cell r="K232" t="str">
            <v>Hospitalización</v>
          </cell>
          <cell r="L232">
            <v>5</v>
          </cell>
          <cell r="M232">
            <v>46058</v>
          </cell>
          <cell r="N232">
            <v>46059</v>
          </cell>
          <cell r="O232">
            <v>1</v>
          </cell>
          <cell r="P232">
            <v>46062</v>
          </cell>
          <cell r="Q232">
            <v>5</v>
          </cell>
          <cell r="R232" t="str">
            <v>NA</v>
          </cell>
          <cell r="S232">
            <v>5</v>
          </cell>
        </row>
        <row r="233">
          <cell r="B233" t="str">
            <v>EMMC</v>
          </cell>
          <cell r="C233" t="str">
            <v>HSLB12089</v>
          </cell>
          <cell r="D233">
            <v>112054</v>
          </cell>
          <cell r="E233" t="str">
            <v>Escabel</v>
          </cell>
          <cell r="F233" t="str">
            <v>NO</v>
          </cell>
          <cell r="G233" t="str">
            <v>NO</v>
          </cell>
          <cell r="H233" t="str">
            <v>SALA 1 CAMA</v>
          </cell>
          <cell r="I233">
            <v>1</v>
          </cell>
          <cell r="J233" t="str">
            <v>C.3.4.2.11.6</v>
          </cell>
          <cell r="K233" t="str">
            <v>Hospitalización</v>
          </cell>
          <cell r="L233">
            <v>5</v>
          </cell>
          <cell r="M233">
            <v>46058</v>
          </cell>
          <cell r="N233">
            <v>46059</v>
          </cell>
          <cell r="O233">
            <v>1</v>
          </cell>
          <cell r="P233">
            <v>46062</v>
          </cell>
          <cell r="Q233">
            <v>5</v>
          </cell>
          <cell r="R233" t="str">
            <v>NA</v>
          </cell>
          <cell r="S233">
            <v>5</v>
          </cell>
        </row>
        <row r="234">
          <cell r="B234" t="str">
            <v>EMMC</v>
          </cell>
          <cell r="C234" t="str">
            <v>HSLB12090</v>
          </cell>
          <cell r="D234">
            <v>112054</v>
          </cell>
          <cell r="E234" t="str">
            <v>Escabel</v>
          </cell>
          <cell r="F234" t="str">
            <v>NO</v>
          </cell>
          <cell r="G234" t="str">
            <v>NO</v>
          </cell>
          <cell r="H234" t="str">
            <v>SALA 1 CAMA</v>
          </cell>
          <cell r="I234">
            <v>1</v>
          </cell>
          <cell r="J234" t="str">
            <v>C.3.4.2.11.7</v>
          </cell>
          <cell r="K234" t="str">
            <v>Hospitalización</v>
          </cell>
          <cell r="L234">
            <v>5</v>
          </cell>
          <cell r="M234">
            <v>46058</v>
          </cell>
          <cell r="N234">
            <v>46059</v>
          </cell>
          <cell r="O234">
            <v>1</v>
          </cell>
          <cell r="P234">
            <v>46062</v>
          </cell>
          <cell r="Q234">
            <v>5</v>
          </cell>
          <cell r="R234" t="str">
            <v>NA</v>
          </cell>
          <cell r="S234">
            <v>5</v>
          </cell>
        </row>
        <row r="235">
          <cell r="B235" t="str">
            <v>EMMC</v>
          </cell>
          <cell r="C235" t="str">
            <v>HSLB12091</v>
          </cell>
          <cell r="D235">
            <v>112054</v>
          </cell>
          <cell r="E235" t="str">
            <v>Escabel</v>
          </cell>
          <cell r="F235" t="str">
            <v>NO</v>
          </cell>
          <cell r="G235" t="str">
            <v>NO</v>
          </cell>
          <cell r="H235" t="str">
            <v>SALA 1 CAMA</v>
          </cell>
          <cell r="I235">
            <v>1</v>
          </cell>
          <cell r="J235" t="str">
            <v>C.3.4.2.11.8</v>
          </cell>
          <cell r="K235" t="str">
            <v>Hospitalización</v>
          </cell>
          <cell r="L235">
            <v>5</v>
          </cell>
          <cell r="M235">
            <v>46058</v>
          </cell>
          <cell r="N235">
            <v>46059</v>
          </cell>
          <cell r="O235">
            <v>1</v>
          </cell>
          <cell r="P235">
            <v>46062</v>
          </cell>
          <cell r="Q235">
            <v>5</v>
          </cell>
          <cell r="R235" t="str">
            <v>NA</v>
          </cell>
          <cell r="S235">
            <v>5</v>
          </cell>
        </row>
        <row r="236">
          <cell r="B236" t="str">
            <v>EMMC</v>
          </cell>
          <cell r="C236" t="str">
            <v>HSLB12092</v>
          </cell>
          <cell r="D236">
            <v>112054</v>
          </cell>
          <cell r="E236" t="str">
            <v>Escabel</v>
          </cell>
          <cell r="F236" t="str">
            <v>NO</v>
          </cell>
          <cell r="G236" t="str">
            <v>NO</v>
          </cell>
          <cell r="H236" t="str">
            <v>SALA 1 CAMA</v>
          </cell>
          <cell r="I236">
            <v>1</v>
          </cell>
          <cell r="J236" t="str">
            <v>C.3.4.2.11.9</v>
          </cell>
          <cell r="K236" t="str">
            <v>Hospitalización</v>
          </cell>
          <cell r="L236">
            <v>5</v>
          </cell>
          <cell r="M236">
            <v>46058</v>
          </cell>
          <cell r="N236">
            <v>46059</v>
          </cell>
          <cell r="O236">
            <v>1</v>
          </cell>
          <cell r="P236">
            <v>46062</v>
          </cell>
          <cell r="Q236">
            <v>5</v>
          </cell>
          <cell r="R236" t="str">
            <v>NA</v>
          </cell>
          <cell r="S236">
            <v>5</v>
          </cell>
        </row>
        <row r="237">
          <cell r="B237" t="str">
            <v>EMMC</v>
          </cell>
          <cell r="C237" t="str">
            <v>HSLB12124</v>
          </cell>
          <cell r="D237">
            <v>112054</v>
          </cell>
          <cell r="E237" t="str">
            <v>Escabel</v>
          </cell>
          <cell r="F237" t="str">
            <v>NO</v>
          </cell>
          <cell r="G237" t="str">
            <v>NO</v>
          </cell>
          <cell r="H237" t="str">
            <v>SALA 1 CAMA</v>
          </cell>
          <cell r="I237">
            <v>1</v>
          </cell>
          <cell r="J237" t="str">
            <v>C.3.5.15.1</v>
          </cell>
          <cell r="K237" t="str">
            <v>Hospitalización</v>
          </cell>
          <cell r="L237">
            <v>5</v>
          </cell>
          <cell r="M237">
            <v>46058</v>
          </cell>
          <cell r="N237">
            <v>46059</v>
          </cell>
          <cell r="O237">
            <v>1</v>
          </cell>
          <cell r="P237">
            <v>46062</v>
          </cell>
          <cell r="Q237">
            <v>5</v>
          </cell>
          <cell r="R237" t="str">
            <v>NA</v>
          </cell>
          <cell r="S237">
            <v>5</v>
          </cell>
        </row>
        <row r="238">
          <cell r="B238" t="str">
            <v>EMMC</v>
          </cell>
          <cell r="C238" t="str">
            <v>HSLB12125</v>
          </cell>
          <cell r="D238">
            <v>112054</v>
          </cell>
          <cell r="E238" t="str">
            <v>Escabel</v>
          </cell>
          <cell r="F238" t="str">
            <v>NO</v>
          </cell>
          <cell r="G238" t="str">
            <v>NO</v>
          </cell>
          <cell r="H238" t="str">
            <v>SALA 1 CAMA</v>
          </cell>
          <cell r="I238">
            <v>1</v>
          </cell>
          <cell r="J238" t="str">
            <v>C.3.5.15.2</v>
          </cell>
          <cell r="K238" t="str">
            <v>Hospitalización</v>
          </cell>
          <cell r="L238">
            <v>5</v>
          </cell>
          <cell r="M238">
            <v>46058</v>
          </cell>
          <cell r="N238">
            <v>46059</v>
          </cell>
          <cell r="O238">
            <v>1</v>
          </cell>
          <cell r="P238">
            <v>46062</v>
          </cell>
          <cell r="Q238">
            <v>5</v>
          </cell>
          <cell r="R238" t="str">
            <v>NA</v>
          </cell>
          <cell r="S238">
            <v>5</v>
          </cell>
        </row>
        <row r="239">
          <cell r="B239" t="str">
            <v>EMMC</v>
          </cell>
          <cell r="C239" t="str">
            <v>HSLB12126</v>
          </cell>
          <cell r="D239">
            <v>112054</v>
          </cell>
          <cell r="E239" t="str">
            <v>Escabel</v>
          </cell>
          <cell r="F239" t="str">
            <v>NO</v>
          </cell>
          <cell r="G239" t="str">
            <v>NO</v>
          </cell>
          <cell r="H239" t="str">
            <v>SALA 1 CAMA</v>
          </cell>
          <cell r="I239">
            <v>1</v>
          </cell>
          <cell r="J239" t="str">
            <v>C.3.5.15.3</v>
          </cell>
          <cell r="K239" t="str">
            <v>Hospitalización</v>
          </cell>
          <cell r="L239">
            <v>5</v>
          </cell>
          <cell r="M239">
            <v>46058</v>
          </cell>
          <cell r="N239">
            <v>46059</v>
          </cell>
          <cell r="O239">
            <v>1</v>
          </cell>
          <cell r="P239">
            <v>46062</v>
          </cell>
          <cell r="Q239">
            <v>5</v>
          </cell>
          <cell r="R239" t="str">
            <v>NA</v>
          </cell>
          <cell r="S239">
            <v>5</v>
          </cell>
        </row>
        <row r="240">
          <cell r="B240" t="str">
            <v>EMMC</v>
          </cell>
          <cell r="C240" t="str">
            <v>HSLB12127</v>
          </cell>
          <cell r="D240">
            <v>112054</v>
          </cell>
          <cell r="E240" t="str">
            <v>Escabel</v>
          </cell>
          <cell r="F240" t="str">
            <v>NO</v>
          </cell>
          <cell r="G240" t="str">
            <v>NO</v>
          </cell>
          <cell r="H240" t="str">
            <v>SALA 1 CAMA</v>
          </cell>
          <cell r="I240">
            <v>1</v>
          </cell>
          <cell r="J240" t="str">
            <v>C.3.5.15.4</v>
          </cell>
          <cell r="K240" t="str">
            <v>Hospitalización</v>
          </cell>
          <cell r="L240">
            <v>5</v>
          </cell>
          <cell r="M240">
            <v>46058</v>
          </cell>
          <cell r="N240">
            <v>46059</v>
          </cell>
          <cell r="O240">
            <v>1</v>
          </cell>
          <cell r="P240">
            <v>46062</v>
          </cell>
          <cell r="Q240">
            <v>5</v>
          </cell>
          <cell r="R240" t="str">
            <v>NA</v>
          </cell>
          <cell r="S240">
            <v>5</v>
          </cell>
        </row>
        <row r="241">
          <cell r="B241" t="str">
            <v>EMMC</v>
          </cell>
          <cell r="C241" t="str">
            <v>HSLB12128</v>
          </cell>
          <cell r="D241">
            <v>112054</v>
          </cell>
          <cell r="E241" t="str">
            <v>Escabel</v>
          </cell>
          <cell r="F241" t="str">
            <v>NO</v>
          </cell>
          <cell r="G241" t="str">
            <v>NO</v>
          </cell>
          <cell r="H241" t="str">
            <v>SALA 1 CAMA</v>
          </cell>
          <cell r="I241">
            <v>1</v>
          </cell>
          <cell r="J241" t="str">
            <v>C.3.5.15.5</v>
          </cell>
          <cell r="K241" t="str">
            <v>Hospitalización</v>
          </cell>
          <cell r="L241">
            <v>5</v>
          </cell>
          <cell r="M241">
            <v>46058</v>
          </cell>
          <cell r="N241">
            <v>46059</v>
          </cell>
          <cell r="O241">
            <v>1</v>
          </cell>
          <cell r="P241">
            <v>46062</v>
          </cell>
          <cell r="Q241">
            <v>5</v>
          </cell>
          <cell r="R241" t="str">
            <v>NA</v>
          </cell>
          <cell r="S241">
            <v>5</v>
          </cell>
        </row>
        <row r="242">
          <cell r="B242" t="str">
            <v>EMMC</v>
          </cell>
          <cell r="C242" t="str">
            <v>HSLB12129</v>
          </cell>
          <cell r="D242">
            <v>112054</v>
          </cell>
          <cell r="E242" t="str">
            <v>Escabel</v>
          </cell>
          <cell r="F242" t="str">
            <v>NO</v>
          </cell>
          <cell r="G242" t="str">
            <v>SI</v>
          </cell>
          <cell r="H242" t="str">
            <v>SALA 4 CAMAS</v>
          </cell>
          <cell r="I242">
            <v>1</v>
          </cell>
          <cell r="J242" t="str">
            <v>C.3.5.16.1</v>
          </cell>
          <cell r="K242" t="str">
            <v>Hospitalización</v>
          </cell>
          <cell r="L242">
            <v>5</v>
          </cell>
          <cell r="M242">
            <v>46003</v>
          </cell>
          <cell r="N242">
            <v>46006</v>
          </cell>
          <cell r="O242">
            <v>1</v>
          </cell>
          <cell r="P242">
            <v>46007</v>
          </cell>
          <cell r="Q242">
            <v>5</v>
          </cell>
          <cell r="R242" t="str">
            <v>NA</v>
          </cell>
          <cell r="S242">
            <v>5</v>
          </cell>
        </row>
        <row r="243">
          <cell r="B243" t="str">
            <v>EMMC</v>
          </cell>
          <cell r="C243" t="str">
            <v>HSLB12130</v>
          </cell>
          <cell r="D243">
            <v>112054</v>
          </cell>
          <cell r="E243" t="str">
            <v>Escabel</v>
          </cell>
          <cell r="F243" t="str">
            <v>NO</v>
          </cell>
          <cell r="G243" t="str">
            <v>SI</v>
          </cell>
          <cell r="H243" t="str">
            <v>SALA 4 CAMAS</v>
          </cell>
          <cell r="I243">
            <v>1</v>
          </cell>
          <cell r="J243" t="str">
            <v>C.3.5.16.2</v>
          </cell>
          <cell r="K243" t="str">
            <v>Hospitalización</v>
          </cell>
          <cell r="L243">
            <v>5</v>
          </cell>
          <cell r="M243">
            <v>46003</v>
          </cell>
          <cell r="N243">
            <v>46006</v>
          </cell>
          <cell r="O243">
            <v>1</v>
          </cell>
          <cell r="P243">
            <v>46007</v>
          </cell>
          <cell r="Q243">
            <v>5</v>
          </cell>
          <cell r="R243" t="str">
            <v>NA</v>
          </cell>
          <cell r="S243">
            <v>5</v>
          </cell>
        </row>
        <row r="244">
          <cell r="B244" t="str">
            <v>EMMC</v>
          </cell>
          <cell r="C244" t="str">
            <v>HSLB12131</v>
          </cell>
          <cell r="D244">
            <v>112054</v>
          </cell>
          <cell r="E244" t="str">
            <v>Escabel</v>
          </cell>
          <cell r="F244" t="str">
            <v>NO</v>
          </cell>
          <cell r="G244" t="str">
            <v>NO</v>
          </cell>
          <cell r="H244" t="str">
            <v>SALA 1 CAMA AISLAMIENTO (1)</v>
          </cell>
          <cell r="I244">
            <v>1</v>
          </cell>
          <cell r="J244" t="str">
            <v>C.3.5.17.1</v>
          </cell>
          <cell r="K244" t="str">
            <v>Hospitalización</v>
          </cell>
          <cell r="L244">
            <v>5</v>
          </cell>
          <cell r="M244">
            <v>46058</v>
          </cell>
          <cell r="N244">
            <v>46059</v>
          </cell>
          <cell r="O244">
            <v>1</v>
          </cell>
          <cell r="P244">
            <v>46062</v>
          </cell>
          <cell r="Q244">
            <v>5</v>
          </cell>
          <cell r="R244" t="str">
            <v>NA</v>
          </cell>
          <cell r="S244">
            <v>5</v>
          </cell>
        </row>
        <row r="245">
          <cell r="B245" t="str">
            <v>EMMC</v>
          </cell>
          <cell r="C245" t="str">
            <v>HSLB12132</v>
          </cell>
          <cell r="D245">
            <v>112054</v>
          </cell>
          <cell r="E245" t="str">
            <v>Escabel</v>
          </cell>
          <cell r="F245" t="str">
            <v>NO</v>
          </cell>
          <cell r="G245" t="str">
            <v>NO</v>
          </cell>
          <cell r="H245" t="str">
            <v>SALA 1 CAMA AISLAMIENTO (2)</v>
          </cell>
          <cell r="I245">
            <v>1</v>
          </cell>
          <cell r="J245" t="str">
            <v>C.3.5.17.2</v>
          </cell>
          <cell r="K245" t="str">
            <v>Hospitalización</v>
          </cell>
          <cell r="L245">
            <v>5</v>
          </cell>
          <cell r="M245">
            <v>46058</v>
          </cell>
          <cell r="N245">
            <v>46059</v>
          </cell>
          <cell r="O245">
            <v>1</v>
          </cell>
          <cell r="P245">
            <v>46062</v>
          </cell>
          <cell r="Q245">
            <v>5</v>
          </cell>
          <cell r="R245" t="str">
            <v>NA</v>
          </cell>
          <cell r="S245">
            <v>5</v>
          </cell>
        </row>
        <row r="246">
          <cell r="B246" t="str">
            <v>EMMC</v>
          </cell>
          <cell r="C246" t="str">
            <v>HSLB12133</v>
          </cell>
          <cell r="D246">
            <v>112054</v>
          </cell>
          <cell r="E246" t="str">
            <v>Escabel</v>
          </cell>
          <cell r="F246" t="str">
            <v>NO</v>
          </cell>
          <cell r="G246" t="str">
            <v>NO</v>
          </cell>
          <cell r="H246" t="str">
            <v>SALA 1 CAMA AISLAMIENTO (3)</v>
          </cell>
          <cell r="I246">
            <v>1</v>
          </cell>
          <cell r="J246" t="str">
            <v>C.3.5.17.3</v>
          </cell>
          <cell r="K246" t="str">
            <v>Hospitalización</v>
          </cell>
          <cell r="L246">
            <v>5</v>
          </cell>
          <cell r="M246">
            <v>46058</v>
          </cell>
          <cell r="N246">
            <v>46059</v>
          </cell>
          <cell r="O246">
            <v>1</v>
          </cell>
          <cell r="P246">
            <v>46062</v>
          </cell>
          <cell r="Q246">
            <v>5</v>
          </cell>
          <cell r="R246" t="str">
            <v>NA</v>
          </cell>
          <cell r="S246">
            <v>5</v>
          </cell>
        </row>
        <row r="247">
          <cell r="B247" t="str">
            <v>EMMC</v>
          </cell>
          <cell r="C247" t="str">
            <v>HSLB10666</v>
          </cell>
          <cell r="D247">
            <v>105009</v>
          </cell>
          <cell r="E247" t="str">
            <v>Extractor de Leche Automático</v>
          </cell>
          <cell r="F247" t="str">
            <v>NO</v>
          </cell>
          <cell r="G247" t="str">
            <v>NO</v>
          </cell>
          <cell r="H247" t="str">
            <v>LACTARIO</v>
          </cell>
          <cell r="I247">
            <v>2</v>
          </cell>
          <cell r="J247" t="str">
            <v>C.3.5.30</v>
          </cell>
          <cell r="K247" t="str">
            <v>Hospitalización</v>
          </cell>
          <cell r="L247">
            <v>5</v>
          </cell>
          <cell r="M247">
            <v>46058</v>
          </cell>
          <cell r="N247">
            <v>46059</v>
          </cell>
          <cell r="O247">
            <v>1</v>
          </cell>
          <cell r="P247">
            <v>46062</v>
          </cell>
          <cell r="Q247">
            <v>5</v>
          </cell>
          <cell r="R247" t="str">
            <v>NA</v>
          </cell>
          <cell r="S247">
            <v>5</v>
          </cell>
        </row>
        <row r="248">
          <cell r="B248" t="str">
            <v>EMMC</v>
          </cell>
          <cell r="C248" t="str">
            <v>HSLB10668</v>
          </cell>
          <cell r="D248">
            <v>105010</v>
          </cell>
          <cell r="E248" t="str">
            <v>Extractor de Leche Manual</v>
          </cell>
          <cell r="F248" t="str">
            <v>NO</v>
          </cell>
          <cell r="G248" t="str">
            <v>NO</v>
          </cell>
          <cell r="H248" t="str">
            <v>LACTARIO</v>
          </cell>
          <cell r="I248">
            <v>1</v>
          </cell>
          <cell r="J248" t="str">
            <v>C.3.5.30</v>
          </cell>
          <cell r="K248" t="str">
            <v>Hospitalización</v>
          </cell>
          <cell r="L248">
            <v>5</v>
          </cell>
          <cell r="M248">
            <v>46058</v>
          </cell>
          <cell r="N248">
            <v>46059</v>
          </cell>
          <cell r="O248">
            <v>1</v>
          </cell>
          <cell r="P248">
            <v>46062</v>
          </cell>
          <cell r="Q248">
            <v>5</v>
          </cell>
          <cell r="R248" t="str">
            <v>NA</v>
          </cell>
          <cell r="S248">
            <v>5</v>
          </cell>
        </row>
        <row r="249">
          <cell r="B249" t="str">
            <v>EMMC</v>
          </cell>
          <cell r="C249" t="str">
            <v>HSLB10782</v>
          </cell>
          <cell r="D249">
            <v>106007</v>
          </cell>
          <cell r="E249" t="str">
            <v>Hervidor Eléctrico</v>
          </cell>
          <cell r="F249" t="str">
            <v>NO</v>
          </cell>
          <cell r="G249" t="str">
            <v>NO</v>
          </cell>
          <cell r="H249" t="str">
            <v>ESTAR PERSONAL C/ KITCHENETTE</v>
          </cell>
          <cell r="I249">
            <v>1</v>
          </cell>
          <cell r="J249" t="str">
            <v>C.3.4.2.19</v>
          </cell>
          <cell r="K249" t="str">
            <v>Hospitalización</v>
          </cell>
          <cell r="L249">
            <v>5</v>
          </cell>
          <cell r="M249">
            <v>46058</v>
          </cell>
          <cell r="N249">
            <v>46059</v>
          </cell>
          <cell r="O249">
            <v>1</v>
          </cell>
          <cell r="P249">
            <v>46062</v>
          </cell>
          <cell r="Q249">
            <v>5</v>
          </cell>
          <cell r="R249" t="str">
            <v>NA</v>
          </cell>
          <cell r="S249">
            <v>5</v>
          </cell>
        </row>
        <row r="250">
          <cell r="B250" t="str">
            <v>EMMC</v>
          </cell>
          <cell r="C250" t="str">
            <v>HSLB10785</v>
          </cell>
          <cell r="D250">
            <v>106007</v>
          </cell>
          <cell r="E250" t="str">
            <v>Hervidor Eléctrico</v>
          </cell>
          <cell r="F250" t="str">
            <v>NO</v>
          </cell>
          <cell r="G250" t="str">
            <v>NO</v>
          </cell>
          <cell r="H250" t="str">
            <v>SALA DE ESTAR FAMILIARES Y ENTREVISTAS</v>
          </cell>
          <cell r="I250">
            <v>1</v>
          </cell>
          <cell r="J250" t="str">
            <v>C.3.4.3.4</v>
          </cell>
          <cell r="K250" t="str">
            <v>Hospitalización</v>
          </cell>
          <cell r="L250">
            <v>5</v>
          </cell>
          <cell r="M250">
            <v>46058</v>
          </cell>
          <cell r="N250">
            <v>46059</v>
          </cell>
          <cell r="O250">
            <v>1</v>
          </cell>
          <cell r="P250">
            <v>46062</v>
          </cell>
          <cell r="Q250">
            <v>5</v>
          </cell>
          <cell r="R250" t="str">
            <v>NA</v>
          </cell>
          <cell r="S250">
            <v>5</v>
          </cell>
        </row>
        <row r="251">
          <cell r="B251" t="str">
            <v>EMMC</v>
          </cell>
          <cell r="C251" t="str">
            <v>HSLB10789</v>
          </cell>
          <cell r="D251">
            <v>106007</v>
          </cell>
          <cell r="E251" t="str">
            <v>Hervidor Eléctrico</v>
          </cell>
          <cell r="F251" t="str">
            <v>NO</v>
          </cell>
          <cell r="G251" t="str">
            <v>NO</v>
          </cell>
          <cell r="H251" t="str">
            <v>ESTAR PERSONAL C/ KITCHENETTE</v>
          </cell>
          <cell r="I251">
            <v>1</v>
          </cell>
          <cell r="J251" t="str">
            <v>C.3.5.31</v>
          </cell>
          <cell r="K251" t="str">
            <v>Hospitalización</v>
          </cell>
          <cell r="L251">
            <v>5</v>
          </cell>
          <cell r="M251">
            <v>46058</v>
          </cell>
          <cell r="N251">
            <v>46059</v>
          </cell>
          <cell r="O251">
            <v>1</v>
          </cell>
          <cell r="P251">
            <v>46062</v>
          </cell>
          <cell r="Q251">
            <v>5</v>
          </cell>
          <cell r="R251" t="str">
            <v>NA</v>
          </cell>
          <cell r="S251">
            <v>5</v>
          </cell>
        </row>
        <row r="252">
          <cell r="B252" t="str">
            <v>EMMC</v>
          </cell>
          <cell r="C252" t="str">
            <v>HSLB10790</v>
          </cell>
          <cell r="D252">
            <v>106007</v>
          </cell>
          <cell r="E252" t="str">
            <v>Hervidor Eléctrico</v>
          </cell>
          <cell r="F252" t="str">
            <v>NO</v>
          </cell>
          <cell r="G252" t="str">
            <v>NO</v>
          </cell>
          <cell r="H252" t="str">
            <v>SALA DE ESTAR FAMILIARES Y ENTREVISTAS</v>
          </cell>
          <cell r="I252">
            <v>1</v>
          </cell>
          <cell r="J252" t="str">
            <v>C.3.5.7</v>
          </cell>
          <cell r="K252" t="str">
            <v>Hospitalización</v>
          </cell>
          <cell r="L252">
            <v>5</v>
          </cell>
          <cell r="M252">
            <v>46058</v>
          </cell>
          <cell r="N252">
            <v>46059</v>
          </cell>
          <cell r="O252">
            <v>1</v>
          </cell>
          <cell r="P252">
            <v>46062</v>
          </cell>
          <cell r="Q252">
            <v>5</v>
          </cell>
          <cell r="R252" t="str">
            <v>NA</v>
          </cell>
          <cell r="S252">
            <v>5</v>
          </cell>
        </row>
        <row r="253">
          <cell r="B253" t="str">
            <v>EMMC</v>
          </cell>
          <cell r="C253" t="str">
            <v>HSLB12315</v>
          </cell>
          <cell r="D253">
            <v>112063</v>
          </cell>
          <cell r="E253" t="str">
            <v>Mesa Mayo</v>
          </cell>
          <cell r="F253" t="str">
            <v>NO</v>
          </cell>
          <cell r="G253" t="str">
            <v>NO</v>
          </cell>
          <cell r="H253" t="str">
            <v>SALA DE PROCEDIMIENTOS</v>
          </cell>
          <cell r="I253">
            <v>1</v>
          </cell>
          <cell r="J253" t="str">
            <v>C.3.4.2.10</v>
          </cell>
          <cell r="K253" t="str">
            <v>Hospitalización</v>
          </cell>
          <cell r="L253">
            <v>5</v>
          </cell>
          <cell r="M253">
            <v>46058</v>
          </cell>
          <cell r="N253">
            <v>46059</v>
          </cell>
          <cell r="O253">
            <v>1</v>
          </cell>
          <cell r="P253">
            <v>46062</v>
          </cell>
          <cell r="Q253">
            <v>5</v>
          </cell>
          <cell r="R253" t="str">
            <v>NA</v>
          </cell>
          <cell r="S253">
            <v>5</v>
          </cell>
        </row>
        <row r="254">
          <cell r="B254" t="str">
            <v>EMMC</v>
          </cell>
          <cell r="C254" t="str">
            <v>HSLB12318</v>
          </cell>
          <cell r="D254">
            <v>112063</v>
          </cell>
          <cell r="E254" t="str">
            <v>Mesa Mayo</v>
          </cell>
          <cell r="F254" t="str">
            <v>NO</v>
          </cell>
          <cell r="G254" t="str">
            <v>NO</v>
          </cell>
          <cell r="H254" t="str">
            <v>SALA DE PROCEDIMIENTOS</v>
          </cell>
          <cell r="I254">
            <v>1</v>
          </cell>
          <cell r="J254" t="str">
            <v>C.3.5.18</v>
          </cell>
          <cell r="K254" t="str">
            <v>Hospitalización</v>
          </cell>
          <cell r="L254">
            <v>5</v>
          </cell>
          <cell r="M254">
            <v>46058</v>
          </cell>
          <cell r="N254">
            <v>46059</v>
          </cell>
          <cell r="O254">
            <v>1</v>
          </cell>
          <cell r="P254">
            <v>46062</v>
          </cell>
          <cell r="Q254">
            <v>5</v>
          </cell>
          <cell r="R254" t="str">
            <v>NA</v>
          </cell>
          <cell r="S254">
            <v>5</v>
          </cell>
        </row>
        <row r="255">
          <cell r="B255" t="str">
            <v>EMMC</v>
          </cell>
          <cell r="C255" t="str">
            <v>HSLB10840</v>
          </cell>
          <cell r="D255">
            <v>106010</v>
          </cell>
          <cell r="E255" t="str">
            <v>Microondas</v>
          </cell>
          <cell r="F255" t="str">
            <v>NO</v>
          </cell>
          <cell r="G255" t="str">
            <v>NO</v>
          </cell>
          <cell r="H255" t="str">
            <v>ESTAR PERSONAL C/ KITCHENETTE</v>
          </cell>
          <cell r="I255">
            <v>1</v>
          </cell>
          <cell r="J255" t="str">
            <v>C.3.4.2.19</v>
          </cell>
          <cell r="K255" t="str">
            <v>Hospitalización</v>
          </cell>
          <cell r="L255">
            <v>5</v>
          </cell>
          <cell r="M255">
            <v>46058</v>
          </cell>
          <cell r="N255">
            <v>46059</v>
          </cell>
          <cell r="O255">
            <v>1</v>
          </cell>
          <cell r="P255">
            <v>46062</v>
          </cell>
          <cell r="Q255">
            <v>5</v>
          </cell>
          <cell r="R255" t="str">
            <v>NA</v>
          </cell>
          <cell r="S255">
            <v>5</v>
          </cell>
        </row>
        <row r="256">
          <cell r="B256" t="str">
            <v>EMMC</v>
          </cell>
          <cell r="C256" t="str">
            <v>HSLB10845</v>
          </cell>
          <cell r="D256">
            <v>106010</v>
          </cell>
          <cell r="E256" t="str">
            <v>Microondas</v>
          </cell>
          <cell r="F256" t="str">
            <v>NO</v>
          </cell>
          <cell r="G256" t="str">
            <v>NO</v>
          </cell>
          <cell r="H256" t="str">
            <v>ESTAR PERSONAL C/ KITCHENETTE</v>
          </cell>
          <cell r="I256">
            <v>1</v>
          </cell>
          <cell r="J256" t="str">
            <v>C.3.5.31</v>
          </cell>
          <cell r="K256" t="str">
            <v>Hospitalización</v>
          </cell>
          <cell r="L256">
            <v>5</v>
          </cell>
          <cell r="M256">
            <v>46058</v>
          </cell>
          <cell r="N256">
            <v>46059</v>
          </cell>
          <cell r="O256">
            <v>1</v>
          </cell>
          <cell r="P256">
            <v>46062</v>
          </cell>
          <cell r="Q256">
            <v>5</v>
          </cell>
          <cell r="R256" t="str">
            <v>NA</v>
          </cell>
          <cell r="S256">
            <v>5</v>
          </cell>
        </row>
        <row r="257">
          <cell r="B257" t="str">
            <v>EMMC</v>
          </cell>
          <cell r="C257" t="str">
            <v>HSLB10186</v>
          </cell>
          <cell r="D257">
            <v>101049</v>
          </cell>
          <cell r="E257" t="str">
            <v>Negatoscopio</v>
          </cell>
          <cell r="F257" t="str">
            <v>NO</v>
          </cell>
          <cell r="G257" t="str">
            <v>NO</v>
          </cell>
          <cell r="H257" t="str">
            <v>ESTACIÓN DE ENFERMERÍA</v>
          </cell>
          <cell r="I257">
            <v>1</v>
          </cell>
          <cell r="J257" t="str">
            <v>C.3.4.2.5</v>
          </cell>
          <cell r="K257" t="str">
            <v>Hospitalización</v>
          </cell>
          <cell r="L257">
            <v>5</v>
          </cell>
          <cell r="M257">
            <v>46058</v>
          </cell>
          <cell r="N257">
            <v>46059</v>
          </cell>
          <cell r="O257">
            <v>1</v>
          </cell>
          <cell r="P257">
            <v>46062</v>
          </cell>
          <cell r="Q257">
            <v>5</v>
          </cell>
          <cell r="R257" t="str">
            <v>NA</v>
          </cell>
          <cell r="S257">
            <v>5</v>
          </cell>
        </row>
        <row r="258">
          <cell r="B258" t="str">
            <v>EMMC</v>
          </cell>
          <cell r="C258" t="str">
            <v>HSLB10191</v>
          </cell>
          <cell r="D258">
            <v>101049</v>
          </cell>
          <cell r="E258" t="str">
            <v>Negatoscopio</v>
          </cell>
          <cell r="F258" t="str">
            <v>NO</v>
          </cell>
          <cell r="G258" t="str">
            <v>NO</v>
          </cell>
          <cell r="H258" t="str">
            <v>ESTACIÓN DE ENFERMERÍA</v>
          </cell>
          <cell r="I258">
            <v>1</v>
          </cell>
          <cell r="J258" t="str">
            <v>C.3.5.11</v>
          </cell>
          <cell r="K258" t="str">
            <v>Hospitalización</v>
          </cell>
          <cell r="L258">
            <v>5</v>
          </cell>
          <cell r="M258">
            <v>46058</v>
          </cell>
          <cell r="N258">
            <v>46059</v>
          </cell>
          <cell r="O258">
            <v>1</v>
          </cell>
          <cell r="P258">
            <v>46062</v>
          </cell>
          <cell r="Q258">
            <v>5</v>
          </cell>
          <cell r="R258" t="str">
            <v>NA</v>
          </cell>
          <cell r="S258">
            <v>5</v>
          </cell>
        </row>
        <row r="259">
          <cell r="B259" t="str">
            <v>EMMC</v>
          </cell>
          <cell r="C259" t="str">
            <v>HSLB11391</v>
          </cell>
          <cell r="D259">
            <v>110039</v>
          </cell>
          <cell r="E259" t="str">
            <v>Nevera</v>
          </cell>
          <cell r="F259" t="str">
            <v>NO</v>
          </cell>
          <cell r="G259" t="str">
            <v>NO</v>
          </cell>
          <cell r="H259" t="str">
            <v>LACTARIO</v>
          </cell>
          <cell r="I259">
            <v>1</v>
          </cell>
          <cell r="J259" t="str">
            <v>C.3.5.30</v>
          </cell>
          <cell r="K259" t="str">
            <v>Hospitalización</v>
          </cell>
          <cell r="L259">
            <v>5</v>
          </cell>
          <cell r="M259">
            <v>46058</v>
          </cell>
          <cell r="N259">
            <v>46059</v>
          </cell>
          <cell r="O259">
            <v>1</v>
          </cell>
          <cell r="P259">
            <v>46062</v>
          </cell>
          <cell r="Q259">
            <v>5</v>
          </cell>
          <cell r="R259" t="str">
            <v>NA</v>
          </cell>
          <cell r="S259">
            <v>5</v>
          </cell>
        </row>
        <row r="260">
          <cell r="B260" t="str">
            <v>EMMC</v>
          </cell>
          <cell r="C260" t="str">
            <v>HSLB10220</v>
          </cell>
          <cell r="D260">
            <v>101054</v>
          </cell>
          <cell r="E260" t="str">
            <v>Otooftalmoscopio Portátil</v>
          </cell>
          <cell r="F260" t="str">
            <v>NO</v>
          </cell>
          <cell r="G260" t="str">
            <v>NO</v>
          </cell>
          <cell r="H260" t="str">
            <v>ESTACIÓN DE ENFERMERÍA</v>
          </cell>
          <cell r="I260">
            <v>1</v>
          </cell>
          <cell r="J260" t="str">
            <v>C.3.4.2.5</v>
          </cell>
          <cell r="K260" t="str">
            <v>Hospitalización</v>
          </cell>
          <cell r="L260">
            <v>5</v>
          </cell>
          <cell r="M260">
            <v>46058</v>
          </cell>
          <cell r="N260">
            <v>46059</v>
          </cell>
          <cell r="O260">
            <v>1</v>
          </cell>
          <cell r="P260">
            <v>46062</v>
          </cell>
          <cell r="Q260">
            <v>5</v>
          </cell>
          <cell r="R260" t="str">
            <v>NA</v>
          </cell>
          <cell r="S260">
            <v>5</v>
          </cell>
        </row>
        <row r="261">
          <cell r="B261" t="str">
            <v>EMMC</v>
          </cell>
          <cell r="C261" t="str">
            <v>HSLB10225</v>
          </cell>
          <cell r="D261">
            <v>101054</v>
          </cell>
          <cell r="E261" t="str">
            <v>Otooftalmoscopio Portátil</v>
          </cell>
          <cell r="F261" t="str">
            <v>NO</v>
          </cell>
          <cell r="G261" t="str">
            <v>NO</v>
          </cell>
          <cell r="H261" t="str">
            <v>ESTACIÓN DE ENFERMERÍA</v>
          </cell>
          <cell r="I261">
            <v>3</v>
          </cell>
          <cell r="J261" t="str">
            <v>C.3.5.11</v>
          </cell>
          <cell r="K261" t="str">
            <v>Hospitalización</v>
          </cell>
          <cell r="L261">
            <v>5</v>
          </cell>
          <cell r="M261">
            <v>46058</v>
          </cell>
          <cell r="N261">
            <v>46059</v>
          </cell>
          <cell r="O261">
            <v>1</v>
          </cell>
          <cell r="P261">
            <v>46062</v>
          </cell>
          <cell r="Q261">
            <v>5</v>
          </cell>
          <cell r="R261" t="str">
            <v>NA</v>
          </cell>
          <cell r="S261">
            <v>5</v>
          </cell>
        </row>
        <row r="262">
          <cell r="B262" t="str">
            <v>EMMC</v>
          </cell>
          <cell r="C262" t="str">
            <v>HSLB10891</v>
          </cell>
          <cell r="D262">
            <v>106012</v>
          </cell>
          <cell r="E262" t="str">
            <v>Oxímetro Ambiental</v>
          </cell>
          <cell r="F262" t="str">
            <v>NO</v>
          </cell>
          <cell r="G262" t="str">
            <v>NO</v>
          </cell>
          <cell r="H262" t="str">
            <v>ESTACIÓN DE ENFERMERÍA</v>
          </cell>
          <cell r="I262">
            <v>2</v>
          </cell>
          <cell r="J262" t="str">
            <v>C.3.5.11</v>
          </cell>
          <cell r="K262" t="str">
            <v>Hospitalización</v>
          </cell>
          <cell r="L262">
            <v>5</v>
          </cell>
          <cell r="M262">
            <v>46058</v>
          </cell>
          <cell r="N262">
            <v>46059</v>
          </cell>
          <cell r="O262">
            <v>1</v>
          </cell>
          <cell r="P262">
            <v>46062</v>
          </cell>
          <cell r="Q262">
            <v>5</v>
          </cell>
          <cell r="R262" t="str">
            <v>NA</v>
          </cell>
          <cell r="S262">
            <v>5</v>
          </cell>
        </row>
        <row r="263">
          <cell r="B263" t="str">
            <v>EMMC</v>
          </cell>
          <cell r="C263" t="str">
            <v>HSLB12380</v>
          </cell>
          <cell r="D263">
            <v>112068</v>
          </cell>
          <cell r="E263" t="str">
            <v>Piso Taburete Clínico</v>
          </cell>
          <cell r="F263" t="str">
            <v>NO</v>
          </cell>
          <cell r="G263" t="str">
            <v>NO</v>
          </cell>
          <cell r="H263" t="str">
            <v>SALA DE PROCEDIMIENTOS</v>
          </cell>
          <cell r="I263">
            <v>1</v>
          </cell>
          <cell r="J263" t="str">
            <v>C.3.4.2.10</v>
          </cell>
          <cell r="K263" t="str">
            <v>Hospitalización</v>
          </cell>
          <cell r="L263">
            <v>5</v>
          </cell>
          <cell r="M263">
            <v>46058</v>
          </cell>
          <cell r="N263">
            <v>46059</v>
          </cell>
          <cell r="O263">
            <v>1</v>
          </cell>
          <cell r="P263">
            <v>46062</v>
          </cell>
          <cell r="Q263">
            <v>5</v>
          </cell>
          <cell r="R263" t="str">
            <v>NA</v>
          </cell>
          <cell r="S263">
            <v>5</v>
          </cell>
        </row>
        <row r="264">
          <cell r="B264" t="str">
            <v>EMMC</v>
          </cell>
          <cell r="C264" t="str">
            <v>HSLB12422</v>
          </cell>
          <cell r="D264">
            <v>112069</v>
          </cell>
          <cell r="E264" t="str">
            <v>Piso Taburete Clínico con Respaldo</v>
          </cell>
          <cell r="F264" t="str">
            <v>NO</v>
          </cell>
          <cell r="G264" t="str">
            <v>NO</v>
          </cell>
          <cell r="H264" t="str">
            <v>SALA DE PROCEDIMIENTOS</v>
          </cell>
          <cell r="I264">
            <v>1</v>
          </cell>
          <cell r="J264" t="str">
            <v>C.3.5.18</v>
          </cell>
          <cell r="K264" t="str">
            <v>Hospitalización</v>
          </cell>
          <cell r="L264">
            <v>5</v>
          </cell>
          <cell r="M264">
            <v>46058</v>
          </cell>
          <cell r="N264">
            <v>46059</v>
          </cell>
          <cell r="O264">
            <v>1</v>
          </cell>
          <cell r="P264">
            <v>46062</v>
          </cell>
          <cell r="Q264">
            <v>5</v>
          </cell>
          <cell r="R264" t="str">
            <v>NA</v>
          </cell>
          <cell r="S264">
            <v>5</v>
          </cell>
        </row>
        <row r="265">
          <cell r="B265" t="str">
            <v>EMMC</v>
          </cell>
          <cell r="C265" t="str">
            <v>HSLB10906</v>
          </cell>
          <cell r="D265">
            <v>106013</v>
          </cell>
          <cell r="E265" t="str">
            <v>Proyector</v>
          </cell>
          <cell r="F265" t="str">
            <v>NO</v>
          </cell>
          <cell r="G265" t="str">
            <v>NO</v>
          </cell>
          <cell r="H265" t="str">
            <v>SALA MULTIUSO</v>
          </cell>
          <cell r="I265">
            <v>1</v>
          </cell>
          <cell r="J265" t="str">
            <v>C.3.4.2.9</v>
          </cell>
          <cell r="K265" t="str">
            <v>Hospitalización</v>
          </cell>
          <cell r="L265">
            <v>5</v>
          </cell>
          <cell r="M265">
            <v>46058</v>
          </cell>
          <cell r="N265">
            <v>46059</v>
          </cell>
          <cell r="O265">
            <v>1</v>
          </cell>
          <cell r="P265">
            <v>46062</v>
          </cell>
          <cell r="Q265">
            <v>5</v>
          </cell>
          <cell r="R265" t="str">
            <v>NA</v>
          </cell>
          <cell r="S265">
            <v>5</v>
          </cell>
        </row>
        <row r="266">
          <cell r="B266" t="str">
            <v>EMMC</v>
          </cell>
          <cell r="C266" t="str">
            <v>HSLB10907</v>
          </cell>
          <cell r="D266">
            <v>106013</v>
          </cell>
          <cell r="E266" t="str">
            <v>Proyector</v>
          </cell>
          <cell r="F266" t="str">
            <v>NO</v>
          </cell>
          <cell r="G266" t="str">
            <v>NO</v>
          </cell>
          <cell r="H266" t="str">
            <v>AULA HOSPITALARIA</v>
          </cell>
          <cell r="I266">
            <v>1</v>
          </cell>
          <cell r="J266" t="str">
            <v>C.3.5.34</v>
          </cell>
          <cell r="K266" t="str">
            <v>Hospitalización</v>
          </cell>
          <cell r="L266">
            <v>5</v>
          </cell>
          <cell r="M266">
            <v>46058</v>
          </cell>
          <cell r="N266">
            <v>46059</v>
          </cell>
          <cell r="O266">
            <v>1</v>
          </cell>
          <cell r="P266">
            <v>46062</v>
          </cell>
          <cell r="Q266">
            <v>5</v>
          </cell>
          <cell r="R266" t="str">
            <v>NA</v>
          </cell>
          <cell r="S266">
            <v>5</v>
          </cell>
        </row>
        <row r="267">
          <cell r="B267" t="str">
            <v>EMMC</v>
          </cell>
          <cell r="C267" t="str">
            <v>HSLB11542</v>
          </cell>
          <cell r="D267">
            <v>111068</v>
          </cell>
          <cell r="E267" t="str">
            <v>Set de Balones Terapéuticos</v>
          </cell>
          <cell r="F267" t="str">
            <v>NO</v>
          </cell>
          <cell r="G267" t="str">
            <v>NO</v>
          </cell>
          <cell r="H267" t="str">
            <v>BODEGA DE EQUIPOS</v>
          </cell>
          <cell r="I267">
            <v>1</v>
          </cell>
          <cell r="J267" t="str">
            <v>C.3.4.2.13</v>
          </cell>
          <cell r="K267" t="str">
            <v>Hospitalización</v>
          </cell>
          <cell r="L267">
            <v>5</v>
          </cell>
          <cell r="M267">
            <v>46058</v>
          </cell>
          <cell r="N267">
            <v>46059</v>
          </cell>
          <cell r="O267">
            <v>1</v>
          </cell>
          <cell r="P267">
            <v>46062</v>
          </cell>
          <cell r="Q267">
            <v>5</v>
          </cell>
          <cell r="R267" t="str">
            <v>NA</v>
          </cell>
          <cell r="S267">
            <v>5</v>
          </cell>
        </row>
        <row r="268">
          <cell r="B268" t="str">
            <v>EMMC</v>
          </cell>
          <cell r="C268" t="str">
            <v>HSLB12456</v>
          </cell>
          <cell r="D268">
            <v>112077</v>
          </cell>
          <cell r="E268" t="str">
            <v>Silla de Ruedas</v>
          </cell>
          <cell r="F268" t="str">
            <v>NO</v>
          </cell>
          <cell r="G268" t="str">
            <v>NO</v>
          </cell>
          <cell r="H268" t="str">
            <v>ESTACIONAMIENTO CAMILLAS Y SILLAS DE RUEDAS</v>
          </cell>
          <cell r="I268">
            <v>1</v>
          </cell>
          <cell r="J268" t="str">
            <v>C.3.4.2.22</v>
          </cell>
          <cell r="K268" t="str">
            <v>Hospitalización</v>
          </cell>
          <cell r="L268">
            <v>5</v>
          </cell>
          <cell r="M268">
            <v>46058</v>
          </cell>
          <cell r="N268">
            <v>46059</v>
          </cell>
          <cell r="O268">
            <v>1</v>
          </cell>
          <cell r="P268">
            <v>46062</v>
          </cell>
          <cell r="Q268">
            <v>5</v>
          </cell>
          <cell r="R268" t="str">
            <v>NA</v>
          </cell>
          <cell r="S268">
            <v>5</v>
          </cell>
        </row>
        <row r="269">
          <cell r="B269" t="str">
            <v>EMMC</v>
          </cell>
          <cell r="C269" t="str">
            <v>HSLB12459</v>
          </cell>
          <cell r="D269">
            <v>112077</v>
          </cell>
          <cell r="E269" t="str">
            <v>Silla de Ruedas</v>
          </cell>
          <cell r="F269" t="str">
            <v>NO</v>
          </cell>
          <cell r="G269" t="str">
            <v>NO</v>
          </cell>
          <cell r="H269" t="str">
            <v>ESTACIONAMIENTO CAMILLAS Y SILLAS DE RUEDAS</v>
          </cell>
          <cell r="I269">
            <v>2</v>
          </cell>
          <cell r="J269" t="str">
            <v>C.3.5.29</v>
          </cell>
          <cell r="K269" t="str">
            <v>Hospitalización</v>
          </cell>
          <cell r="L269">
            <v>5</v>
          </cell>
          <cell r="M269">
            <v>46058</v>
          </cell>
          <cell r="N269">
            <v>46059</v>
          </cell>
          <cell r="O269">
            <v>1</v>
          </cell>
          <cell r="P269">
            <v>46062</v>
          </cell>
          <cell r="Q269">
            <v>5</v>
          </cell>
          <cell r="R269" t="str">
            <v>NA</v>
          </cell>
          <cell r="S269">
            <v>5</v>
          </cell>
        </row>
        <row r="270">
          <cell r="B270" t="str">
            <v>EMMC</v>
          </cell>
          <cell r="C270" t="str">
            <v>HSLB11442</v>
          </cell>
          <cell r="D270">
            <v>110059</v>
          </cell>
          <cell r="E270" t="str">
            <v>Sistema de Transporte Refrigerado para Medicamentos 8 L</v>
          </cell>
          <cell r="F270" t="str">
            <v>NO</v>
          </cell>
          <cell r="G270" t="str">
            <v>NO</v>
          </cell>
          <cell r="H270" t="str">
            <v>AREA LIMPIA</v>
          </cell>
          <cell r="I270">
            <v>1</v>
          </cell>
          <cell r="J270" t="str">
            <v>C.3.4.2.6.1</v>
          </cell>
          <cell r="K270" t="str">
            <v>Hospitalización</v>
          </cell>
          <cell r="L270">
            <v>5</v>
          </cell>
          <cell r="M270">
            <v>46058</v>
          </cell>
          <cell r="N270">
            <v>46059</v>
          </cell>
          <cell r="O270">
            <v>1</v>
          </cell>
          <cell r="P270">
            <v>46062</v>
          </cell>
          <cell r="Q270">
            <v>5</v>
          </cell>
          <cell r="R270" t="str">
            <v>NA</v>
          </cell>
          <cell r="S270">
            <v>5</v>
          </cell>
        </row>
        <row r="271">
          <cell r="B271" t="str">
            <v>EMMC</v>
          </cell>
          <cell r="C271" t="str">
            <v>HSLB11121</v>
          </cell>
          <cell r="D271">
            <v>106023</v>
          </cell>
          <cell r="E271" t="str">
            <v>Urinarios</v>
          </cell>
          <cell r="F271" t="str">
            <v>NO</v>
          </cell>
          <cell r="G271" t="str">
            <v>NO</v>
          </cell>
          <cell r="H271" t="str">
            <v>LAVACHATA AUTOMATICO</v>
          </cell>
          <cell r="I271">
            <v>12</v>
          </cell>
          <cell r="J271" t="str">
            <v>C.3.4.2.16</v>
          </cell>
          <cell r="K271" t="str">
            <v>Hospitalización</v>
          </cell>
          <cell r="L271">
            <v>5</v>
          </cell>
          <cell r="M271">
            <v>46058</v>
          </cell>
          <cell r="N271">
            <v>46059</v>
          </cell>
          <cell r="O271">
            <v>1</v>
          </cell>
          <cell r="P271">
            <v>46062</v>
          </cell>
          <cell r="Q271">
            <v>5</v>
          </cell>
          <cell r="R271" t="str">
            <v>NA</v>
          </cell>
          <cell r="S271">
            <v>5</v>
          </cell>
        </row>
        <row r="272">
          <cell r="B272" t="str">
            <v>EMMC</v>
          </cell>
          <cell r="C272" t="str">
            <v>HSLB11126</v>
          </cell>
          <cell r="D272">
            <v>106023</v>
          </cell>
          <cell r="E272" t="str">
            <v>Urinarios</v>
          </cell>
          <cell r="F272" t="str">
            <v>NO</v>
          </cell>
          <cell r="G272" t="str">
            <v>NO</v>
          </cell>
          <cell r="H272" t="str">
            <v>LAVACHATA AUTOMATICO</v>
          </cell>
          <cell r="I272">
            <v>20</v>
          </cell>
          <cell r="J272" t="str">
            <v>C.3.5.24</v>
          </cell>
          <cell r="K272" t="str">
            <v>Hospitalización</v>
          </cell>
          <cell r="L272">
            <v>5</v>
          </cell>
          <cell r="M272">
            <v>46058</v>
          </cell>
          <cell r="N272">
            <v>46059</v>
          </cell>
          <cell r="O272">
            <v>1</v>
          </cell>
          <cell r="P272">
            <v>46062</v>
          </cell>
          <cell r="Q272">
            <v>5</v>
          </cell>
          <cell r="R272" t="str">
            <v>NA</v>
          </cell>
          <cell r="S272">
            <v>5</v>
          </cell>
        </row>
        <row r="273">
          <cell r="B273" t="str">
            <v>EMMC</v>
          </cell>
          <cell r="C273" t="str">
            <v>HSLB12024</v>
          </cell>
          <cell r="D273">
            <v>112050</v>
          </cell>
          <cell r="E273" t="str">
            <v>Catre Pediátrico Transformable</v>
          </cell>
          <cell r="F273" t="str">
            <v>NO</v>
          </cell>
          <cell r="G273" t="str">
            <v>NO</v>
          </cell>
          <cell r="H273" t="str">
            <v>SALA 1 CAMA</v>
          </cell>
          <cell r="I273">
            <v>1</v>
          </cell>
          <cell r="J273" t="str">
            <v>C.3.5.15.1</v>
          </cell>
          <cell r="K273" t="str">
            <v>Hospitalización</v>
          </cell>
          <cell r="L273">
            <v>5</v>
          </cell>
          <cell r="M273">
            <v>46058</v>
          </cell>
          <cell r="N273">
            <v>46059</v>
          </cell>
          <cell r="O273">
            <v>2</v>
          </cell>
          <cell r="P273">
            <v>46063</v>
          </cell>
          <cell r="Q273">
            <v>5</v>
          </cell>
          <cell r="R273" t="str">
            <v>NA</v>
          </cell>
          <cell r="S273">
            <v>5</v>
          </cell>
        </row>
        <row r="274">
          <cell r="B274" t="str">
            <v>EMMC</v>
          </cell>
          <cell r="C274" t="str">
            <v>HSLB12025</v>
          </cell>
          <cell r="D274">
            <v>112050</v>
          </cell>
          <cell r="E274" t="str">
            <v>Catre Pediátrico Transformable</v>
          </cell>
          <cell r="F274" t="str">
            <v>NO</v>
          </cell>
          <cell r="G274" t="str">
            <v>NO</v>
          </cell>
          <cell r="H274" t="str">
            <v>SALA 1 CAMA</v>
          </cell>
          <cell r="I274">
            <v>1</v>
          </cell>
          <cell r="J274" t="str">
            <v>C.3.5.15.2</v>
          </cell>
          <cell r="K274" t="str">
            <v>Hospitalización</v>
          </cell>
          <cell r="L274">
            <v>5</v>
          </cell>
          <cell r="M274">
            <v>46058</v>
          </cell>
          <cell r="N274">
            <v>46059</v>
          </cell>
          <cell r="O274">
            <v>2</v>
          </cell>
          <cell r="P274">
            <v>46063</v>
          </cell>
          <cell r="Q274">
            <v>5</v>
          </cell>
          <cell r="R274" t="str">
            <v>NA</v>
          </cell>
          <cell r="S274">
            <v>5</v>
          </cell>
        </row>
        <row r="275">
          <cell r="B275" t="str">
            <v>EMMC</v>
          </cell>
          <cell r="C275" t="str">
            <v>HSLB12026</v>
          </cell>
          <cell r="D275">
            <v>112050</v>
          </cell>
          <cell r="E275" t="str">
            <v>Catre Pediátrico Transformable</v>
          </cell>
          <cell r="F275" t="str">
            <v>NO</v>
          </cell>
          <cell r="G275" t="str">
            <v>NO</v>
          </cell>
          <cell r="H275" t="str">
            <v>SALA 1 CAMA</v>
          </cell>
          <cell r="I275">
            <v>1</v>
          </cell>
          <cell r="J275" t="str">
            <v>C.3.5.15.3</v>
          </cell>
          <cell r="K275" t="str">
            <v>Hospitalización</v>
          </cell>
          <cell r="L275">
            <v>5</v>
          </cell>
          <cell r="M275">
            <v>46058</v>
          </cell>
          <cell r="N275">
            <v>46059</v>
          </cell>
          <cell r="O275">
            <v>2</v>
          </cell>
          <cell r="P275">
            <v>46063</v>
          </cell>
          <cell r="Q275">
            <v>5</v>
          </cell>
          <cell r="R275" t="str">
            <v>NA</v>
          </cell>
          <cell r="S275">
            <v>5</v>
          </cell>
        </row>
        <row r="276">
          <cell r="B276" t="str">
            <v>EMMC</v>
          </cell>
          <cell r="C276" t="str">
            <v>HSLB11332</v>
          </cell>
          <cell r="D276">
            <v>110007</v>
          </cell>
          <cell r="E276" t="str">
            <v>Balanza de Precisión</v>
          </cell>
          <cell r="F276" t="str">
            <v>NO</v>
          </cell>
          <cell r="G276" t="str">
            <v>SI</v>
          </cell>
          <cell r="H276" t="str">
            <v>BODEGA DE EQUIPOS</v>
          </cell>
          <cell r="I276">
            <v>0</v>
          </cell>
          <cell r="J276" t="str">
            <v xml:space="preserve">C.3.4.2.13 </v>
          </cell>
          <cell r="K276" t="str">
            <v>Hospitalización</v>
          </cell>
          <cell r="L276">
            <v>5</v>
          </cell>
          <cell r="M276">
            <v>46003</v>
          </cell>
          <cell r="N276">
            <v>46006</v>
          </cell>
          <cell r="O276">
            <v>1</v>
          </cell>
          <cell r="P276">
            <v>46007</v>
          </cell>
          <cell r="Q276">
            <v>5</v>
          </cell>
          <cell r="R276" t="str">
            <v>NA</v>
          </cell>
          <cell r="S276">
            <v>5</v>
          </cell>
        </row>
        <row r="277">
          <cell r="B277" t="str">
            <v>EMMC</v>
          </cell>
          <cell r="C277" t="str">
            <v>HSLB11332</v>
          </cell>
          <cell r="D277">
            <v>110007</v>
          </cell>
          <cell r="E277" t="str">
            <v>Balanza de Precisión</v>
          </cell>
          <cell r="F277" t="str">
            <v>NO</v>
          </cell>
          <cell r="G277" t="str">
            <v>SI</v>
          </cell>
          <cell r="H277" t="str">
            <v>MÓDULO TRABAJO SUPERVISOR</v>
          </cell>
          <cell r="I277">
            <v>0</v>
          </cell>
          <cell r="J277" t="str">
            <v>C.3.4.2.4</v>
          </cell>
          <cell r="K277" t="str">
            <v>Hospitalización</v>
          </cell>
          <cell r="L277">
            <v>5</v>
          </cell>
          <cell r="M277">
            <v>46003</v>
          </cell>
          <cell r="N277">
            <v>46006</v>
          </cell>
          <cell r="O277">
            <v>1</v>
          </cell>
          <cell r="P277">
            <v>46007</v>
          </cell>
          <cell r="Q277">
            <v>5</v>
          </cell>
          <cell r="R277" t="str">
            <v>NA</v>
          </cell>
          <cell r="S277">
            <v>5</v>
          </cell>
        </row>
        <row r="278">
          <cell r="B278" t="str">
            <v>EMMC</v>
          </cell>
          <cell r="C278" t="str">
            <v>HSLB11332</v>
          </cell>
          <cell r="D278">
            <v>110007</v>
          </cell>
          <cell r="E278" t="str">
            <v>Balanza de Precisión</v>
          </cell>
          <cell r="F278" t="str">
            <v>NO</v>
          </cell>
          <cell r="G278" t="str">
            <v>SI</v>
          </cell>
          <cell r="H278" t="str">
            <v>OFICINA JEFE MQ INFANTIL</v>
          </cell>
          <cell r="I278">
            <v>0</v>
          </cell>
          <cell r="J278" t="str">
            <v>C.3.5.1</v>
          </cell>
          <cell r="K278" t="str">
            <v>Administración y apoyo general</v>
          </cell>
          <cell r="L278">
            <v>5</v>
          </cell>
          <cell r="M278">
            <v>46003</v>
          </cell>
          <cell r="N278">
            <v>46006</v>
          </cell>
          <cell r="O278">
            <v>1</v>
          </cell>
          <cell r="P278">
            <v>46007</v>
          </cell>
          <cell r="Q278">
            <v>5</v>
          </cell>
          <cell r="R278" t="str">
            <v>NA</v>
          </cell>
          <cell r="S278">
            <v>5</v>
          </cell>
        </row>
        <row r="279">
          <cell r="B279" t="str">
            <v>MNC</v>
          </cell>
          <cell r="C279" t="str">
            <v>HSLB13289</v>
          </cell>
          <cell r="D279">
            <v>201002</v>
          </cell>
          <cell r="E279" t="str">
            <v>Mesa Lateral</v>
          </cell>
          <cell r="F279" t="str">
            <v>NO</v>
          </cell>
          <cell r="G279" t="str">
            <v>NO</v>
          </cell>
          <cell r="H279" t="str">
            <v>SALA DE ESPERA</v>
          </cell>
          <cell r="I279">
            <v>3</v>
          </cell>
          <cell r="J279" t="str">
            <v>C.3.4.2.1</v>
          </cell>
          <cell r="K279" t="str">
            <v>Administración y apoyo general</v>
          </cell>
          <cell r="L279">
            <v>5</v>
          </cell>
          <cell r="M279">
            <v>46059</v>
          </cell>
          <cell r="N279">
            <v>46062</v>
          </cell>
          <cell r="O279">
            <v>2</v>
          </cell>
          <cell r="P279">
            <v>46064</v>
          </cell>
          <cell r="Q279">
            <v>5</v>
          </cell>
          <cell r="R279" t="str">
            <v>NA</v>
          </cell>
          <cell r="S279">
            <v>5</v>
          </cell>
        </row>
        <row r="280">
          <cell r="B280" t="str">
            <v>MNC</v>
          </cell>
          <cell r="C280" t="str">
            <v>HSLB14994</v>
          </cell>
          <cell r="D280">
            <v>204014</v>
          </cell>
          <cell r="E280" t="str">
            <v>Sillón 2 Cuerpo</v>
          </cell>
          <cell r="F280" t="str">
            <v>NO</v>
          </cell>
          <cell r="G280" t="str">
            <v>NO</v>
          </cell>
          <cell r="H280" t="str">
            <v>SALA DE ESPERA</v>
          </cell>
          <cell r="I280">
            <v>6</v>
          </cell>
          <cell r="J280" t="str">
            <v>C.3.4.2.1</v>
          </cell>
          <cell r="K280" t="str">
            <v>Administración y apoyo general</v>
          </cell>
          <cell r="L280">
            <v>5</v>
          </cell>
          <cell r="M280">
            <v>46059</v>
          </cell>
          <cell r="N280">
            <v>46062</v>
          </cell>
          <cell r="O280">
            <v>1</v>
          </cell>
          <cell r="P280">
            <v>46063</v>
          </cell>
          <cell r="Q280">
            <v>5</v>
          </cell>
          <cell r="R280" t="str">
            <v>NA</v>
          </cell>
          <cell r="S280">
            <v>5</v>
          </cell>
        </row>
        <row r="281">
          <cell r="B281" t="str">
            <v>MNC</v>
          </cell>
          <cell r="C281" t="str">
            <v>HSLB14311</v>
          </cell>
          <cell r="D281">
            <v>204006</v>
          </cell>
          <cell r="E281" t="str">
            <v>Silla Ergonómica</v>
          </cell>
          <cell r="F281" t="str">
            <v>NO</v>
          </cell>
          <cell r="G281" t="str">
            <v>NO</v>
          </cell>
          <cell r="H281" t="str">
            <v>SALA DE PROCEDIMIENTOS</v>
          </cell>
          <cell r="I281">
            <v>1</v>
          </cell>
          <cell r="J281" t="str">
            <v>C.3.4.2.10</v>
          </cell>
          <cell r="K281" t="str">
            <v>Hospitalización</v>
          </cell>
          <cell r="L281">
            <v>5</v>
          </cell>
          <cell r="M281">
            <v>46059</v>
          </cell>
          <cell r="N281">
            <v>46062</v>
          </cell>
          <cell r="O281">
            <v>1</v>
          </cell>
          <cell r="P281">
            <v>46063</v>
          </cell>
          <cell r="Q281">
            <v>5</v>
          </cell>
          <cell r="R281" t="str">
            <v>NA</v>
          </cell>
          <cell r="S281">
            <v>5</v>
          </cell>
        </row>
        <row r="282">
          <cell r="B282" t="str">
            <v>MNC</v>
          </cell>
          <cell r="C282" t="str">
            <v>HSLB15277</v>
          </cell>
          <cell r="D282">
            <v>204012</v>
          </cell>
          <cell r="E282" t="str">
            <v>Silla Visita</v>
          </cell>
          <cell r="F282" t="str">
            <v>NO</v>
          </cell>
          <cell r="G282" t="str">
            <v>NO</v>
          </cell>
          <cell r="H282" t="str">
            <v>SALA DE PROCEDIMIENTOS</v>
          </cell>
          <cell r="I282">
            <v>1</v>
          </cell>
          <cell r="J282" t="str">
            <v>C.3.4.2.10</v>
          </cell>
          <cell r="K282" t="str">
            <v>Hospitalización</v>
          </cell>
          <cell r="L282">
            <v>5</v>
          </cell>
          <cell r="M282">
            <v>46059</v>
          </cell>
          <cell r="N282">
            <v>46062</v>
          </cell>
          <cell r="O282">
            <v>1</v>
          </cell>
          <cell r="P282">
            <v>46063</v>
          </cell>
          <cell r="Q282">
            <v>5</v>
          </cell>
          <cell r="R282" t="str">
            <v>NA</v>
          </cell>
          <cell r="S282">
            <v>5</v>
          </cell>
        </row>
        <row r="283">
          <cell r="B283" t="str">
            <v>MNC</v>
          </cell>
          <cell r="C283" t="str">
            <v>HSLB13134</v>
          </cell>
          <cell r="D283">
            <v>201001</v>
          </cell>
          <cell r="E283" t="str">
            <v>Estación de Trabajo</v>
          </cell>
          <cell r="F283" t="str">
            <v>NO</v>
          </cell>
          <cell r="G283" t="str">
            <v>NO</v>
          </cell>
          <cell r="H283" t="str">
            <v>SALA DE PROCEDIMIENTOS</v>
          </cell>
          <cell r="I283">
            <v>1</v>
          </cell>
          <cell r="J283" t="str">
            <v>C.3.4.2.10</v>
          </cell>
          <cell r="K283" t="str">
            <v>Hospitalización</v>
          </cell>
          <cell r="L283">
            <v>5</v>
          </cell>
          <cell r="M283">
            <v>46059</v>
          </cell>
          <cell r="N283">
            <v>46062</v>
          </cell>
          <cell r="O283">
            <v>2</v>
          </cell>
          <cell r="P283">
            <v>46064</v>
          </cell>
          <cell r="Q283">
            <v>5</v>
          </cell>
          <cell r="R283" t="str">
            <v>NA</v>
          </cell>
          <cell r="S283">
            <v>5</v>
          </cell>
        </row>
        <row r="284">
          <cell r="B284" t="str">
            <v>MNC</v>
          </cell>
          <cell r="C284" t="str">
            <v>HSLB15043</v>
          </cell>
          <cell r="D284">
            <v>204015</v>
          </cell>
          <cell r="E284" t="str">
            <v>Sillón Bergere</v>
          </cell>
          <cell r="F284" t="str">
            <v>NO</v>
          </cell>
          <cell r="G284" t="str">
            <v>NO</v>
          </cell>
          <cell r="H284" t="str">
            <v>SALA 1 CAMA</v>
          </cell>
          <cell r="I284">
            <v>1</v>
          </cell>
          <cell r="J284" t="str">
            <v>C.3.4.2.11.1</v>
          </cell>
          <cell r="K284" t="str">
            <v>Hospitalización</v>
          </cell>
          <cell r="L284">
            <v>5</v>
          </cell>
          <cell r="M284">
            <v>46059</v>
          </cell>
          <cell r="N284">
            <v>46062</v>
          </cell>
          <cell r="O284">
            <v>1</v>
          </cell>
          <cell r="P284">
            <v>46063</v>
          </cell>
          <cell r="Q284">
            <v>5</v>
          </cell>
          <cell r="R284" t="str">
            <v>NA</v>
          </cell>
          <cell r="S284">
            <v>5</v>
          </cell>
        </row>
        <row r="285">
          <cell r="B285" t="str">
            <v>MNC</v>
          </cell>
          <cell r="C285" t="str">
            <v>HSLB15044</v>
          </cell>
          <cell r="D285">
            <v>204015</v>
          </cell>
          <cell r="E285" t="str">
            <v>Sillón Bergere</v>
          </cell>
          <cell r="F285" t="str">
            <v>NO</v>
          </cell>
          <cell r="G285" t="str">
            <v>NO</v>
          </cell>
          <cell r="H285" t="str">
            <v>SALA 1 CAMA</v>
          </cell>
          <cell r="I285">
            <v>1</v>
          </cell>
          <cell r="J285" t="str">
            <v>C.3.4.2.11.10</v>
          </cell>
          <cell r="K285" t="str">
            <v>Hospitalización</v>
          </cell>
          <cell r="L285">
            <v>5</v>
          </cell>
          <cell r="M285">
            <v>46059</v>
          </cell>
          <cell r="N285">
            <v>46062</v>
          </cell>
          <cell r="O285">
            <v>1</v>
          </cell>
          <cell r="P285">
            <v>46063</v>
          </cell>
          <cell r="Q285">
            <v>5</v>
          </cell>
          <cell r="R285" t="str">
            <v>NA</v>
          </cell>
          <cell r="S285">
            <v>5</v>
          </cell>
        </row>
        <row r="286">
          <cell r="B286" t="str">
            <v>MNC</v>
          </cell>
          <cell r="C286" t="str">
            <v>HSLB15045</v>
          </cell>
          <cell r="D286">
            <v>204015</v>
          </cell>
          <cell r="E286" t="str">
            <v>Sillón Bergere</v>
          </cell>
          <cell r="F286" t="str">
            <v>NO</v>
          </cell>
          <cell r="G286" t="str">
            <v>NO</v>
          </cell>
          <cell r="H286" t="str">
            <v>SALA 1 CAMA</v>
          </cell>
          <cell r="I286">
            <v>1</v>
          </cell>
          <cell r="J286" t="str">
            <v>C.3.4.2.11.11</v>
          </cell>
          <cell r="K286" t="str">
            <v>Hospitalización</v>
          </cell>
          <cell r="L286">
            <v>5</v>
          </cell>
          <cell r="M286">
            <v>46059</v>
          </cell>
          <cell r="N286">
            <v>46062</v>
          </cell>
          <cell r="O286">
            <v>1</v>
          </cell>
          <cell r="P286">
            <v>46063</v>
          </cell>
          <cell r="Q286">
            <v>5</v>
          </cell>
          <cell r="R286" t="str">
            <v>NA</v>
          </cell>
          <cell r="S286">
            <v>5</v>
          </cell>
        </row>
        <row r="287">
          <cell r="B287" t="str">
            <v>MNC</v>
          </cell>
          <cell r="C287" t="str">
            <v>HSLB15046</v>
          </cell>
          <cell r="D287">
            <v>204015</v>
          </cell>
          <cell r="E287" t="str">
            <v>Sillón Bergere</v>
          </cell>
          <cell r="F287" t="str">
            <v>NO</v>
          </cell>
          <cell r="G287" t="str">
            <v>NO</v>
          </cell>
          <cell r="H287" t="str">
            <v>SALA 1 CAMA</v>
          </cell>
          <cell r="I287">
            <v>1</v>
          </cell>
          <cell r="J287" t="str">
            <v>C.3.4.2.11.12</v>
          </cell>
          <cell r="K287" t="str">
            <v>Hospitalización</v>
          </cell>
          <cell r="L287">
            <v>5</v>
          </cell>
          <cell r="M287">
            <v>46059</v>
          </cell>
          <cell r="N287">
            <v>46062</v>
          </cell>
          <cell r="O287">
            <v>1</v>
          </cell>
          <cell r="P287">
            <v>46063</v>
          </cell>
          <cell r="Q287">
            <v>5</v>
          </cell>
          <cell r="R287" t="str">
            <v>NA</v>
          </cell>
          <cell r="S287">
            <v>5</v>
          </cell>
        </row>
        <row r="288">
          <cell r="B288" t="str">
            <v>MNC</v>
          </cell>
          <cell r="C288" t="str">
            <v>HSLB15047</v>
          </cell>
          <cell r="D288">
            <v>204015</v>
          </cell>
          <cell r="E288" t="str">
            <v>Sillón Bergere</v>
          </cell>
          <cell r="F288" t="str">
            <v>NO</v>
          </cell>
          <cell r="G288" t="str">
            <v>NO</v>
          </cell>
          <cell r="H288" t="str">
            <v>SALA 1 CAMA</v>
          </cell>
          <cell r="I288">
            <v>1</v>
          </cell>
          <cell r="J288" t="str">
            <v>C.3.4.2.11.2</v>
          </cell>
          <cell r="K288" t="str">
            <v>Hospitalización</v>
          </cell>
          <cell r="L288">
            <v>5</v>
          </cell>
          <cell r="M288">
            <v>46059</v>
          </cell>
          <cell r="N288">
            <v>46062</v>
          </cell>
          <cell r="O288">
            <v>1</v>
          </cell>
          <cell r="P288">
            <v>46063</v>
          </cell>
          <cell r="Q288">
            <v>5</v>
          </cell>
          <cell r="R288" t="str">
            <v>NA</v>
          </cell>
          <cell r="S288">
            <v>5</v>
          </cell>
        </row>
        <row r="289">
          <cell r="B289" t="str">
            <v>MNC</v>
          </cell>
          <cell r="C289" t="str">
            <v>HSLB15048</v>
          </cell>
          <cell r="D289">
            <v>204015</v>
          </cell>
          <cell r="E289" t="str">
            <v>Sillón Bergere</v>
          </cell>
          <cell r="F289" t="str">
            <v>NO</v>
          </cell>
          <cell r="G289" t="str">
            <v>NO</v>
          </cell>
          <cell r="H289" t="str">
            <v>SALA 1 CAMA</v>
          </cell>
          <cell r="I289">
            <v>1</v>
          </cell>
          <cell r="J289" t="str">
            <v>C.3.4.2.11.3</v>
          </cell>
          <cell r="K289" t="str">
            <v>Hospitalización</v>
          </cell>
          <cell r="L289">
            <v>5</v>
          </cell>
          <cell r="M289">
            <v>46059</v>
          </cell>
          <cell r="N289">
            <v>46062</v>
          </cell>
          <cell r="O289">
            <v>1</v>
          </cell>
          <cell r="P289">
            <v>46063</v>
          </cell>
          <cell r="Q289">
            <v>5</v>
          </cell>
          <cell r="R289" t="str">
            <v>NA</v>
          </cell>
          <cell r="S289">
            <v>5</v>
          </cell>
        </row>
        <row r="290">
          <cell r="B290" t="str">
            <v>MNC</v>
          </cell>
          <cell r="C290" t="str">
            <v>HSLB15049</v>
          </cell>
          <cell r="D290">
            <v>204015</v>
          </cell>
          <cell r="E290" t="str">
            <v>Sillón Bergere</v>
          </cell>
          <cell r="F290" t="str">
            <v>NO</v>
          </cell>
          <cell r="G290" t="str">
            <v>NO</v>
          </cell>
          <cell r="H290" t="str">
            <v>SALA 1 CAMA</v>
          </cell>
          <cell r="I290">
            <v>1</v>
          </cell>
          <cell r="J290" t="str">
            <v>C.3.4.2.11.4</v>
          </cell>
          <cell r="K290" t="str">
            <v>Hospitalización</v>
          </cell>
          <cell r="L290">
            <v>5</v>
          </cell>
          <cell r="M290">
            <v>46059</v>
          </cell>
          <cell r="N290">
            <v>46062</v>
          </cell>
          <cell r="O290">
            <v>1</v>
          </cell>
          <cell r="P290">
            <v>46063</v>
          </cell>
          <cell r="Q290">
            <v>5</v>
          </cell>
          <cell r="R290" t="str">
            <v>NA</v>
          </cell>
          <cell r="S290">
            <v>5</v>
          </cell>
        </row>
        <row r="291">
          <cell r="B291" t="str">
            <v>MNC</v>
          </cell>
          <cell r="C291" t="str">
            <v>HSLB15050</v>
          </cell>
          <cell r="D291">
            <v>204015</v>
          </cell>
          <cell r="E291" t="str">
            <v>Sillón Bergere</v>
          </cell>
          <cell r="F291" t="str">
            <v>NO</v>
          </cell>
          <cell r="G291" t="str">
            <v>NO</v>
          </cell>
          <cell r="H291" t="str">
            <v>SALA 1 CAMA</v>
          </cell>
          <cell r="I291">
            <v>1</v>
          </cell>
          <cell r="J291" t="str">
            <v>C.3.4.2.11.5</v>
          </cell>
          <cell r="K291" t="str">
            <v>Hospitalización</v>
          </cell>
          <cell r="L291">
            <v>5</v>
          </cell>
          <cell r="M291">
            <v>46059</v>
          </cell>
          <cell r="N291">
            <v>46062</v>
          </cell>
          <cell r="O291">
            <v>1</v>
          </cell>
          <cell r="P291">
            <v>46063</v>
          </cell>
          <cell r="Q291">
            <v>5</v>
          </cell>
          <cell r="R291" t="str">
            <v>NA</v>
          </cell>
          <cell r="S291">
            <v>5</v>
          </cell>
        </row>
        <row r="292">
          <cell r="B292" t="str">
            <v>MNC</v>
          </cell>
          <cell r="C292" t="str">
            <v>HSLB15051</v>
          </cell>
          <cell r="D292">
            <v>204015</v>
          </cell>
          <cell r="E292" t="str">
            <v>Sillón Bergere</v>
          </cell>
          <cell r="F292" t="str">
            <v>NO</v>
          </cell>
          <cell r="G292" t="str">
            <v>NO</v>
          </cell>
          <cell r="H292" t="str">
            <v>SALA 1 CAMA</v>
          </cell>
          <cell r="I292">
            <v>1</v>
          </cell>
          <cell r="J292" t="str">
            <v>C.3.4.2.11.6</v>
          </cell>
          <cell r="K292" t="str">
            <v>Hospitalización</v>
          </cell>
          <cell r="L292">
            <v>5</v>
          </cell>
          <cell r="M292">
            <v>46059</v>
          </cell>
          <cell r="N292">
            <v>46062</v>
          </cell>
          <cell r="O292">
            <v>1</v>
          </cell>
          <cell r="P292">
            <v>46063</v>
          </cell>
          <cell r="Q292">
            <v>5</v>
          </cell>
          <cell r="R292" t="str">
            <v>NA</v>
          </cell>
          <cell r="S292">
            <v>5</v>
          </cell>
        </row>
        <row r="293">
          <cell r="B293" t="str">
            <v>MNC</v>
          </cell>
          <cell r="C293" t="str">
            <v>HSLB15052</v>
          </cell>
          <cell r="D293">
            <v>204015</v>
          </cell>
          <cell r="E293" t="str">
            <v>Sillón Bergere</v>
          </cell>
          <cell r="F293" t="str">
            <v>NO</v>
          </cell>
          <cell r="G293" t="str">
            <v>NO</v>
          </cell>
          <cell r="H293" t="str">
            <v>SALA 1 CAMA</v>
          </cell>
          <cell r="I293">
            <v>1</v>
          </cell>
          <cell r="J293" t="str">
            <v>C.3.4.2.11.7</v>
          </cell>
          <cell r="K293" t="str">
            <v>Hospitalización</v>
          </cell>
          <cell r="L293">
            <v>5</v>
          </cell>
          <cell r="M293">
            <v>46059</v>
          </cell>
          <cell r="N293">
            <v>46062</v>
          </cell>
          <cell r="O293">
            <v>1</v>
          </cell>
          <cell r="P293">
            <v>46063</v>
          </cell>
          <cell r="Q293">
            <v>5</v>
          </cell>
          <cell r="R293" t="str">
            <v>NA</v>
          </cell>
          <cell r="S293">
            <v>5</v>
          </cell>
        </row>
        <row r="294">
          <cell r="B294" t="str">
            <v>MNC</v>
          </cell>
          <cell r="C294" t="str">
            <v>HSLB15053</v>
          </cell>
          <cell r="D294">
            <v>204015</v>
          </cell>
          <cell r="E294" t="str">
            <v>Sillón Bergere</v>
          </cell>
          <cell r="F294" t="str">
            <v>NO</v>
          </cell>
          <cell r="G294" t="str">
            <v>NO</v>
          </cell>
          <cell r="H294" t="str">
            <v>SALA 1 CAMA</v>
          </cell>
          <cell r="I294">
            <v>1</v>
          </cell>
          <cell r="J294" t="str">
            <v>C.3.4.2.11.8</v>
          </cell>
          <cell r="K294" t="str">
            <v>Hospitalización</v>
          </cell>
          <cell r="L294">
            <v>5</v>
          </cell>
          <cell r="M294">
            <v>46059</v>
          </cell>
          <cell r="N294">
            <v>46062</v>
          </cell>
          <cell r="O294">
            <v>1</v>
          </cell>
          <cell r="P294">
            <v>46063</v>
          </cell>
          <cell r="Q294">
            <v>5</v>
          </cell>
          <cell r="R294" t="str">
            <v>NA</v>
          </cell>
          <cell r="S294">
            <v>5</v>
          </cell>
        </row>
        <row r="295">
          <cell r="B295" t="str">
            <v>MNC</v>
          </cell>
          <cell r="C295" t="str">
            <v>HSLB15054</v>
          </cell>
          <cell r="D295">
            <v>204015</v>
          </cell>
          <cell r="E295" t="str">
            <v>Sillón Bergere</v>
          </cell>
          <cell r="F295" t="str">
            <v>NO</v>
          </cell>
          <cell r="G295" t="str">
            <v>NO</v>
          </cell>
          <cell r="H295" t="str">
            <v>SALA 1 CAMA</v>
          </cell>
          <cell r="I295">
            <v>1</v>
          </cell>
          <cell r="J295" t="str">
            <v>C.3.4.2.11.9</v>
          </cell>
          <cell r="K295" t="str">
            <v>Hospitalización</v>
          </cell>
          <cell r="L295">
            <v>5</v>
          </cell>
          <cell r="M295">
            <v>46059</v>
          </cell>
          <cell r="N295">
            <v>46062</v>
          </cell>
          <cell r="O295">
            <v>1</v>
          </cell>
          <cell r="P295">
            <v>46063</v>
          </cell>
          <cell r="Q295">
            <v>5</v>
          </cell>
          <cell r="R295" t="str">
            <v>NA</v>
          </cell>
          <cell r="S295">
            <v>5</v>
          </cell>
        </row>
        <row r="296">
          <cell r="B296" t="str">
            <v>MNC</v>
          </cell>
          <cell r="C296" t="str">
            <v>HSLB13402</v>
          </cell>
          <cell r="D296">
            <v>201011</v>
          </cell>
          <cell r="E296" t="str">
            <v>Mesa Tipo Casino</v>
          </cell>
          <cell r="F296" t="str">
            <v>NO</v>
          </cell>
          <cell r="G296" t="str">
            <v>NO</v>
          </cell>
          <cell r="H296" t="str">
            <v>ESTAR PERSONAL C/ KITCHENETTE</v>
          </cell>
          <cell r="I296">
            <v>1</v>
          </cell>
          <cell r="J296" t="str">
            <v>C.3.4.2.19</v>
          </cell>
          <cell r="K296" t="str">
            <v>Administración y apoyo general</v>
          </cell>
          <cell r="L296">
            <v>5</v>
          </cell>
          <cell r="M296">
            <v>46059</v>
          </cell>
          <cell r="N296">
            <v>46062</v>
          </cell>
          <cell r="O296">
            <v>2</v>
          </cell>
          <cell r="P296">
            <v>46064</v>
          </cell>
          <cell r="Q296">
            <v>5</v>
          </cell>
          <cell r="R296" t="str">
            <v>NA</v>
          </cell>
          <cell r="S296">
            <v>5</v>
          </cell>
        </row>
        <row r="297">
          <cell r="B297" t="str">
            <v>MNC</v>
          </cell>
          <cell r="C297" t="str">
            <v>HSLB14588</v>
          </cell>
          <cell r="D297">
            <v>204010</v>
          </cell>
          <cell r="E297" t="str">
            <v>Silla tipo Casino</v>
          </cell>
          <cell r="F297" t="str">
            <v>NO</v>
          </cell>
          <cell r="G297" t="str">
            <v>NO</v>
          </cell>
          <cell r="H297" t="str">
            <v>ESTAR PERSONAL C/ KITCHENETTE</v>
          </cell>
          <cell r="I297">
            <v>4</v>
          </cell>
          <cell r="J297" t="str">
            <v>C.3.4.2.19</v>
          </cell>
          <cell r="K297" t="str">
            <v>Administración y apoyo general</v>
          </cell>
          <cell r="L297">
            <v>5</v>
          </cell>
          <cell r="M297">
            <v>46059</v>
          </cell>
          <cell r="N297">
            <v>46062</v>
          </cell>
          <cell r="O297">
            <v>1</v>
          </cell>
          <cell r="P297">
            <v>46063</v>
          </cell>
          <cell r="Q297">
            <v>5</v>
          </cell>
          <cell r="R297" t="str">
            <v>NA</v>
          </cell>
          <cell r="S297">
            <v>5</v>
          </cell>
        </row>
        <row r="298">
          <cell r="B298" t="str">
            <v>MNC</v>
          </cell>
          <cell r="C298" t="str">
            <v>HSLB14995</v>
          </cell>
          <cell r="D298">
            <v>204014</v>
          </cell>
          <cell r="E298" t="str">
            <v>Sillón 2 Cuerpo</v>
          </cell>
          <cell r="F298" t="str">
            <v>NO</v>
          </cell>
          <cell r="G298" t="str">
            <v>NO</v>
          </cell>
          <cell r="H298" t="str">
            <v>ESTAR PERSONAL C/ KITCHENETTE</v>
          </cell>
          <cell r="I298">
            <v>1</v>
          </cell>
          <cell r="J298" t="str">
            <v>C.3.4.2.19</v>
          </cell>
          <cell r="K298" t="str">
            <v>Administración y apoyo general</v>
          </cell>
          <cell r="L298">
            <v>5</v>
          </cell>
          <cell r="M298">
            <v>46059</v>
          </cell>
          <cell r="N298">
            <v>46062</v>
          </cell>
          <cell r="O298">
            <v>1</v>
          </cell>
          <cell r="P298">
            <v>46063</v>
          </cell>
          <cell r="Q298">
            <v>5</v>
          </cell>
          <cell r="R298" t="str">
            <v>NA</v>
          </cell>
          <cell r="S298">
            <v>5</v>
          </cell>
        </row>
        <row r="299">
          <cell r="B299" t="str">
            <v>MNC</v>
          </cell>
          <cell r="C299" t="str">
            <v>HSLB14312</v>
          </cell>
          <cell r="D299">
            <v>204006</v>
          </cell>
          <cell r="E299" t="str">
            <v>Silla Ergonómica</v>
          </cell>
          <cell r="F299" t="str">
            <v>NO</v>
          </cell>
          <cell r="G299" t="str">
            <v>NO</v>
          </cell>
          <cell r="H299" t="str">
            <v>MESÓN DE RECEPCIÓN</v>
          </cell>
          <cell r="I299">
            <v>1</v>
          </cell>
          <cell r="J299" t="str">
            <v>C.3.4.2.2</v>
          </cell>
          <cell r="K299" t="str">
            <v>Administración y apoyo general</v>
          </cell>
          <cell r="L299">
            <v>5</v>
          </cell>
          <cell r="M299">
            <v>46059</v>
          </cell>
          <cell r="N299">
            <v>46062</v>
          </cell>
          <cell r="O299">
            <v>1</v>
          </cell>
          <cell r="P299">
            <v>46063</v>
          </cell>
          <cell r="Q299">
            <v>5</v>
          </cell>
          <cell r="R299" t="str">
            <v>NA</v>
          </cell>
          <cell r="S299">
            <v>5</v>
          </cell>
        </row>
        <row r="300">
          <cell r="B300" t="str">
            <v>MNC</v>
          </cell>
          <cell r="C300" t="str">
            <v>HSLB13135</v>
          </cell>
          <cell r="D300">
            <v>201001</v>
          </cell>
          <cell r="E300" t="str">
            <v>Estación de Trabajo</v>
          </cell>
          <cell r="F300" t="str">
            <v>NO</v>
          </cell>
          <cell r="G300" t="str">
            <v>SI</v>
          </cell>
          <cell r="H300" t="str">
            <v>MÓDULO TRABAJO SUPERVISOR</v>
          </cell>
          <cell r="I300">
            <v>3</v>
          </cell>
          <cell r="J300" t="str">
            <v>C.3.4.2.4</v>
          </cell>
          <cell r="K300" t="str">
            <v>Administración y apoyo general</v>
          </cell>
          <cell r="L300">
            <v>5</v>
          </cell>
          <cell r="M300">
            <v>46003</v>
          </cell>
          <cell r="N300">
            <v>46006</v>
          </cell>
          <cell r="O300">
            <v>2</v>
          </cell>
          <cell r="P300">
            <v>46008</v>
          </cell>
          <cell r="Q300">
            <v>5</v>
          </cell>
          <cell r="R300" t="str">
            <v>NA</v>
          </cell>
          <cell r="S300">
            <v>5</v>
          </cell>
        </row>
        <row r="301">
          <cell r="B301" t="str">
            <v>MNC</v>
          </cell>
          <cell r="C301" t="str">
            <v>HSLB15278</v>
          </cell>
          <cell r="D301">
            <v>203016</v>
          </cell>
          <cell r="E301" t="str">
            <v>Mueble Tipo Biblioteca</v>
          </cell>
          <cell r="F301" t="str">
            <v>NO</v>
          </cell>
          <cell r="G301" t="str">
            <v>SI</v>
          </cell>
          <cell r="H301" t="str">
            <v>MÓDULO TRABAJO SUPERVISOR</v>
          </cell>
          <cell r="I301">
            <v>3</v>
          </cell>
          <cell r="J301" t="str">
            <v>C.3.4.2.4</v>
          </cell>
          <cell r="K301" t="str">
            <v>Administración y apoyo general</v>
          </cell>
          <cell r="L301">
            <v>5</v>
          </cell>
          <cell r="M301">
            <v>46003</v>
          </cell>
          <cell r="N301">
            <v>46006</v>
          </cell>
          <cell r="O301">
            <v>2</v>
          </cell>
          <cell r="P301">
            <v>46008</v>
          </cell>
          <cell r="Q301">
            <v>5</v>
          </cell>
          <cell r="R301" t="str">
            <v>NA</v>
          </cell>
          <cell r="S301">
            <v>5</v>
          </cell>
        </row>
        <row r="302">
          <cell r="B302" t="str">
            <v>MNC</v>
          </cell>
          <cell r="C302" t="str">
            <v>HSLB14313</v>
          </cell>
          <cell r="D302">
            <v>204006</v>
          </cell>
          <cell r="E302" t="str">
            <v>Silla Ergonómica</v>
          </cell>
          <cell r="F302" t="str">
            <v>NO</v>
          </cell>
          <cell r="G302" t="str">
            <v>SI</v>
          </cell>
          <cell r="H302" t="str">
            <v>MÓDULO TRABAJO SUPERVISOR</v>
          </cell>
          <cell r="I302">
            <v>3</v>
          </cell>
          <cell r="J302" t="str">
            <v>C.3.4.2.4</v>
          </cell>
          <cell r="K302" t="str">
            <v>Administración y apoyo general</v>
          </cell>
          <cell r="L302">
            <v>5</v>
          </cell>
          <cell r="M302">
            <v>46003</v>
          </cell>
          <cell r="N302">
            <v>46006</v>
          </cell>
          <cell r="O302">
            <v>1</v>
          </cell>
          <cell r="P302">
            <v>46007</v>
          </cell>
          <cell r="Q302">
            <v>5</v>
          </cell>
          <cell r="R302" t="str">
            <v>NA</v>
          </cell>
          <cell r="S302">
            <v>5</v>
          </cell>
        </row>
        <row r="303">
          <cell r="B303" t="str">
            <v>MNC</v>
          </cell>
          <cell r="C303" t="str">
            <v>HSLB14314</v>
          </cell>
          <cell r="D303">
            <v>204006</v>
          </cell>
          <cell r="E303" t="str">
            <v>Silla Ergonómica</v>
          </cell>
          <cell r="F303" t="str">
            <v>NO</v>
          </cell>
          <cell r="G303" t="str">
            <v>NO</v>
          </cell>
          <cell r="H303" t="str">
            <v>ESTACIÓN DE ENFERMERÍA</v>
          </cell>
          <cell r="I303">
            <v>6</v>
          </cell>
          <cell r="J303" t="str">
            <v>C.3.4.2.5</v>
          </cell>
          <cell r="K303" t="str">
            <v>Hospitalización</v>
          </cell>
          <cell r="L303">
            <v>5</v>
          </cell>
          <cell r="M303">
            <v>46059</v>
          </cell>
          <cell r="N303">
            <v>46062</v>
          </cell>
          <cell r="O303">
            <v>1</v>
          </cell>
          <cell r="P303">
            <v>46063</v>
          </cell>
          <cell r="Q303">
            <v>5</v>
          </cell>
          <cell r="R303" t="str">
            <v>NA</v>
          </cell>
          <cell r="S303">
            <v>5</v>
          </cell>
        </row>
        <row r="304">
          <cell r="B304" t="str">
            <v>MNC</v>
          </cell>
          <cell r="C304" t="str">
            <v>HSLB13342</v>
          </cell>
          <cell r="D304">
            <v>201010</v>
          </cell>
          <cell r="E304" t="str">
            <v>Mesa Reuniones Tipo III</v>
          </cell>
          <cell r="F304" t="str">
            <v>NO</v>
          </cell>
          <cell r="G304" t="str">
            <v>NO</v>
          </cell>
          <cell r="H304" t="str">
            <v>SALA MULTIUSO</v>
          </cell>
          <cell r="I304">
            <v>1</v>
          </cell>
          <cell r="J304" t="str">
            <v>C.3.4.2.9</v>
          </cell>
          <cell r="K304" t="str">
            <v>Administración y apoyo general</v>
          </cell>
          <cell r="L304">
            <v>5</v>
          </cell>
          <cell r="M304">
            <v>46059</v>
          </cell>
          <cell r="N304">
            <v>46062</v>
          </cell>
          <cell r="O304">
            <v>2</v>
          </cell>
          <cell r="P304">
            <v>46064</v>
          </cell>
          <cell r="Q304">
            <v>5</v>
          </cell>
          <cell r="R304" t="str">
            <v>NA</v>
          </cell>
          <cell r="S304">
            <v>5</v>
          </cell>
        </row>
        <row r="305">
          <cell r="B305" t="str">
            <v>MNC</v>
          </cell>
          <cell r="C305" t="str">
            <v>HSLB14762</v>
          </cell>
          <cell r="D305">
            <v>204012</v>
          </cell>
          <cell r="E305" t="str">
            <v>Silla Visita</v>
          </cell>
          <cell r="F305" t="str">
            <v>NO</v>
          </cell>
          <cell r="G305" t="str">
            <v>NO</v>
          </cell>
          <cell r="H305" t="str">
            <v>SALA MULTIUSO</v>
          </cell>
          <cell r="I305">
            <v>20</v>
          </cell>
          <cell r="J305" t="str">
            <v>C.3.4.2.9</v>
          </cell>
          <cell r="K305" t="str">
            <v>Administración y apoyo general</v>
          </cell>
          <cell r="L305">
            <v>5</v>
          </cell>
          <cell r="M305">
            <v>46059</v>
          </cell>
          <cell r="N305">
            <v>46062</v>
          </cell>
          <cell r="O305">
            <v>1</v>
          </cell>
          <cell r="P305">
            <v>46063</v>
          </cell>
          <cell r="Q305">
            <v>5</v>
          </cell>
          <cell r="R305" t="str">
            <v>NA</v>
          </cell>
          <cell r="S305">
            <v>5</v>
          </cell>
        </row>
        <row r="306">
          <cell r="B306" t="str">
            <v>MNC</v>
          </cell>
          <cell r="C306" t="str">
            <v>HSLB13138</v>
          </cell>
          <cell r="D306">
            <v>201001</v>
          </cell>
          <cell r="E306" t="str">
            <v>Estación de Trabajo</v>
          </cell>
          <cell r="F306" t="str">
            <v>NO</v>
          </cell>
          <cell r="G306" t="str">
            <v>NO</v>
          </cell>
          <cell r="H306" t="str">
            <v>OFICINA JEFE MQ INFANTIL</v>
          </cell>
          <cell r="I306">
            <v>1</v>
          </cell>
          <cell r="J306" t="str">
            <v>C.3.5.1</v>
          </cell>
          <cell r="K306" t="str">
            <v>Administración y apoyo general</v>
          </cell>
          <cell r="L306">
            <v>5</v>
          </cell>
          <cell r="M306">
            <v>46059</v>
          </cell>
          <cell r="N306">
            <v>46062</v>
          </cell>
          <cell r="O306">
            <v>2</v>
          </cell>
          <cell r="P306">
            <v>46064</v>
          </cell>
          <cell r="Q306">
            <v>5</v>
          </cell>
          <cell r="R306" t="str">
            <v>NA</v>
          </cell>
          <cell r="S306">
            <v>5</v>
          </cell>
        </row>
        <row r="307">
          <cell r="B307" t="str">
            <v>MNC</v>
          </cell>
          <cell r="C307" t="str">
            <v>HSLB13589</v>
          </cell>
          <cell r="D307">
            <v>203016</v>
          </cell>
          <cell r="E307" t="str">
            <v>Mueble Tipo Biblioteca</v>
          </cell>
          <cell r="F307" t="str">
            <v>NO</v>
          </cell>
          <cell r="G307" t="str">
            <v>NO</v>
          </cell>
          <cell r="H307" t="str">
            <v>OFICINA JEFE MQ INFANTIL</v>
          </cell>
          <cell r="I307">
            <v>1</v>
          </cell>
          <cell r="J307" t="str">
            <v>C.3.5.1</v>
          </cell>
          <cell r="K307" t="str">
            <v>Administración y apoyo general</v>
          </cell>
          <cell r="L307">
            <v>5</v>
          </cell>
          <cell r="M307">
            <v>46059</v>
          </cell>
          <cell r="N307">
            <v>46062</v>
          </cell>
          <cell r="O307">
            <v>2</v>
          </cell>
          <cell r="P307">
            <v>46064</v>
          </cell>
          <cell r="Q307">
            <v>5</v>
          </cell>
          <cell r="R307" t="str">
            <v>NA</v>
          </cell>
          <cell r="S307">
            <v>5</v>
          </cell>
        </row>
        <row r="308">
          <cell r="B308" t="str">
            <v>MNC</v>
          </cell>
          <cell r="C308" t="str">
            <v>HSLB14323</v>
          </cell>
          <cell r="D308">
            <v>204006</v>
          </cell>
          <cell r="E308" t="str">
            <v>Silla Ergonómica</v>
          </cell>
          <cell r="F308" t="str">
            <v>NO</v>
          </cell>
          <cell r="G308" t="str">
            <v>NO</v>
          </cell>
          <cell r="H308" t="str">
            <v>OFICINA JEFE MQ INFANTIL</v>
          </cell>
          <cell r="I308">
            <v>1</v>
          </cell>
          <cell r="J308" t="str">
            <v>C.3.5.1</v>
          </cell>
          <cell r="K308" t="str">
            <v>Administración y apoyo general</v>
          </cell>
          <cell r="L308">
            <v>5</v>
          </cell>
          <cell r="M308">
            <v>46059</v>
          </cell>
          <cell r="N308">
            <v>46062</v>
          </cell>
          <cell r="O308">
            <v>1</v>
          </cell>
          <cell r="P308">
            <v>46063</v>
          </cell>
          <cell r="Q308">
            <v>5</v>
          </cell>
          <cell r="R308" t="str">
            <v>NA</v>
          </cell>
          <cell r="S308">
            <v>5</v>
          </cell>
        </row>
        <row r="309">
          <cell r="B309" t="str">
            <v>MNC</v>
          </cell>
          <cell r="C309" t="str">
            <v>HSLB14763</v>
          </cell>
          <cell r="D309">
            <v>204012</v>
          </cell>
          <cell r="E309" t="str">
            <v>Silla Visita</v>
          </cell>
          <cell r="F309" t="str">
            <v>NO</v>
          </cell>
          <cell r="G309" t="str">
            <v>NO</v>
          </cell>
          <cell r="H309" t="str">
            <v>OFICINA JEFE MQ INFANTIL</v>
          </cell>
          <cell r="I309">
            <v>2</v>
          </cell>
          <cell r="J309" t="str">
            <v>C.3.5.1</v>
          </cell>
          <cell r="K309" t="str">
            <v>Administración y apoyo general</v>
          </cell>
          <cell r="L309">
            <v>5</v>
          </cell>
          <cell r="M309">
            <v>46059</v>
          </cell>
          <cell r="N309">
            <v>46062</v>
          </cell>
          <cell r="O309">
            <v>1</v>
          </cell>
          <cell r="P309">
            <v>46063</v>
          </cell>
          <cell r="Q309">
            <v>5</v>
          </cell>
          <cell r="R309" t="str">
            <v>NA</v>
          </cell>
          <cell r="S309">
            <v>5</v>
          </cell>
        </row>
        <row r="310">
          <cell r="B310" t="str">
            <v>MNC</v>
          </cell>
          <cell r="C310" t="str">
            <v>HSLB13139</v>
          </cell>
          <cell r="D310">
            <v>201001</v>
          </cell>
          <cell r="E310" t="str">
            <v>Estación de Trabajo</v>
          </cell>
          <cell r="F310" t="str">
            <v>NO</v>
          </cell>
          <cell r="G310" t="str">
            <v>NO</v>
          </cell>
          <cell r="H310" t="str">
            <v>MÓDULO TRABAJO SUPERVISOR</v>
          </cell>
          <cell r="I310">
            <v>1</v>
          </cell>
          <cell r="J310" t="str">
            <v>C.3.5.10</v>
          </cell>
          <cell r="K310" t="str">
            <v>Administración y apoyo general</v>
          </cell>
          <cell r="L310">
            <v>5</v>
          </cell>
          <cell r="M310">
            <v>46059</v>
          </cell>
          <cell r="N310">
            <v>46062</v>
          </cell>
          <cell r="O310">
            <v>2</v>
          </cell>
          <cell r="P310">
            <v>46064</v>
          </cell>
          <cell r="Q310">
            <v>5</v>
          </cell>
          <cell r="R310" t="str">
            <v>NA</v>
          </cell>
          <cell r="S310">
            <v>5</v>
          </cell>
        </row>
        <row r="311">
          <cell r="B311" t="str">
            <v>MNC</v>
          </cell>
          <cell r="C311" t="str">
            <v>HSLB13590</v>
          </cell>
          <cell r="D311">
            <v>203016</v>
          </cell>
          <cell r="E311" t="str">
            <v>Mueble Tipo Biblioteca</v>
          </cell>
          <cell r="F311" t="str">
            <v>NO</v>
          </cell>
          <cell r="G311" t="str">
            <v>NO</v>
          </cell>
          <cell r="H311" t="str">
            <v>MÓDULO TRABAJO SUPERVISOR</v>
          </cell>
          <cell r="I311">
            <v>1</v>
          </cell>
          <cell r="J311" t="str">
            <v>C.3.5.10</v>
          </cell>
          <cell r="K311" t="str">
            <v>Administración y apoyo general</v>
          </cell>
          <cell r="L311">
            <v>5</v>
          </cell>
          <cell r="M311">
            <v>46059</v>
          </cell>
          <cell r="N311">
            <v>46062</v>
          </cell>
          <cell r="O311">
            <v>2</v>
          </cell>
          <cell r="P311">
            <v>46064</v>
          </cell>
          <cell r="Q311">
            <v>5</v>
          </cell>
          <cell r="R311" t="str">
            <v>NA</v>
          </cell>
          <cell r="S311">
            <v>5</v>
          </cell>
        </row>
        <row r="312">
          <cell r="B312" t="str">
            <v>MNC</v>
          </cell>
          <cell r="C312" t="str">
            <v>HSLB14324</v>
          </cell>
          <cell r="D312">
            <v>204006</v>
          </cell>
          <cell r="E312" t="str">
            <v>Silla Ergonómica</v>
          </cell>
          <cell r="F312" t="str">
            <v>NO</v>
          </cell>
          <cell r="G312" t="str">
            <v>NO</v>
          </cell>
          <cell r="H312" t="str">
            <v>MÓDULO TRABAJO SUPERVISOR</v>
          </cell>
          <cell r="I312">
            <v>1</v>
          </cell>
          <cell r="J312" t="str">
            <v>C.3.5.10</v>
          </cell>
          <cell r="K312" t="str">
            <v>Administración y apoyo general</v>
          </cell>
          <cell r="L312">
            <v>5</v>
          </cell>
          <cell r="M312">
            <v>46059</v>
          </cell>
          <cell r="N312">
            <v>46062</v>
          </cell>
          <cell r="O312">
            <v>1</v>
          </cell>
          <cell r="P312">
            <v>46063</v>
          </cell>
          <cell r="Q312">
            <v>5</v>
          </cell>
          <cell r="R312" t="str">
            <v>NA</v>
          </cell>
          <cell r="S312">
            <v>5</v>
          </cell>
        </row>
        <row r="313">
          <cell r="B313" t="str">
            <v>MNC</v>
          </cell>
          <cell r="C313" t="str">
            <v>HSLB14764</v>
          </cell>
          <cell r="D313">
            <v>204012</v>
          </cell>
          <cell r="E313" t="str">
            <v>Silla Visita</v>
          </cell>
          <cell r="F313" t="str">
            <v>NO</v>
          </cell>
          <cell r="G313" t="str">
            <v>NO</v>
          </cell>
          <cell r="H313" t="str">
            <v>MÓDULO TRABAJO SUPERVISOR</v>
          </cell>
          <cell r="I313">
            <v>2</v>
          </cell>
          <cell r="J313" t="str">
            <v>C.3.5.10</v>
          </cell>
          <cell r="K313" t="str">
            <v>Administración y apoyo general</v>
          </cell>
          <cell r="L313">
            <v>5</v>
          </cell>
          <cell r="M313">
            <v>46059</v>
          </cell>
          <cell r="N313">
            <v>46062</v>
          </cell>
          <cell r="O313">
            <v>1</v>
          </cell>
          <cell r="P313">
            <v>46063</v>
          </cell>
          <cell r="Q313">
            <v>5</v>
          </cell>
          <cell r="R313" t="str">
            <v>NA</v>
          </cell>
          <cell r="S313">
            <v>5</v>
          </cell>
        </row>
        <row r="314">
          <cell r="B314" t="str">
            <v>MNC</v>
          </cell>
          <cell r="C314" t="str">
            <v>HSLB14325</v>
          </cell>
          <cell r="D314">
            <v>204006</v>
          </cell>
          <cell r="E314" t="str">
            <v>Silla Ergonómica</v>
          </cell>
          <cell r="F314" t="str">
            <v>NO</v>
          </cell>
          <cell r="G314" t="str">
            <v>NO</v>
          </cell>
          <cell r="H314" t="str">
            <v>ESTACIÓN DE ENFERMERÍA</v>
          </cell>
          <cell r="I314">
            <v>6</v>
          </cell>
          <cell r="J314" t="str">
            <v>C.3.5.11</v>
          </cell>
          <cell r="K314" t="str">
            <v>Hospitalización</v>
          </cell>
          <cell r="L314">
            <v>5</v>
          </cell>
          <cell r="M314">
            <v>46059</v>
          </cell>
          <cell r="N314">
            <v>46062</v>
          </cell>
          <cell r="O314">
            <v>1</v>
          </cell>
          <cell r="P314">
            <v>46063</v>
          </cell>
          <cell r="Q314">
            <v>5</v>
          </cell>
          <cell r="R314" t="str">
            <v>NA</v>
          </cell>
          <cell r="S314">
            <v>5</v>
          </cell>
        </row>
        <row r="315">
          <cell r="B315" t="str">
            <v>MNC</v>
          </cell>
          <cell r="C315" t="str">
            <v>HSLB15092</v>
          </cell>
          <cell r="D315">
            <v>204015</v>
          </cell>
          <cell r="E315" t="str">
            <v>Sillón Bergere</v>
          </cell>
          <cell r="F315" t="str">
            <v>NO</v>
          </cell>
          <cell r="G315" t="str">
            <v>NO</v>
          </cell>
          <cell r="H315" t="str">
            <v>SALA 1 CAMA</v>
          </cell>
          <cell r="I315">
            <v>1</v>
          </cell>
          <cell r="J315" t="str">
            <v>C.3.5.15.1</v>
          </cell>
          <cell r="K315" t="str">
            <v>Hospitalización</v>
          </cell>
          <cell r="L315">
            <v>5</v>
          </cell>
          <cell r="M315">
            <v>46059</v>
          </cell>
          <cell r="N315">
            <v>46062</v>
          </cell>
          <cell r="O315">
            <v>1</v>
          </cell>
          <cell r="P315">
            <v>46063</v>
          </cell>
          <cell r="Q315">
            <v>5</v>
          </cell>
          <cell r="R315" t="str">
            <v>NA</v>
          </cell>
          <cell r="S315">
            <v>5</v>
          </cell>
        </row>
        <row r="316">
          <cell r="B316" t="str">
            <v>MNC</v>
          </cell>
          <cell r="C316" t="str">
            <v>HSLB15093</v>
          </cell>
          <cell r="D316">
            <v>204015</v>
          </cell>
          <cell r="E316" t="str">
            <v>Sillón Bergere</v>
          </cell>
          <cell r="F316" t="str">
            <v>NO</v>
          </cell>
          <cell r="G316" t="str">
            <v>NO</v>
          </cell>
          <cell r="H316" t="str">
            <v>SALA 1 CAMA</v>
          </cell>
          <cell r="I316">
            <v>1</v>
          </cell>
          <cell r="J316" t="str">
            <v>C.3.5.15.2</v>
          </cell>
          <cell r="K316" t="str">
            <v>Hospitalización</v>
          </cell>
          <cell r="L316">
            <v>5</v>
          </cell>
          <cell r="M316">
            <v>46059</v>
          </cell>
          <cell r="N316">
            <v>46062</v>
          </cell>
          <cell r="O316">
            <v>1</v>
          </cell>
          <cell r="P316">
            <v>46063</v>
          </cell>
          <cell r="Q316">
            <v>5</v>
          </cell>
          <cell r="R316" t="str">
            <v>NA</v>
          </cell>
          <cell r="S316">
            <v>5</v>
          </cell>
        </row>
        <row r="317">
          <cell r="B317" t="str">
            <v>MNC</v>
          </cell>
          <cell r="C317" t="str">
            <v>HSLB15094</v>
          </cell>
          <cell r="D317">
            <v>204015</v>
          </cell>
          <cell r="E317" t="str">
            <v>Sillón Bergere</v>
          </cell>
          <cell r="F317" t="str">
            <v>NO</v>
          </cell>
          <cell r="G317" t="str">
            <v>NO</v>
          </cell>
          <cell r="H317" t="str">
            <v>SALA 1 CAMA</v>
          </cell>
          <cell r="I317">
            <v>1</v>
          </cell>
          <cell r="J317" t="str">
            <v>C.3.5.15.3</v>
          </cell>
          <cell r="K317" t="str">
            <v>Hospitalización</v>
          </cell>
          <cell r="L317">
            <v>5</v>
          </cell>
          <cell r="M317">
            <v>46059</v>
          </cell>
          <cell r="N317">
            <v>46062</v>
          </cell>
          <cell r="O317">
            <v>1</v>
          </cell>
          <cell r="P317">
            <v>46063</v>
          </cell>
          <cell r="Q317">
            <v>5</v>
          </cell>
          <cell r="R317" t="str">
            <v>NA</v>
          </cell>
          <cell r="S317">
            <v>5</v>
          </cell>
        </row>
        <row r="318">
          <cell r="B318" t="str">
            <v>MNC</v>
          </cell>
          <cell r="C318" t="str">
            <v>HSLB15095</v>
          </cell>
          <cell r="D318">
            <v>204015</v>
          </cell>
          <cell r="E318" t="str">
            <v>Sillón Bergere</v>
          </cell>
          <cell r="F318" t="str">
            <v>NO</v>
          </cell>
          <cell r="G318" t="str">
            <v>NO</v>
          </cell>
          <cell r="H318" t="str">
            <v>SALA 1 CAMA</v>
          </cell>
          <cell r="I318">
            <v>1</v>
          </cell>
          <cell r="J318" t="str">
            <v>C.3.5.15.4</v>
          </cell>
          <cell r="K318" t="str">
            <v>Hospitalización</v>
          </cell>
          <cell r="L318">
            <v>5</v>
          </cell>
          <cell r="M318">
            <v>46059</v>
          </cell>
          <cell r="N318">
            <v>46062</v>
          </cell>
          <cell r="O318">
            <v>1</v>
          </cell>
          <cell r="P318">
            <v>46063</v>
          </cell>
          <cell r="Q318">
            <v>5</v>
          </cell>
          <cell r="R318" t="str">
            <v>NA</v>
          </cell>
          <cell r="S318">
            <v>5</v>
          </cell>
        </row>
        <row r="319">
          <cell r="B319" t="str">
            <v>MNC</v>
          </cell>
          <cell r="C319" t="str">
            <v>HSLB15096</v>
          </cell>
          <cell r="D319">
            <v>204015</v>
          </cell>
          <cell r="E319" t="str">
            <v>Sillón Bergere</v>
          </cell>
          <cell r="F319" t="str">
            <v>NO</v>
          </cell>
          <cell r="G319" t="str">
            <v>NO</v>
          </cell>
          <cell r="H319" t="str">
            <v>SALA 1 CAMA</v>
          </cell>
          <cell r="I319">
            <v>1</v>
          </cell>
          <cell r="J319" t="str">
            <v>C.3.5.15.5</v>
          </cell>
          <cell r="K319" t="str">
            <v>Hospitalización</v>
          </cell>
          <cell r="L319">
            <v>5</v>
          </cell>
          <cell r="M319">
            <v>46059</v>
          </cell>
          <cell r="N319">
            <v>46062</v>
          </cell>
          <cell r="O319">
            <v>1</v>
          </cell>
          <cell r="P319">
            <v>46063</v>
          </cell>
          <cell r="Q319">
            <v>5</v>
          </cell>
          <cell r="R319" t="str">
            <v>NA</v>
          </cell>
          <cell r="S319">
            <v>5</v>
          </cell>
        </row>
        <row r="320">
          <cell r="B320" t="str">
            <v>MNC</v>
          </cell>
          <cell r="C320" t="str">
            <v>HSLB15097</v>
          </cell>
          <cell r="D320">
            <v>204015</v>
          </cell>
          <cell r="E320" t="str">
            <v>Sillón Bergere</v>
          </cell>
          <cell r="F320" t="str">
            <v>NO</v>
          </cell>
          <cell r="G320" t="str">
            <v>SI</v>
          </cell>
          <cell r="H320" t="str">
            <v>SALA 4 CAMAS</v>
          </cell>
          <cell r="I320">
            <v>4</v>
          </cell>
          <cell r="J320" t="str">
            <v>C.3.5.16.1</v>
          </cell>
          <cell r="K320" t="str">
            <v>Hospitalización</v>
          </cell>
          <cell r="L320">
            <v>5</v>
          </cell>
          <cell r="M320">
            <v>46003</v>
          </cell>
          <cell r="N320">
            <v>46006</v>
          </cell>
          <cell r="O320">
            <v>1</v>
          </cell>
          <cell r="P320">
            <v>46007</v>
          </cell>
          <cell r="Q320">
            <v>5</v>
          </cell>
          <cell r="R320" t="str">
            <v>NA</v>
          </cell>
          <cell r="S320">
            <v>5</v>
          </cell>
        </row>
        <row r="321">
          <cell r="B321" t="str">
            <v>MNC</v>
          </cell>
          <cell r="C321" t="str">
            <v>HSLB15098</v>
          </cell>
          <cell r="D321">
            <v>204015</v>
          </cell>
          <cell r="E321" t="str">
            <v>Sillón Bergere</v>
          </cell>
          <cell r="F321" t="str">
            <v>NO</v>
          </cell>
          <cell r="G321" t="str">
            <v>SI</v>
          </cell>
          <cell r="H321" t="str">
            <v>SALA 4 CAMAS</v>
          </cell>
          <cell r="I321">
            <v>4</v>
          </cell>
          <cell r="J321" t="str">
            <v>C.3.5.16.2</v>
          </cell>
          <cell r="K321" t="str">
            <v>Hospitalización</v>
          </cell>
          <cell r="L321">
            <v>5</v>
          </cell>
          <cell r="M321">
            <v>46003</v>
          </cell>
          <cell r="N321">
            <v>46006</v>
          </cell>
          <cell r="O321">
            <v>1</v>
          </cell>
          <cell r="P321">
            <v>46007</v>
          </cell>
          <cell r="Q321">
            <v>5</v>
          </cell>
          <cell r="R321" t="str">
            <v>NA</v>
          </cell>
          <cell r="S321">
            <v>5</v>
          </cell>
        </row>
        <row r="322">
          <cell r="B322" t="str">
            <v>MNC</v>
          </cell>
          <cell r="C322" t="str">
            <v>HSLB15291</v>
          </cell>
          <cell r="D322">
            <v>204006</v>
          </cell>
          <cell r="E322" t="str">
            <v>Silla Ergonómica</v>
          </cell>
          <cell r="F322" t="str">
            <v>NO</v>
          </cell>
          <cell r="G322" t="str">
            <v>NO</v>
          </cell>
          <cell r="H322" t="str">
            <v>SALA DE PROCEDIMIENTOS</v>
          </cell>
          <cell r="I322">
            <v>1</v>
          </cell>
          <cell r="J322" t="str">
            <v>C.3.5.18</v>
          </cell>
          <cell r="K322" t="str">
            <v>Hospitalización</v>
          </cell>
          <cell r="L322">
            <v>5</v>
          </cell>
          <cell r="M322">
            <v>46059</v>
          </cell>
          <cell r="N322">
            <v>46062</v>
          </cell>
          <cell r="O322">
            <v>1</v>
          </cell>
          <cell r="P322">
            <v>46063</v>
          </cell>
          <cell r="Q322">
            <v>5</v>
          </cell>
          <cell r="R322" t="str">
            <v>NA</v>
          </cell>
          <cell r="S322">
            <v>5</v>
          </cell>
        </row>
        <row r="323">
          <cell r="B323" t="str">
            <v>MNC</v>
          </cell>
          <cell r="C323" t="str">
            <v>HSLB15292</v>
          </cell>
          <cell r="D323">
            <v>204012</v>
          </cell>
          <cell r="E323" t="str">
            <v>Silla Visita</v>
          </cell>
          <cell r="F323" t="str">
            <v>NO</v>
          </cell>
          <cell r="G323" t="str">
            <v>NO</v>
          </cell>
          <cell r="H323" t="str">
            <v>SALA DE PROCEDIMIENTOS</v>
          </cell>
          <cell r="I323">
            <v>1</v>
          </cell>
          <cell r="J323" t="str">
            <v>C.3.5.18</v>
          </cell>
          <cell r="K323" t="str">
            <v>Hospitalización</v>
          </cell>
          <cell r="L323">
            <v>5</v>
          </cell>
          <cell r="M323">
            <v>46059</v>
          </cell>
          <cell r="N323">
            <v>46062</v>
          </cell>
          <cell r="O323">
            <v>1</v>
          </cell>
          <cell r="P323">
            <v>46063</v>
          </cell>
          <cell r="Q323">
            <v>5</v>
          </cell>
          <cell r="R323" t="str">
            <v>NA</v>
          </cell>
          <cell r="S323">
            <v>5</v>
          </cell>
        </row>
        <row r="324">
          <cell r="B324" t="str">
            <v>MNC</v>
          </cell>
          <cell r="C324" t="str">
            <v>HSLB15293</v>
          </cell>
          <cell r="D324">
            <v>201001</v>
          </cell>
          <cell r="E324" t="str">
            <v>Estación de Trabajo</v>
          </cell>
          <cell r="F324" t="str">
            <v>NO</v>
          </cell>
          <cell r="G324" t="str">
            <v>NO</v>
          </cell>
          <cell r="H324" t="str">
            <v>SALA DE PROCEDIMIENTOS</v>
          </cell>
          <cell r="I324">
            <v>1</v>
          </cell>
          <cell r="J324" t="str">
            <v>C.3.5.18</v>
          </cell>
          <cell r="K324" t="str">
            <v>Hospitalización</v>
          </cell>
          <cell r="L324">
            <v>5</v>
          </cell>
          <cell r="M324">
            <v>46059</v>
          </cell>
          <cell r="N324">
            <v>46062</v>
          </cell>
          <cell r="O324">
            <v>2</v>
          </cell>
          <cell r="P324">
            <v>46064</v>
          </cell>
          <cell r="Q324">
            <v>5</v>
          </cell>
          <cell r="R324" t="str">
            <v>NA</v>
          </cell>
          <cell r="S324">
            <v>5</v>
          </cell>
        </row>
        <row r="325">
          <cell r="B325" t="str">
            <v>MNC</v>
          </cell>
          <cell r="C325" t="str">
            <v>HSLB15294</v>
          </cell>
          <cell r="D325">
            <v>204006</v>
          </cell>
          <cell r="E325" t="str">
            <v>Silla Ergonómica</v>
          </cell>
          <cell r="F325" t="str">
            <v>NO</v>
          </cell>
          <cell r="G325" t="str">
            <v>NO</v>
          </cell>
          <cell r="H325" t="str">
            <v>SALA DE PROCEDIMIENTOS</v>
          </cell>
          <cell r="I325">
            <v>1</v>
          </cell>
          <cell r="J325" t="str">
            <v>C.3.5.19</v>
          </cell>
          <cell r="K325" t="str">
            <v>Administración y apoyo general</v>
          </cell>
          <cell r="L325">
            <v>5</v>
          </cell>
          <cell r="M325">
            <v>46059</v>
          </cell>
          <cell r="N325">
            <v>46062</v>
          </cell>
          <cell r="O325">
            <v>1</v>
          </cell>
          <cell r="P325">
            <v>46063</v>
          </cell>
          <cell r="Q325">
            <v>5</v>
          </cell>
          <cell r="R325" t="str">
            <v>NA</v>
          </cell>
          <cell r="S325">
            <v>5</v>
          </cell>
        </row>
        <row r="326">
          <cell r="B326" t="str">
            <v>MNC</v>
          </cell>
          <cell r="C326" t="str">
            <v>HSLB14326</v>
          </cell>
          <cell r="D326">
            <v>204006</v>
          </cell>
          <cell r="E326" t="str">
            <v>Silla Ergonómica</v>
          </cell>
          <cell r="F326" t="str">
            <v>NO</v>
          </cell>
          <cell r="G326" t="str">
            <v>NO</v>
          </cell>
          <cell r="H326" t="str">
            <v>LACTARIO</v>
          </cell>
          <cell r="I326">
            <v>1</v>
          </cell>
          <cell r="J326" t="str">
            <v>C.3.5.30</v>
          </cell>
          <cell r="K326" t="str">
            <v>Administración y apoyo general</v>
          </cell>
          <cell r="L326">
            <v>5</v>
          </cell>
          <cell r="M326">
            <v>46059</v>
          </cell>
          <cell r="N326">
            <v>46062</v>
          </cell>
          <cell r="O326">
            <v>1</v>
          </cell>
          <cell r="P326">
            <v>46063</v>
          </cell>
          <cell r="Q326">
            <v>5</v>
          </cell>
          <cell r="R326" t="str">
            <v>NA</v>
          </cell>
          <cell r="S326">
            <v>5</v>
          </cell>
        </row>
        <row r="327">
          <cell r="B327" t="str">
            <v>MNC</v>
          </cell>
          <cell r="C327" t="str">
            <v>HSLB15144</v>
          </cell>
          <cell r="D327">
            <v>204016</v>
          </cell>
          <cell r="E327" t="str">
            <v>Sillón Tipo Poltrona</v>
          </cell>
          <cell r="F327" t="str">
            <v>NO</v>
          </cell>
          <cell r="G327" t="str">
            <v>NO</v>
          </cell>
          <cell r="H327" t="str">
            <v>LACTARIO</v>
          </cell>
          <cell r="I327">
            <v>3</v>
          </cell>
          <cell r="J327" t="str">
            <v>C.3.5.30</v>
          </cell>
          <cell r="K327" t="str">
            <v>Administración y apoyo general</v>
          </cell>
          <cell r="L327">
            <v>5</v>
          </cell>
          <cell r="M327">
            <v>46059</v>
          </cell>
          <cell r="N327">
            <v>46062</v>
          </cell>
          <cell r="O327">
            <v>1</v>
          </cell>
          <cell r="P327">
            <v>46063</v>
          </cell>
          <cell r="Q327">
            <v>5</v>
          </cell>
          <cell r="R327" t="str">
            <v>NA</v>
          </cell>
          <cell r="S327">
            <v>5</v>
          </cell>
        </row>
        <row r="328">
          <cell r="B328" t="str">
            <v>MNC</v>
          </cell>
          <cell r="C328" t="str">
            <v>HSLB13140</v>
          </cell>
          <cell r="D328">
            <v>201001</v>
          </cell>
          <cell r="E328" t="str">
            <v>Estación de Trabajo</v>
          </cell>
          <cell r="F328" t="str">
            <v>NO</v>
          </cell>
          <cell r="G328" t="str">
            <v>NO</v>
          </cell>
          <cell r="H328" t="str">
            <v>LACTARIO</v>
          </cell>
          <cell r="I328">
            <v>1</v>
          </cell>
          <cell r="J328" t="str">
            <v>C.3.5.30</v>
          </cell>
          <cell r="K328" t="str">
            <v>Administración y apoyo general</v>
          </cell>
          <cell r="L328">
            <v>5</v>
          </cell>
          <cell r="M328">
            <v>46059</v>
          </cell>
          <cell r="N328">
            <v>46062</v>
          </cell>
          <cell r="O328">
            <v>2</v>
          </cell>
          <cell r="P328">
            <v>46064</v>
          </cell>
          <cell r="Q328">
            <v>5</v>
          </cell>
          <cell r="R328" t="str">
            <v>NA</v>
          </cell>
          <cell r="S328">
            <v>5</v>
          </cell>
        </row>
        <row r="329">
          <cell r="B329" t="str">
            <v>MNC</v>
          </cell>
          <cell r="C329" t="str">
            <v>HSLB13409</v>
          </cell>
          <cell r="D329">
            <v>201011</v>
          </cell>
          <cell r="E329" t="str">
            <v>Mesa Tipo Casino</v>
          </cell>
          <cell r="F329" t="str">
            <v>NO</v>
          </cell>
          <cell r="G329" t="str">
            <v>NO</v>
          </cell>
          <cell r="H329" t="str">
            <v>ESTAR PERSONAL C/ KITCHENETTE</v>
          </cell>
          <cell r="I329">
            <v>1</v>
          </cell>
          <cell r="J329" t="str">
            <v>C.3.5.31</v>
          </cell>
          <cell r="K329" t="str">
            <v>Administración y apoyo general</v>
          </cell>
          <cell r="L329">
            <v>5</v>
          </cell>
          <cell r="M329">
            <v>46059</v>
          </cell>
          <cell r="N329">
            <v>46062</v>
          </cell>
          <cell r="O329">
            <v>2</v>
          </cell>
          <cell r="P329">
            <v>46064</v>
          </cell>
          <cell r="Q329">
            <v>5</v>
          </cell>
          <cell r="R329" t="str">
            <v>NA</v>
          </cell>
          <cell r="S329">
            <v>5</v>
          </cell>
        </row>
        <row r="330">
          <cell r="B330" t="str">
            <v>MNC</v>
          </cell>
          <cell r="C330" t="str">
            <v>HSLB14595</v>
          </cell>
          <cell r="D330">
            <v>204010</v>
          </cell>
          <cell r="E330" t="str">
            <v>Silla tipo Casino</v>
          </cell>
          <cell r="F330" t="str">
            <v>NO</v>
          </cell>
          <cell r="G330" t="str">
            <v>NO</v>
          </cell>
          <cell r="H330" t="str">
            <v>ESTAR PERSONAL C/ KITCHENETTE</v>
          </cell>
          <cell r="I330">
            <v>4</v>
          </cell>
          <cell r="J330" t="str">
            <v>C.3.5.31</v>
          </cell>
          <cell r="K330" t="str">
            <v>Administración y apoyo general</v>
          </cell>
          <cell r="L330">
            <v>5</v>
          </cell>
          <cell r="M330">
            <v>46059</v>
          </cell>
          <cell r="N330">
            <v>46062</v>
          </cell>
          <cell r="O330">
            <v>1</v>
          </cell>
          <cell r="P330">
            <v>46063</v>
          </cell>
          <cell r="Q330">
            <v>5</v>
          </cell>
          <cell r="R330" t="str">
            <v>NA</v>
          </cell>
          <cell r="S330">
            <v>5</v>
          </cell>
        </row>
        <row r="331">
          <cell r="B331" t="str">
            <v>MNC</v>
          </cell>
          <cell r="C331" t="str">
            <v>HSLB15004</v>
          </cell>
          <cell r="D331">
            <v>204014</v>
          </cell>
          <cell r="E331" t="str">
            <v>Sillón 2 Cuerpo</v>
          </cell>
          <cell r="F331" t="str">
            <v>NO</v>
          </cell>
          <cell r="G331" t="str">
            <v>NO</v>
          </cell>
          <cell r="H331" t="str">
            <v>ESTAR PERSONAL C/ KITCHENETTE</v>
          </cell>
          <cell r="I331">
            <v>1</v>
          </cell>
          <cell r="J331" t="str">
            <v>C.3.5.31</v>
          </cell>
          <cell r="K331" t="str">
            <v>Administración y apoyo general</v>
          </cell>
          <cell r="L331">
            <v>5</v>
          </cell>
          <cell r="M331">
            <v>46059</v>
          </cell>
          <cell r="N331">
            <v>46062</v>
          </cell>
          <cell r="O331">
            <v>1</v>
          </cell>
          <cell r="P331">
            <v>46063</v>
          </cell>
          <cell r="Q331">
            <v>5</v>
          </cell>
          <cell r="R331" t="str">
            <v>NA</v>
          </cell>
          <cell r="S331">
            <v>5</v>
          </cell>
        </row>
        <row r="332">
          <cell r="B332" t="str">
            <v>MNC</v>
          </cell>
          <cell r="C332" t="str">
            <v>HSLB13305</v>
          </cell>
          <cell r="D332">
            <v>201004</v>
          </cell>
          <cell r="E332" t="str">
            <v>Mesa Párvulo Tipo I</v>
          </cell>
          <cell r="F332" t="str">
            <v>NO</v>
          </cell>
          <cell r="G332" t="str">
            <v>NO</v>
          </cell>
          <cell r="H332" t="str">
            <v>AULA HOSPITALARIA</v>
          </cell>
          <cell r="I332">
            <v>1</v>
          </cell>
          <cell r="J332" t="str">
            <v>C.3.5.34</v>
          </cell>
          <cell r="K332" t="str">
            <v>Administración y apoyo general</v>
          </cell>
          <cell r="L332">
            <v>5</v>
          </cell>
          <cell r="M332">
            <v>46059</v>
          </cell>
          <cell r="N332">
            <v>46062</v>
          </cell>
          <cell r="O332">
            <v>1</v>
          </cell>
          <cell r="P332">
            <v>46063</v>
          </cell>
          <cell r="Q332">
            <v>5</v>
          </cell>
          <cell r="R332" t="str">
            <v>NA</v>
          </cell>
          <cell r="S332">
            <v>5</v>
          </cell>
        </row>
        <row r="333">
          <cell r="B333" t="str">
            <v>MNC</v>
          </cell>
          <cell r="C333" t="str">
            <v>HSLB13343</v>
          </cell>
          <cell r="D333">
            <v>201008</v>
          </cell>
          <cell r="E333" t="str">
            <v>Mesa Reuniones Tipo I</v>
          </cell>
          <cell r="F333" t="str">
            <v>NO</v>
          </cell>
          <cell r="G333" t="str">
            <v>NO</v>
          </cell>
          <cell r="H333" t="str">
            <v>AULA HOSPITALARIA</v>
          </cell>
          <cell r="I333">
            <v>1</v>
          </cell>
          <cell r="J333" t="str">
            <v>C.3.5.34</v>
          </cell>
          <cell r="K333" t="str">
            <v>Administración y apoyo general</v>
          </cell>
          <cell r="L333">
            <v>5</v>
          </cell>
          <cell r="M333">
            <v>46059</v>
          </cell>
          <cell r="N333">
            <v>46062</v>
          </cell>
          <cell r="O333">
            <v>2</v>
          </cell>
          <cell r="P333">
            <v>46064</v>
          </cell>
          <cell r="Q333">
            <v>5</v>
          </cell>
          <cell r="R333" t="str">
            <v>NA</v>
          </cell>
          <cell r="S333">
            <v>5</v>
          </cell>
        </row>
        <row r="334">
          <cell r="B334" t="str">
            <v>MNC</v>
          </cell>
          <cell r="C334" t="str">
            <v>HSLB14576</v>
          </cell>
          <cell r="D334">
            <v>204009</v>
          </cell>
          <cell r="E334" t="str">
            <v>Silla Párvulo</v>
          </cell>
          <cell r="F334" t="str">
            <v>NO</v>
          </cell>
          <cell r="G334" t="str">
            <v>NO</v>
          </cell>
          <cell r="H334" t="str">
            <v>AULA HOSPITALARIA</v>
          </cell>
          <cell r="I334">
            <v>4</v>
          </cell>
          <cell r="J334" t="str">
            <v>C.3.5.34</v>
          </cell>
          <cell r="K334" t="str">
            <v>Administración y apoyo general</v>
          </cell>
          <cell r="L334">
            <v>5</v>
          </cell>
          <cell r="M334">
            <v>46059</v>
          </cell>
          <cell r="N334">
            <v>46062</v>
          </cell>
          <cell r="O334">
            <v>1</v>
          </cell>
          <cell r="P334">
            <v>46063</v>
          </cell>
          <cell r="Q334">
            <v>5</v>
          </cell>
          <cell r="R334" t="str">
            <v>NA</v>
          </cell>
          <cell r="S334">
            <v>5</v>
          </cell>
        </row>
        <row r="335">
          <cell r="B335" t="str">
            <v>MNC</v>
          </cell>
          <cell r="C335" t="str">
            <v>HSLB14765</v>
          </cell>
          <cell r="D335">
            <v>204012</v>
          </cell>
          <cell r="E335" t="str">
            <v>Silla Visita</v>
          </cell>
          <cell r="F335" t="str">
            <v>NO</v>
          </cell>
          <cell r="G335" t="str">
            <v>NO</v>
          </cell>
          <cell r="H335" t="str">
            <v>AULA HOSPITALARIA</v>
          </cell>
          <cell r="I335">
            <v>4</v>
          </cell>
          <cell r="J335" t="str">
            <v>C.3.5.34</v>
          </cell>
          <cell r="K335" t="str">
            <v>Administración y apoyo general</v>
          </cell>
          <cell r="L335">
            <v>5</v>
          </cell>
          <cell r="M335">
            <v>46059</v>
          </cell>
          <cell r="N335">
            <v>46062</v>
          </cell>
          <cell r="O335">
            <v>1</v>
          </cell>
          <cell r="P335">
            <v>46063</v>
          </cell>
          <cell r="Q335">
            <v>5</v>
          </cell>
          <cell r="R335" t="str">
            <v>NA</v>
          </cell>
          <cell r="S335">
            <v>5</v>
          </cell>
        </row>
        <row r="336">
          <cell r="B336" t="str">
            <v>MNC</v>
          </cell>
          <cell r="C336" t="str">
            <v>HSLB13294</v>
          </cell>
          <cell r="D336">
            <v>201002</v>
          </cell>
          <cell r="E336" t="str">
            <v>Mesa Lateral</v>
          </cell>
          <cell r="F336" t="str">
            <v>NO</v>
          </cell>
          <cell r="G336" t="str">
            <v>NO</v>
          </cell>
          <cell r="H336" t="str">
            <v>SALA DE ESPERA</v>
          </cell>
          <cell r="I336">
            <v>2</v>
          </cell>
          <cell r="J336" t="str">
            <v>C.3.5.4</v>
          </cell>
          <cell r="K336" t="str">
            <v>Administración y apoyo general</v>
          </cell>
          <cell r="L336">
            <v>5</v>
          </cell>
          <cell r="M336">
            <v>46059</v>
          </cell>
          <cell r="N336">
            <v>46062</v>
          </cell>
          <cell r="O336">
            <v>2</v>
          </cell>
          <cell r="P336">
            <v>46064</v>
          </cell>
          <cell r="Q336">
            <v>5</v>
          </cell>
          <cell r="R336" t="str">
            <v>NA</v>
          </cell>
          <cell r="S336">
            <v>5</v>
          </cell>
        </row>
        <row r="337">
          <cell r="B337" t="str">
            <v>MNC</v>
          </cell>
          <cell r="C337" t="str">
            <v>HSLB15005</v>
          </cell>
          <cell r="D337">
            <v>204014</v>
          </cell>
          <cell r="E337" t="str">
            <v>Sillón 2 Cuerpo</v>
          </cell>
          <cell r="F337" t="str">
            <v>NO</v>
          </cell>
          <cell r="G337" t="str">
            <v>NO</v>
          </cell>
          <cell r="H337" t="str">
            <v>SALA DE ESPERA</v>
          </cell>
          <cell r="I337">
            <v>4</v>
          </cell>
          <cell r="J337" t="str">
            <v>C.3.5.4</v>
          </cell>
          <cell r="K337" t="str">
            <v>Administración y apoyo general</v>
          </cell>
          <cell r="L337">
            <v>5</v>
          </cell>
          <cell r="M337">
            <v>46059</v>
          </cell>
          <cell r="N337">
            <v>46062</v>
          </cell>
          <cell r="O337">
            <v>1</v>
          </cell>
          <cell r="P337">
            <v>46063</v>
          </cell>
          <cell r="Q337">
            <v>5</v>
          </cell>
          <cell r="R337" t="str">
            <v>NA</v>
          </cell>
          <cell r="S337">
            <v>5</v>
          </cell>
        </row>
        <row r="338">
          <cell r="B338" t="str">
            <v>MNC</v>
          </cell>
          <cell r="C338" t="str">
            <v>HSLB14327</v>
          </cell>
          <cell r="D338">
            <v>204006</v>
          </cell>
          <cell r="E338" t="str">
            <v>Silla Ergonómica</v>
          </cell>
          <cell r="F338" t="str">
            <v>NO</v>
          </cell>
          <cell r="G338" t="str">
            <v>NO</v>
          </cell>
          <cell r="H338" t="str">
            <v>MESÓN DE RECEPCIÓN</v>
          </cell>
          <cell r="I338">
            <v>1</v>
          </cell>
          <cell r="J338" t="str">
            <v>C.3.5.5</v>
          </cell>
          <cell r="K338" t="str">
            <v>Administración y apoyo general</v>
          </cell>
          <cell r="L338">
            <v>5</v>
          </cell>
          <cell r="M338">
            <v>46059</v>
          </cell>
          <cell r="N338">
            <v>46062</v>
          </cell>
          <cell r="O338">
            <v>1</v>
          </cell>
          <cell r="P338">
            <v>46063</v>
          </cell>
          <cell r="Q338">
            <v>5</v>
          </cell>
          <cell r="R338" t="str">
            <v>NA</v>
          </cell>
          <cell r="S338">
            <v>5</v>
          </cell>
        </row>
        <row r="339">
          <cell r="B339" t="str">
            <v>MNC</v>
          </cell>
          <cell r="C339" t="str">
            <v>HSLB13295</v>
          </cell>
          <cell r="D339">
            <v>201002</v>
          </cell>
          <cell r="E339" t="str">
            <v>Mesa Lateral</v>
          </cell>
          <cell r="F339" t="str">
            <v>NO</v>
          </cell>
          <cell r="G339" t="str">
            <v>NO</v>
          </cell>
          <cell r="H339" t="str">
            <v>SALA DE ESTAR FAMILIARES Y ENTREVISTAS</v>
          </cell>
          <cell r="I339">
            <v>1</v>
          </cell>
          <cell r="J339" t="str">
            <v>C.3.5.7</v>
          </cell>
          <cell r="K339" t="str">
            <v>Administración y apoyo general</v>
          </cell>
          <cell r="L339">
            <v>5</v>
          </cell>
          <cell r="M339">
            <v>46059</v>
          </cell>
          <cell r="N339">
            <v>46062</v>
          </cell>
          <cell r="O339">
            <v>2</v>
          </cell>
          <cell r="P339">
            <v>46064</v>
          </cell>
          <cell r="Q339">
            <v>5</v>
          </cell>
          <cell r="R339" t="str">
            <v>NA</v>
          </cell>
          <cell r="S339">
            <v>5</v>
          </cell>
        </row>
        <row r="340">
          <cell r="B340" t="str">
            <v>MNC</v>
          </cell>
          <cell r="C340" t="str">
            <v>HSLB13410</v>
          </cell>
          <cell r="D340">
            <v>201011</v>
          </cell>
          <cell r="E340" t="str">
            <v>Mesa Tipo Casino</v>
          </cell>
          <cell r="F340" t="str">
            <v>NO</v>
          </cell>
          <cell r="G340" t="str">
            <v>NO</v>
          </cell>
          <cell r="H340" t="str">
            <v>SALA DE ESTAR FAMILIARES Y ENTREVISTAS</v>
          </cell>
          <cell r="I340">
            <v>1</v>
          </cell>
          <cell r="J340" t="str">
            <v>C.3.5.7</v>
          </cell>
          <cell r="K340" t="str">
            <v>Administración y apoyo general</v>
          </cell>
          <cell r="L340">
            <v>5</v>
          </cell>
          <cell r="M340">
            <v>46059</v>
          </cell>
          <cell r="N340">
            <v>46062</v>
          </cell>
          <cell r="O340">
            <v>2</v>
          </cell>
          <cell r="P340">
            <v>46064</v>
          </cell>
          <cell r="Q340">
            <v>5</v>
          </cell>
          <cell r="R340" t="str">
            <v>NA</v>
          </cell>
          <cell r="S340">
            <v>5</v>
          </cell>
        </row>
        <row r="341">
          <cell r="B341" t="str">
            <v>MNC</v>
          </cell>
          <cell r="C341" t="str">
            <v>HSLB14596</v>
          </cell>
          <cell r="D341">
            <v>204010</v>
          </cell>
          <cell r="E341" t="str">
            <v>Silla tipo Casino</v>
          </cell>
          <cell r="F341" t="str">
            <v>NO</v>
          </cell>
          <cell r="G341" t="str">
            <v>NO</v>
          </cell>
          <cell r="H341" t="str">
            <v>SALA DE ESTAR FAMILIARES Y ENTREVISTAS</v>
          </cell>
          <cell r="I341">
            <v>4</v>
          </cell>
          <cell r="J341" t="str">
            <v>C.3.5.7</v>
          </cell>
          <cell r="K341" t="str">
            <v>Administración y apoyo general</v>
          </cell>
          <cell r="L341">
            <v>5</v>
          </cell>
          <cell r="M341">
            <v>46059</v>
          </cell>
          <cell r="N341">
            <v>46062</v>
          </cell>
          <cell r="O341">
            <v>1</v>
          </cell>
          <cell r="P341">
            <v>46063</v>
          </cell>
          <cell r="Q341">
            <v>5</v>
          </cell>
          <cell r="R341" t="str">
            <v>NA</v>
          </cell>
          <cell r="S341">
            <v>5</v>
          </cell>
        </row>
        <row r="342">
          <cell r="B342" t="str">
            <v>MNC</v>
          </cell>
          <cell r="C342" t="str">
            <v>HSLB15006</v>
          </cell>
          <cell r="D342">
            <v>204014</v>
          </cell>
          <cell r="E342" t="str">
            <v>Sillón 2 Cuerpo</v>
          </cell>
          <cell r="F342" t="str">
            <v>NO</v>
          </cell>
          <cell r="G342" t="str">
            <v>NO</v>
          </cell>
          <cell r="H342" t="str">
            <v>SALA DE ESTAR FAMILIARES Y ENTREVISTAS</v>
          </cell>
          <cell r="I342">
            <v>1</v>
          </cell>
          <cell r="J342" t="str">
            <v>C.3.5.7</v>
          </cell>
          <cell r="K342" t="str">
            <v>Administración y apoyo general</v>
          </cell>
          <cell r="L342">
            <v>5</v>
          </cell>
          <cell r="M342">
            <v>46059</v>
          </cell>
          <cell r="N342">
            <v>46062</v>
          </cell>
          <cell r="O342">
            <v>1</v>
          </cell>
          <cell r="P342">
            <v>46063</v>
          </cell>
          <cell r="Q342">
            <v>5</v>
          </cell>
          <cell r="R342" t="str">
            <v>NA</v>
          </cell>
          <cell r="S342">
            <v>5</v>
          </cell>
        </row>
        <row r="343">
          <cell r="B343" t="str">
            <v>MNC</v>
          </cell>
          <cell r="C343" t="str">
            <v>HSLB15295</v>
          </cell>
          <cell r="D343">
            <v>204002</v>
          </cell>
          <cell r="E343" t="str">
            <v>Banca Madera</v>
          </cell>
          <cell r="F343" t="str">
            <v>NO</v>
          </cell>
          <cell r="G343" t="str">
            <v>NO</v>
          </cell>
          <cell r="H343" t="str">
            <v>CASILLEROS</v>
          </cell>
          <cell r="I343">
            <v>1</v>
          </cell>
          <cell r="J343" t="str">
            <v>C.3.5.8</v>
          </cell>
          <cell r="K343" t="str">
            <v>Administración y apoyo general</v>
          </cell>
          <cell r="L343">
            <v>5</v>
          </cell>
          <cell r="M343">
            <v>46059</v>
          </cell>
          <cell r="N343">
            <v>46062</v>
          </cell>
          <cell r="O343">
            <v>1</v>
          </cell>
          <cell r="P343">
            <v>46063</v>
          </cell>
          <cell r="Q343">
            <v>5</v>
          </cell>
          <cell r="R343" t="str">
            <v>NA</v>
          </cell>
          <cell r="S343">
            <v>5</v>
          </cell>
        </row>
        <row r="344">
          <cell r="B344" t="str">
            <v>MNC</v>
          </cell>
          <cell r="C344" t="str">
            <v>HSLB15470</v>
          </cell>
          <cell r="D344">
            <v>203030</v>
          </cell>
          <cell r="E344" t="str">
            <v>Mueble Tipo Biblioteca</v>
          </cell>
          <cell r="F344" t="str">
            <v>NO</v>
          </cell>
          <cell r="G344" t="str">
            <v>SI</v>
          </cell>
          <cell r="H344" t="str">
            <v>BODEGA DE EQUIPOS</v>
          </cell>
          <cell r="I344">
            <v>0</v>
          </cell>
          <cell r="J344" t="str">
            <v xml:space="preserve">C.3.4.2.13 </v>
          </cell>
          <cell r="K344" t="str">
            <v>Hospitalización</v>
          </cell>
          <cell r="L344">
            <v>5</v>
          </cell>
          <cell r="M344">
            <v>46003</v>
          </cell>
          <cell r="N344">
            <v>46006</v>
          </cell>
          <cell r="O344">
            <v>2</v>
          </cell>
          <cell r="P344">
            <v>46008</v>
          </cell>
          <cell r="Q344">
            <v>5</v>
          </cell>
          <cell r="R344" t="str">
            <v>NA</v>
          </cell>
          <cell r="S344">
            <v>5</v>
          </cell>
        </row>
      </sheetData>
      <sheetData sheetId="13">
        <row r="19">
          <cell r="B19" t="str">
            <v>EMMC</v>
          </cell>
          <cell r="C19" t="str">
            <v>HSLB11942</v>
          </cell>
          <cell r="D19">
            <v>112046</v>
          </cell>
          <cell r="E19" t="str">
            <v>Catre Clínico Eléctrico</v>
          </cell>
          <cell r="F19" t="str">
            <v>NO</v>
          </cell>
          <cell r="G19" t="str">
            <v>NO</v>
          </cell>
          <cell r="H19" t="str">
            <v>SALA 4 CAMAS</v>
          </cell>
          <cell r="I19">
            <v>4</v>
          </cell>
          <cell r="J19" t="str">
            <v>C.3.4.4.12.1</v>
          </cell>
          <cell r="K19" t="str">
            <v>Hospitalización</v>
          </cell>
          <cell r="L19">
            <v>6</v>
          </cell>
          <cell r="M19">
            <v>46044</v>
          </cell>
          <cell r="N19">
            <v>46045</v>
          </cell>
          <cell r="O19">
            <v>2</v>
          </cell>
          <cell r="P19">
            <v>46049</v>
          </cell>
          <cell r="Q19">
            <v>5</v>
          </cell>
          <cell r="R19" t="str">
            <v>NA</v>
          </cell>
          <cell r="S19">
            <v>5</v>
          </cell>
        </row>
        <row r="20">
          <cell r="B20" t="str">
            <v>EMMC</v>
          </cell>
          <cell r="C20" t="str">
            <v>HSLB11357</v>
          </cell>
          <cell r="D20">
            <v>110022</v>
          </cell>
          <cell r="E20" t="str">
            <v>Dispensador Automático de insumos y Medicamentos 2 Columnas</v>
          </cell>
          <cell r="F20" t="str">
            <v>SI</v>
          </cell>
          <cell r="G20" t="str">
            <v>NO</v>
          </cell>
          <cell r="H20" t="str">
            <v>DISPENSADOR DE MEDICAMENTOS</v>
          </cell>
          <cell r="I20">
            <v>1</v>
          </cell>
          <cell r="J20" t="str">
            <v>C.3.4.4.10.1</v>
          </cell>
          <cell r="K20" t="str">
            <v>Hospitalización</v>
          </cell>
          <cell r="L20">
            <v>6</v>
          </cell>
          <cell r="M20">
            <v>46037</v>
          </cell>
          <cell r="N20">
            <v>46038</v>
          </cell>
          <cell r="O20">
            <v>5</v>
          </cell>
          <cell r="P20">
            <v>46045</v>
          </cell>
          <cell r="Q20">
            <v>5</v>
          </cell>
          <cell r="R20" t="str">
            <v>NA</v>
          </cell>
          <cell r="S20">
            <v>5</v>
          </cell>
        </row>
        <row r="21">
          <cell r="B21" t="str">
            <v>EMMC</v>
          </cell>
          <cell r="C21" t="str">
            <v>HSLB11358</v>
          </cell>
          <cell r="D21">
            <v>110022</v>
          </cell>
          <cell r="E21" t="str">
            <v>Dispensador Automático de insumos y Medicamentos 2 Columnas</v>
          </cell>
          <cell r="F21" t="str">
            <v>SI</v>
          </cell>
          <cell r="G21" t="str">
            <v>NO</v>
          </cell>
          <cell r="H21" t="str">
            <v>DISPENSADOR DE MEDICAMENTOS</v>
          </cell>
          <cell r="I21">
            <v>1</v>
          </cell>
          <cell r="J21" t="str">
            <v>C.3.4.4.10.2</v>
          </cell>
          <cell r="K21" t="str">
            <v>Hospitalización</v>
          </cell>
          <cell r="L21">
            <v>6</v>
          </cell>
          <cell r="M21">
            <v>46037</v>
          </cell>
          <cell r="N21">
            <v>46038</v>
          </cell>
          <cell r="O21">
            <v>5</v>
          </cell>
          <cell r="P21">
            <v>46045</v>
          </cell>
          <cell r="Q21">
            <v>5</v>
          </cell>
          <cell r="R21" t="str">
            <v>NA</v>
          </cell>
          <cell r="S21">
            <v>5</v>
          </cell>
        </row>
        <row r="22">
          <cell r="B22" t="str">
            <v>EMMC</v>
          </cell>
          <cell r="C22" t="str">
            <v>HSLB10365</v>
          </cell>
          <cell r="D22">
            <v>103032</v>
          </cell>
          <cell r="E22" t="str">
            <v>Lavachatas Automático</v>
          </cell>
          <cell r="F22" t="str">
            <v>SI</v>
          </cell>
          <cell r="G22" t="str">
            <v>NO</v>
          </cell>
          <cell r="H22" t="str">
            <v>LAVACHATA AUTOMATICO</v>
          </cell>
          <cell r="I22">
            <v>1</v>
          </cell>
          <cell r="J22" t="str">
            <v>C.3.4.4.20.1</v>
          </cell>
          <cell r="K22" t="str">
            <v>Hospitalización</v>
          </cell>
          <cell r="L22">
            <v>6</v>
          </cell>
          <cell r="M22">
            <v>46043</v>
          </cell>
          <cell r="N22">
            <v>46044</v>
          </cell>
          <cell r="O22">
            <v>5</v>
          </cell>
          <cell r="P22">
            <v>46051</v>
          </cell>
          <cell r="Q22">
            <v>5</v>
          </cell>
          <cell r="R22" t="str">
            <v>NA</v>
          </cell>
          <cell r="S22">
            <v>5</v>
          </cell>
        </row>
        <row r="23">
          <cell r="B23" t="str">
            <v>EMMC</v>
          </cell>
          <cell r="C23" t="str">
            <v>HSLB10366</v>
          </cell>
          <cell r="D23">
            <v>103032</v>
          </cell>
          <cell r="E23" t="str">
            <v>Lavachatas Automático</v>
          </cell>
          <cell r="F23" t="str">
            <v>SI</v>
          </cell>
          <cell r="G23" t="str">
            <v>NO</v>
          </cell>
          <cell r="H23" t="str">
            <v>LAVACHATA AUTOMATICO</v>
          </cell>
          <cell r="I23">
            <v>1</v>
          </cell>
          <cell r="J23" t="str">
            <v>C.3.4.4.20.2</v>
          </cell>
          <cell r="K23" t="str">
            <v>Hospitalización</v>
          </cell>
          <cell r="L23">
            <v>6</v>
          </cell>
          <cell r="M23">
            <v>46043</v>
          </cell>
          <cell r="N23">
            <v>46044</v>
          </cell>
          <cell r="O23">
            <v>5</v>
          </cell>
          <cell r="P23">
            <v>46051</v>
          </cell>
          <cell r="Q23">
            <v>5</v>
          </cell>
          <cell r="R23" t="str">
            <v>NA</v>
          </cell>
          <cell r="S23">
            <v>5</v>
          </cell>
        </row>
        <row r="24">
          <cell r="B24" t="str">
            <v>EMMC</v>
          </cell>
          <cell r="C24" t="str">
            <v>HSLB11943</v>
          </cell>
          <cell r="D24">
            <v>112046</v>
          </cell>
          <cell r="E24" t="str">
            <v>Catre Clínico Eléctrico</v>
          </cell>
          <cell r="F24" t="str">
            <v>NO</v>
          </cell>
          <cell r="G24" t="str">
            <v>NO</v>
          </cell>
          <cell r="H24" t="str">
            <v>SALA 3 CAMAS</v>
          </cell>
          <cell r="I24">
            <v>3</v>
          </cell>
          <cell r="J24" t="str">
            <v>C.3.4.4.12.10</v>
          </cell>
          <cell r="K24" t="str">
            <v>Hospitalización</v>
          </cell>
          <cell r="L24">
            <v>6</v>
          </cell>
          <cell r="M24">
            <v>46044</v>
          </cell>
          <cell r="N24">
            <v>46045</v>
          </cell>
          <cell r="O24">
            <v>2</v>
          </cell>
          <cell r="P24">
            <v>46049</v>
          </cell>
          <cell r="Q24">
            <v>5</v>
          </cell>
          <cell r="R24" t="str">
            <v>NA</v>
          </cell>
          <cell r="S24">
            <v>5</v>
          </cell>
        </row>
        <row r="25">
          <cell r="B25" t="str">
            <v>EMMC</v>
          </cell>
          <cell r="C25" t="str">
            <v>HSLB10977</v>
          </cell>
          <cell r="D25">
            <v>106019</v>
          </cell>
          <cell r="E25" t="str">
            <v>Televisor 32'</v>
          </cell>
          <cell r="F25" t="str">
            <v>NO</v>
          </cell>
          <cell r="G25" t="str">
            <v>NO</v>
          </cell>
          <cell r="H25" t="str">
            <v>SALA 4 CAMAS</v>
          </cell>
          <cell r="I25">
            <v>2</v>
          </cell>
          <cell r="J25" t="str">
            <v>C.3.4.4.12.1</v>
          </cell>
          <cell r="K25" t="str">
            <v>Hospitalización</v>
          </cell>
          <cell r="L25">
            <v>6</v>
          </cell>
          <cell r="M25">
            <v>46044</v>
          </cell>
          <cell r="N25">
            <v>46045</v>
          </cell>
          <cell r="O25">
            <v>1</v>
          </cell>
          <cell r="P25">
            <v>46048</v>
          </cell>
          <cell r="Q25">
            <v>5</v>
          </cell>
          <cell r="R25" t="str">
            <v>NA</v>
          </cell>
          <cell r="S25">
            <v>5</v>
          </cell>
        </row>
        <row r="26">
          <cell r="B26" t="str">
            <v>EMMC</v>
          </cell>
          <cell r="C26" t="str">
            <v>HSLB10978</v>
          </cell>
          <cell r="D26">
            <v>106019</v>
          </cell>
          <cell r="E26" t="str">
            <v>Televisor 32'</v>
          </cell>
          <cell r="F26" t="str">
            <v>NO</v>
          </cell>
          <cell r="G26" t="str">
            <v>NO</v>
          </cell>
          <cell r="H26" t="str">
            <v>SALA 3 CAMAS</v>
          </cell>
          <cell r="I26">
            <v>2</v>
          </cell>
          <cell r="J26" t="str">
            <v>C.3.4.4.12.10</v>
          </cell>
          <cell r="K26" t="str">
            <v>Hospitalización</v>
          </cell>
          <cell r="L26">
            <v>6</v>
          </cell>
          <cell r="M26">
            <v>46044</v>
          </cell>
          <cell r="N26">
            <v>46045</v>
          </cell>
          <cell r="O26">
            <v>1</v>
          </cell>
          <cell r="P26">
            <v>46048</v>
          </cell>
          <cell r="Q26">
            <v>5</v>
          </cell>
          <cell r="R26" t="str">
            <v>NA</v>
          </cell>
          <cell r="S26">
            <v>5</v>
          </cell>
        </row>
        <row r="27">
          <cell r="B27" t="str">
            <v>EMMC</v>
          </cell>
          <cell r="C27" t="str">
            <v>HSLB10979</v>
          </cell>
          <cell r="D27">
            <v>106019</v>
          </cell>
          <cell r="E27" t="str">
            <v>Televisor 32'</v>
          </cell>
          <cell r="F27" t="str">
            <v>NO</v>
          </cell>
          <cell r="G27" t="str">
            <v>NO</v>
          </cell>
          <cell r="H27" t="str">
            <v>SALA 4 CAMAS</v>
          </cell>
          <cell r="I27">
            <v>2</v>
          </cell>
          <cell r="J27" t="str">
            <v>C.3.4.4.12.2</v>
          </cell>
          <cell r="K27" t="str">
            <v>Hospitalización</v>
          </cell>
          <cell r="L27">
            <v>6</v>
          </cell>
          <cell r="M27">
            <v>46044</v>
          </cell>
          <cell r="N27">
            <v>46045</v>
          </cell>
          <cell r="O27">
            <v>1</v>
          </cell>
          <cell r="P27">
            <v>46048</v>
          </cell>
          <cell r="Q27">
            <v>5</v>
          </cell>
          <cell r="R27" t="str">
            <v>NA</v>
          </cell>
          <cell r="S27">
            <v>5</v>
          </cell>
        </row>
        <row r="28">
          <cell r="B28" t="str">
            <v>EMMC</v>
          </cell>
          <cell r="C28" t="str">
            <v>HSLB10980</v>
          </cell>
          <cell r="D28">
            <v>106019</v>
          </cell>
          <cell r="E28" t="str">
            <v>Televisor 32'</v>
          </cell>
          <cell r="F28" t="str">
            <v>NO</v>
          </cell>
          <cell r="G28" t="str">
            <v>NO</v>
          </cell>
          <cell r="H28" t="str">
            <v>SALA 4 CAMAS</v>
          </cell>
          <cell r="I28">
            <v>2</v>
          </cell>
          <cell r="J28" t="str">
            <v>C.3.4.4.12.3</v>
          </cell>
          <cell r="K28" t="str">
            <v>Hospitalización</v>
          </cell>
          <cell r="L28">
            <v>6</v>
          </cell>
          <cell r="M28">
            <v>46044</v>
          </cell>
          <cell r="N28">
            <v>46045</v>
          </cell>
          <cell r="O28">
            <v>1</v>
          </cell>
          <cell r="P28">
            <v>46048</v>
          </cell>
          <cell r="Q28">
            <v>5</v>
          </cell>
          <cell r="R28" t="str">
            <v>NA</v>
          </cell>
          <cell r="S28">
            <v>5</v>
          </cell>
        </row>
        <row r="29">
          <cell r="B29" t="str">
            <v>EMMC</v>
          </cell>
          <cell r="C29" t="str">
            <v>HSLB10981</v>
          </cell>
          <cell r="D29">
            <v>106019</v>
          </cell>
          <cell r="E29" t="str">
            <v>Televisor 32'</v>
          </cell>
          <cell r="F29" t="str">
            <v>NO</v>
          </cell>
          <cell r="G29" t="str">
            <v>SI</v>
          </cell>
          <cell r="H29" t="str">
            <v>SALA 4 CAMAS</v>
          </cell>
          <cell r="I29">
            <v>2</v>
          </cell>
          <cell r="J29" t="str">
            <v>C.3.4.4.12.4</v>
          </cell>
          <cell r="K29" t="str">
            <v>Hospitalización</v>
          </cell>
          <cell r="L29">
            <v>6</v>
          </cell>
          <cell r="M29">
            <v>46003</v>
          </cell>
          <cell r="N29">
            <v>46006</v>
          </cell>
          <cell r="O29">
            <v>1</v>
          </cell>
          <cell r="P29">
            <v>46007</v>
          </cell>
          <cell r="Q29">
            <v>5</v>
          </cell>
          <cell r="R29" t="str">
            <v>NA</v>
          </cell>
          <cell r="S29">
            <v>5</v>
          </cell>
        </row>
        <row r="30">
          <cell r="B30" t="str">
            <v>EMMC</v>
          </cell>
          <cell r="C30" t="str">
            <v>HSLB10982</v>
          </cell>
          <cell r="D30">
            <v>106019</v>
          </cell>
          <cell r="E30" t="str">
            <v>Televisor 32'</v>
          </cell>
          <cell r="F30" t="str">
            <v>NO</v>
          </cell>
          <cell r="G30" t="str">
            <v>NO</v>
          </cell>
          <cell r="H30" t="str">
            <v>SALA 4 CAMAS</v>
          </cell>
          <cell r="I30">
            <v>2</v>
          </cell>
          <cell r="J30" t="str">
            <v>C.3.4.4.12.5</v>
          </cell>
          <cell r="K30" t="str">
            <v>Hospitalización</v>
          </cell>
          <cell r="L30">
            <v>6</v>
          </cell>
          <cell r="M30">
            <v>46044</v>
          </cell>
          <cell r="N30">
            <v>46045</v>
          </cell>
          <cell r="O30">
            <v>1</v>
          </cell>
          <cell r="P30">
            <v>46048</v>
          </cell>
          <cell r="Q30">
            <v>5</v>
          </cell>
          <cell r="R30" t="str">
            <v>NA</v>
          </cell>
          <cell r="S30">
            <v>5</v>
          </cell>
        </row>
        <row r="31">
          <cell r="B31" t="str">
            <v>EMMC</v>
          </cell>
          <cell r="C31" t="str">
            <v>HSLB10983</v>
          </cell>
          <cell r="D31">
            <v>106019</v>
          </cell>
          <cell r="E31" t="str">
            <v>Televisor 32'</v>
          </cell>
          <cell r="F31" t="str">
            <v>NO</v>
          </cell>
          <cell r="G31" t="str">
            <v>NO</v>
          </cell>
          <cell r="H31" t="str">
            <v>SALA 4 CAMAS</v>
          </cell>
          <cell r="I31">
            <v>2</v>
          </cell>
          <cell r="J31" t="str">
            <v>C.3.4.4.12.6</v>
          </cell>
          <cell r="K31" t="str">
            <v>Hospitalización</v>
          </cell>
          <cell r="L31">
            <v>6</v>
          </cell>
          <cell r="M31">
            <v>46044</v>
          </cell>
          <cell r="N31">
            <v>46045</v>
          </cell>
          <cell r="O31">
            <v>1</v>
          </cell>
          <cell r="P31">
            <v>46048</v>
          </cell>
          <cell r="Q31">
            <v>5</v>
          </cell>
          <cell r="R31" t="str">
            <v>NA</v>
          </cell>
          <cell r="S31">
            <v>5</v>
          </cell>
        </row>
        <row r="32">
          <cell r="B32" t="str">
            <v>EMMC</v>
          </cell>
          <cell r="C32" t="str">
            <v>HSLB10984</v>
          </cell>
          <cell r="D32">
            <v>106019</v>
          </cell>
          <cell r="E32" t="str">
            <v>Televisor 32'</v>
          </cell>
          <cell r="F32" t="str">
            <v>NO</v>
          </cell>
          <cell r="G32" t="str">
            <v>SI</v>
          </cell>
          <cell r="H32" t="str">
            <v>SALA 4 CAMAS</v>
          </cell>
          <cell r="I32">
            <v>2</v>
          </cell>
          <cell r="J32" t="str">
            <v>C.3.4.4.12.7</v>
          </cell>
          <cell r="K32" t="str">
            <v>Hospitalización</v>
          </cell>
          <cell r="L32">
            <v>6</v>
          </cell>
          <cell r="M32">
            <v>46003</v>
          </cell>
          <cell r="N32">
            <v>46006</v>
          </cell>
          <cell r="O32">
            <v>1</v>
          </cell>
          <cell r="P32">
            <v>46007</v>
          </cell>
          <cell r="Q32">
            <v>5</v>
          </cell>
          <cell r="R32" t="str">
            <v>NA</v>
          </cell>
          <cell r="S32">
            <v>5</v>
          </cell>
        </row>
        <row r="33">
          <cell r="B33" t="str">
            <v>EMMC</v>
          </cell>
          <cell r="C33" t="str">
            <v>HSLB10985</v>
          </cell>
          <cell r="D33">
            <v>106019</v>
          </cell>
          <cell r="E33" t="str">
            <v>Televisor 32'</v>
          </cell>
          <cell r="F33" t="str">
            <v>NO</v>
          </cell>
          <cell r="G33" t="str">
            <v>NO</v>
          </cell>
          <cell r="H33" t="str">
            <v>SALA 4 CAMAS</v>
          </cell>
          <cell r="I33">
            <v>2</v>
          </cell>
          <cell r="J33" t="str">
            <v>C.3.4.4.12.8</v>
          </cell>
          <cell r="K33" t="str">
            <v>Hospitalización</v>
          </cell>
          <cell r="L33">
            <v>6</v>
          </cell>
          <cell r="M33">
            <v>46044</v>
          </cell>
          <cell r="N33">
            <v>46045</v>
          </cell>
          <cell r="O33">
            <v>1</v>
          </cell>
          <cell r="P33">
            <v>46048</v>
          </cell>
          <cell r="Q33">
            <v>5</v>
          </cell>
          <cell r="R33" t="str">
            <v>NA</v>
          </cell>
          <cell r="S33">
            <v>5</v>
          </cell>
        </row>
        <row r="34">
          <cell r="B34" t="str">
            <v>EMMC</v>
          </cell>
          <cell r="C34" t="str">
            <v>HSLB10986</v>
          </cell>
          <cell r="D34">
            <v>106019</v>
          </cell>
          <cell r="E34" t="str">
            <v>Televisor 32'</v>
          </cell>
          <cell r="F34" t="str">
            <v>NO</v>
          </cell>
          <cell r="G34" t="str">
            <v>NO</v>
          </cell>
          <cell r="H34" t="str">
            <v>SALA 4 CAMAS</v>
          </cell>
          <cell r="I34">
            <v>2</v>
          </cell>
          <cell r="J34" t="str">
            <v>C.3.4.4.12.9</v>
          </cell>
          <cell r="K34" t="str">
            <v>Hospitalización</v>
          </cell>
          <cell r="L34">
            <v>6</v>
          </cell>
          <cell r="M34">
            <v>46044</v>
          </cell>
          <cell r="N34">
            <v>46045</v>
          </cell>
          <cell r="O34">
            <v>1</v>
          </cell>
          <cell r="P34">
            <v>46048</v>
          </cell>
          <cell r="Q34">
            <v>5</v>
          </cell>
          <cell r="R34" t="str">
            <v>NA</v>
          </cell>
          <cell r="S34">
            <v>5</v>
          </cell>
        </row>
        <row r="35">
          <cell r="B35" t="str">
            <v>EMMC</v>
          </cell>
          <cell r="C35" t="str">
            <v>HSLB10987</v>
          </cell>
          <cell r="D35">
            <v>106019</v>
          </cell>
          <cell r="E35" t="str">
            <v>Televisor 32'</v>
          </cell>
          <cell r="F35" t="str">
            <v>NO</v>
          </cell>
          <cell r="G35" t="str">
            <v>NO</v>
          </cell>
          <cell r="H35" t="str">
            <v>SALA 1 CAMA</v>
          </cell>
          <cell r="I35">
            <v>1</v>
          </cell>
          <cell r="J35" t="str">
            <v>C.3.4.4.13.1</v>
          </cell>
          <cell r="K35" t="str">
            <v>Hospitalización</v>
          </cell>
          <cell r="L35">
            <v>6</v>
          </cell>
          <cell r="M35">
            <v>46044</v>
          </cell>
          <cell r="N35">
            <v>46045</v>
          </cell>
          <cell r="O35">
            <v>1</v>
          </cell>
          <cell r="P35">
            <v>46048</v>
          </cell>
          <cell r="Q35">
            <v>5</v>
          </cell>
          <cell r="R35" t="str">
            <v>NA</v>
          </cell>
          <cell r="S35">
            <v>5</v>
          </cell>
        </row>
        <row r="36">
          <cell r="B36" t="str">
            <v>EMMC</v>
          </cell>
          <cell r="C36" t="str">
            <v>HSLB10988</v>
          </cell>
          <cell r="D36">
            <v>106019</v>
          </cell>
          <cell r="E36" t="str">
            <v>Televisor 32'</v>
          </cell>
          <cell r="F36" t="str">
            <v>NO</v>
          </cell>
          <cell r="G36" t="str">
            <v>NO</v>
          </cell>
          <cell r="H36" t="str">
            <v>SALA 1 CAMA</v>
          </cell>
          <cell r="I36">
            <v>1</v>
          </cell>
          <cell r="J36" t="str">
            <v>C.3.4.4.13.2</v>
          </cell>
          <cell r="K36" t="str">
            <v>Hospitalización</v>
          </cell>
          <cell r="L36">
            <v>6</v>
          </cell>
          <cell r="M36">
            <v>46044</v>
          </cell>
          <cell r="N36">
            <v>46045</v>
          </cell>
          <cell r="O36">
            <v>1</v>
          </cell>
          <cell r="P36">
            <v>46048</v>
          </cell>
          <cell r="Q36">
            <v>5</v>
          </cell>
          <cell r="R36" t="str">
            <v>NA</v>
          </cell>
          <cell r="S36">
            <v>5</v>
          </cell>
        </row>
        <row r="37">
          <cell r="B37" t="str">
            <v>EMMC</v>
          </cell>
          <cell r="C37" t="str">
            <v>HSLB10989</v>
          </cell>
          <cell r="D37">
            <v>106019</v>
          </cell>
          <cell r="E37" t="str">
            <v>Televisor 32'</v>
          </cell>
          <cell r="F37" t="str">
            <v>NO</v>
          </cell>
          <cell r="G37" t="str">
            <v>NO</v>
          </cell>
          <cell r="H37" t="str">
            <v>SALA 1 CAMA</v>
          </cell>
          <cell r="I37">
            <v>1</v>
          </cell>
          <cell r="J37" t="str">
            <v>C.3.4.4.13.3</v>
          </cell>
          <cell r="K37" t="str">
            <v>Hospitalización</v>
          </cell>
          <cell r="L37">
            <v>6</v>
          </cell>
          <cell r="M37">
            <v>46044</v>
          </cell>
          <cell r="N37">
            <v>46045</v>
          </cell>
          <cell r="O37">
            <v>1</v>
          </cell>
          <cell r="P37">
            <v>46048</v>
          </cell>
          <cell r="Q37">
            <v>5</v>
          </cell>
          <cell r="R37" t="str">
            <v>NA</v>
          </cell>
          <cell r="S37">
            <v>5</v>
          </cell>
        </row>
        <row r="38">
          <cell r="B38" t="str">
            <v>EMMC</v>
          </cell>
          <cell r="C38" t="str">
            <v>HSLB10990</v>
          </cell>
          <cell r="D38">
            <v>106019</v>
          </cell>
          <cell r="E38" t="str">
            <v>Televisor 32'</v>
          </cell>
          <cell r="F38" t="str">
            <v>NO</v>
          </cell>
          <cell r="G38" t="str">
            <v>NO</v>
          </cell>
          <cell r="H38" t="str">
            <v>SALA 1 CAMA</v>
          </cell>
          <cell r="I38">
            <v>1</v>
          </cell>
          <cell r="J38" t="str">
            <v>C.3.4.4.13.4</v>
          </cell>
          <cell r="K38" t="str">
            <v>Hospitalización</v>
          </cell>
          <cell r="L38">
            <v>6</v>
          </cell>
          <cell r="M38">
            <v>46044</v>
          </cell>
          <cell r="N38">
            <v>46045</v>
          </cell>
          <cell r="O38">
            <v>1</v>
          </cell>
          <cell r="P38">
            <v>46048</v>
          </cell>
          <cell r="Q38">
            <v>5</v>
          </cell>
          <cell r="R38" t="str">
            <v>NA</v>
          </cell>
          <cell r="S38">
            <v>5</v>
          </cell>
        </row>
        <row r="39">
          <cell r="B39" t="str">
            <v>EMMC</v>
          </cell>
          <cell r="C39" t="str">
            <v>HSLB10991</v>
          </cell>
          <cell r="D39">
            <v>106019</v>
          </cell>
          <cell r="E39" t="str">
            <v>Televisor 32'</v>
          </cell>
          <cell r="F39" t="str">
            <v>NO</v>
          </cell>
          <cell r="G39" t="str">
            <v>NO</v>
          </cell>
          <cell r="H39" t="str">
            <v>SALA 1 CAMA AISLAMIENTO</v>
          </cell>
          <cell r="I39">
            <v>1</v>
          </cell>
          <cell r="J39" t="str">
            <v>C.3.4.4.14.1</v>
          </cell>
          <cell r="K39" t="str">
            <v>Hospitalización</v>
          </cell>
          <cell r="L39">
            <v>6</v>
          </cell>
          <cell r="M39">
            <v>46044</v>
          </cell>
          <cell r="N39">
            <v>46045</v>
          </cell>
          <cell r="O39">
            <v>1</v>
          </cell>
          <cell r="P39">
            <v>46048</v>
          </cell>
          <cell r="Q39">
            <v>5</v>
          </cell>
          <cell r="R39" t="str">
            <v>NA</v>
          </cell>
          <cell r="S39">
            <v>5</v>
          </cell>
        </row>
        <row r="40">
          <cell r="B40" t="str">
            <v>EMMC</v>
          </cell>
          <cell r="C40" t="str">
            <v>HSLB10992</v>
          </cell>
          <cell r="D40">
            <v>106019</v>
          </cell>
          <cell r="E40" t="str">
            <v>Televisor 32'</v>
          </cell>
          <cell r="F40" t="str">
            <v>NO</v>
          </cell>
          <cell r="G40" t="str">
            <v>NO</v>
          </cell>
          <cell r="H40" t="str">
            <v>SALA 1 CAMA AISLAMIENTO</v>
          </cell>
          <cell r="I40">
            <v>1</v>
          </cell>
          <cell r="J40" t="str">
            <v>C.3.4.4.14.2</v>
          </cell>
          <cell r="K40" t="str">
            <v>Hospitalización</v>
          </cell>
          <cell r="L40">
            <v>6</v>
          </cell>
          <cell r="M40">
            <v>46044</v>
          </cell>
          <cell r="N40">
            <v>46045</v>
          </cell>
          <cell r="O40">
            <v>1</v>
          </cell>
          <cell r="P40">
            <v>46048</v>
          </cell>
          <cell r="Q40">
            <v>5</v>
          </cell>
          <cell r="R40" t="str">
            <v>NA</v>
          </cell>
          <cell r="S40">
            <v>5</v>
          </cell>
        </row>
        <row r="41">
          <cell r="B41" t="str">
            <v>EMMC</v>
          </cell>
          <cell r="C41" t="str">
            <v>HSLB10993</v>
          </cell>
          <cell r="D41">
            <v>106019</v>
          </cell>
          <cell r="E41" t="str">
            <v>Televisor 32'</v>
          </cell>
          <cell r="F41" t="str">
            <v>NO</v>
          </cell>
          <cell r="G41" t="str">
            <v>NO</v>
          </cell>
          <cell r="H41" t="str">
            <v>SALA 1 CAMA AISLAMIENTO</v>
          </cell>
          <cell r="I41">
            <v>1</v>
          </cell>
          <cell r="J41" t="str">
            <v>C.3.4.4.14.3</v>
          </cell>
          <cell r="K41" t="str">
            <v>Hospitalización</v>
          </cell>
          <cell r="L41">
            <v>6</v>
          </cell>
          <cell r="M41">
            <v>46044</v>
          </cell>
          <cell r="N41">
            <v>46045</v>
          </cell>
          <cell r="O41">
            <v>1</v>
          </cell>
          <cell r="P41">
            <v>46048</v>
          </cell>
          <cell r="Q41">
            <v>5</v>
          </cell>
          <cell r="R41" t="str">
            <v>NA</v>
          </cell>
          <cell r="S41">
            <v>5</v>
          </cell>
        </row>
        <row r="42">
          <cell r="B42" t="str">
            <v>EMMC</v>
          </cell>
          <cell r="C42" t="str">
            <v>HSLB10994</v>
          </cell>
          <cell r="D42">
            <v>106019</v>
          </cell>
          <cell r="E42" t="str">
            <v>Televisor 32'</v>
          </cell>
          <cell r="F42" t="str">
            <v>NO</v>
          </cell>
          <cell r="G42" t="str">
            <v>NO</v>
          </cell>
          <cell r="H42" t="str">
            <v>SALA 1 CAMA AISLAMIENTO</v>
          </cell>
          <cell r="I42">
            <v>1</v>
          </cell>
          <cell r="J42" t="str">
            <v>C.3.4.4.14.4</v>
          </cell>
          <cell r="K42" t="str">
            <v>Hospitalización</v>
          </cell>
          <cell r="L42">
            <v>6</v>
          </cell>
          <cell r="M42">
            <v>46044</v>
          </cell>
          <cell r="N42">
            <v>46045</v>
          </cell>
          <cell r="O42">
            <v>1</v>
          </cell>
          <cell r="P42">
            <v>46048</v>
          </cell>
          <cell r="Q42">
            <v>5</v>
          </cell>
          <cell r="R42" t="str">
            <v>NA</v>
          </cell>
          <cell r="S42">
            <v>5</v>
          </cell>
        </row>
        <row r="43">
          <cell r="B43" t="str">
            <v>EMMC</v>
          </cell>
          <cell r="C43" t="str">
            <v>HSLB11062</v>
          </cell>
          <cell r="D43">
            <v>106020</v>
          </cell>
          <cell r="E43" t="str">
            <v>Televisor 42'</v>
          </cell>
          <cell r="F43" t="str">
            <v>NO</v>
          </cell>
          <cell r="G43" t="str">
            <v>NO</v>
          </cell>
          <cell r="H43" t="str">
            <v>SALA DE ESPERA</v>
          </cell>
          <cell r="I43">
            <v>1</v>
          </cell>
          <cell r="J43" t="str">
            <v>C.3.4.4.1</v>
          </cell>
          <cell r="K43" t="str">
            <v>Hospitalización</v>
          </cell>
          <cell r="L43">
            <v>6</v>
          </cell>
          <cell r="M43">
            <v>46044</v>
          </cell>
          <cell r="N43">
            <v>46045</v>
          </cell>
          <cell r="O43">
            <v>1</v>
          </cell>
          <cell r="P43">
            <v>46048</v>
          </cell>
          <cell r="Q43">
            <v>5</v>
          </cell>
          <cell r="R43" t="str">
            <v>NA</v>
          </cell>
          <cell r="S43">
            <v>5</v>
          </cell>
        </row>
        <row r="44">
          <cell r="B44" t="str">
            <v>EMMC</v>
          </cell>
          <cell r="C44" t="str">
            <v>HSLB11944</v>
          </cell>
          <cell r="D44">
            <v>112046</v>
          </cell>
          <cell r="E44" t="str">
            <v>Catre Clínico Eléctrico</v>
          </cell>
          <cell r="F44" t="str">
            <v>NO</v>
          </cell>
          <cell r="G44" t="str">
            <v>NO</v>
          </cell>
          <cell r="H44" t="str">
            <v>SALA 4 CAMAS</v>
          </cell>
          <cell r="I44">
            <v>4</v>
          </cell>
          <cell r="J44" t="str">
            <v>C.3.4.4.12.2</v>
          </cell>
          <cell r="K44" t="str">
            <v>Hospitalización</v>
          </cell>
          <cell r="L44">
            <v>6</v>
          </cell>
          <cell r="M44">
            <v>46044</v>
          </cell>
          <cell r="N44">
            <v>46045</v>
          </cell>
          <cell r="O44">
            <v>2</v>
          </cell>
          <cell r="P44">
            <v>46049</v>
          </cell>
          <cell r="Q44">
            <v>5</v>
          </cell>
          <cell r="R44" t="str">
            <v>NA</v>
          </cell>
          <cell r="S44">
            <v>5</v>
          </cell>
        </row>
        <row r="45">
          <cell r="B45" t="str">
            <v>EMMC</v>
          </cell>
          <cell r="C45" t="str">
            <v>HSLB12229</v>
          </cell>
          <cell r="D45">
            <v>112060</v>
          </cell>
          <cell r="E45" t="str">
            <v>Mesa Comer en Cama</v>
          </cell>
          <cell r="F45" t="str">
            <v>NO</v>
          </cell>
          <cell r="G45" t="str">
            <v>NO</v>
          </cell>
          <cell r="H45" t="str">
            <v>SALA 4 CAMAS</v>
          </cell>
          <cell r="I45">
            <v>4</v>
          </cell>
          <cell r="J45" t="str">
            <v>C.3.4.4.12.1</v>
          </cell>
          <cell r="K45" t="str">
            <v>Hospitalización</v>
          </cell>
          <cell r="L45">
            <v>6</v>
          </cell>
          <cell r="M45">
            <v>46044</v>
          </cell>
          <cell r="N45">
            <v>46045</v>
          </cell>
          <cell r="O45">
            <v>1</v>
          </cell>
          <cell r="P45">
            <v>46048</v>
          </cell>
          <cell r="Q45">
            <v>5</v>
          </cell>
          <cell r="R45" t="str">
            <v>NA</v>
          </cell>
          <cell r="S45">
            <v>5</v>
          </cell>
        </row>
        <row r="46">
          <cell r="B46" t="str">
            <v>EMMC</v>
          </cell>
          <cell r="C46" t="str">
            <v>HSLB12230</v>
          </cell>
          <cell r="D46">
            <v>112060</v>
          </cell>
          <cell r="E46" t="str">
            <v>Mesa Comer en Cama</v>
          </cell>
          <cell r="F46" t="str">
            <v>NO</v>
          </cell>
          <cell r="G46" t="str">
            <v>NO</v>
          </cell>
          <cell r="H46" t="str">
            <v>SALA 3 CAMAS</v>
          </cell>
          <cell r="I46">
            <v>3</v>
          </cell>
          <cell r="J46" t="str">
            <v>C.3.4.4.12.10</v>
          </cell>
          <cell r="K46" t="str">
            <v>Hospitalización</v>
          </cell>
          <cell r="L46">
            <v>6</v>
          </cell>
          <cell r="M46">
            <v>46044</v>
          </cell>
          <cell r="N46">
            <v>46045</v>
          </cell>
          <cell r="O46">
            <v>1</v>
          </cell>
          <cell r="P46">
            <v>46048</v>
          </cell>
          <cell r="Q46">
            <v>5</v>
          </cell>
          <cell r="R46" t="str">
            <v>NA</v>
          </cell>
          <cell r="S46">
            <v>5</v>
          </cell>
        </row>
        <row r="47">
          <cell r="B47" t="str">
            <v>EMMC</v>
          </cell>
          <cell r="C47" t="str">
            <v>HSLB12231</v>
          </cell>
          <cell r="D47">
            <v>112060</v>
          </cell>
          <cell r="E47" t="str">
            <v>Mesa Comer en Cama</v>
          </cell>
          <cell r="F47" t="str">
            <v>NO</v>
          </cell>
          <cell r="G47" t="str">
            <v>NO</v>
          </cell>
          <cell r="H47" t="str">
            <v>SALA 4 CAMAS</v>
          </cell>
          <cell r="I47">
            <v>4</v>
          </cell>
          <cell r="J47" t="str">
            <v>C.3.4.4.12.2</v>
          </cell>
          <cell r="K47" t="str">
            <v>Hospitalización</v>
          </cell>
          <cell r="L47">
            <v>6</v>
          </cell>
          <cell r="M47">
            <v>46044</v>
          </cell>
          <cell r="N47">
            <v>46045</v>
          </cell>
          <cell r="O47">
            <v>1</v>
          </cell>
          <cell r="P47">
            <v>46048</v>
          </cell>
          <cell r="Q47">
            <v>5</v>
          </cell>
          <cell r="R47" t="str">
            <v>NA</v>
          </cell>
          <cell r="S47">
            <v>5</v>
          </cell>
        </row>
        <row r="48">
          <cell r="B48" t="str">
            <v>EMMC</v>
          </cell>
          <cell r="C48" t="str">
            <v>HSLB12232</v>
          </cell>
          <cell r="D48">
            <v>112060</v>
          </cell>
          <cell r="E48" t="str">
            <v>Mesa Comer en Cama</v>
          </cell>
          <cell r="F48" t="str">
            <v>NO</v>
          </cell>
          <cell r="G48" t="str">
            <v>NO</v>
          </cell>
          <cell r="H48" t="str">
            <v>SALA 4 CAMAS</v>
          </cell>
          <cell r="I48">
            <v>4</v>
          </cell>
          <cell r="J48" t="str">
            <v>C.3.4.4.12.3</v>
          </cell>
          <cell r="K48" t="str">
            <v>Hospitalización</v>
          </cell>
          <cell r="L48">
            <v>6</v>
          </cell>
          <cell r="M48">
            <v>46044</v>
          </cell>
          <cell r="N48">
            <v>46045</v>
          </cell>
          <cell r="O48">
            <v>1</v>
          </cell>
          <cell r="P48">
            <v>46048</v>
          </cell>
          <cell r="Q48">
            <v>5</v>
          </cell>
          <cell r="R48" t="str">
            <v>NA</v>
          </cell>
          <cell r="S48">
            <v>5</v>
          </cell>
        </row>
        <row r="49">
          <cell r="B49" t="str">
            <v>EMMC</v>
          </cell>
          <cell r="C49" t="str">
            <v>HSLB12233</v>
          </cell>
          <cell r="D49">
            <v>112060</v>
          </cell>
          <cell r="E49" t="str">
            <v>Mesa Comer en Cama</v>
          </cell>
          <cell r="F49" t="str">
            <v>NO</v>
          </cell>
          <cell r="G49" t="str">
            <v>SI</v>
          </cell>
          <cell r="H49" t="str">
            <v>SALA 4 CAMAS</v>
          </cell>
          <cell r="I49">
            <v>4</v>
          </cell>
          <cell r="J49" t="str">
            <v>C.3.4.4.12.4</v>
          </cell>
          <cell r="K49" t="str">
            <v>Hospitalización</v>
          </cell>
          <cell r="L49">
            <v>6</v>
          </cell>
          <cell r="M49">
            <v>46003</v>
          </cell>
          <cell r="N49">
            <v>46006</v>
          </cell>
          <cell r="O49">
            <v>1</v>
          </cell>
          <cell r="P49">
            <v>46007</v>
          </cell>
          <cell r="Q49">
            <v>5</v>
          </cell>
          <cell r="R49" t="str">
            <v>NA</v>
          </cell>
          <cell r="S49">
            <v>5</v>
          </cell>
        </row>
        <row r="50">
          <cell r="B50" t="str">
            <v>EMMC</v>
          </cell>
          <cell r="C50" t="str">
            <v>HSLB12234</v>
          </cell>
          <cell r="D50">
            <v>112060</v>
          </cell>
          <cell r="E50" t="str">
            <v>Mesa Comer en Cama</v>
          </cell>
          <cell r="F50" t="str">
            <v>NO</v>
          </cell>
          <cell r="G50" t="str">
            <v>NO</v>
          </cell>
          <cell r="H50" t="str">
            <v>SALA 4 CAMAS</v>
          </cell>
          <cell r="I50">
            <v>4</v>
          </cell>
          <cell r="J50" t="str">
            <v>C.3.4.4.12.5</v>
          </cell>
          <cell r="K50" t="str">
            <v>Hospitalización</v>
          </cell>
          <cell r="L50">
            <v>6</v>
          </cell>
          <cell r="M50">
            <v>46044</v>
          </cell>
          <cell r="N50">
            <v>46045</v>
          </cell>
          <cell r="O50">
            <v>1</v>
          </cell>
          <cell r="P50">
            <v>46048</v>
          </cell>
          <cell r="Q50">
            <v>5</v>
          </cell>
          <cell r="R50" t="str">
            <v>NA</v>
          </cell>
          <cell r="S50">
            <v>5</v>
          </cell>
        </row>
        <row r="51">
          <cell r="B51" t="str">
            <v>EMMC</v>
          </cell>
          <cell r="C51" t="str">
            <v>HSLB12235</v>
          </cell>
          <cell r="D51">
            <v>112060</v>
          </cell>
          <cell r="E51" t="str">
            <v>Mesa Comer en Cama</v>
          </cell>
          <cell r="F51" t="str">
            <v>NO</v>
          </cell>
          <cell r="G51" t="str">
            <v>NO</v>
          </cell>
          <cell r="H51" t="str">
            <v>SALA 4 CAMAS</v>
          </cell>
          <cell r="I51">
            <v>4</v>
          </cell>
          <cell r="J51" t="str">
            <v>C.3.4.4.12.6</v>
          </cell>
          <cell r="K51" t="str">
            <v>Hospitalización</v>
          </cell>
          <cell r="L51">
            <v>6</v>
          </cell>
          <cell r="M51">
            <v>46044</v>
          </cell>
          <cell r="N51">
            <v>46045</v>
          </cell>
          <cell r="O51">
            <v>1</v>
          </cell>
          <cell r="P51">
            <v>46048</v>
          </cell>
          <cell r="Q51">
            <v>5</v>
          </cell>
          <cell r="R51" t="str">
            <v>NA</v>
          </cell>
          <cell r="S51">
            <v>5</v>
          </cell>
        </row>
        <row r="52">
          <cell r="B52" t="str">
            <v>EMMC</v>
          </cell>
          <cell r="C52" t="str">
            <v>HSLB12236</v>
          </cell>
          <cell r="D52">
            <v>112060</v>
          </cell>
          <cell r="E52" t="str">
            <v>Mesa Comer en Cama</v>
          </cell>
          <cell r="F52" t="str">
            <v>NO</v>
          </cell>
          <cell r="G52" t="str">
            <v>SI</v>
          </cell>
          <cell r="H52" t="str">
            <v>SALA 4 CAMAS</v>
          </cell>
          <cell r="I52">
            <v>4</v>
          </cell>
          <cell r="J52" t="str">
            <v>C.3.4.4.12.7</v>
          </cell>
          <cell r="K52" t="str">
            <v>Hospitalización</v>
          </cell>
          <cell r="L52">
            <v>6</v>
          </cell>
          <cell r="M52">
            <v>46003</v>
          </cell>
          <cell r="N52">
            <v>46006</v>
          </cell>
          <cell r="O52">
            <v>1</v>
          </cell>
          <cell r="P52">
            <v>46007</v>
          </cell>
          <cell r="Q52">
            <v>5</v>
          </cell>
          <cell r="R52" t="str">
            <v>NA</v>
          </cell>
          <cell r="S52">
            <v>5</v>
          </cell>
        </row>
        <row r="53">
          <cell r="B53" t="str">
            <v>EMMC</v>
          </cell>
          <cell r="C53" t="str">
            <v>HSLB12237</v>
          </cell>
          <cell r="D53">
            <v>112060</v>
          </cell>
          <cell r="E53" t="str">
            <v>Mesa Comer en Cama</v>
          </cell>
          <cell r="F53" t="str">
            <v>NO</v>
          </cell>
          <cell r="G53" t="str">
            <v>NO</v>
          </cell>
          <cell r="H53" t="str">
            <v>SALA 4 CAMAS</v>
          </cell>
          <cell r="I53">
            <v>4</v>
          </cell>
          <cell r="J53" t="str">
            <v>C.3.4.4.12.8</v>
          </cell>
          <cell r="K53" t="str">
            <v>Hospitalización</v>
          </cell>
          <cell r="L53">
            <v>6</v>
          </cell>
          <cell r="M53">
            <v>46044</v>
          </cell>
          <cell r="N53">
            <v>46045</v>
          </cell>
          <cell r="O53">
            <v>1</v>
          </cell>
          <cell r="P53">
            <v>46048</v>
          </cell>
          <cell r="Q53">
            <v>5</v>
          </cell>
          <cell r="R53" t="str">
            <v>NA</v>
          </cell>
          <cell r="S53">
            <v>5</v>
          </cell>
        </row>
        <row r="54">
          <cell r="B54" t="str">
            <v>EMMC</v>
          </cell>
          <cell r="C54" t="str">
            <v>HSLB12238</v>
          </cell>
          <cell r="D54">
            <v>112060</v>
          </cell>
          <cell r="E54" t="str">
            <v>Mesa Comer en Cama</v>
          </cell>
          <cell r="F54" t="str">
            <v>NO</v>
          </cell>
          <cell r="G54" t="str">
            <v>NO</v>
          </cell>
          <cell r="H54" t="str">
            <v>SALA 4 CAMAS</v>
          </cell>
          <cell r="I54">
            <v>4</v>
          </cell>
          <cell r="J54" t="str">
            <v>C.3.4.4.12.9</v>
          </cell>
          <cell r="K54" t="str">
            <v>Hospitalización</v>
          </cell>
          <cell r="L54">
            <v>6</v>
          </cell>
          <cell r="M54">
            <v>46044</v>
          </cell>
          <cell r="N54">
            <v>46045</v>
          </cell>
          <cell r="O54">
            <v>1</v>
          </cell>
          <cell r="P54">
            <v>46048</v>
          </cell>
          <cell r="Q54">
            <v>5</v>
          </cell>
          <cell r="R54" t="str">
            <v>NA</v>
          </cell>
          <cell r="S54">
            <v>5</v>
          </cell>
        </row>
        <row r="55">
          <cell r="B55" t="str">
            <v>EMMC</v>
          </cell>
          <cell r="C55" t="str">
            <v>HSLB12239</v>
          </cell>
          <cell r="D55">
            <v>112060</v>
          </cell>
          <cell r="E55" t="str">
            <v>Mesa Comer en Cama</v>
          </cell>
          <cell r="F55" t="str">
            <v>NO</v>
          </cell>
          <cell r="G55" t="str">
            <v>NO</v>
          </cell>
          <cell r="H55" t="str">
            <v>SALA 1 CAMA</v>
          </cell>
          <cell r="I55">
            <v>1</v>
          </cell>
          <cell r="J55" t="str">
            <v>C.3.4.4.13.1</v>
          </cell>
          <cell r="K55" t="str">
            <v>Hospitalización</v>
          </cell>
          <cell r="L55">
            <v>6</v>
          </cell>
          <cell r="M55">
            <v>46044</v>
          </cell>
          <cell r="N55">
            <v>46045</v>
          </cell>
          <cell r="O55">
            <v>1</v>
          </cell>
          <cell r="P55">
            <v>46048</v>
          </cell>
          <cell r="Q55">
            <v>5</v>
          </cell>
          <cell r="R55" t="str">
            <v>NA</v>
          </cell>
          <cell r="S55">
            <v>5</v>
          </cell>
        </row>
        <row r="56">
          <cell r="B56" t="str">
            <v>EMMC</v>
          </cell>
          <cell r="C56" t="str">
            <v>HSLB12240</v>
          </cell>
          <cell r="D56">
            <v>112060</v>
          </cell>
          <cell r="E56" t="str">
            <v>Mesa Comer en Cama</v>
          </cell>
          <cell r="F56" t="str">
            <v>NO</v>
          </cell>
          <cell r="G56" t="str">
            <v>NO</v>
          </cell>
          <cell r="H56" t="str">
            <v>SALA 1 CAMA</v>
          </cell>
          <cell r="I56">
            <v>1</v>
          </cell>
          <cell r="J56" t="str">
            <v>C.3.4.4.13.2</v>
          </cell>
          <cell r="K56" t="str">
            <v>Hospitalización</v>
          </cell>
          <cell r="L56">
            <v>6</v>
          </cell>
          <cell r="M56">
            <v>46044</v>
          </cell>
          <cell r="N56">
            <v>46045</v>
          </cell>
          <cell r="O56">
            <v>1</v>
          </cell>
          <cell r="P56">
            <v>46048</v>
          </cell>
          <cell r="Q56">
            <v>5</v>
          </cell>
          <cell r="R56" t="str">
            <v>NA</v>
          </cell>
          <cell r="S56">
            <v>5</v>
          </cell>
        </row>
        <row r="57">
          <cell r="B57" t="str">
            <v>EMMC</v>
          </cell>
          <cell r="C57" t="str">
            <v>HSLB12241</v>
          </cell>
          <cell r="D57">
            <v>112060</v>
          </cell>
          <cell r="E57" t="str">
            <v>Mesa Comer en Cama</v>
          </cell>
          <cell r="F57" t="str">
            <v>NO</v>
          </cell>
          <cell r="G57" t="str">
            <v>NO</v>
          </cell>
          <cell r="H57" t="str">
            <v>SALA 1 CAMA</v>
          </cell>
          <cell r="I57">
            <v>1</v>
          </cell>
          <cell r="J57" t="str">
            <v>C.3.4.4.13.3</v>
          </cell>
          <cell r="K57" t="str">
            <v>Hospitalización</v>
          </cell>
          <cell r="L57">
            <v>6</v>
          </cell>
          <cell r="M57">
            <v>46044</v>
          </cell>
          <cell r="N57">
            <v>46045</v>
          </cell>
          <cell r="O57">
            <v>1</v>
          </cell>
          <cell r="P57">
            <v>46048</v>
          </cell>
          <cell r="Q57">
            <v>5</v>
          </cell>
          <cell r="R57" t="str">
            <v>NA</v>
          </cell>
          <cell r="S57">
            <v>5</v>
          </cell>
        </row>
        <row r="58">
          <cell r="B58" t="str">
            <v>EMMC</v>
          </cell>
          <cell r="C58" t="str">
            <v>HSLB12242</v>
          </cell>
          <cell r="D58">
            <v>112060</v>
          </cell>
          <cell r="E58" t="str">
            <v>Mesa Comer en Cama</v>
          </cell>
          <cell r="F58" t="str">
            <v>NO</v>
          </cell>
          <cell r="G58" t="str">
            <v>NO</v>
          </cell>
          <cell r="H58" t="str">
            <v>SALA 1 CAMA</v>
          </cell>
          <cell r="I58">
            <v>1</v>
          </cell>
          <cell r="J58" t="str">
            <v>C.3.4.4.13.4</v>
          </cell>
          <cell r="K58" t="str">
            <v>Hospitalización</v>
          </cell>
          <cell r="L58">
            <v>6</v>
          </cell>
          <cell r="M58">
            <v>46044</v>
          </cell>
          <cell r="N58">
            <v>46045</v>
          </cell>
          <cell r="O58">
            <v>1</v>
          </cell>
          <cell r="P58">
            <v>46048</v>
          </cell>
          <cell r="Q58">
            <v>5</v>
          </cell>
          <cell r="R58" t="str">
            <v>NA</v>
          </cell>
          <cell r="S58">
            <v>5</v>
          </cell>
        </row>
        <row r="59">
          <cell r="B59" t="str">
            <v>EMMC</v>
          </cell>
          <cell r="C59" t="str">
            <v>HSLB12243</v>
          </cell>
          <cell r="D59">
            <v>112060</v>
          </cell>
          <cell r="E59" t="str">
            <v>Mesa Comer en Cama</v>
          </cell>
          <cell r="F59" t="str">
            <v>NO</v>
          </cell>
          <cell r="G59" t="str">
            <v>NO</v>
          </cell>
          <cell r="H59" t="str">
            <v>SALA 1 CAMA AISLAMIENTO</v>
          </cell>
          <cell r="I59">
            <v>1</v>
          </cell>
          <cell r="J59" t="str">
            <v>C.3.4.4.14.1</v>
          </cell>
          <cell r="K59" t="str">
            <v>Hospitalización</v>
          </cell>
          <cell r="L59">
            <v>6</v>
          </cell>
          <cell r="M59">
            <v>46044</v>
          </cell>
          <cell r="N59">
            <v>46045</v>
          </cell>
          <cell r="O59">
            <v>1</v>
          </cell>
          <cell r="P59">
            <v>46048</v>
          </cell>
          <cell r="Q59">
            <v>5</v>
          </cell>
          <cell r="R59" t="str">
            <v>NA</v>
          </cell>
          <cell r="S59">
            <v>5</v>
          </cell>
        </row>
        <row r="60">
          <cell r="B60" t="str">
            <v>EMMC</v>
          </cell>
          <cell r="C60" t="str">
            <v>HSLB12244</v>
          </cell>
          <cell r="D60">
            <v>112060</v>
          </cell>
          <cell r="E60" t="str">
            <v>Mesa Comer en Cama</v>
          </cell>
          <cell r="F60" t="str">
            <v>NO</v>
          </cell>
          <cell r="G60" t="str">
            <v>NO</v>
          </cell>
          <cell r="H60" t="str">
            <v>SALA 1 CAMA AISLAMIENTO</v>
          </cell>
          <cell r="I60">
            <v>1</v>
          </cell>
          <cell r="J60" t="str">
            <v>C.3.4.4.14.2</v>
          </cell>
          <cell r="K60" t="str">
            <v>Hospitalización</v>
          </cell>
          <cell r="L60">
            <v>6</v>
          </cell>
          <cell r="M60">
            <v>46044</v>
          </cell>
          <cell r="N60">
            <v>46045</v>
          </cell>
          <cell r="O60">
            <v>1</v>
          </cell>
          <cell r="P60">
            <v>46048</v>
          </cell>
          <cell r="Q60">
            <v>5</v>
          </cell>
          <cell r="R60" t="str">
            <v>NA</v>
          </cell>
          <cell r="S60">
            <v>5</v>
          </cell>
        </row>
        <row r="61">
          <cell r="B61" t="str">
            <v>EMMC</v>
          </cell>
          <cell r="C61" t="str">
            <v>HSLB12245</v>
          </cell>
          <cell r="D61">
            <v>112060</v>
          </cell>
          <cell r="E61" t="str">
            <v>Mesa Comer en Cama</v>
          </cell>
          <cell r="F61" t="str">
            <v>NO</v>
          </cell>
          <cell r="G61" t="str">
            <v>NO</v>
          </cell>
          <cell r="H61" t="str">
            <v>SALA 1 CAMA AISLAMIENTO</v>
          </cell>
          <cell r="I61">
            <v>1</v>
          </cell>
          <cell r="J61" t="str">
            <v>C.3.4.4.14.3</v>
          </cell>
          <cell r="K61" t="str">
            <v>Hospitalización</v>
          </cell>
          <cell r="L61">
            <v>6</v>
          </cell>
          <cell r="M61">
            <v>46044</v>
          </cell>
          <cell r="N61">
            <v>46045</v>
          </cell>
          <cell r="O61">
            <v>1</v>
          </cell>
          <cell r="P61">
            <v>46048</v>
          </cell>
          <cell r="Q61">
            <v>5</v>
          </cell>
          <cell r="R61" t="str">
            <v>NA</v>
          </cell>
          <cell r="S61">
            <v>5</v>
          </cell>
        </row>
        <row r="62">
          <cell r="B62" t="str">
            <v>EMMC</v>
          </cell>
          <cell r="C62" t="str">
            <v>HSLB12246</v>
          </cell>
          <cell r="D62">
            <v>112060</v>
          </cell>
          <cell r="E62" t="str">
            <v>Mesa Comer en Cama</v>
          </cell>
          <cell r="F62" t="str">
            <v>NO</v>
          </cell>
          <cell r="G62" t="str">
            <v>NO</v>
          </cell>
          <cell r="H62" t="str">
            <v>SALA 1 CAMA AISLAMIENTO</v>
          </cell>
          <cell r="I62">
            <v>1</v>
          </cell>
          <cell r="J62" t="str">
            <v>C.3.4.4.14.4</v>
          </cell>
          <cell r="K62" t="str">
            <v>Hospitalización</v>
          </cell>
          <cell r="L62">
            <v>6</v>
          </cell>
          <cell r="M62">
            <v>46044</v>
          </cell>
          <cell r="N62">
            <v>46045</v>
          </cell>
          <cell r="O62">
            <v>1</v>
          </cell>
          <cell r="P62">
            <v>46048</v>
          </cell>
          <cell r="Q62">
            <v>5</v>
          </cell>
          <cell r="R62" t="str">
            <v>NA</v>
          </cell>
          <cell r="S62">
            <v>5</v>
          </cell>
        </row>
        <row r="63">
          <cell r="B63" t="str">
            <v>EMMC</v>
          </cell>
          <cell r="C63" t="str">
            <v>HSLB12646</v>
          </cell>
          <cell r="D63">
            <v>112092</v>
          </cell>
          <cell r="E63" t="str">
            <v>Velador Clínico</v>
          </cell>
          <cell r="F63" t="str">
            <v>NO</v>
          </cell>
          <cell r="G63" t="str">
            <v>NO</v>
          </cell>
          <cell r="H63" t="str">
            <v>SALA 4 CAMAS</v>
          </cell>
          <cell r="I63">
            <v>4</v>
          </cell>
          <cell r="J63" t="str">
            <v>C.3.4.4.12.1</v>
          </cell>
          <cell r="K63" t="str">
            <v>Hospitalización</v>
          </cell>
          <cell r="L63">
            <v>6</v>
          </cell>
          <cell r="M63">
            <v>46044</v>
          </cell>
          <cell r="N63">
            <v>46045</v>
          </cell>
          <cell r="O63">
            <v>1</v>
          </cell>
          <cell r="P63">
            <v>46048</v>
          </cell>
          <cell r="Q63">
            <v>5</v>
          </cell>
          <cell r="R63" t="str">
            <v>NA</v>
          </cell>
          <cell r="S63">
            <v>5</v>
          </cell>
        </row>
        <row r="64">
          <cell r="B64" t="str">
            <v>EMMC</v>
          </cell>
          <cell r="C64" t="str">
            <v>HSLB12647</v>
          </cell>
          <cell r="D64">
            <v>112092</v>
          </cell>
          <cell r="E64" t="str">
            <v>Velador Clínico</v>
          </cell>
          <cell r="F64" t="str">
            <v>NO</v>
          </cell>
          <cell r="G64" t="str">
            <v>NO</v>
          </cell>
          <cell r="H64" t="str">
            <v>SALA 3 CAMAS</v>
          </cell>
          <cell r="I64">
            <v>3</v>
          </cell>
          <cell r="J64" t="str">
            <v>C.3.4.4.12.10</v>
          </cell>
          <cell r="K64" t="str">
            <v>Hospitalización</v>
          </cell>
          <cell r="L64">
            <v>6</v>
          </cell>
          <cell r="M64">
            <v>46044</v>
          </cell>
          <cell r="N64">
            <v>46045</v>
          </cell>
          <cell r="O64">
            <v>1</v>
          </cell>
          <cell r="P64">
            <v>46048</v>
          </cell>
          <cell r="Q64">
            <v>5</v>
          </cell>
          <cell r="R64" t="str">
            <v>NA</v>
          </cell>
          <cell r="S64">
            <v>5</v>
          </cell>
        </row>
        <row r="65">
          <cell r="B65" t="str">
            <v>EMMC</v>
          </cell>
          <cell r="C65" t="str">
            <v>HSLB12648</v>
          </cell>
          <cell r="D65">
            <v>112092</v>
          </cell>
          <cell r="E65" t="str">
            <v>Velador Clínico</v>
          </cell>
          <cell r="F65" t="str">
            <v>NO</v>
          </cell>
          <cell r="G65" t="str">
            <v>NO</v>
          </cell>
          <cell r="H65" t="str">
            <v>SALA 4 CAMAS</v>
          </cell>
          <cell r="I65">
            <v>4</v>
          </cell>
          <cell r="J65" t="str">
            <v>C.3.4.4.12.2</v>
          </cell>
          <cell r="K65" t="str">
            <v>Hospitalización</v>
          </cell>
          <cell r="L65">
            <v>6</v>
          </cell>
          <cell r="M65">
            <v>46044</v>
          </cell>
          <cell r="N65">
            <v>46045</v>
          </cell>
          <cell r="O65">
            <v>1</v>
          </cell>
          <cell r="P65">
            <v>46048</v>
          </cell>
          <cell r="Q65">
            <v>5</v>
          </cell>
          <cell r="R65" t="str">
            <v>NA</v>
          </cell>
          <cell r="S65">
            <v>5</v>
          </cell>
        </row>
        <row r="66">
          <cell r="B66" t="str">
            <v>EMMC</v>
          </cell>
          <cell r="C66" t="str">
            <v>HSLB12649</v>
          </cell>
          <cell r="D66">
            <v>112092</v>
          </cell>
          <cell r="E66" t="str">
            <v>Velador Clínico</v>
          </cell>
          <cell r="F66" t="str">
            <v>NO</v>
          </cell>
          <cell r="G66" t="str">
            <v>NO</v>
          </cell>
          <cell r="H66" t="str">
            <v>SALA 4 CAMAS</v>
          </cell>
          <cell r="I66">
            <v>4</v>
          </cell>
          <cell r="J66" t="str">
            <v>C.3.4.4.12.3</v>
          </cell>
          <cell r="K66" t="str">
            <v>Hospitalización</v>
          </cell>
          <cell r="L66">
            <v>6</v>
          </cell>
          <cell r="M66">
            <v>46044</v>
          </cell>
          <cell r="N66">
            <v>46045</v>
          </cell>
          <cell r="O66">
            <v>1</v>
          </cell>
          <cell r="P66">
            <v>46048</v>
          </cell>
          <cell r="Q66">
            <v>5</v>
          </cell>
          <cell r="R66" t="str">
            <v>NA</v>
          </cell>
          <cell r="S66">
            <v>5</v>
          </cell>
        </row>
        <row r="67">
          <cell r="B67" t="str">
            <v>EMMC</v>
          </cell>
          <cell r="C67" t="str">
            <v>HSLB12650</v>
          </cell>
          <cell r="D67">
            <v>112092</v>
          </cell>
          <cell r="E67" t="str">
            <v>Velador Clínico</v>
          </cell>
          <cell r="F67" t="str">
            <v>NO</v>
          </cell>
          <cell r="G67" t="str">
            <v>SI</v>
          </cell>
          <cell r="H67" t="str">
            <v>SALA 4 CAMAS</v>
          </cell>
          <cell r="I67">
            <v>4</v>
          </cell>
          <cell r="J67" t="str">
            <v>C.3.4.4.12.4</v>
          </cell>
          <cell r="K67" t="str">
            <v>Hospitalización</v>
          </cell>
          <cell r="L67">
            <v>6</v>
          </cell>
          <cell r="M67">
            <v>46003</v>
          </cell>
          <cell r="N67">
            <v>46006</v>
          </cell>
          <cell r="O67">
            <v>1</v>
          </cell>
          <cell r="P67">
            <v>46007</v>
          </cell>
          <cell r="Q67">
            <v>5</v>
          </cell>
          <cell r="R67" t="str">
            <v>NA</v>
          </cell>
          <cell r="S67">
            <v>5</v>
          </cell>
        </row>
        <row r="68">
          <cell r="B68" t="str">
            <v>EMMC</v>
          </cell>
          <cell r="C68" t="str">
            <v>HSLB12651</v>
          </cell>
          <cell r="D68">
            <v>112092</v>
          </cell>
          <cell r="E68" t="str">
            <v>Velador Clínico</v>
          </cell>
          <cell r="F68" t="str">
            <v>NO</v>
          </cell>
          <cell r="G68" t="str">
            <v>NO</v>
          </cell>
          <cell r="H68" t="str">
            <v>SALA 4 CAMAS</v>
          </cell>
          <cell r="I68">
            <v>4</v>
          </cell>
          <cell r="J68" t="str">
            <v>C.3.4.4.12.5</v>
          </cell>
          <cell r="K68" t="str">
            <v>Hospitalización</v>
          </cell>
          <cell r="L68">
            <v>6</v>
          </cell>
          <cell r="M68">
            <v>46044</v>
          </cell>
          <cell r="N68">
            <v>46045</v>
          </cell>
          <cell r="O68">
            <v>1</v>
          </cell>
          <cell r="P68">
            <v>46048</v>
          </cell>
          <cell r="Q68">
            <v>5</v>
          </cell>
          <cell r="R68" t="str">
            <v>NA</v>
          </cell>
          <cell r="S68">
            <v>5</v>
          </cell>
        </row>
        <row r="69">
          <cell r="B69" t="str">
            <v>EMMC</v>
          </cell>
          <cell r="C69" t="str">
            <v>HSLB12652</v>
          </cell>
          <cell r="D69">
            <v>112092</v>
          </cell>
          <cell r="E69" t="str">
            <v>Velador Clínico</v>
          </cell>
          <cell r="F69" t="str">
            <v>NO</v>
          </cell>
          <cell r="G69" t="str">
            <v>NO</v>
          </cell>
          <cell r="H69" t="str">
            <v>SALA 4 CAMAS</v>
          </cell>
          <cell r="I69">
            <v>4</v>
          </cell>
          <cell r="J69" t="str">
            <v>C.3.4.4.12.6</v>
          </cell>
          <cell r="K69" t="str">
            <v>Hospitalización</v>
          </cell>
          <cell r="L69">
            <v>6</v>
          </cell>
          <cell r="M69">
            <v>46044</v>
          </cell>
          <cell r="N69">
            <v>46045</v>
          </cell>
          <cell r="O69">
            <v>1</v>
          </cell>
          <cell r="P69">
            <v>46048</v>
          </cell>
          <cell r="Q69">
            <v>5</v>
          </cell>
          <cell r="R69" t="str">
            <v>NA</v>
          </cell>
          <cell r="S69">
            <v>5</v>
          </cell>
        </row>
        <row r="70">
          <cell r="B70" t="str">
            <v>EMMC</v>
          </cell>
          <cell r="C70" t="str">
            <v>HSLB12653</v>
          </cell>
          <cell r="D70">
            <v>112092</v>
          </cell>
          <cell r="E70" t="str">
            <v>Velador Clínico</v>
          </cell>
          <cell r="F70" t="str">
            <v>NO</v>
          </cell>
          <cell r="G70" t="str">
            <v>SI</v>
          </cell>
          <cell r="H70" t="str">
            <v>SALA 4 CAMAS</v>
          </cell>
          <cell r="I70">
            <v>4</v>
          </cell>
          <cell r="J70" t="str">
            <v>C.3.4.4.12.7</v>
          </cell>
          <cell r="K70" t="str">
            <v>Hospitalización</v>
          </cell>
          <cell r="L70">
            <v>6</v>
          </cell>
          <cell r="M70">
            <v>46003</v>
          </cell>
          <cell r="N70">
            <v>46006</v>
          </cell>
          <cell r="O70">
            <v>1</v>
          </cell>
          <cell r="P70">
            <v>46007</v>
          </cell>
          <cell r="Q70">
            <v>5</v>
          </cell>
          <cell r="R70" t="str">
            <v>NA</v>
          </cell>
          <cell r="S70">
            <v>5</v>
          </cell>
        </row>
        <row r="71">
          <cell r="B71" t="str">
            <v>EMMC</v>
          </cell>
          <cell r="C71" t="str">
            <v>HSLB12654</v>
          </cell>
          <cell r="D71">
            <v>112092</v>
          </cell>
          <cell r="E71" t="str">
            <v>Velador Clínico</v>
          </cell>
          <cell r="F71" t="str">
            <v>NO</v>
          </cell>
          <cell r="G71" t="str">
            <v>NO</v>
          </cell>
          <cell r="H71" t="str">
            <v>SALA 4 CAMAS</v>
          </cell>
          <cell r="I71">
            <v>4</v>
          </cell>
          <cell r="J71" t="str">
            <v>C.3.4.4.12.8</v>
          </cell>
          <cell r="K71" t="str">
            <v>Hospitalización</v>
          </cell>
          <cell r="L71">
            <v>6</v>
          </cell>
          <cell r="M71">
            <v>46044</v>
          </cell>
          <cell r="N71">
            <v>46045</v>
          </cell>
          <cell r="O71">
            <v>1</v>
          </cell>
          <cell r="P71">
            <v>46048</v>
          </cell>
          <cell r="Q71">
            <v>5</v>
          </cell>
          <cell r="R71" t="str">
            <v>NA</v>
          </cell>
          <cell r="S71">
            <v>5</v>
          </cell>
        </row>
        <row r="72">
          <cell r="B72" t="str">
            <v>EMMC</v>
          </cell>
          <cell r="C72" t="str">
            <v>HSLB12655</v>
          </cell>
          <cell r="D72">
            <v>112092</v>
          </cell>
          <cell r="E72" t="str">
            <v>Velador Clínico</v>
          </cell>
          <cell r="F72" t="str">
            <v>NO</v>
          </cell>
          <cell r="G72" t="str">
            <v>NO</v>
          </cell>
          <cell r="H72" t="str">
            <v>SALA 4 CAMAS</v>
          </cell>
          <cell r="I72">
            <v>4</v>
          </cell>
          <cell r="J72" t="str">
            <v>C.3.4.4.12.9</v>
          </cell>
          <cell r="K72" t="str">
            <v>Hospitalización</v>
          </cell>
          <cell r="L72">
            <v>6</v>
          </cell>
          <cell r="M72">
            <v>46044</v>
          </cell>
          <cell r="N72">
            <v>46045</v>
          </cell>
          <cell r="O72">
            <v>1</v>
          </cell>
          <cell r="P72">
            <v>46048</v>
          </cell>
          <cell r="Q72">
            <v>5</v>
          </cell>
          <cell r="R72" t="str">
            <v>NA</v>
          </cell>
          <cell r="S72">
            <v>5</v>
          </cell>
        </row>
        <row r="73">
          <cell r="B73" t="str">
            <v>EMMC</v>
          </cell>
          <cell r="C73" t="str">
            <v>HSLB12656</v>
          </cell>
          <cell r="D73">
            <v>112092</v>
          </cell>
          <cell r="E73" t="str">
            <v>Velador Clínico</v>
          </cell>
          <cell r="F73" t="str">
            <v>NO</v>
          </cell>
          <cell r="G73" t="str">
            <v>NO</v>
          </cell>
          <cell r="H73" t="str">
            <v>SALA 1 CAMA</v>
          </cell>
          <cell r="I73">
            <v>1</v>
          </cell>
          <cell r="J73" t="str">
            <v>C.3.4.4.13.1</v>
          </cell>
          <cell r="K73" t="str">
            <v>Hospitalización</v>
          </cell>
          <cell r="L73">
            <v>6</v>
          </cell>
          <cell r="M73">
            <v>46044</v>
          </cell>
          <cell r="N73">
            <v>46045</v>
          </cell>
          <cell r="O73">
            <v>1</v>
          </cell>
          <cell r="P73">
            <v>46048</v>
          </cell>
          <cell r="Q73">
            <v>5</v>
          </cell>
          <cell r="R73" t="str">
            <v>NA</v>
          </cell>
          <cell r="S73">
            <v>5</v>
          </cell>
        </row>
        <row r="74">
          <cell r="B74" t="str">
            <v>EMMC</v>
          </cell>
          <cell r="C74" t="str">
            <v>HSLB12657</v>
          </cell>
          <cell r="D74">
            <v>112092</v>
          </cell>
          <cell r="E74" t="str">
            <v>Velador Clínico</v>
          </cell>
          <cell r="F74" t="str">
            <v>NO</v>
          </cell>
          <cell r="G74" t="str">
            <v>NO</v>
          </cell>
          <cell r="H74" t="str">
            <v>SALA 1 CAMA</v>
          </cell>
          <cell r="I74">
            <v>1</v>
          </cell>
          <cell r="J74" t="str">
            <v>C.3.4.4.13.2</v>
          </cell>
          <cell r="K74" t="str">
            <v>Hospitalización</v>
          </cell>
          <cell r="L74">
            <v>6</v>
          </cell>
          <cell r="M74">
            <v>46044</v>
          </cell>
          <cell r="N74">
            <v>46045</v>
          </cell>
          <cell r="O74">
            <v>1</v>
          </cell>
          <cell r="P74">
            <v>46048</v>
          </cell>
          <cell r="Q74">
            <v>5</v>
          </cell>
          <cell r="R74" t="str">
            <v>NA</v>
          </cell>
          <cell r="S74">
            <v>5</v>
          </cell>
        </row>
        <row r="75">
          <cell r="B75" t="str">
            <v>EMMC</v>
          </cell>
          <cell r="C75" t="str">
            <v>HSLB12658</v>
          </cell>
          <cell r="D75">
            <v>112092</v>
          </cell>
          <cell r="E75" t="str">
            <v>Velador Clínico</v>
          </cell>
          <cell r="F75" t="str">
            <v>NO</v>
          </cell>
          <cell r="G75" t="str">
            <v>NO</v>
          </cell>
          <cell r="H75" t="str">
            <v>SALA 1 CAMA</v>
          </cell>
          <cell r="I75">
            <v>1</v>
          </cell>
          <cell r="J75" t="str">
            <v>C.3.4.4.13.3</v>
          </cell>
          <cell r="K75" t="str">
            <v>Hospitalización</v>
          </cell>
          <cell r="L75">
            <v>6</v>
          </cell>
          <cell r="M75">
            <v>46044</v>
          </cell>
          <cell r="N75">
            <v>46045</v>
          </cell>
          <cell r="O75">
            <v>1</v>
          </cell>
          <cell r="P75">
            <v>46048</v>
          </cell>
          <cell r="Q75">
            <v>5</v>
          </cell>
          <cell r="R75" t="str">
            <v>NA</v>
          </cell>
          <cell r="S75">
            <v>5</v>
          </cell>
        </row>
        <row r="76">
          <cell r="B76" t="str">
            <v>EMMC</v>
          </cell>
          <cell r="C76" t="str">
            <v>HSLB12659</v>
          </cell>
          <cell r="D76">
            <v>112092</v>
          </cell>
          <cell r="E76" t="str">
            <v>Velador Clínico</v>
          </cell>
          <cell r="F76" t="str">
            <v>NO</v>
          </cell>
          <cell r="G76" t="str">
            <v>NO</v>
          </cell>
          <cell r="H76" t="str">
            <v>SALA 1 CAMA</v>
          </cell>
          <cell r="I76">
            <v>1</v>
          </cell>
          <cell r="J76" t="str">
            <v>C.3.4.4.13.4</v>
          </cell>
          <cell r="K76" t="str">
            <v>Hospitalización</v>
          </cell>
          <cell r="L76">
            <v>6</v>
          </cell>
          <cell r="M76">
            <v>46044</v>
          </cell>
          <cell r="N76">
            <v>46045</v>
          </cell>
          <cell r="O76">
            <v>1</v>
          </cell>
          <cell r="P76">
            <v>46048</v>
          </cell>
          <cell r="Q76">
            <v>5</v>
          </cell>
          <cell r="R76" t="str">
            <v>NA</v>
          </cell>
          <cell r="S76">
            <v>5</v>
          </cell>
        </row>
        <row r="77">
          <cell r="B77" t="str">
            <v>EMMC</v>
          </cell>
          <cell r="C77" t="str">
            <v>HSLB12660</v>
          </cell>
          <cell r="D77">
            <v>112092</v>
          </cell>
          <cell r="E77" t="str">
            <v>Velador Clínico</v>
          </cell>
          <cell r="F77" t="str">
            <v>NO</v>
          </cell>
          <cell r="G77" t="str">
            <v>NO</v>
          </cell>
          <cell r="H77" t="str">
            <v>SALA 1 CAMA AISLAMIENTO</v>
          </cell>
          <cell r="I77">
            <v>1</v>
          </cell>
          <cell r="J77" t="str">
            <v>C.3.4.4.14.1</v>
          </cell>
          <cell r="K77" t="str">
            <v>Hospitalización</v>
          </cell>
          <cell r="L77">
            <v>6</v>
          </cell>
          <cell r="M77">
            <v>46044</v>
          </cell>
          <cell r="N77">
            <v>46045</v>
          </cell>
          <cell r="O77">
            <v>1</v>
          </cell>
          <cell r="P77">
            <v>46048</v>
          </cell>
          <cell r="Q77">
            <v>5</v>
          </cell>
          <cell r="R77" t="str">
            <v>NA</v>
          </cell>
          <cell r="S77">
            <v>5</v>
          </cell>
        </row>
        <row r="78">
          <cell r="B78" t="str">
            <v>EMMC</v>
          </cell>
          <cell r="C78" t="str">
            <v>HSLB12661</v>
          </cell>
          <cell r="D78">
            <v>112092</v>
          </cell>
          <cell r="E78" t="str">
            <v>Velador Clínico</v>
          </cell>
          <cell r="F78" t="str">
            <v>NO</v>
          </cell>
          <cell r="G78" t="str">
            <v>NO</v>
          </cell>
          <cell r="H78" t="str">
            <v>SALA 1 CAMA AISLAMIENTO</v>
          </cell>
          <cell r="I78">
            <v>1</v>
          </cell>
          <cell r="J78" t="str">
            <v>C.3.4.4.14.2</v>
          </cell>
          <cell r="K78" t="str">
            <v>Hospitalización</v>
          </cell>
          <cell r="L78">
            <v>6</v>
          </cell>
          <cell r="M78">
            <v>46044</v>
          </cell>
          <cell r="N78">
            <v>46045</v>
          </cell>
          <cell r="O78">
            <v>1</v>
          </cell>
          <cell r="P78">
            <v>46048</v>
          </cell>
          <cell r="Q78">
            <v>5</v>
          </cell>
          <cell r="R78" t="str">
            <v>NA</v>
          </cell>
          <cell r="S78">
            <v>5</v>
          </cell>
        </row>
        <row r="79">
          <cell r="B79" t="str">
            <v>EMMC</v>
          </cell>
          <cell r="C79" t="str">
            <v>HSLB12662</v>
          </cell>
          <cell r="D79">
            <v>112092</v>
          </cell>
          <cell r="E79" t="str">
            <v>Velador Clínico</v>
          </cell>
          <cell r="F79" t="str">
            <v>NO</v>
          </cell>
          <cell r="G79" t="str">
            <v>NO</v>
          </cell>
          <cell r="H79" t="str">
            <v>SALA 1 CAMA AISLAMIENTO</v>
          </cell>
          <cell r="I79">
            <v>1</v>
          </cell>
          <cell r="J79" t="str">
            <v>C.3.4.4.14.3</v>
          </cell>
          <cell r="K79" t="str">
            <v>Hospitalización</v>
          </cell>
          <cell r="L79">
            <v>6</v>
          </cell>
          <cell r="M79">
            <v>46044</v>
          </cell>
          <cell r="N79">
            <v>46045</v>
          </cell>
          <cell r="O79">
            <v>1</v>
          </cell>
          <cell r="P79">
            <v>46048</v>
          </cell>
          <cell r="Q79">
            <v>5</v>
          </cell>
          <cell r="R79" t="str">
            <v>NA</v>
          </cell>
          <cell r="S79">
            <v>5</v>
          </cell>
        </row>
        <row r="80">
          <cell r="B80" t="str">
            <v>EMMC</v>
          </cell>
          <cell r="C80" t="str">
            <v>HSLB12663</v>
          </cell>
          <cell r="D80">
            <v>112092</v>
          </cell>
          <cell r="E80" t="str">
            <v>Velador Clínico</v>
          </cell>
          <cell r="F80" t="str">
            <v>NO</v>
          </cell>
          <cell r="G80" t="str">
            <v>NO</v>
          </cell>
          <cell r="H80" t="str">
            <v>SALA 1 CAMA AISLAMIENTO</v>
          </cell>
          <cell r="I80">
            <v>1</v>
          </cell>
          <cell r="J80" t="str">
            <v>C.3.4.4.14.4</v>
          </cell>
          <cell r="K80" t="str">
            <v>Hospitalización</v>
          </cell>
          <cell r="L80">
            <v>6</v>
          </cell>
          <cell r="M80">
            <v>46044</v>
          </cell>
          <cell r="N80">
            <v>46045</v>
          </cell>
          <cell r="O80">
            <v>1</v>
          </cell>
          <cell r="P80">
            <v>46048</v>
          </cell>
          <cell r="Q80">
            <v>5</v>
          </cell>
          <cell r="R80" t="str">
            <v>NA</v>
          </cell>
          <cell r="S80">
            <v>5</v>
          </cell>
        </row>
        <row r="81">
          <cell r="B81" t="str">
            <v>EMMC</v>
          </cell>
          <cell r="C81" t="str">
            <v>HSLB12736</v>
          </cell>
          <cell r="D81">
            <v>113008</v>
          </cell>
          <cell r="E81" t="str">
            <v>Monitor de Signos Vitales Baja Complejidad</v>
          </cell>
          <cell r="F81" t="str">
            <v>NO</v>
          </cell>
          <cell r="G81" t="str">
            <v>SI</v>
          </cell>
          <cell r="H81" t="str">
            <v>BODEGA DE EQUIPOS</v>
          </cell>
          <cell r="I81">
            <v>2</v>
          </cell>
          <cell r="J81" t="str">
            <v>C.3.4.4.17</v>
          </cell>
          <cell r="K81" t="str">
            <v>Hospitalización</v>
          </cell>
          <cell r="L81">
            <v>6</v>
          </cell>
          <cell r="M81">
            <v>46003</v>
          </cell>
          <cell r="N81">
            <v>46006</v>
          </cell>
          <cell r="O81">
            <v>1</v>
          </cell>
          <cell r="P81">
            <v>46007</v>
          </cell>
          <cell r="Q81">
            <v>5</v>
          </cell>
          <cell r="R81" t="str">
            <v>NA</v>
          </cell>
          <cell r="S81">
            <v>5</v>
          </cell>
        </row>
        <row r="82">
          <cell r="B82" t="str">
            <v>EMMC</v>
          </cell>
          <cell r="C82" t="str">
            <v>HSLB11945</v>
          </cell>
          <cell r="D82">
            <v>112046</v>
          </cell>
          <cell r="E82" t="str">
            <v>Catre Clínico Eléctrico</v>
          </cell>
          <cell r="F82" t="str">
            <v>NO</v>
          </cell>
          <cell r="G82" t="str">
            <v>NO</v>
          </cell>
          <cell r="H82" t="str">
            <v>SALA 4 CAMAS</v>
          </cell>
          <cell r="I82">
            <v>4</v>
          </cell>
          <cell r="J82" t="str">
            <v>C.3.4.4.12.3</v>
          </cell>
          <cell r="K82" t="str">
            <v>Hospitalización</v>
          </cell>
          <cell r="L82">
            <v>6</v>
          </cell>
          <cell r="M82">
            <v>46044</v>
          </cell>
          <cell r="N82">
            <v>46045</v>
          </cell>
          <cell r="O82">
            <v>2</v>
          </cell>
          <cell r="P82">
            <v>46049</v>
          </cell>
          <cell r="Q82">
            <v>5</v>
          </cell>
          <cell r="R82" t="str">
            <v>NA</v>
          </cell>
          <cell r="S82">
            <v>5</v>
          </cell>
        </row>
        <row r="83">
          <cell r="B83" t="str">
            <v>EMMC</v>
          </cell>
          <cell r="C83" t="str">
            <v>HSLB12746</v>
          </cell>
          <cell r="D83">
            <v>113008</v>
          </cell>
          <cell r="E83" t="str">
            <v>Monitor de Signos Vitales Baja Complejidad</v>
          </cell>
          <cell r="F83" t="str">
            <v>NO</v>
          </cell>
          <cell r="G83" t="str">
            <v>NO</v>
          </cell>
          <cell r="H83" t="str">
            <v>SALA TELEMEDICINA</v>
          </cell>
          <cell r="I83">
            <v>1</v>
          </cell>
          <cell r="J83" t="str">
            <v>C.3.8.4.1</v>
          </cell>
          <cell r="K83" t="str">
            <v>Telemedicina</v>
          </cell>
          <cell r="L83">
            <v>6</v>
          </cell>
          <cell r="M83">
            <v>46044</v>
          </cell>
          <cell r="N83">
            <v>46045</v>
          </cell>
          <cell r="O83">
            <v>1</v>
          </cell>
          <cell r="P83">
            <v>46048</v>
          </cell>
          <cell r="Q83">
            <v>5</v>
          </cell>
          <cell r="R83" t="str">
            <v>NA</v>
          </cell>
          <cell r="S83">
            <v>5</v>
          </cell>
        </row>
        <row r="84">
          <cell r="B84" t="str">
            <v>EMMC</v>
          </cell>
          <cell r="C84" t="str">
            <v>HSLB12747</v>
          </cell>
          <cell r="D84">
            <v>113008</v>
          </cell>
          <cell r="E84" t="str">
            <v>Monitor de Signos Vitales Baja Complejidad</v>
          </cell>
          <cell r="F84" t="str">
            <v>NO</v>
          </cell>
          <cell r="G84" t="str">
            <v>SI</v>
          </cell>
          <cell r="H84" t="str">
            <v>SALA TELEMEDICINA</v>
          </cell>
          <cell r="I84">
            <v>1</v>
          </cell>
          <cell r="J84" t="str">
            <v>C.3.8.4.2</v>
          </cell>
          <cell r="K84" t="str">
            <v>Telemedicina</v>
          </cell>
          <cell r="L84">
            <v>6</v>
          </cell>
          <cell r="M84">
            <v>46003</v>
          </cell>
          <cell r="N84">
            <v>46006</v>
          </cell>
          <cell r="O84">
            <v>1</v>
          </cell>
          <cell r="P84">
            <v>46007</v>
          </cell>
          <cell r="Q84">
            <v>5</v>
          </cell>
          <cell r="R84" t="str">
            <v>NA</v>
          </cell>
          <cell r="S84">
            <v>5</v>
          </cell>
        </row>
        <row r="85">
          <cell r="B85" t="str">
            <v>EMMC</v>
          </cell>
          <cell r="C85" t="str">
            <v>HSLB12839</v>
          </cell>
          <cell r="D85">
            <v>113012</v>
          </cell>
          <cell r="E85" t="str">
            <v>Monitor de Transporte baja complejidad</v>
          </cell>
          <cell r="F85" t="str">
            <v>NO</v>
          </cell>
          <cell r="G85" t="str">
            <v>SI</v>
          </cell>
          <cell r="H85" t="str">
            <v>BODEGA DE EQUIPOS</v>
          </cell>
          <cell r="I85">
            <v>1</v>
          </cell>
          <cell r="J85" t="str">
            <v>C.3.4.4.17</v>
          </cell>
          <cell r="K85" t="str">
            <v>Hospitalización</v>
          </cell>
          <cell r="L85">
            <v>6</v>
          </cell>
          <cell r="M85">
            <v>46003</v>
          </cell>
          <cell r="N85">
            <v>46006</v>
          </cell>
          <cell r="O85">
            <v>1</v>
          </cell>
          <cell r="P85">
            <v>46007</v>
          </cell>
          <cell r="Q85">
            <v>5</v>
          </cell>
          <cell r="R85" t="str">
            <v>NA</v>
          </cell>
          <cell r="S85">
            <v>5</v>
          </cell>
        </row>
        <row r="86">
          <cell r="B86" t="str">
            <v>EMMC</v>
          </cell>
          <cell r="C86" t="str">
            <v>HSLB12840</v>
          </cell>
          <cell r="D86">
            <v>113012</v>
          </cell>
          <cell r="E86" t="str">
            <v>Monitor de Transporte baja complejidad</v>
          </cell>
          <cell r="F86" t="str">
            <v>NO</v>
          </cell>
          <cell r="G86" t="str">
            <v>NO</v>
          </cell>
          <cell r="H86" t="str">
            <v>ESTACIÓN DE ENFERMERÍA</v>
          </cell>
          <cell r="I86">
            <v>1</v>
          </cell>
          <cell r="J86" t="str">
            <v>C.3.4.4.8.1</v>
          </cell>
          <cell r="K86" t="str">
            <v>Hospitalización</v>
          </cell>
          <cell r="L86">
            <v>6</v>
          </cell>
          <cell r="M86">
            <v>46044</v>
          </cell>
          <cell r="N86">
            <v>46045</v>
          </cell>
          <cell r="O86">
            <v>1</v>
          </cell>
          <cell r="P86">
            <v>46048</v>
          </cell>
          <cell r="Q86">
            <v>5</v>
          </cell>
          <cell r="R86" t="str">
            <v>NA</v>
          </cell>
          <cell r="S86">
            <v>5</v>
          </cell>
        </row>
        <row r="87">
          <cell r="B87" t="str">
            <v>EMMC</v>
          </cell>
          <cell r="C87" t="str">
            <v>HSLB12841</v>
          </cell>
          <cell r="D87">
            <v>113012</v>
          </cell>
          <cell r="E87" t="str">
            <v>Monitor de Transporte baja complejidad</v>
          </cell>
          <cell r="F87" t="str">
            <v>NO</v>
          </cell>
          <cell r="G87" t="str">
            <v>NO</v>
          </cell>
          <cell r="H87" t="str">
            <v>ESTACIÓN DE ENFERMERÍA</v>
          </cell>
          <cell r="I87">
            <v>1</v>
          </cell>
          <cell r="J87" t="str">
            <v>C.3.4.4.8.2</v>
          </cell>
          <cell r="K87" t="str">
            <v>Hospitalización</v>
          </cell>
          <cell r="L87">
            <v>6</v>
          </cell>
          <cell r="M87">
            <v>46044</v>
          </cell>
          <cell r="N87">
            <v>46045</v>
          </cell>
          <cell r="O87">
            <v>1</v>
          </cell>
          <cell r="P87">
            <v>46048</v>
          </cell>
          <cell r="Q87">
            <v>5</v>
          </cell>
          <cell r="R87" t="str">
            <v>NA</v>
          </cell>
          <cell r="S87">
            <v>5</v>
          </cell>
        </row>
        <row r="88">
          <cell r="B88" t="str">
            <v>EMMC</v>
          </cell>
          <cell r="C88" t="str">
            <v>HSLB12851</v>
          </cell>
          <cell r="D88">
            <v>113013</v>
          </cell>
          <cell r="E88" t="str">
            <v>Monitor Desfibrilador</v>
          </cell>
          <cell r="F88" t="str">
            <v>NO</v>
          </cell>
          <cell r="G88" t="str">
            <v>NO</v>
          </cell>
          <cell r="H88" t="str">
            <v>ESTACIÓN DE ENFERMERÍA</v>
          </cell>
          <cell r="I88">
            <v>1</v>
          </cell>
          <cell r="J88" t="str">
            <v>C.3.4.4.8.1</v>
          </cell>
          <cell r="K88" t="str">
            <v>Hospitalización</v>
          </cell>
          <cell r="L88">
            <v>6</v>
          </cell>
          <cell r="M88">
            <v>46044</v>
          </cell>
          <cell r="N88">
            <v>46045</v>
          </cell>
          <cell r="O88">
            <v>1</v>
          </cell>
          <cell r="P88">
            <v>46048</v>
          </cell>
          <cell r="Q88">
            <v>5</v>
          </cell>
          <cell r="R88" t="str">
            <v>NA</v>
          </cell>
          <cell r="S88">
            <v>5</v>
          </cell>
        </row>
        <row r="89">
          <cell r="B89" t="str">
            <v>EMMC</v>
          </cell>
          <cell r="C89" t="str">
            <v>HSLB12852</v>
          </cell>
          <cell r="D89">
            <v>113013</v>
          </cell>
          <cell r="E89" t="str">
            <v>Monitor Desfibrilador</v>
          </cell>
          <cell r="F89" t="str">
            <v>NO</v>
          </cell>
          <cell r="G89" t="str">
            <v>NO</v>
          </cell>
          <cell r="H89" t="str">
            <v>ESTACIÓN DE ENFERMERÍA</v>
          </cell>
          <cell r="I89">
            <v>1</v>
          </cell>
          <cell r="J89" t="str">
            <v>C.3.4.4.8.2</v>
          </cell>
          <cell r="K89" t="str">
            <v>Hospitalización</v>
          </cell>
          <cell r="L89">
            <v>6</v>
          </cell>
          <cell r="M89">
            <v>46044</v>
          </cell>
          <cell r="N89">
            <v>46045</v>
          </cell>
          <cell r="O89">
            <v>1</v>
          </cell>
          <cell r="P89">
            <v>46048</v>
          </cell>
          <cell r="Q89">
            <v>5</v>
          </cell>
          <cell r="R89" t="str">
            <v>NA</v>
          </cell>
          <cell r="S89">
            <v>5</v>
          </cell>
        </row>
        <row r="90">
          <cell r="B90" t="str">
            <v>EMMC</v>
          </cell>
          <cell r="C90" t="str">
            <v>HSLB11946</v>
          </cell>
          <cell r="D90">
            <v>112046</v>
          </cell>
          <cell r="E90" t="str">
            <v>Catre Clínico Eléctrico</v>
          </cell>
          <cell r="F90" t="str">
            <v>NO</v>
          </cell>
          <cell r="G90" t="str">
            <v>SI</v>
          </cell>
          <cell r="H90" t="str">
            <v>SALA 4 CAMAS</v>
          </cell>
          <cell r="I90">
            <v>4</v>
          </cell>
          <cell r="J90" t="str">
            <v>C.3.4.4.12.4</v>
          </cell>
          <cell r="K90" t="str">
            <v>Hospitalización</v>
          </cell>
          <cell r="L90">
            <v>6</v>
          </cell>
          <cell r="M90">
            <v>46003</v>
          </cell>
          <cell r="N90">
            <v>46006</v>
          </cell>
          <cell r="O90">
            <v>2</v>
          </cell>
          <cell r="P90">
            <v>46008</v>
          </cell>
          <cell r="Q90">
            <v>5</v>
          </cell>
          <cell r="R90" t="str">
            <v>NA</v>
          </cell>
          <cell r="S90">
            <v>5</v>
          </cell>
        </row>
        <row r="91">
          <cell r="B91" t="str">
            <v>EMMC</v>
          </cell>
          <cell r="C91" t="str">
            <v>HSLB11947</v>
          </cell>
          <cell r="D91">
            <v>112046</v>
          </cell>
          <cell r="E91" t="str">
            <v>Catre Clínico Eléctrico</v>
          </cell>
          <cell r="F91" t="str">
            <v>NO</v>
          </cell>
          <cell r="G91" t="str">
            <v>NO</v>
          </cell>
          <cell r="H91" t="str">
            <v>SALA 4 CAMAS</v>
          </cell>
          <cell r="I91">
            <v>4</v>
          </cell>
          <cell r="J91" t="str">
            <v>C.3.4.4.12.5</v>
          </cell>
          <cell r="K91" t="str">
            <v>Hospitalización</v>
          </cell>
          <cell r="L91">
            <v>6</v>
          </cell>
          <cell r="M91">
            <v>46044</v>
          </cell>
          <cell r="N91">
            <v>46045</v>
          </cell>
          <cell r="O91">
            <v>2</v>
          </cell>
          <cell r="P91">
            <v>46049</v>
          </cell>
          <cell r="Q91">
            <v>5</v>
          </cell>
          <cell r="R91" t="str">
            <v>NA</v>
          </cell>
          <cell r="S91">
            <v>5</v>
          </cell>
        </row>
        <row r="92">
          <cell r="B92" t="str">
            <v>EMMC</v>
          </cell>
          <cell r="C92" t="str">
            <v>HSLB11948</v>
          </cell>
          <cell r="D92">
            <v>112046</v>
          </cell>
          <cell r="E92" t="str">
            <v>Catre Clínico Eléctrico</v>
          </cell>
          <cell r="F92" t="str">
            <v>NO</v>
          </cell>
          <cell r="G92" t="str">
            <v>NO</v>
          </cell>
          <cell r="H92" t="str">
            <v>SALA 4 CAMAS</v>
          </cell>
          <cell r="I92">
            <v>4</v>
          </cell>
          <cell r="J92" t="str">
            <v>C.3.4.4.12.6</v>
          </cell>
          <cell r="K92" t="str">
            <v>Hospitalización</v>
          </cell>
          <cell r="L92">
            <v>6</v>
          </cell>
          <cell r="M92">
            <v>46044</v>
          </cell>
          <cell r="N92">
            <v>46045</v>
          </cell>
          <cell r="O92">
            <v>2</v>
          </cell>
          <cell r="P92">
            <v>46049</v>
          </cell>
          <cell r="Q92">
            <v>5</v>
          </cell>
          <cell r="R92" t="str">
            <v>NA</v>
          </cell>
          <cell r="S92">
            <v>5</v>
          </cell>
        </row>
        <row r="93">
          <cell r="B93" t="str">
            <v>EMMC</v>
          </cell>
          <cell r="C93" t="str">
            <v>HSLB11949</v>
          </cell>
          <cell r="D93">
            <v>112046</v>
          </cell>
          <cell r="E93" t="str">
            <v>Catre Clínico Eléctrico</v>
          </cell>
          <cell r="F93" t="str">
            <v>NO</v>
          </cell>
          <cell r="G93" t="str">
            <v>SI</v>
          </cell>
          <cell r="H93" t="str">
            <v>SALA 4 CAMAS</v>
          </cell>
          <cell r="I93">
            <v>4</v>
          </cell>
          <cell r="J93" t="str">
            <v>C.3.4.4.12.7</v>
          </cell>
          <cell r="K93" t="str">
            <v>Hospitalización</v>
          </cell>
          <cell r="L93">
            <v>6</v>
          </cell>
          <cell r="M93">
            <v>46003</v>
          </cell>
          <cell r="N93">
            <v>46006</v>
          </cell>
          <cell r="O93">
            <v>2</v>
          </cell>
          <cell r="P93">
            <v>46008</v>
          </cell>
          <cell r="Q93">
            <v>5</v>
          </cell>
          <cell r="R93" t="str">
            <v>NA</v>
          </cell>
          <cell r="S93">
            <v>5</v>
          </cell>
        </row>
        <row r="94">
          <cell r="B94" t="str">
            <v>EMMC</v>
          </cell>
          <cell r="C94" t="str">
            <v>HSLB11950</v>
          </cell>
          <cell r="D94">
            <v>112046</v>
          </cell>
          <cell r="E94" t="str">
            <v>Catre Clínico Eléctrico</v>
          </cell>
          <cell r="F94" t="str">
            <v>NO</v>
          </cell>
          <cell r="G94" t="str">
            <v>NO</v>
          </cell>
          <cell r="H94" t="str">
            <v>SALA 4 CAMAS</v>
          </cell>
          <cell r="I94">
            <v>4</v>
          </cell>
          <cell r="J94" t="str">
            <v>C.3.4.4.12.8</v>
          </cell>
          <cell r="K94" t="str">
            <v>Hospitalización</v>
          </cell>
          <cell r="L94">
            <v>6</v>
          </cell>
          <cell r="M94">
            <v>46044</v>
          </cell>
          <cell r="N94">
            <v>46045</v>
          </cell>
          <cell r="O94">
            <v>2</v>
          </cell>
          <cell r="P94">
            <v>46049</v>
          </cell>
          <cell r="Q94">
            <v>5</v>
          </cell>
          <cell r="R94" t="str">
            <v>NA</v>
          </cell>
          <cell r="S94">
            <v>5</v>
          </cell>
        </row>
        <row r="95">
          <cell r="B95" t="str">
            <v>EMMC</v>
          </cell>
          <cell r="C95" t="str">
            <v>HSLB11951</v>
          </cell>
          <cell r="D95">
            <v>112046</v>
          </cell>
          <cell r="E95" t="str">
            <v>Catre Clínico Eléctrico</v>
          </cell>
          <cell r="F95" t="str">
            <v>NO</v>
          </cell>
          <cell r="G95" t="str">
            <v>NO</v>
          </cell>
          <cell r="H95" t="str">
            <v>SALA 4 CAMAS</v>
          </cell>
          <cell r="I95">
            <v>4</v>
          </cell>
          <cell r="J95" t="str">
            <v>C.3.4.4.12.9</v>
          </cell>
          <cell r="K95" t="str">
            <v>Hospitalización</v>
          </cell>
          <cell r="L95">
            <v>6</v>
          </cell>
          <cell r="M95">
            <v>46044</v>
          </cell>
          <cell r="N95">
            <v>46045</v>
          </cell>
          <cell r="O95">
            <v>2</v>
          </cell>
          <cell r="P95">
            <v>46049</v>
          </cell>
          <cell r="Q95">
            <v>5</v>
          </cell>
          <cell r="R95" t="str">
            <v>NA</v>
          </cell>
          <cell r="S95">
            <v>5</v>
          </cell>
        </row>
        <row r="96">
          <cell r="B96" t="str">
            <v>EMMC</v>
          </cell>
          <cell r="C96" t="str">
            <v>HSLB11952</v>
          </cell>
          <cell r="D96">
            <v>112046</v>
          </cell>
          <cell r="E96" t="str">
            <v>Catre Clínico Eléctrico</v>
          </cell>
          <cell r="F96" t="str">
            <v>NO</v>
          </cell>
          <cell r="G96" t="str">
            <v>NO</v>
          </cell>
          <cell r="H96" t="str">
            <v>SALA 1 CAMA</v>
          </cell>
          <cell r="I96">
            <v>1</v>
          </cell>
          <cell r="J96" t="str">
            <v>C.3.4.4.13.1</v>
          </cell>
          <cell r="K96" t="str">
            <v>Hospitalización</v>
          </cell>
          <cell r="L96">
            <v>6</v>
          </cell>
          <cell r="M96">
            <v>46044</v>
          </cell>
          <cell r="N96">
            <v>46045</v>
          </cell>
          <cell r="O96">
            <v>2</v>
          </cell>
          <cell r="P96">
            <v>46049</v>
          </cell>
          <cell r="Q96">
            <v>5</v>
          </cell>
          <cell r="R96" t="str">
            <v>NA</v>
          </cell>
          <cell r="S96">
            <v>5</v>
          </cell>
        </row>
        <row r="97">
          <cell r="B97" t="str">
            <v>EMMC</v>
          </cell>
          <cell r="C97" t="str">
            <v>HSLB11953</v>
          </cell>
          <cell r="D97">
            <v>112046</v>
          </cell>
          <cell r="E97" t="str">
            <v>Catre Clínico Eléctrico</v>
          </cell>
          <cell r="F97" t="str">
            <v>NO</v>
          </cell>
          <cell r="G97" t="str">
            <v>NO</v>
          </cell>
          <cell r="H97" t="str">
            <v>SALA 1 CAMA</v>
          </cell>
          <cell r="I97">
            <v>1</v>
          </cell>
          <cell r="J97" t="str">
            <v>C.3.4.4.13.2</v>
          </cell>
          <cell r="K97" t="str">
            <v>Hospitalización</v>
          </cell>
          <cell r="L97">
            <v>6</v>
          </cell>
          <cell r="M97">
            <v>46044</v>
          </cell>
          <cell r="N97">
            <v>46045</v>
          </cell>
          <cell r="O97">
            <v>2</v>
          </cell>
          <cell r="P97">
            <v>46049</v>
          </cell>
          <cell r="Q97">
            <v>5</v>
          </cell>
          <cell r="R97" t="str">
            <v>NA</v>
          </cell>
          <cell r="S97">
            <v>5</v>
          </cell>
        </row>
        <row r="98">
          <cell r="B98" t="str">
            <v>EMMC</v>
          </cell>
          <cell r="C98" t="str">
            <v>HSLB11954</v>
          </cell>
          <cell r="D98">
            <v>112046</v>
          </cell>
          <cell r="E98" t="str">
            <v>Catre Clínico Eléctrico</v>
          </cell>
          <cell r="F98" t="str">
            <v>NO</v>
          </cell>
          <cell r="G98" t="str">
            <v>NO</v>
          </cell>
          <cell r="H98" t="str">
            <v>SALA 1 CAMA</v>
          </cell>
          <cell r="I98">
            <v>1</v>
          </cell>
          <cell r="J98" t="str">
            <v>C.3.4.4.13.3</v>
          </cell>
          <cell r="K98" t="str">
            <v>Hospitalización</v>
          </cell>
          <cell r="L98">
            <v>6</v>
          </cell>
          <cell r="M98">
            <v>46044</v>
          </cell>
          <cell r="N98">
            <v>46045</v>
          </cell>
          <cell r="O98">
            <v>2</v>
          </cell>
          <cell r="P98">
            <v>46049</v>
          </cell>
          <cell r="Q98">
            <v>5</v>
          </cell>
          <cell r="R98" t="str">
            <v>NA</v>
          </cell>
          <cell r="S98">
            <v>5</v>
          </cell>
        </row>
        <row r="99">
          <cell r="B99" t="str">
            <v>EMMC</v>
          </cell>
          <cell r="C99" t="str">
            <v>HSLB11955</v>
          </cell>
          <cell r="D99">
            <v>112046</v>
          </cell>
          <cell r="E99" t="str">
            <v>Catre Clínico Eléctrico</v>
          </cell>
          <cell r="F99" t="str">
            <v>NO</v>
          </cell>
          <cell r="G99" t="str">
            <v>NO</v>
          </cell>
          <cell r="H99" t="str">
            <v>SALA 1 CAMA</v>
          </cell>
          <cell r="I99">
            <v>1</v>
          </cell>
          <cell r="J99" t="str">
            <v>C.3.4.4.13.4</v>
          </cell>
          <cell r="K99" t="str">
            <v>Hospitalización</v>
          </cell>
          <cell r="L99">
            <v>6</v>
          </cell>
          <cell r="M99">
            <v>46044</v>
          </cell>
          <cell r="N99">
            <v>46045</v>
          </cell>
          <cell r="O99">
            <v>2</v>
          </cell>
          <cell r="P99">
            <v>46049</v>
          </cell>
          <cell r="Q99">
            <v>5</v>
          </cell>
          <cell r="R99" t="str">
            <v>NA</v>
          </cell>
          <cell r="S99">
            <v>5</v>
          </cell>
        </row>
        <row r="100">
          <cell r="B100" t="str">
            <v>EMMC</v>
          </cell>
          <cell r="C100" t="str">
            <v>HSLB12541</v>
          </cell>
          <cell r="D100">
            <v>112089</v>
          </cell>
          <cell r="E100" t="str">
            <v>Soporte Universal</v>
          </cell>
          <cell r="F100" t="str">
            <v>NO</v>
          </cell>
          <cell r="G100" t="str">
            <v>NO</v>
          </cell>
          <cell r="H100" t="str">
            <v>SALA 4 CAMAS</v>
          </cell>
          <cell r="I100">
            <v>4</v>
          </cell>
          <cell r="J100" t="str">
            <v>C.3.4.4.12.1</v>
          </cell>
          <cell r="K100" t="str">
            <v>Hospitalización</v>
          </cell>
          <cell r="L100">
            <v>6</v>
          </cell>
          <cell r="M100">
            <v>46044</v>
          </cell>
          <cell r="N100">
            <v>46045</v>
          </cell>
          <cell r="O100">
            <v>1</v>
          </cell>
          <cell r="P100">
            <v>46048</v>
          </cell>
          <cell r="Q100">
            <v>5</v>
          </cell>
          <cell r="R100" t="str">
            <v>NA</v>
          </cell>
          <cell r="S100">
            <v>5</v>
          </cell>
        </row>
        <row r="101">
          <cell r="B101" t="str">
            <v>EMMC</v>
          </cell>
          <cell r="C101" t="str">
            <v>HSLB12542</v>
          </cell>
          <cell r="D101">
            <v>112089</v>
          </cell>
          <cell r="E101" t="str">
            <v>Soporte Universal</v>
          </cell>
          <cell r="F101" t="str">
            <v>NO</v>
          </cell>
          <cell r="G101" t="str">
            <v>NO</v>
          </cell>
          <cell r="H101" t="str">
            <v>SALA 3 CAMAS</v>
          </cell>
          <cell r="I101">
            <v>3</v>
          </cell>
          <cell r="J101" t="str">
            <v>C.3.4.4.12.10</v>
          </cell>
          <cell r="K101" t="str">
            <v>Hospitalización</v>
          </cell>
          <cell r="L101">
            <v>6</v>
          </cell>
          <cell r="M101">
            <v>46044</v>
          </cell>
          <cell r="N101">
            <v>46045</v>
          </cell>
          <cell r="O101">
            <v>1</v>
          </cell>
          <cell r="P101">
            <v>46048</v>
          </cell>
          <cell r="Q101">
            <v>5</v>
          </cell>
          <cell r="R101" t="str">
            <v>NA</v>
          </cell>
          <cell r="S101">
            <v>5</v>
          </cell>
        </row>
        <row r="102">
          <cell r="B102" t="str">
            <v>EMMC</v>
          </cell>
          <cell r="C102" t="str">
            <v>HSLB12543</v>
          </cell>
          <cell r="D102">
            <v>112089</v>
          </cell>
          <cell r="E102" t="str">
            <v>Soporte Universal</v>
          </cell>
          <cell r="F102" t="str">
            <v>NO</v>
          </cell>
          <cell r="G102" t="str">
            <v>NO</v>
          </cell>
          <cell r="H102" t="str">
            <v>SALA 4 CAMAS</v>
          </cell>
          <cell r="I102">
            <v>4</v>
          </cell>
          <cell r="J102" t="str">
            <v>C.3.4.4.12.2</v>
          </cell>
          <cell r="K102" t="str">
            <v>Hospitalización</v>
          </cell>
          <cell r="L102">
            <v>6</v>
          </cell>
          <cell r="M102">
            <v>46044</v>
          </cell>
          <cell r="N102">
            <v>46045</v>
          </cell>
          <cell r="O102">
            <v>1</v>
          </cell>
          <cell r="P102">
            <v>46048</v>
          </cell>
          <cell r="Q102">
            <v>5</v>
          </cell>
          <cell r="R102" t="str">
            <v>NA</v>
          </cell>
          <cell r="S102">
            <v>5</v>
          </cell>
        </row>
        <row r="103">
          <cell r="B103" t="str">
            <v>EMMC</v>
          </cell>
          <cell r="C103" t="str">
            <v>HSLB12544</v>
          </cell>
          <cell r="D103">
            <v>112089</v>
          </cell>
          <cell r="E103" t="str">
            <v>Soporte Universal</v>
          </cell>
          <cell r="F103" t="str">
            <v>NO</v>
          </cell>
          <cell r="G103" t="str">
            <v>NO</v>
          </cell>
          <cell r="H103" t="str">
            <v>SALA 4 CAMAS</v>
          </cell>
          <cell r="I103">
            <v>4</v>
          </cell>
          <cell r="J103" t="str">
            <v>C.3.4.4.12.3</v>
          </cell>
          <cell r="K103" t="str">
            <v>Hospitalización</v>
          </cell>
          <cell r="L103">
            <v>6</v>
          </cell>
          <cell r="M103">
            <v>46044</v>
          </cell>
          <cell r="N103">
            <v>46045</v>
          </cell>
          <cell r="O103">
            <v>1</v>
          </cell>
          <cell r="P103">
            <v>46048</v>
          </cell>
          <cell r="Q103">
            <v>5</v>
          </cell>
          <cell r="R103" t="str">
            <v>NA</v>
          </cell>
          <cell r="S103">
            <v>5</v>
          </cell>
        </row>
        <row r="104">
          <cell r="B104" t="str">
            <v>EMMC</v>
          </cell>
          <cell r="C104" t="str">
            <v>HSLB12545</v>
          </cell>
          <cell r="D104">
            <v>112089</v>
          </cell>
          <cell r="E104" t="str">
            <v>Soporte Universal</v>
          </cell>
          <cell r="F104" t="str">
            <v>NO</v>
          </cell>
          <cell r="G104" t="str">
            <v>SI</v>
          </cell>
          <cell r="H104" t="str">
            <v>SALA 4 CAMAS</v>
          </cell>
          <cell r="I104">
            <v>4</v>
          </cell>
          <cell r="J104" t="str">
            <v>C.3.4.4.12.4</v>
          </cell>
          <cell r="K104" t="str">
            <v>Hospitalización</v>
          </cell>
          <cell r="L104">
            <v>6</v>
          </cell>
          <cell r="M104">
            <v>46003</v>
          </cell>
          <cell r="N104">
            <v>46006</v>
          </cell>
          <cell r="O104">
            <v>1</v>
          </cell>
          <cell r="P104">
            <v>46007</v>
          </cell>
          <cell r="Q104">
            <v>5</v>
          </cell>
          <cell r="R104" t="str">
            <v>NA</v>
          </cell>
          <cell r="S104">
            <v>5</v>
          </cell>
        </row>
        <row r="105">
          <cell r="B105" t="str">
            <v>EMMC</v>
          </cell>
          <cell r="C105" t="str">
            <v>HSLB12546</v>
          </cell>
          <cell r="D105">
            <v>112089</v>
          </cell>
          <cell r="E105" t="str">
            <v>Soporte Universal</v>
          </cell>
          <cell r="F105" t="str">
            <v>NO</v>
          </cell>
          <cell r="G105" t="str">
            <v>NO</v>
          </cell>
          <cell r="H105" t="str">
            <v>SALA 4 CAMAS</v>
          </cell>
          <cell r="I105">
            <v>4</v>
          </cell>
          <cell r="J105" t="str">
            <v>C.3.4.4.12.5</v>
          </cell>
          <cell r="K105" t="str">
            <v>Hospitalización</v>
          </cell>
          <cell r="L105">
            <v>6</v>
          </cell>
          <cell r="M105">
            <v>46044</v>
          </cell>
          <cell r="N105">
            <v>46045</v>
          </cell>
          <cell r="O105">
            <v>1</v>
          </cell>
          <cell r="P105">
            <v>46048</v>
          </cell>
          <cell r="Q105">
            <v>5</v>
          </cell>
          <cell r="R105" t="str">
            <v>NA</v>
          </cell>
          <cell r="S105">
            <v>5</v>
          </cell>
        </row>
        <row r="106">
          <cell r="B106" t="str">
            <v>EMMC</v>
          </cell>
          <cell r="C106" t="str">
            <v>HSLB12547</v>
          </cell>
          <cell r="D106">
            <v>112089</v>
          </cell>
          <cell r="E106" t="str">
            <v>Soporte Universal</v>
          </cell>
          <cell r="F106" t="str">
            <v>NO</v>
          </cell>
          <cell r="G106" t="str">
            <v>NO</v>
          </cell>
          <cell r="H106" t="str">
            <v>SALA 4 CAMAS</v>
          </cell>
          <cell r="I106">
            <v>4</v>
          </cell>
          <cell r="J106" t="str">
            <v>C.3.4.4.12.6</v>
          </cell>
          <cell r="K106" t="str">
            <v>Hospitalización</v>
          </cell>
          <cell r="L106">
            <v>6</v>
          </cell>
          <cell r="M106">
            <v>46044</v>
          </cell>
          <cell r="N106">
            <v>46045</v>
          </cell>
          <cell r="O106">
            <v>1</v>
          </cell>
          <cell r="P106">
            <v>46048</v>
          </cell>
          <cell r="Q106">
            <v>5</v>
          </cell>
          <cell r="R106" t="str">
            <v>NA</v>
          </cell>
          <cell r="S106">
            <v>5</v>
          </cell>
        </row>
        <row r="107">
          <cell r="B107" t="str">
            <v>EMMC</v>
          </cell>
          <cell r="C107" t="str">
            <v>HSLB12548</v>
          </cell>
          <cell r="D107">
            <v>112089</v>
          </cell>
          <cell r="E107" t="str">
            <v>Soporte Universal</v>
          </cell>
          <cell r="F107" t="str">
            <v>NO</v>
          </cell>
          <cell r="G107" t="str">
            <v>SI</v>
          </cell>
          <cell r="H107" t="str">
            <v>SALA 4 CAMAS</v>
          </cell>
          <cell r="I107">
            <v>4</v>
          </cell>
          <cell r="J107" t="str">
            <v>C.3.4.4.12.7</v>
          </cell>
          <cell r="K107" t="str">
            <v>Hospitalización</v>
          </cell>
          <cell r="L107">
            <v>6</v>
          </cell>
          <cell r="M107">
            <v>46003</v>
          </cell>
          <cell r="N107">
            <v>46006</v>
          </cell>
          <cell r="O107">
            <v>1</v>
          </cell>
          <cell r="P107">
            <v>46007</v>
          </cell>
          <cell r="Q107">
            <v>5</v>
          </cell>
          <cell r="R107" t="str">
            <v>NA</v>
          </cell>
          <cell r="S107">
            <v>5</v>
          </cell>
        </row>
        <row r="108">
          <cell r="B108" t="str">
            <v>EMMC</v>
          </cell>
          <cell r="C108" t="str">
            <v>HSLB12549</v>
          </cell>
          <cell r="D108">
            <v>112089</v>
          </cell>
          <cell r="E108" t="str">
            <v>Soporte Universal</v>
          </cell>
          <cell r="F108" t="str">
            <v>NO</v>
          </cell>
          <cell r="G108" t="str">
            <v>NO</v>
          </cell>
          <cell r="H108" t="str">
            <v>SALA 4 CAMAS</v>
          </cell>
          <cell r="I108">
            <v>4</v>
          </cell>
          <cell r="J108" t="str">
            <v>C.3.4.4.12.8</v>
          </cell>
          <cell r="K108" t="str">
            <v>Hospitalización</v>
          </cell>
          <cell r="L108">
            <v>6</v>
          </cell>
          <cell r="M108">
            <v>46044</v>
          </cell>
          <cell r="N108">
            <v>46045</v>
          </cell>
          <cell r="O108">
            <v>1</v>
          </cell>
          <cell r="P108">
            <v>46048</v>
          </cell>
          <cell r="Q108">
            <v>5</v>
          </cell>
          <cell r="R108" t="str">
            <v>NA</v>
          </cell>
          <cell r="S108">
            <v>5</v>
          </cell>
        </row>
        <row r="109">
          <cell r="B109" t="str">
            <v>EMMC</v>
          </cell>
          <cell r="C109" t="str">
            <v>HSLB12550</v>
          </cell>
          <cell r="D109">
            <v>112089</v>
          </cell>
          <cell r="E109" t="str">
            <v>Soporte Universal</v>
          </cell>
          <cell r="F109" t="str">
            <v>NO</v>
          </cell>
          <cell r="G109" t="str">
            <v>NO</v>
          </cell>
          <cell r="H109" t="str">
            <v>SALA 4 CAMAS</v>
          </cell>
          <cell r="I109">
            <v>4</v>
          </cell>
          <cell r="J109" t="str">
            <v>C.3.4.4.12.9</v>
          </cell>
          <cell r="K109" t="str">
            <v>Hospitalización</v>
          </cell>
          <cell r="L109">
            <v>6</v>
          </cell>
          <cell r="M109">
            <v>46044</v>
          </cell>
          <cell r="N109">
            <v>46045</v>
          </cell>
          <cell r="O109">
            <v>1</v>
          </cell>
          <cell r="P109">
            <v>46048</v>
          </cell>
          <cell r="Q109">
            <v>5</v>
          </cell>
          <cell r="R109" t="str">
            <v>NA</v>
          </cell>
          <cell r="S109">
            <v>5</v>
          </cell>
        </row>
        <row r="110">
          <cell r="B110" t="str">
            <v>EMMC</v>
          </cell>
          <cell r="C110" t="str">
            <v>HSLB12551</v>
          </cell>
          <cell r="D110">
            <v>112089</v>
          </cell>
          <cell r="E110" t="str">
            <v>Soporte Universal</v>
          </cell>
          <cell r="F110" t="str">
            <v>NO</v>
          </cell>
          <cell r="G110" t="str">
            <v>NO</v>
          </cell>
          <cell r="H110" t="str">
            <v>SALA 1 CAMA</v>
          </cell>
          <cell r="I110">
            <v>1</v>
          </cell>
          <cell r="J110" t="str">
            <v>C.3.4.4.13.1</v>
          </cell>
          <cell r="K110" t="str">
            <v>Hospitalización</v>
          </cell>
          <cell r="L110">
            <v>6</v>
          </cell>
          <cell r="M110">
            <v>46044</v>
          </cell>
          <cell r="N110">
            <v>46045</v>
          </cell>
          <cell r="O110">
            <v>1</v>
          </cell>
          <cell r="P110">
            <v>46048</v>
          </cell>
          <cell r="Q110">
            <v>5</v>
          </cell>
          <cell r="R110" t="str">
            <v>NA</v>
          </cell>
          <cell r="S110">
            <v>5</v>
          </cell>
        </row>
        <row r="111">
          <cell r="B111" t="str">
            <v>EMMC</v>
          </cell>
          <cell r="C111" t="str">
            <v>HSLB12552</v>
          </cell>
          <cell r="D111">
            <v>112089</v>
          </cell>
          <cell r="E111" t="str">
            <v>Soporte Universal</v>
          </cell>
          <cell r="F111" t="str">
            <v>NO</v>
          </cell>
          <cell r="G111" t="str">
            <v>NO</v>
          </cell>
          <cell r="H111" t="str">
            <v>SALA 1 CAMA</v>
          </cell>
          <cell r="I111">
            <v>1</v>
          </cell>
          <cell r="J111" t="str">
            <v>C.3.4.4.13.2</v>
          </cell>
          <cell r="K111" t="str">
            <v>Hospitalización</v>
          </cell>
          <cell r="L111">
            <v>6</v>
          </cell>
          <cell r="M111">
            <v>46044</v>
          </cell>
          <cell r="N111">
            <v>46045</v>
          </cell>
          <cell r="O111">
            <v>1</v>
          </cell>
          <cell r="P111">
            <v>46048</v>
          </cell>
          <cell r="Q111">
            <v>5</v>
          </cell>
          <cell r="R111" t="str">
            <v>NA</v>
          </cell>
          <cell r="S111">
            <v>5</v>
          </cell>
        </row>
        <row r="112">
          <cell r="B112" t="str">
            <v>EMMC</v>
          </cell>
          <cell r="C112" t="str">
            <v>HSLB12553</v>
          </cell>
          <cell r="D112">
            <v>112089</v>
          </cell>
          <cell r="E112" t="str">
            <v>Soporte Universal</v>
          </cell>
          <cell r="F112" t="str">
            <v>NO</v>
          </cell>
          <cell r="G112" t="str">
            <v>NO</v>
          </cell>
          <cell r="H112" t="str">
            <v>SALA 1 CAMA</v>
          </cell>
          <cell r="I112">
            <v>1</v>
          </cell>
          <cell r="J112" t="str">
            <v>C.3.4.4.13.3</v>
          </cell>
          <cell r="K112" t="str">
            <v>Hospitalización</v>
          </cell>
          <cell r="L112">
            <v>6</v>
          </cell>
          <cell r="M112">
            <v>46044</v>
          </cell>
          <cell r="N112">
            <v>46045</v>
          </cell>
          <cell r="O112">
            <v>1</v>
          </cell>
          <cell r="P112">
            <v>46048</v>
          </cell>
          <cell r="Q112">
            <v>5</v>
          </cell>
          <cell r="R112" t="str">
            <v>NA</v>
          </cell>
          <cell r="S112">
            <v>5</v>
          </cell>
        </row>
        <row r="113">
          <cell r="B113" t="str">
            <v>EMMC</v>
          </cell>
          <cell r="C113" t="str">
            <v>HSLB12554</v>
          </cell>
          <cell r="D113">
            <v>112089</v>
          </cell>
          <cell r="E113" t="str">
            <v>Soporte Universal</v>
          </cell>
          <cell r="F113" t="str">
            <v>NO</v>
          </cell>
          <cell r="G113" t="str">
            <v>NO</v>
          </cell>
          <cell r="H113" t="str">
            <v>SALA 1 CAMA</v>
          </cell>
          <cell r="I113">
            <v>1</v>
          </cell>
          <cell r="J113" t="str">
            <v>C.3.4.4.13.4</v>
          </cell>
          <cell r="K113" t="str">
            <v>Hospitalización</v>
          </cell>
          <cell r="L113">
            <v>6</v>
          </cell>
          <cell r="M113">
            <v>46044</v>
          </cell>
          <cell r="N113">
            <v>46045</v>
          </cell>
          <cell r="O113">
            <v>1</v>
          </cell>
          <cell r="P113">
            <v>46048</v>
          </cell>
          <cell r="Q113">
            <v>5</v>
          </cell>
          <cell r="R113" t="str">
            <v>NA</v>
          </cell>
          <cell r="S113">
            <v>5</v>
          </cell>
        </row>
        <row r="114">
          <cell r="B114" t="str">
            <v>EMMC</v>
          </cell>
          <cell r="C114" t="str">
            <v>HSLB12555</v>
          </cell>
          <cell r="D114">
            <v>112089</v>
          </cell>
          <cell r="E114" t="str">
            <v>Soporte Universal</v>
          </cell>
          <cell r="F114" t="str">
            <v>NO</v>
          </cell>
          <cell r="G114" t="str">
            <v>NO</v>
          </cell>
          <cell r="H114" t="str">
            <v>SALA 1 CAMA AISLAMIENTO</v>
          </cell>
          <cell r="I114">
            <v>1</v>
          </cell>
          <cell r="J114" t="str">
            <v>C.3.4.4.14.1</v>
          </cell>
          <cell r="K114" t="str">
            <v>Hospitalización</v>
          </cell>
          <cell r="L114">
            <v>6</v>
          </cell>
          <cell r="M114">
            <v>46044</v>
          </cell>
          <cell r="N114">
            <v>46045</v>
          </cell>
          <cell r="O114">
            <v>1</v>
          </cell>
          <cell r="P114">
            <v>46048</v>
          </cell>
          <cell r="Q114">
            <v>5</v>
          </cell>
          <cell r="R114" t="str">
            <v>NA</v>
          </cell>
          <cell r="S114">
            <v>5</v>
          </cell>
        </row>
        <row r="115">
          <cell r="B115" t="str">
            <v>EMMC</v>
          </cell>
          <cell r="C115" t="str">
            <v>HSLB12556</v>
          </cell>
          <cell r="D115">
            <v>112089</v>
          </cell>
          <cell r="E115" t="str">
            <v>Soporte Universal</v>
          </cell>
          <cell r="F115" t="str">
            <v>NO</v>
          </cell>
          <cell r="G115" t="str">
            <v>NO</v>
          </cell>
          <cell r="H115" t="str">
            <v>SALA 1 CAMA AISLAMIENTO</v>
          </cell>
          <cell r="I115">
            <v>1</v>
          </cell>
          <cell r="J115" t="str">
            <v>C.3.4.4.14.2</v>
          </cell>
          <cell r="K115" t="str">
            <v>Hospitalización</v>
          </cell>
          <cell r="L115">
            <v>6</v>
          </cell>
          <cell r="M115">
            <v>46044</v>
          </cell>
          <cell r="N115">
            <v>46045</v>
          </cell>
          <cell r="O115">
            <v>1</v>
          </cell>
          <cell r="P115">
            <v>46048</v>
          </cell>
          <cell r="Q115">
            <v>5</v>
          </cell>
          <cell r="R115" t="str">
            <v>NA</v>
          </cell>
          <cell r="S115">
            <v>5</v>
          </cell>
        </row>
        <row r="116">
          <cell r="B116" t="str">
            <v>EMMC</v>
          </cell>
          <cell r="C116" t="str">
            <v>HSLB12557</v>
          </cell>
          <cell r="D116">
            <v>112089</v>
          </cell>
          <cell r="E116" t="str">
            <v>Soporte Universal</v>
          </cell>
          <cell r="F116" t="str">
            <v>NO</v>
          </cell>
          <cell r="G116" t="str">
            <v>NO</v>
          </cell>
          <cell r="H116" t="str">
            <v>SALA 1 CAMA AISLAMIENTO</v>
          </cell>
          <cell r="I116">
            <v>1</v>
          </cell>
          <cell r="J116" t="str">
            <v>C.3.4.4.14.3</v>
          </cell>
          <cell r="K116" t="str">
            <v>Hospitalización</v>
          </cell>
          <cell r="L116">
            <v>6</v>
          </cell>
          <cell r="M116">
            <v>46044</v>
          </cell>
          <cell r="N116">
            <v>46045</v>
          </cell>
          <cell r="O116">
            <v>1</v>
          </cell>
          <cell r="P116">
            <v>46048</v>
          </cell>
          <cell r="Q116">
            <v>5</v>
          </cell>
          <cell r="R116" t="str">
            <v>NA</v>
          </cell>
          <cell r="S116">
            <v>5</v>
          </cell>
        </row>
        <row r="117">
          <cell r="B117" t="str">
            <v>EMMC</v>
          </cell>
          <cell r="C117" t="str">
            <v>HSLB12558</v>
          </cell>
          <cell r="D117">
            <v>112089</v>
          </cell>
          <cell r="E117" t="str">
            <v>Soporte Universal</v>
          </cell>
          <cell r="F117" t="str">
            <v>NO</v>
          </cell>
          <cell r="G117" t="str">
            <v>NO</v>
          </cell>
          <cell r="H117" t="str">
            <v>SALA 1 CAMA AISLAMIENTO</v>
          </cell>
          <cell r="I117">
            <v>1</v>
          </cell>
          <cell r="J117" t="str">
            <v>C.3.4.4.14.4</v>
          </cell>
          <cell r="K117" t="str">
            <v>Hospitalización</v>
          </cell>
          <cell r="L117">
            <v>6</v>
          </cell>
          <cell r="M117">
            <v>46044</v>
          </cell>
          <cell r="N117">
            <v>46045</v>
          </cell>
          <cell r="O117">
            <v>1</v>
          </cell>
          <cell r="P117">
            <v>46048</v>
          </cell>
          <cell r="Q117">
            <v>5</v>
          </cell>
          <cell r="R117" t="str">
            <v>NA</v>
          </cell>
          <cell r="S117">
            <v>5</v>
          </cell>
        </row>
        <row r="118">
          <cell r="B118" t="str">
            <v>EMMC</v>
          </cell>
          <cell r="C118" t="str">
            <v>HSLB12559</v>
          </cell>
          <cell r="D118">
            <v>112089</v>
          </cell>
          <cell r="E118" t="str">
            <v>Soporte Universal</v>
          </cell>
          <cell r="F118" t="str">
            <v>NO</v>
          </cell>
          <cell r="G118" t="str">
            <v>NO</v>
          </cell>
          <cell r="H118" t="str">
            <v>SALA DE PROCEDIMIENTOS</v>
          </cell>
          <cell r="I118">
            <v>1</v>
          </cell>
          <cell r="J118" t="str">
            <v>C.3.4.4.15</v>
          </cell>
          <cell r="K118" t="str">
            <v>Hospitalización</v>
          </cell>
          <cell r="L118">
            <v>6</v>
          </cell>
          <cell r="M118">
            <v>46044</v>
          </cell>
          <cell r="N118">
            <v>46045</v>
          </cell>
          <cell r="O118">
            <v>1</v>
          </cell>
          <cell r="P118">
            <v>46048</v>
          </cell>
          <cell r="Q118">
            <v>5</v>
          </cell>
          <cell r="R118" t="str">
            <v>NA</v>
          </cell>
          <cell r="S118">
            <v>5</v>
          </cell>
        </row>
        <row r="119">
          <cell r="B119" t="str">
            <v>EMMC</v>
          </cell>
          <cell r="C119" t="str">
            <v>HSLB12780</v>
          </cell>
          <cell r="D119">
            <v>113009</v>
          </cell>
          <cell r="E119" t="str">
            <v>Monitor de Signos Vitales Básico</v>
          </cell>
          <cell r="F119" t="str">
            <v>NO</v>
          </cell>
          <cell r="G119" t="str">
            <v>NO</v>
          </cell>
          <cell r="H119" t="str">
            <v>ESTACIÓN DE ENFERMERÍA</v>
          </cell>
          <cell r="I119">
            <v>8</v>
          </cell>
          <cell r="J119" t="str">
            <v>C.3.4.4.8.1</v>
          </cell>
          <cell r="K119" t="str">
            <v>Hospitalización</v>
          </cell>
          <cell r="L119">
            <v>6</v>
          </cell>
          <cell r="M119">
            <v>46044</v>
          </cell>
          <cell r="N119">
            <v>46045</v>
          </cell>
          <cell r="O119">
            <v>1</v>
          </cell>
          <cell r="P119">
            <v>46048</v>
          </cell>
          <cell r="Q119">
            <v>5</v>
          </cell>
          <cell r="R119" t="str">
            <v>NA</v>
          </cell>
          <cell r="S119">
            <v>5</v>
          </cell>
        </row>
        <row r="120">
          <cell r="B120" t="str">
            <v>EMMC</v>
          </cell>
          <cell r="C120" t="str">
            <v>HSLB12781</v>
          </cell>
          <cell r="D120">
            <v>113009</v>
          </cell>
          <cell r="E120" t="str">
            <v>Monitor de Signos Vitales Básico</v>
          </cell>
          <cell r="F120" t="str">
            <v>NO</v>
          </cell>
          <cell r="G120" t="str">
            <v>NO</v>
          </cell>
          <cell r="H120" t="str">
            <v>ESTACIÓN DE ENFERMERÍA</v>
          </cell>
          <cell r="I120">
            <v>8</v>
          </cell>
          <cell r="J120" t="str">
            <v>C.3.4.4.8.2</v>
          </cell>
          <cell r="K120" t="str">
            <v>Hospitalización</v>
          </cell>
          <cell r="L120">
            <v>6</v>
          </cell>
          <cell r="M120">
            <v>46044</v>
          </cell>
          <cell r="N120">
            <v>46045</v>
          </cell>
          <cell r="O120">
            <v>1</v>
          </cell>
          <cell r="P120">
            <v>46048</v>
          </cell>
          <cell r="Q120">
            <v>5</v>
          </cell>
          <cell r="R120" t="str">
            <v>NA</v>
          </cell>
          <cell r="S120">
            <v>5</v>
          </cell>
        </row>
        <row r="121">
          <cell r="B121" t="str">
            <v>EMMC</v>
          </cell>
          <cell r="C121" t="str">
            <v>HSLB12779</v>
          </cell>
          <cell r="D121">
            <v>113009</v>
          </cell>
          <cell r="E121" t="str">
            <v>Monitor de Signos Vitales Básico</v>
          </cell>
          <cell r="F121" t="str">
            <v>NO</v>
          </cell>
          <cell r="G121" t="str">
            <v>SI</v>
          </cell>
          <cell r="H121" t="str">
            <v>BODEGA DE EQUIPOS</v>
          </cell>
          <cell r="I121">
            <v>5</v>
          </cell>
          <cell r="J121" t="str">
            <v>C.3.4.4.17</v>
          </cell>
          <cell r="K121" t="str">
            <v>Hospitalización</v>
          </cell>
          <cell r="L121">
            <v>6</v>
          </cell>
          <cell r="M121">
            <v>46003</v>
          </cell>
          <cell r="N121">
            <v>46006</v>
          </cell>
          <cell r="O121">
            <v>1</v>
          </cell>
          <cell r="P121">
            <v>46007</v>
          </cell>
          <cell r="Q121">
            <v>5</v>
          </cell>
          <cell r="R121" t="str">
            <v>NA</v>
          </cell>
          <cell r="S121">
            <v>5</v>
          </cell>
        </row>
        <row r="122">
          <cell r="B122" t="str">
            <v>EMMC</v>
          </cell>
          <cell r="C122" t="str">
            <v>HSLB10113</v>
          </cell>
          <cell r="D122">
            <v>101028</v>
          </cell>
          <cell r="E122" t="str">
            <v>Equipo Telemedicina con accesorios</v>
          </cell>
          <cell r="F122" t="str">
            <v>NO</v>
          </cell>
          <cell r="G122" t="str">
            <v>NO</v>
          </cell>
          <cell r="H122" t="str">
            <v>SALA TELEMEDICINA</v>
          </cell>
          <cell r="I122">
            <v>1</v>
          </cell>
          <cell r="J122" t="str">
            <v>C.3.8.4.1</v>
          </cell>
          <cell r="K122" t="str">
            <v>Telemedicina</v>
          </cell>
          <cell r="L122">
            <v>6</v>
          </cell>
          <cell r="M122">
            <v>46044</v>
          </cell>
          <cell r="N122">
            <v>46045</v>
          </cell>
          <cell r="O122">
            <v>1</v>
          </cell>
          <cell r="P122">
            <v>46048</v>
          </cell>
          <cell r="Q122">
            <v>5</v>
          </cell>
          <cell r="R122" t="str">
            <v>NA</v>
          </cell>
          <cell r="S122">
            <v>5</v>
          </cell>
        </row>
        <row r="123">
          <cell r="B123" t="str">
            <v>EMMC</v>
          </cell>
          <cell r="C123" t="str">
            <v>HSLB10115</v>
          </cell>
          <cell r="D123">
            <v>101029</v>
          </cell>
          <cell r="E123" t="str">
            <v>Equipo Videoconferencia</v>
          </cell>
          <cell r="F123" t="str">
            <v>NO</v>
          </cell>
          <cell r="G123" t="str">
            <v>SI</v>
          </cell>
          <cell r="H123" t="str">
            <v>SALA TELEMEDICINA</v>
          </cell>
          <cell r="I123">
            <v>1</v>
          </cell>
          <cell r="J123" t="str">
            <v>C.3.8.4.2</v>
          </cell>
          <cell r="K123" t="str">
            <v>Telemedicina</v>
          </cell>
          <cell r="L123">
            <v>6</v>
          </cell>
          <cell r="M123">
            <v>46003</v>
          </cell>
          <cell r="N123">
            <v>46006</v>
          </cell>
          <cell r="O123">
            <v>1</v>
          </cell>
          <cell r="P123">
            <v>46007</v>
          </cell>
          <cell r="Q123">
            <v>5</v>
          </cell>
          <cell r="R123" t="str">
            <v>NA</v>
          </cell>
          <cell r="S123">
            <v>5</v>
          </cell>
        </row>
        <row r="124">
          <cell r="B124" t="str">
            <v>EMMC</v>
          </cell>
          <cell r="C124" t="str">
            <v>HSLB10587</v>
          </cell>
          <cell r="D124">
            <v>105001</v>
          </cell>
          <cell r="E124" t="str">
            <v>Acelerador Infusión</v>
          </cell>
          <cell r="F124" t="str">
            <v>NO</v>
          </cell>
          <cell r="G124" t="str">
            <v>NO</v>
          </cell>
          <cell r="H124" t="str">
            <v>ESTACIÓN DE ENFERMERÍA</v>
          </cell>
          <cell r="I124">
            <v>8</v>
          </cell>
          <cell r="J124" t="str">
            <v>C.3.4.4.8.1</v>
          </cell>
          <cell r="K124" t="str">
            <v>Hospitalización</v>
          </cell>
          <cell r="L124">
            <v>6</v>
          </cell>
          <cell r="M124">
            <v>46044</v>
          </cell>
          <cell r="N124">
            <v>46045</v>
          </cell>
          <cell r="O124">
            <v>1</v>
          </cell>
          <cell r="P124">
            <v>46048</v>
          </cell>
          <cell r="Q124">
            <v>5</v>
          </cell>
          <cell r="R124" t="str">
            <v>NA</v>
          </cell>
          <cell r="S124">
            <v>5</v>
          </cell>
        </row>
        <row r="125">
          <cell r="B125" t="str">
            <v>EMMC</v>
          </cell>
          <cell r="C125" t="str">
            <v>HSLB10588</v>
          </cell>
          <cell r="D125">
            <v>105001</v>
          </cell>
          <cell r="E125" t="str">
            <v>Acelerador Infusión</v>
          </cell>
          <cell r="F125" t="str">
            <v>NO</v>
          </cell>
          <cell r="G125" t="str">
            <v>NO</v>
          </cell>
          <cell r="H125" t="str">
            <v>ESTACIÓN DE ENFERMERÍA</v>
          </cell>
          <cell r="I125">
            <v>8</v>
          </cell>
          <cell r="J125" t="str">
            <v>C.3.4.4.8.2</v>
          </cell>
          <cell r="K125" t="str">
            <v>Hospitalización</v>
          </cell>
          <cell r="L125">
            <v>6</v>
          </cell>
          <cell r="M125">
            <v>46044</v>
          </cell>
          <cell r="N125">
            <v>46045</v>
          </cell>
          <cell r="O125">
            <v>1</v>
          </cell>
          <cell r="P125">
            <v>46048</v>
          </cell>
          <cell r="Q125">
            <v>5</v>
          </cell>
          <cell r="R125" t="str">
            <v>NA</v>
          </cell>
          <cell r="S125">
            <v>5</v>
          </cell>
        </row>
        <row r="126">
          <cell r="B126" t="str">
            <v>EMMC</v>
          </cell>
          <cell r="C126" t="str">
            <v>HSLB11607</v>
          </cell>
          <cell r="D126">
            <v>112001</v>
          </cell>
          <cell r="E126" t="str">
            <v>Alza Ropa</v>
          </cell>
          <cell r="F126" t="str">
            <v>NO</v>
          </cell>
          <cell r="G126" t="str">
            <v>SI</v>
          </cell>
          <cell r="H126" t="str">
            <v>BODEGA DE EQUIPOS</v>
          </cell>
          <cell r="I126">
            <v>6</v>
          </cell>
          <cell r="J126" t="str">
            <v>C.3.4.4.17</v>
          </cell>
          <cell r="K126" t="str">
            <v>Hospitalización</v>
          </cell>
          <cell r="L126">
            <v>6</v>
          </cell>
          <cell r="M126">
            <v>46003</v>
          </cell>
          <cell r="N126">
            <v>46006</v>
          </cell>
          <cell r="O126">
            <v>1</v>
          </cell>
          <cell r="P126">
            <v>46007</v>
          </cell>
          <cell r="Q126">
            <v>5</v>
          </cell>
          <cell r="R126" t="str">
            <v>NA</v>
          </cell>
          <cell r="S126">
            <v>5</v>
          </cell>
        </row>
        <row r="127">
          <cell r="B127" t="str">
            <v>EMMC</v>
          </cell>
          <cell r="C127" t="str">
            <v>HSLB11956</v>
          </cell>
          <cell r="D127">
            <v>112046</v>
          </cell>
          <cell r="E127" t="str">
            <v>Catre Clínico Eléctrico</v>
          </cell>
          <cell r="F127" t="str">
            <v>NO</v>
          </cell>
          <cell r="G127" t="str">
            <v>NO</v>
          </cell>
          <cell r="H127" t="str">
            <v>SALA 1 CAMA AISLAMIENTO</v>
          </cell>
          <cell r="I127">
            <v>1</v>
          </cell>
          <cell r="J127" t="str">
            <v>C.3.4.4.14.1</v>
          </cell>
          <cell r="K127" t="str">
            <v>Hospitalización</v>
          </cell>
          <cell r="L127">
            <v>6</v>
          </cell>
          <cell r="M127">
            <v>46044</v>
          </cell>
          <cell r="N127">
            <v>46045</v>
          </cell>
          <cell r="O127">
            <v>2</v>
          </cell>
          <cell r="P127">
            <v>46049</v>
          </cell>
          <cell r="Q127">
            <v>5</v>
          </cell>
          <cell r="R127" t="str">
            <v>NA</v>
          </cell>
          <cell r="S127">
            <v>5</v>
          </cell>
        </row>
        <row r="128">
          <cell r="B128" t="str">
            <v>EMMC</v>
          </cell>
          <cell r="C128" t="str">
            <v>HSLB11957</v>
          </cell>
          <cell r="D128">
            <v>112046</v>
          </cell>
          <cell r="E128" t="str">
            <v>Catre Clínico Eléctrico</v>
          </cell>
          <cell r="F128" t="str">
            <v>NO</v>
          </cell>
          <cell r="G128" t="str">
            <v>NO</v>
          </cell>
          <cell r="H128" t="str">
            <v>SALA 1 CAMA AISLAMIENTO</v>
          </cell>
          <cell r="I128">
            <v>1</v>
          </cell>
          <cell r="J128" t="str">
            <v>C.3.4.4.14.2</v>
          </cell>
          <cell r="K128" t="str">
            <v>Hospitalización</v>
          </cell>
          <cell r="L128">
            <v>6</v>
          </cell>
          <cell r="M128">
            <v>46044</v>
          </cell>
          <cell r="N128">
            <v>46045</v>
          </cell>
          <cell r="O128">
            <v>2</v>
          </cell>
          <cell r="P128">
            <v>46049</v>
          </cell>
          <cell r="Q128">
            <v>5</v>
          </cell>
          <cell r="R128" t="str">
            <v>NA</v>
          </cell>
          <cell r="S128">
            <v>5</v>
          </cell>
        </row>
        <row r="129">
          <cell r="B129" t="str">
            <v>EMMC</v>
          </cell>
          <cell r="C129" t="str">
            <v>HSLB11958</v>
          </cell>
          <cell r="D129">
            <v>112046</v>
          </cell>
          <cell r="E129" t="str">
            <v>Catre Clínico Eléctrico</v>
          </cell>
          <cell r="F129" t="str">
            <v>NO</v>
          </cell>
          <cell r="G129" t="str">
            <v>NO</v>
          </cell>
          <cell r="H129" t="str">
            <v>SALA 1 CAMA AISLAMIENTO</v>
          </cell>
          <cell r="I129">
            <v>1</v>
          </cell>
          <cell r="J129" t="str">
            <v>C.3.4.4.14.3</v>
          </cell>
          <cell r="K129" t="str">
            <v>Hospitalización</v>
          </cell>
          <cell r="L129">
            <v>6</v>
          </cell>
          <cell r="M129">
            <v>46044</v>
          </cell>
          <cell r="N129">
            <v>46045</v>
          </cell>
          <cell r="O129">
            <v>2</v>
          </cell>
          <cell r="P129">
            <v>46049</v>
          </cell>
          <cell r="Q129">
            <v>5</v>
          </cell>
          <cell r="R129" t="str">
            <v>NA</v>
          </cell>
          <cell r="S129">
            <v>5</v>
          </cell>
        </row>
        <row r="130">
          <cell r="B130" t="str">
            <v>EMMC</v>
          </cell>
          <cell r="C130" t="str">
            <v>HSLB11959</v>
          </cell>
          <cell r="D130">
            <v>112046</v>
          </cell>
          <cell r="E130" t="str">
            <v>Catre Clínico Eléctrico</v>
          </cell>
          <cell r="F130" t="str">
            <v>NO</v>
          </cell>
          <cell r="G130" t="str">
            <v>NO</v>
          </cell>
          <cell r="H130" t="str">
            <v>SALA 1 CAMA AISLAMIENTO</v>
          </cell>
          <cell r="I130">
            <v>1</v>
          </cell>
          <cell r="J130" t="str">
            <v>C.3.4.4.14.4</v>
          </cell>
          <cell r="K130" t="str">
            <v>Hospitalización</v>
          </cell>
          <cell r="L130">
            <v>6</v>
          </cell>
          <cell r="M130">
            <v>46044</v>
          </cell>
          <cell r="N130">
            <v>46045</v>
          </cell>
          <cell r="O130">
            <v>2</v>
          </cell>
          <cell r="P130">
            <v>46049</v>
          </cell>
          <cell r="Q130">
            <v>5</v>
          </cell>
          <cell r="R130" t="str">
            <v>NA</v>
          </cell>
          <cell r="S130">
            <v>5</v>
          </cell>
        </row>
        <row r="131">
          <cell r="B131" t="str">
            <v>EMMC</v>
          </cell>
          <cell r="C131" t="str">
            <v>HSLB12738</v>
          </cell>
          <cell r="D131">
            <v>113008</v>
          </cell>
          <cell r="E131" t="str">
            <v>Monitor de Signos Vitales Baja Complejidad</v>
          </cell>
          <cell r="F131" t="str">
            <v>NO</v>
          </cell>
          <cell r="G131" t="str">
            <v>NO</v>
          </cell>
          <cell r="H131" t="str">
            <v>ESTACIÓN DE ENFERMERÍA</v>
          </cell>
          <cell r="I131">
            <v>4</v>
          </cell>
          <cell r="J131" t="str">
            <v>C.3.4.4.8.1</v>
          </cell>
          <cell r="K131" t="str">
            <v>Hospitalización</v>
          </cell>
          <cell r="L131">
            <v>6</v>
          </cell>
          <cell r="M131">
            <v>46044</v>
          </cell>
          <cell r="N131">
            <v>46045</v>
          </cell>
          <cell r="O131">
            <v>1</v>
          </cell>
          <cell r="P131">
            <v>46048</v>
          </cell>
          <cell r="Q131">
            <v>5</v>
          </cell>
          <cell r="R131" t="str">
            <v>NA</v>
          </cell>
          <cell r="S131">
            <v>5</v>
          </cell>
        </row>
        <row r="132">
          <cell r="B132" t="str">
            <v>EMMC</v>
          </cell>
          <cell r="C132" t="str">
            <v>HSLB12739</v>
          </cell>
          <cell r="D132">
            <v>113008</v>
          </cell>
          <cell r="E132" t="str">
            <v>Monitor de Signos Vitales Baja Complejidad</v>
          </cell>
          <cell r="F132" t="str">
            <v>NO</v>
          </cell>
          <cell r="G132" t="str">
            <v>NO</v>
          </cell>
          <cell r="H132" t="str">
            <v>ESTACIÓN DE ENFERMERÍA</v>
          </cell>
          <cell r="I132">
            <v>4</v>
          </cell>
          <cell r="J132" t="str">
            <v>C.3.4.4.8.2</v>
          </cell>
          <cell r="K132" t="str">
            <v>Hospitalización</v>
          </cell>
          <cell r="L132">
            <v>6</v>
          </cell>
          <cell r="M132">
            <v>46044</v>
          </cell>
          <cell r="N132">
            <v>46045</v>
          </cell>
          <cell r="O132">
            <v>1</v>
          </cell>
          <cell r="P132">
            <v>46048</v>
          </cell>
          <cell r="Q132">
            <v>5</v>
          </cell>
          <cell r="R132" t="str">
            <v>NA</v>
          </cell>
          <cell r="S132">
            <v>5</v>
          </cell>
        </row>
        <row r="133">
          <cell r="B133" t="str">
            <v>EMMC</v>
          </cell>
          <cell r="C133" t="str">
            <v>HSLB10713</v>
          </cell>
          <cell r="D133">
            <v>105023</v>
          </cell>
          <cell r="E133" t="str">
            <v>Ventilador Mecánico no Invasivo</v>
          </cell>
          <cell r="F133" t="str">
            <v>NO</v>
          </cell>
          <cell r="G133" t="str">
            <v>SI</v>
          </cell>
          <cell r="H133" t="str">
            <v>BODEGA DE EQUIPOS</v>
          </cell>
          <cell r="I133">
            <v>2</v>
          </cell>
          <cell r="J133" t="str">
            <v>C.3.4.4.17</v>
          </cell>
          <cell r="K133" t="str">
            <v>Hospitalización</v>
          </cell>
          <cell r="L133">
            <v>6</v>
          </cell>
          <cell r="M133">
            <v>46003</v>
          </cell>
          <cell r="N133">
            <v>46006</v>
          </cell>
          <cell r="O133">
            <v>1</v>
          </cell>
          <cell r="P133">
            <v>46007</v>
          </cell>
          <cell r="Q133">
            <v>5</v>
          </cell>
          <cell r="R133" t="str">
            <v>NA</v>
          </cell>
          <cell r="S133">
            <v>5</v>
          </cell>
        </row>
        <row r="134">
          <cell r="B134" t="str">
            <v>EMMC</v>
          </cell>
          <cell r="C134" t="str">
            <v>HSLB10636</v>
          </cell>
          <cell r="D134">
            <v>105004</v>
          </cell>
          <cell r="E134" t="str">
            <v>Calentador de Paciente</v>
          </cell>
          <cell r="F134" t="str">
            <v>NO</v>
          </cell>
          <cell r="G134" t="str">
            <v>SI</v>
          </cell>
          <cell r="H134" t="str">
            <v>BODEGA DE EQUIPOS</v>
          </cell>
          <cell r="I134">
            <v>9</v>
          </cell>
          <cell r="J134" t="str">
            <v>C.3.4.4.17</v>
          </cell>
          <cell r="K134" t="str">
            <v>Hospitalización</v>
          </cell>
          <cell r="L134">
            <v>6</v>
          </cell>
          <cell r="M134">
            <v>46003</v>
          </cell>
          <cell r="N134">
            <v>46006</v>
          </cell>
          <cell r="O134">
            <v>1</v>
          </cell>
          <cell r="P134">
            <v>46007</v>
          </cell>
          <cell r="Q134">
            <v>5</v>
          </cell>
          <cell r="R134" t="str">
            <v>NA</v>
          </cell>
          <cell r="S134">
            <v>5</v>
          </cell>
        </row>
        <row r="135">
          <cell r="B135" t="str">
            <v>EMMC</v>
          </cell>
          <cell r="C135" t="str">
            <v>HSLB10147</v>
          </cell>
          <cell r="D135">
            <v>101037</v>
          </cell>
          <cell r="E135" t="str">
            <v>LÁMPARA DE EXAMEN RODABLE</v>
          </cell>
          <cell r="F135" t="str">
            <v>NO</v>
          </cell>
          <cell r="G135" t="str">
            <v>SI</v>
          </cell>
          <cell r="H135" t="str">
            <v>BODEGA DE EQUIPOS</v>
          </cell>
          <cell r="I135">
            <v>2</v>
          </cell>
          <cell r="J135" t="str">
            <v>C.3.4.4.17</v>
          </cell>
          <cell r="K135" t="str">
            <v>Hospitalización</v>
          </cell>
          <cell r="L135">
            <v>6</v>
          </cell>
          <cell r="M135">
            <v>46003</v>
          </cell>
          <cell r="N135">
            <v>46006</v>
          </cell>
          <cell r="O135">
            <v>1</v>
          </cell>
          <cell r="P135">
            <v>46007</v>
          </cell>
          <cell r="Q135">
            <v>5</v>
          </cell>
          <cell r="R135" t="str">
            <v>NA</v>
          </cell>
          <cell r="S135">
            <v>5</v>
          </cell>
        </row>
        <row r="136">
          <cell r="B136" t="str">
            <v>EMMC</v>
          </cell>
          <cell r="C136" t="str">
            <v>HSLB11820</v>
          </cell>
          <cell r="D136">
            <v>112022</v>
          </cell>
          <cell r="E136" t="str">
            <v>Carro de Paro</v>
          </cell>
          <cell r="F136" t="str">
            <v>NO</v>
          </cell>
          <cell r="G136" t="str">
            <v>NO</v>
          </cell>
          <cell r="H136" t="str">
            <v>ESTACIÓN DE ENFERMERÍA</v>
          </cell>
          <cell r="I136">
            <v>1</v>
          </cell>
          <cell r="J136" t="str">
            <v>C.3.4.4.8.2</v>
          </cell>
          <cell r="K136" t="str">
            <v>Hospitalización</v>
          </cell>
          <cell r="L136">
            <v>6</v>
          </cell>
          <cell r="M136">
            <v>46044</v>
          </cell>
          <cell r="N136">
            <v>46045</v>
          </cell>
          <cell r="O136">
            <v>1</v>
          </cell>
          <cell r="P136">
            <v>46048</v>
          </cell>
          <cell r="Q136">
            <v>5</v>
          </cell>
          <cell r="R136" t="str">
            <v>NA</v>
          </cell>
          <cell r="S136">
            <v>5</v>
          </cell>
        </row>
        <row r="137">
          <cell r="B137" t="str">
            <v>EMMC</v>
          </cell>
          <cell r="C137" t="str">
            <v>HSLB10156</v>
          </cell>
          <cell r="D137">
            <v>101037</v>
          </cell>
          <cell r="E137" t="str">
            <v>LÁMPARA DE EXAMEN RODABLE</v>
          </cell>
          <cell r="F137" t="str">
            <v>NO</v>
          </cell>
          <cell r="G137" t="str">
            <v>NO</v>
          </cell>
          <cell r="H137" t="str">
            <v>SALA TELEMEDICINA</v>
          </cell>
          <cell r="I137">
            <v>1</v>
          </cell>
          <cell r="J137" t="str">
            <v>C.3.8.4.1</v>
          </cell>
          <cell r="K137" t="str">
            <v>Telemedicina</v>
          </cell>
          <cell r="L137">
            <v>6</v>
          </cell>
          <cell r="M137">
            <v>46044</v>
          </cell>
          <cell r="N137">
            <v>46045</v>
          </cell>
          <cell r="O137">
            <v>1</v>
          </cell>
          <cell r="P137">
            <v>46048</v>
          </cell>
          <cell r="Q137">
            <v>5</v>
          </cell>
          <cell r="R137" t="str">
            <v>NA</v>
          </cell>
          <cell r="S137">
            <v>5</v>
          </cell>
        </row>
        <row r="138">
          <cell r="B138" t="str">
            <v>EMMC</v>
          </cell>
          <cell r="C138" t="str">
            <v>HSLB10157</v>
          </cell>
          <cell r="D138">
            <v>101037</v>
          </cell>
          <cell r="E138" t="str">
            <v>LÁMPARA DE EXAMEN RODABLE</v>
          </cell>
          <cell r="F138" t="str">
            <v>NO</v>
          </cell>
          <cell r="G138" t="str">
            <v>SI</v>
          </cell>
          <cell r="H138" t="str">
            <v>SALA TELEMEDICINA</v>
          </cell>
          <cell r="I138">
            <v>1</v>
          </cell>
          <cell r="J138" t="str">
            <v>C.3.8.4.2</v>
          </cell>
          <cell r="K138" t="str">
            <v>Telemedicina</v>
          </cell>
          <cell r="L138">
            <v>6</v>
          </cell>
          <cell r="M138">
            <v>46003</v>
          </cell>
          <cell r="N138">
            <v>46006</v>
          </cell>
          <cell r="O138">
            <v>1</v>
          </cell>
          <cell r="P138">
            <v>46007</v>
          </cell>
          <cell r="Q138">
            <v>5</v>
          </cell>
          <cell r="R138" t="str">
            <v>NA</v>
          </cell>
          <cell r="S138">
            <v>5</v>
          </cell>
        </row>
        <row r="139">
          <cell r="B139" t="str">
            <v>EMMC</v>
          </cell>
          <cell r="C139" t="str">
            <v>HSLB11417</v>
          </cell>
          <cell r="D139">
            <v>110051</v>
          </cell>
          <cell r="E139" t="str">
            <v>Refrigerador Clínico 60 l</v>
          </cell>
          <cell r="F139" t="str">
            <v>NO</v>
          </cell>
          <cell r="G139" t="str">
            <v>NO</v>
          </cell>
          <cell r="H139" t="str">
            <v>AREA LIMPIA</v>
          </cell>
          <cell r="I139">
            <v>1</v>
          </cell>
          <cell r="J139" t="str">
            <v>C.3.4.4.9.1.1</v>
          </cell>
          <cell r="K139" t="str">
            <v>Hospitalización</v>
          </cell>
          <cell r="L139">
            <v>6</v>
          </cell>
          <cell r="M139">
            <v>46044</v>
          </cell>
          <cell r="N139">
            <v>46045</v>
          </cell>
          <cell r="O139">
            <v>1</v>
          </cell>
          <cell r="P139">
            <v>46048</v>
          </cell>
          <cell r="Q139">
            <v>5</v>
          </cell>
          <cell r="R139" t="str">
            <v>NA</v>
          </cell>
          <cell r="S139">
            <v>5</v>
          </cell>
        </row>
        <row r="140">
          <cell r="B140" t="str">
            <v>EMMC</v>
          </cell>
          <cell r="C140" t="str">
            <v>HSLB11418</v>
          </cell>
          <cell r="D140">
            <v>110051</v>
          </cell>
          <cell r="E140" t="str">
            <v>Refrigerador Clínico 60 l</v>
          </cell>
          <cell r="F140" t="str">
            <v>NO</v>
          </cell>
          <cell r="G140" t="str">
            <v>NO</v>
          </cell>
          <cell r="H140" t="str">
            <v>AREA LIMPIA</v>
          </cell>
          <cell r="I140">
            <v>1</v>
          </cell>
          <cell r="J140" t="str">
            <v>C.3.4.4.9.2.1</v>
          </cell>
          <cell r="K140" t="str">
            <v>Hospitalización</v>
          </cell>
          <cell r="L140">
            <v>6</v>
          </cell>
          <cell r="M140">
            <v>46044</v>
          </cell>
          <cell r="N140">
            <v>46045</v>
          </cell>
          <cell r="O140">
            <v>1</v>
          </cell>
          <cell r="P140">
            <v>46048</v>
          </cell>
          <cell r="Q140">
            <v>5</v>
          </cell>
          <cell r="R140" t="str">
            <v>NA</v>
          </cell>
          <cell r="S140">
            <v>5</v>
          </cell>
        </row>
        <row r="141">
          <cell r="B141" t="str">
            <v>EMMC</v>
          </cell>
          <cell r="C141" t="str">
            <v>HSLB10403</v>
          </cell>
          <cell r="D141">
            <v>103048</v>
          </cell>
          <cell r="E141" t="str">
            <v>Refrigerador Doméstico</v>
          </cell>
          <cell r="F141" t="str">
            <v>NO</v>
          </cell>
          <cell r="G141" t="str">
            <v>NO</v>
          </cell>
          <cell r="H141" t="str">
            <v>ESTAR PERSONAL C/ KITCHENETTE</v>
          </cell>
          <cell r="I141">
            <v>1</v>
          </cell>
          <cell r="J141" t="str">
            <v>C.3.4.4.24.1</v>
          </cell>
          <cell r="K141" t="str">
            <v>Hospitalización</v>
          </cell>
          <cell r="L141">
            <v>6</v>
          </cell>
          <cell r="M141">
            <v>46044</v>
          </cell>
          <cell r="N141">
            <v>46045</v>
          </cell>
          <cell r="O141">
            <v>1</v>
          </cell>
          <cell r="P141">
            <v>46048</v>
          </cell>
          <cell r="Q141">
            <v>5</v>
          </cell>
          <cell r="R141" t="str">
            <v>NA</v>
          </cell>
          <cell r="S141">
            <v>5</v>
          </cell>
        </row>
        <row r="142">
          <cell r="B142" t="str">
            <v>EMMC</v>
          </cell>
          <cell r="C142" t="str">
            <v>HSLB10404</v>
          </cell>
          <cell r="D142">
            <v>103048</v>
          </cell>
          <cell r="E142" t="str">
            <v>Refrigerador Doméstico</v>
          </cell>
          <cell r="F142" t="str">
            <v>NO</v>
          </cell>
          <cell r="G142" t="str">
            <v>NO</v>
          </cell>
          <cell r="H142" t="str">
            <v>ESTAR PERSONAL C/ KITCHENETTE</v>
          </cell>
          <cell r="I142">
            <v>1</v>
          </cell>
          <cell r="J142" t="str">
            <v>C.3.4.4.24.2</v>
          </cell>
          <cell r="K142" t="str">
            <v>Hospitalización</v>
          </cell>
          <cell r="L142">
            <v>6</v>
          </cell>
          <cell r="M142">
            <v>46044</v>
          </cell>
          <cell r="N142">
            <v>46045</v>
          </cell>
          <cell r="O142">
            <v>1</v>
          </cell>
          <cell r="P142">
            <v>46048</v>
          </cell>
          <cell r="Q142">
            <v>5</v>
          </cell>
          <cell r="R142" t="str">
            <v>NA</v>
          </cell>
          <cell r="S142">
            <v>5</v>
          </cell>
        </row>
        <row r="143">
          <cell r="B143" t="str">
            <v>EMMC</v>
          </cell>
          <cell r="C143" t="str">
            <v>HSLB11764</v>
          </cell>
          <cell r="D143">
            <v>112019</v>
          </cell>
          <cell r="E143" t="str">
            <v>Carro Aseo Paciente</v>
          </cell>
          <cell r="F143" t="str">
            <v>NO</v>
          </cell>
          <cell r="G143" t="str">
            <v>NO</v>
          </cell>
          <cell r="H143" t="str">
            <v>ESTACIÓN DE ENFERMERÍA</v>
          </cell>
          <cell r="I143">
            <v>1</v>
          </cell>
          <cell r="J143" t="str">
            <v>C.3.4.4.8.1</v>
          </cell>
          <cell r="K143" t="str">
            <v>Hospitalización</v>
          </cell>
          <cell r="L143">
            <v>6</v>
          </cell>
          <cell r="M143">
            <v>46044</v>
          </cell>
          <cell r="N143">
            <v>46045</v>
          </cell>
          <cell r="O143">
            <v>1</v>
          </cell>
          <cell r="P143">
            <v>46048</v>
          </cell>
          <cell r="Q143">
            <v>5</v>
          </cell>
          <cell r="R143" t="str">
            <v>NA</v>
          </cell>
          <cell r="S143">
            <v>5</v>
          </cell>
        </row>
        <row r="144">
          <cell r="B144" t="str">
            <v>EMMC</v>
          </cell>
          <cell r="C144" t="str">
            <v>HSLB11765</v>
          </cell>
          <cell r="D144">
            <v>112019</v>
          </cell>
          <cell r="E144" t="str">
            <v>Carro Aseo Paciente</v>
          </cell>
          <cell r="F144" t="str">
            <v>NO</v>
          </cell>
          <cell r="G144" t="str">
            <v>NO</v>
          </cell>
          <cell r="H144" t="str">
            <v>ESTACIÓN DE ENFERMERÍA</v>
          </cell>
          <cell r="I144">
            <v>1</v>
          </cell>
          <cell r="J144" t="str">
            <v>C.3.4.4.8.2</v>
          </cell>
          <cell r="K144" t="str">
            <v>Hospitalización</v>
          </cell>
          <cell r="L144">
            <v>6</v>
          </cell>
          <cell r="M144">
            <v>46044</v>
          </cell>
          <cell r="N144">
            <v>46045</v>
          </cell>
          <cell r="O144">
            <v>1</v>
          </cell>
          <cell r="P144">
            <v>46048</v>
          </cell>
          <cell r="Q144">
            <v>5</v>
          </cell>
          <cell r="R144" t="str">
            <v>NA</v>
          </cell>
          <cell r="S144">
            <v>5</v>
          </cell>
        </row>
        <row r="145">
          <cell r="B145" t="str">
            <v>EMMC</v>
          </cell>
          <cell r="C145" t="str">
            <v>HSLB11792</v>
          </cell>
          <cell r="D145">
            <v>112021</v>
          </cell>
          <cell r="E145" t="str">
            <v>Carro Curación</v>
          </cell>
          <cell r="F145" t="str">
            <v>NO</v>
          </cell>
          <cell r="G145" t="str">
            <v>NO</v>
          </cell>
          <cell r="H145" t="str">
            <v>ESTACIÓN DE ENFERMERÍA</v>
          </cell>
          <cell r="I145">
            <v>1</v>
          </cell>
          <cell r="J145" t="str">
            <v>C.3.4.4.8.1</v>
          </cell>
          <cell r="K145" t="str">
            <v>Hospitalización</v>
          </cell>
          <cell r="L145">
            <v>6</v>
          </cell>
          <cell r="M145">
            <v>46044</v>
          </cell>
          <cell r="N145">
            <v>46045</v>
          </cell>
          <cell r="O145">
            <v>1</v>
          </cell>
          <cell r="P145">
            <v>46048</v>
          </cell>
          <cell r="Q145">
            <v>5</v>
          </cell>
          <cell r="R145" t="str">
            <v>NA</v>
          </cell>
          <cell r="S145">
            <v>5</v>
          </cell>
        </row>
        <row r="146">
          <cell r="B146" t="str">
            <v>EMMC</v>
          </cell>
          <cell r="C146" t="str">
            <v>HSLB11793</v>
          </cell>
          <cell r="D146">
            <v>112021</v>
          </cell>
          <cell r="E146" t="str">
            <v>Carro Curación</v>
          </cell>
          <cell r="F146" t="str">
            <v>NO</v>
          </cell>
          <cell r="G146" t="str">
            <v>NO</v>
          </cell>
          <cell r="H146" t="str">
            <v>ESTACIÓN DE ENFERMERÍA</v>
          </cell>
          <cell r="I146">
            <v>1</v>
          </cell>
          <cell r="J146" t="str">
            <v>C.3.4.4.8.2</v>
          </cell>
          <cell r="K146" t="str">
            <v>Hospitalización</v>
          </cell>
          <cell r="L146">
            <v>6</v>
          </cell>
          <cell r="M146">
            <v>46044</v>
          </cell>
          <cell r="N146">
            <v>46045</v>
          </cell>
          <cell r="O146">
            <v>1</v>
          </cell>
          <cell r="P146">
            <v>46048</v>
          </cell>
          <cell r="Q146">
            <v>5</v>
          </cell>
          <cell r="R146" t="str">
            <v>NA</v>
          </cell>
          <cell r="S146">
            <v>5</v>
          </cell>
        </row>
        <row r="147">
          <cell r="B147" t="str">
            <v>EMMC</v>
          </cell>
          <cell r="C147" t="str">
            <v>HSLB11850</v>
          </cell>
          <cell r="D147">
            <v>112023</v>
          </cell>
          <cell r="E147" t="str">
            <v>Carro de Procedimientos</v>
          </cell>
          <cell r="F147" t="str">
            <v>NO</v>
          </cell>
          <cell r="G147" t="str">
            <v>NO</v>
          </cell>
          <cell r="H147" t="str">
            <v>SALA DE PROCEDIMIENTOS</v>
          </cell>
          <cell r="I147">
            <v>1</v>
          </cell>
          <cell r="J147" t="str">
            <v>C.3.4.4.15</v>
          </cell>
          <cell r="K147" t="str">
            <v>Hospitalización</v>
          </cell>
          <cell r="L147">
            <v>6</v>
          </cell>
          <cell r="M147">
            <v>46044</v>
          </cell>
          <cell r="N147">
            <v>46045</v>
          </cell>
          <cell r="O147">
            <v>1</v>
          </cell>
          <cell r="P147">
            <v>46048</v>
          </cell>
          <cell r="Q147">
            <v>5</v>
          </cell>
          <cell r="R147" t="str">
            <v>NA</v>
          </cell>
          <cell r="S147">
            <v>5</v>
          </cell>
        </row>
        <row r="148">
          <cell r="B148" t="str">
            <v>EMMC</v>
          </cell>
          <cell r="C148" t="str">
            <v>HSLB11851</v>
          </cell>
          <cell r="D148">
            <v>112023</v>
          </cell>
          <cell r="E148" t="str">
            <v>Carro de Procedimientos</v>
          </cell>
          <cell r="F148" t="str">
            <v>NO</v>
          </cell>
          <cell r="G148" t="str">
            <v>NO</v>
          </cell>
          <cell r="H148" t="str">
            <v>ESTACIÓN DE ENFERMERÍA</v>
          </cell>
          <cell r="I148">
            <v>1</v>
          </cell>
          <cell r="J148" t="str">
            <v>C.3.4.4.8.1</v>
          </cell>
          <cell r="K148" t="str">
            <v>Hospitalización</v>
          </cell>
          <cell r="L148">
            <v>6</v>
          </cell>
          <cell r="M148">
            <v>46044</v>
          </cell>
          <cell r="N148">
            <v>46045</v>
          </cell>
          <cell r="O148">
            <v>1</v>
          </cell>
          <cell r="P148">
            <v>46048</v>
          </cell>
          <cell r="Q148">
            <v>5</v>
          </cell>
          <cell r="R148" t="str">
            <v>NA</v>
          </cell>
          <cell r="S148">
            <v>5</v>
          </cell>
        </row>
        <row r="149">
          <cell r="B149" t="str">
            <v>EMMC</v>
          </cell>
          <cell r="C149" t="str">
            <v>HSLB11852</v>
          </cell>
          <cell r="D149">
            <v>112023</v>
          </cell>
          <cell r="E149" t="str">
            <v>Carro de Procedimientos</v>
          </cell>
          <cell r="F149" t="str">
            <v>NO</v>
          </cell>
          <cell r="G149" t="str">
            <v>NO</v>
          </cell>
          <cell r="H149" t="str">
            <v>ESTACIÓN DE ENFERMERÍA</v>
          </cell>
          <cell r="I149">
            <v>1</v>
          </cell>
          <cell r="J149" t="str">
            <v>C.3.4.4.8.2</v>
          </cell>
          <cell r="K149" t="str">
            <v>Hospitalización</v>
          </cell>
          <cell r="L149">
            <v>6</v>
          </cell>
          <cell r="M149">
            <v>46044</v>
          </cell>
          <cell r="N149">
            <v>46045</v>
          </cell>
          <cell r="O149">
            <v>1</v>
          </cell>
          <cell r="P149">
            <v>46048</v>
          </cell>
          <cell r="Q149">
            <v>5</v>
          </cell>
          <cell r="R149" t="str">
            <v>NA</v>
          </cell>
          <cell r="S149">
            <v>5</v>
          </cell>
        </row>
        <row r="150">
          <cell r="B150" t="str">
            <v>EMMC</v>
          </cell>
          <cell r="C150" t="str">
            <v>HSLB11879</v>
          </cell>
          <cell r="D150">
            <v>112026</v>
          </cell>
          <cell r="E150" t="str">
            <v>Carro Dosis Unitaria 2x12</v>
          </cell>
          <cell r="F150" t="str">
            <v>NO</v>
          </cell>
          <cell r="G150" t="str">
            <v>NO</v>
          </cell>
          <cell r="H150" t="str">
            <v>ESTACIÓN DE ENFERMERÍA</v>
          </cell>
          <cell r="I150">
            <v>1</v>
          </cell>
          <cell r="J150" t="str">
            <v>C.3.4.4.8.1</v>
          </cell>
          <cell r="K150" t="str">
            <v>Hospitalización</v>
          </cell>
          <cell r="L150">
            <v>6</v>
          </cell>
          <cell r="M150">
            <v>46044</v>
          </cell>
          <cell r="N150">
            <v>46045</v>
          </cell>
          <cell r="O150">
            <v>1</v>
          </cell>
          <cell r="P150">
            <v>46048</v>
          </cell>
          <cell r="Q150">
            <v>5</v>
          </cell>
          <cell r="R150" t="str">
            <v>NA</v>
          </cell>
          <cell r="S150">
            <v>5</v>
          </cell>
        </row>
        <row r="151">
          <cell r="B151" t="str">
            <v>EMMC</v>
          </cell>
          <cell r="C151" t="str">
            <v>HSLB11914</v>
          </cell>
          <cell r="D151">
            <v>112039</v>
          </cell>
          <cell r="E151" t="str">
            <v>Carro Transporte Ropa Sucia Tipo I</v>
          </cell>
          <cell r="F151" t="str">
            <v>NO</v>
          </cell>
          <cell r="G151" t="str">
            <v>NO</v>
          </cell>
          <cell r="H151" t="str">
            <v>BODEGA ROPA SUCIA</v>
          </cell>
          <cell r="I151">
            <v>2</v>
          </cell>
          <cell r="J151" t="str">
            <v>C.3.4.4.19.1</v>
          </cell>
          <cell r="K151" t="str">
            <v>Hospitalización</v>
          </cell>
          <cell r="L151">
            <v>6</v>
          </cell>
          <cell r="M151">
            <v>46044</v>
          </cell>
          <cell r="N151">
            <v>46045</v>
          </cell>
          <cell r="O151">
            <v>1</v>
          </cell>
          <cell r="P151">
            <v>46048</v>
          </cell>
          <cell r="Q151">
            <v>5</v>
          </cell>
          <cell r="R151" t="str">
            <v>NA</v>
          </cell>
          <cell r="S151">
            <v>5</v>
          </cell>
        </row>
        <row r="152">
          <cell r="B152" t="str">
            <v>EMMC</v>
          </cell>
          <cell r="C152" t="str">
            <v>HSLB11915</v>
          </cell>
          <cell r="D152">
            <v>112039</v>
          </cell>
          <cell r="E152" t="str">
            <v>Carro Transporte Ropa Sucia Tipo I</v>
          </cell>
          <cell r="F152" t="str">
            <v>NO</v>
          </cell>
          <cell r="G152" t="str">
            <v>NO</v>
          </cell>
          <cell r="H152" t="str">
            <v>BODEGA ROPA SUCIA</v>
          </cell>
          <cell r="I152">
            <v>2</v>
          </cell>
          <cell r="J152" t="str">
            <v>C.3.4.4.19.2</v>
          </cell>
          <cell r="K152" t="str">
            <v>Hospitalización</v>
          </cell>
          <cell r="L152">
            <v>6</v>
          </cell>
          <cell r="M152">
            <v>46044</v>
          </cell>
          <cell r="N152">
            <v>46045</v>
          </cell>
          <cell r="O152">
            <v>1</v>
          </cell>
          <cell r="P152">
            <v>46048</v>
          </cell>
          <cell r="Q152">
            <v>5</v>
          </cell>
          <cell r="R152" t="str">
            <v>NA</v>
          </cell>
          <cell r="S152">
            <v>5</v>
          </cell>
        </row>
        <row r="153">
          <cell r="B153" t="str">
            <v>EMMC</v>
          </cell>
          <cell r="C153" t="str">
            <v>HSLB11097</v>
          </cell>
          <cell r="D153">
            <v>106021</v>
          </cell>
          <cell r="E153" t="str">
            <v>Telón</v>
          </cell>
          <cell r="F153" t="str">
            <v>NO</v>
          </cell>
          <cell r="G153" t="str">
            <v>NO</v>
          </cell>
          <cell r="H153" t="str">
            <v>SALA DE REUNIONES (20 pp)</v>
          </cell>
          <cell r="I153">
            <v>1</v>
          </cell>
          <cell r="J153" t="str">
            <v>C.3.8.1</v>
          </cell>
          <cell r="K153" t="str">
            <v>Hospitalización</v>
          </cell>
          <cell r="L153">
            <v>6</v>
          </cell>
          <cell r="M153">
            <v>46044</v>
          </cell>
          <cell r="N153">
            <v>46045</v>
          </cell>
          <cell r="O153">
            <v>1</v>
          </cell>
          <cell r="P153">
            <v>46048</v>
          </cell>
          <cell r="Q153">
            <v>5</v>
          </cell>
          <cell r="R153" t="str">
            <v>NA</v>
          </cell>
          <cell r="S153">
            <v>5</v>
          </cell>
        </row>
        <row r="154">
          <cell r="B154" t="str">
            <v>EMMC</v>
          </cell>
          <cell r="C154" t="str">
            <v>HSLB11713</v>
          </cell>
          <cell r="D154">
            <v>112016</v>
          </cell>
          <cell r="E154" t="str">
            <v>Camilla Transporte Paciente</v>
          </cell>
          <cell r="F154" t="str">
            <v>NO</v>
          </cell>
          <cell r="G154" t="str">
            <v>NO</v>
          </cell>
          <cell r="H154" t="str">
            <v>ESTACIONAMIENTO CAMILLAS Y SILLAS DE RUEDAS</v>
          </cell>
          <cell r="I154">
            <v>2</v>
          </cell>
          <cell r="J154" t="str">
            <v>C.3.4.4.23</v>
          </cell>
          <cell r="K154" t="str">
            <v>Hospitalización</v>
          </cell>
          <cell r="L154">
            <v>6</v>
          </cell>
          <cell r="M154">
            <v>46044</v>
          </cell>
          <cell r="N154">
            <v>46045</v>
          </cell>
          <cell r="O154">
            <v>1</v>
          </cell>
          <cell r="P154">
            <v>46048</v>
          </cell>
          <cell r="Q154">
            <v>5</v>
          </cell>
          <cell r="R154" t="str">
            <v>NA</v>
          </cell>
          <cell r="S154">
            <v>5</v>
          </cell>
        </row>
        <row r="155">
          <cell r="B155" t="str">
            <v>EMMC</v>
          </cell>
          <cell r="C155" t="str">
            <v>HSLB10670</v>
          </cell>
          <cell r="D155">
            <v>105011</v>
          </cell>
          <cell r="E155" t="str">
            <v>Generador de Alto Flujo</v>
          </cell>
          <cell r="F155" t="str">
            <v>NO</v>
          </cell>
          <cell r="G155" t="str">
            <v>SI</v>
          </cell>
          <cell r="H155" t="str">
            <v>BODEGA DE EQUIPOS</v>
          </cell>
          <cell r="I155">
            <v>2</v>
          </cell>
          <cell r="J155" t="str">
            <v>C.3.4.4.17</v>
          </cell>
          <cell r="K155" t="str">
            <v>Hospitalización</v>
          </cell>
          <cell r="L155">
            <v>6</v>
          </cell>
          <cell r="M155">
            <v>46003</v>
          </cell>
          <cell r="N155">
            <v>46006</v>
          </cell>
          <cell r="O155">
            <v>1</v>
          </cell>
          <cell r="P155">
            <v>46007</v>
          </cell>
          <cell r="Q155">
            <v>5</v>
          </cell>
          <cell r="R155" t="str">
            <v>NA</v>
          </cell>
          <cell r="S155">
            <v>5</v>
          </cell>
        </row>
        <row r="156">
          <cell r="B156" t="str">
            <v>EMMC</v>
          </cell>
          <cell r="C156" t="str">
            <v>HSLB10019</v>
          </cell>
          <cell r="D156">
            <v>101005</v>
          </cell>
          <cell r="E156" t="str">
            <v>Balanza Adulto con Tallímetro</v>
          </cell>
          <cell r="F156" t="str">
            <v>NO</v>
          </cell>
          <cell r="G156" t="str">
            <v>NO</v>
          </cell>
          <cell r="H156" t="str">
            <v>SALA DE PROCEDIMIENTOS</v>
          </cell>
          <cell r="I156">
            <v>1</v>
          </cell>
          <cell r="J156" t="str">
            <v>C.3.4.4.15</v>
          </cell>
          <cell r="K156" t="str">
            <v>Hospitalización</v>
          </cell>
          <cell r="L156">
            <v>6</v>
          </cell>
          <cell r="M156">
            <v>46044</v>
          </cell>
          <cell r="N156">
            <v>46045</v>
          </cell>
          <cell r="O156">
            <v>1</v>
          </cell>
          <cell r="P156">
            <v>46048</v>
          </cell>
          <cell r="Q156">
            <v>5</v>
          </cell>
          <cell r="R156" t="str">
            <v>NA</v>
          </cell>
          <cell r="S156">
            <v>5</v>
          </cell>
        </row>
        <row r="157">
          <cell r="B157" t="str">
            <v>EMMC</v>
          </cell>
          <cell r="C157" t="str">
            <v>HSLB10057</v>
          </cell>
          <cell r="D157">
            <v>101012</v>
          </cell>
          <cell r="E157" t="str">
            <v>Balanza Silla</v>
          </cell>
          <cell r="F157" t="str">
            <v>NO</v>
          </cell>
          <cell r="G157" t="str">
            <v>SI</v>
          </cell>
          <cell r="H157" t="str">
            <v>BODEGA DE EQUIPOS</v>
          </cell>
          <cell r="I157">
            <v>1</v>
          </cell>
          <cell r="J157" t="str">
            <v>C.3.4.4.17</v>
          </cell>
          <cell r="K157" t="str">
            <v>Hospitalización</v>
          </cell>
          <cell r="L157">
            <v>6</v>
          </cell>
          <cell r="M157">
            <v>46003</v>
          </cell>
          <cell r="N157">
            <v>46006</v>
          </cell>
          <cell r="O157">
            <v>1</v>
          </cell>
          <cell r="P157">
            <v>46007</v>
          </cell>
          <cell r="Q157">
            <v>5</v>
          </cell>
          <cell r="R157" t="str">
            <v>NA</v>
          </cell>
          <cell r="S157">
            <v>5</v>
          </cell>
        </row>
        <row r="158">
          <cell r="B158" t="str">
            <v>EMMC</v>
          </cell>
          <cell r="C158" t="str">
            <v>HSLB10470</v>
          </cell>
          <cell r="D158">
            <v>104002</v>
          </cell>
          <cell r="E158" t="str">
            <v>BOMBA ASPIRACIÓN UNIVERSAL</v>
          </cell>
          <cell r="F158" t="str">
            <v>NO</v>
          </cell>
          <cell r="G158" t="str">
            <v>NO</v>
          </cell>
          <cell r="H158" t="str">
            <v>ESTACIÓN DE ENFERMERÍA</v>
          </cell>
          <cell r="I158">
            <v>1</v>
          </cell>
          <cell r="J158" t="str">
            <v>C.3.4.4.8.1</v>
          </cell>
          <cell r="K158" t="str">
            <v>Hospitalización</v>
          </cell>
          <cell r="L158">
            <v>6</v>
          </cell>
          <cell r="M158">
            <v>46044</v>
          </cell>
          <cell r="N158">
            <v>46045</v>
          </cell>
          <cell r="O158">
            <v>1</v>
          </cell>
          <cell r="P158">
            <v>46048</v>
          </cell>
          <cell r="Q158">
            <v>5</v>
          </cell>
          <cell r="R158" t="str">
            <v>NA</v>
          </cell>
          <cell r="S158">
            <v>5</v>
          </cell>
        </row>
        <row r="159">
          <cell r="B159" t="str">
            <v>EMMC</v>
          </cell>
          <cell r="C159" t="str">
            <v>HSLB10471</v>
          </cell>
          <cell r="D159">
            <v>104002</v>
          </cell>
          <cell r="E159" t="str">
            <v>BOMBA ASPIRACIÓN UNIVERSAL</v>
          </cell>
          <cell r="F159" t="str">
            <v>NO</v>
          </cell>
          <cell r="G159" t="str">
            <v>NO</v>
          </cell>
          <cell r="H159" t="str">
            <v>ESTACIÓN DE ENFERMERÍA</v>
          </cell>
          <cell r="I159">
            <v>1</v>
          </cell>
          <cell r="J159" t="str">
            <v>C.3.4.4.8.2</v>
          </cell>
          <cell r="K159" t="str">
            <v>Hospitalización</v>
          </cell>
          <cell r="L159">
            <v>6</v>
          </cell>
          <cell r="M159">
            <v>46044</v>
          </cell>
          <cell r="N159">
            <v>46045</v>
          </cell>
          <cell r="O159">
            <v>1</v>
          </cell>
          <cell r="P159">
            <v>46048</v>
          </cell>
          <cell r="Q159">
            <v>5</v>
          </cell>
          <cell r="R159" t="str">
            <v>NA</v>
          </cell>
          <cell r="S159">
            <v>5</v>
          </cell>
        </row>
        <row r="160">
          <cell r="B160" t="str">
            <v>EMMC</v>
          </cell>
          <cell r="C160" t="str">
            <v>HSLB11712</v>
          </cell>
          <cell r="D160">
            <v>112016</v>
          </cell>
          <cell r="E160" t="str">
            <v>Camilla Transporte Paciente</v>
          </cell>
          <cell r="F160" t="str">
            <v>NO</v>
          </cell>
          <cell r="G160" t="str">
            <v>NO</v>
          </cell>
          <cell r="H160" t="str">
            <v>SALA DE PROCEDIMIENTOS</v>
          </cell>
          <cell r="I160">
            <v>1</v>
          </cell>
          <cell r="J160" t="str">
            <v>C.3.4.4.15</v>
          </cell>
          <cell r="K160" t="str">
            <v>Hospitalización</v>
          </cell>
          <cell r="L160">
            <v>6</v>
          </cell>
          <cell r="M160">
            <v>46044</v>
          </cell>
          <cell r="N160">
            <v>46045</v>
          </cell>
          <cell r="O160">
            <v>1</v>
          </cell>
          <cell r="P160">
            <v>46048</v>
          </cell>
          <cell r="Q160">
            <v>5</v>
          </cell>
          <cell r="R160" t="str">
            <v>NA</v>
          </cell>
          <cell r="S160">
            <v>5</v>
          </cell>
        </row>
        <row r="161">
          <cell r="B161" t="str">
            <v>EMMC</v>
          </cell>
          <cell r="C161" t="str">
            <v>HSLB11724</v>
          </cell>
          <cell r="D161">
            <v>112016</v>
          </cell>
          <cell r="E161" t="str">
            <v>Camilla Transporte Paciente</v>
          </cell>
          <cell r="F161" t="str">
            <v>NO</v>
          </cell>
          <cell r="G161" t="str">
            <v>NO</v>
          </cell>
          <cell r="H161" t="str">
            <v>SALA TELEMEDICINA</v>
          </cell>
          <cell r="I161">
            <v>1</v>
          </cell>
          <cell r="J161" t="str">
            <v>C.3.8.4.1</v>
          </cell>
          <cell r="K161" t="str">
            <v>Telemedicina</v>
          </cell>
          <cell r="L161">
            <v>6</v>
          </cell>
          <cell r="M161">
            <v>46044</v>
          </cell>
          <cell r="N161">
            <v>46045</v>
          </cell>
          <cell r="O161">
            <v>1</v>
          </cell>
          <cell r="P161">
            <v>46048</v>
          </cell>
          <cell r="Q161">
            <v>5</v>
          </cell>
          <cell r="R161" t="str">
            <v>NA</v>
          </cell>
          <cell r="S161">
            <v>5</v>
          </cell>
        </row>
        <row r="162">
          <cell r="B162" t="str">
            <v>EMMC</v>
          </cell>
          <cell r="C162" t="str">
            <v>HSLB11725</v>
          </cell>
          <cell r="D162">
            <v>112016</v>
          </cell>
          <cell r="E162" t="str">
            <v>Camilla Transporte Paciente</v>
          </cell>
          <cell r="F162" t="str">
            <v>NO</v>
          </cell>
          <cell r="G162" t="str">
            <v>SI</v>
          </cell>
          <cell r="H162" t="str">
            <v>SALA TELEMEDICINA</v>
          </cell>
          <cell r="I162">
            <v>1</v>
          </cell>
          <cell r="J162" t="str">
            <v>C.3.8.4.2</v>
          </cell>
          <cell r="K162" t="str">
            <v>Telemedicina</v>
          </cell>
          <cell r="L162">
            <v>6</v>
          </cell>
          <cell r="M162">
            <v>46003</v>
          </cell>
          <cell r="N162">
            <v>46006</v>
          </cell>
          <cell r="O162">
            <v>1</v>
          </cell>
          <cell r="P162">
            <v>46007</v>
          </cell>
          <cell r="Q162">
            <v>5</v>
          </cell>
          <cell r="R162" t="str">
            <v>NA</v>
          </cell>
          <cell r="S162">
            <v>5</v>
          </cell>
        </row>
        <row r="163">
          <cell r="B163" t="str">
            <v>EMMC</v>
          </cell>
          <cell r="C163" t="str">
            <v>HSLB11819</v>
          </cell>
          <cell r="D163">
            <v>112022</v>
          </cell>
          <cell r="E163" t="str">
            <v>Carro de Paro</v>
          </cell>
          <cell r="F163" t="str">
            <v>NO</v>
          </cell>
          <cell r="G163" t="str">
            <v>NO</v>
          </cell>
          <cell r="H163" t="str">
            <v>ESTACIÓN DE ENFERMERÍA</v>
          </cell>
          <cell r="I163">
            <v>1</v>
          </cell>
          <cell r="J163" t="str">
            <v>C.3.4.4.8.1</v>
          </cell>
          <cell r="K163" t="str">
            <v>Hospitalización</v>
          </cell>
          <cell r="L163">
            <v>6</v>
          </cell>
          <cell r="M163">
            <v>46044</v>
          </cell>
          <cell r="N163">
            <v>46045</v>
          </cell>
          <cell r="O163">
            <v>1</v>
          </cell>
          <cell r="P163">
            <v>46048</v>
          </cell>
          <cell r="Q163">
            <v>5</v>
          </cell>
          <cell r="R163" t="str">
            <v>NA</v>
          </cell>
          <cell r="S163">
            <v>5</v>
          </cell>
        </row>
        <row r="164">
          <cell r="B164" t="str">
            <v>EMMC</v>
          </cell>
          <cell r="C164" t="str">
            <v>HSLB10089</v>
          </cell>
          <cell r="D164">
            <v>101024</v>
          </cell>
          <cell r="E164" t="str">
            <v>Electrocardiógrafo</v>
          </cell>
          <cell r="F164" t="str">
            <v>NO</v>
          </cell>
          <cell r="G164" t="str">
            <v>NO</v>
          </cell>
          <cell r="H164" t="str">
            <v>ESTACIÓN DE ENFERMERÍA</v>
          </cell>
          <cell r="I164">
            <v>1</v>
          </cell>
          <cell r="J164" t="str">
            <v>C.3.4.4.8.1</v>
          </cell>
          <cell r="K164" t="str">
            <v>Hospitalización</v>
          </cell>
          <cell r="L164">
            <v>6</v>
          </cell>
          <cell r="M164">
            <v>46044</v>
          </cell>
          <cell r="N164">
            <v>46045</v>
          </cell>
          <cell r="O164">
            <v>1</v>
          </cell>
          <cell r="P164">
            <v>46048</v>
          </cell>
          <cell r="Q164">
            <v>5</v>
          </cell>
          <cell r="R164" t="str">
            <v>NA</v>
          </cell>
          <cell r="S164">
            <v>5</v>
          </cell>
        </row>
        <row r="165">
          <cell r="B165" t="str">
            <v>EMMC</v>
          </cell>
          <cell r="C165" t="str">
            <v>HSLB10090</v>
          </cell>
          <cell r="D165">
            <v>101024</v>
          </cell>
          <cell r="E165" t="str">
            <v>Electrocardiógrafo</v>
          </cell>
          <cell r="F165" t="str">
            <v>NO</v>
          </cell>
          <cell r="G165" t="str">
            <v>NO</v>
          </cell>
          <cell r="H165" t="str">
            <v>ESTACIÓN DE ENFERMERÍA</v>
          </cell>
          <cell r="I165">
            <v>1</v>
          </cell>
          <cell r="J165" t="str">
            <v>C.3.4.4.8.2</v>
          </cell>
          <cell r="K165" t="str">
            <v>Hospitalización</v>
          </cell>
          <cell r="L165">
            <v>6</v>
          </cell>
          <cell r="M165">
            <v>46044</v>
          </cell>
          <cell r="N165">
            <v>46045</v>
          </cell>
          <cell r="O165">
            <v>1</v>
          </cell>
          <cell r="P165">
            <v>46048</v>
          </cell>
          <cell r="Q165">
            <v>5</v>
          </cell>
          <cell r="R165" t="str">
            <v>NA</v>
          </cell>
          <cell r="S165">
            <v>5</v>
          </cell>
        </row>
        <row r="166">
          <cell r="B166" t="str">
            <v>EMMC</v>
          </cell>
          <cell r="C166" t="str">
            <v>HSLB10524</v>
          </cell>
          <cell r="D166">
            <v>104010</v>
          </cell>
          <cell r="E166" t="str">
            <v>Lámpara de Procedimientos Rodable</v>
          </cell>
          <cell r="F166" t="str">
            <v>NO</v>
          </cell>
          <cell r="G166" t="str">
            <v>NO</v>
          </cell>
          <cell r="H166" t="str">
            <v>SALA DE PROCEDIMIENTOS</v>
          </cell>
          <cell r="I166">
            <v>1</v>
          </cell>
          <cell r="J166" t="str">
            <v>C.3.4.4.15</v>
          </cell>
          <cell r="K166" t="str">
            <v>Hospitalización</v>
          </cell>
          <cell r="L166">
            <v>6</v>
          </cell>
          <cell r="M166">
            <v>46044</v>
          </cell>
          <cell r="N166">
            <v>46045</v>
          </cell>
          <cell r="O166">
            <v>1</v>
          </cell>
          <cell r="P166">
            <v>46048</v>
          </cell>
          <cell r="Q166">
            <v>5</v>
          </cell>
          <cell r="R166" t="str">
            <v>NA</v>
          </cell>
          <cell r="S166">
            <v>5</v>
          </cell>
        </row>
        <row r="167">
          <cell r="B167" t="str">
            <v>EMMC</v>
          </cell>
          <cell r="C167" t="str">
            <v>HSLB11237</v>
          </cell>
          <cell r="D167">
            <v>109010</v>
          </cell>
          <cell r="E167" t="str">
            <v>Set Instrumental Curación</v>
          </cell>
          <cell r="F167" t="str">
            <v>NO</v>
          </cell>
          <cell r="G167" t="str">
            <v>NO</v>
          </cell>
          <cell r="H167" t="str">
            <v>SALA DE PROCEDIMIENTOS</v>
          </cell>
          <cell r="I167">
            <v>10</v>
          </cell>
          <cell r="J167" t="str">
            <v>C.3.4.4.15</v>
          </cell>
          <cell r="K167" t="str">
            <v>Hospitalización</v>
          </cell>
          <cell r="L167">
            <v>6</v>
          </cell>
          <cell r="M167">
            <v>46044</v>
          </cell>
          <cell r="N167">
            <v>46045</v>
          </cell>
          <cell r="O167">
            <v>1</v>
          </cell>
          <cell r="P167">
            <v>46048</v>
          </cell>
          <cell r="Q167">
            <v>5</v>
          </cell>
          <cell r="R167" t="str">
            <v>NA</v>
          </cell>
          <cell r="S167">
            <v>5</v>
          </cell>
        </row>
        <row r="168">
          <cell r="B168" t="str">
            <v>EMMC</v>
          </cell>
          <cell r="C168" t="str">
            <v>HSLB11298</v>
          </cell>
          <cell r="D168">
            <v>109021</v>
          </cell>
          <cell r="E168" t="str">
            <v>Set Instrumental Sutura</v>
          </cell>
          <cell r="F168" t="str">
            <v>NO</v>
          </cell>
          <cell r="G168" t="str">
            <v>NO</v>
          </cell>
          <cell r="H168" t="str">
            <v>SALA DE PROCEDIMIENTOS</v>
          </cell>
          <cell r="I168">
            <v>10</v>
          </cell>
          <cell r="J168" t="str">
            <v>C.3.4.4.15</v>
          </cell>
          <cell r="K168" t="str">
            <v>Hospitalización</v>
          </cell>
          <cell r="L168">
            <v>6</v>
          </cell>
          <cell r="M168">
            <v>46044</v>
          </cell>
          <cell r="N168">
            <v>46045</v>
          </cell>
          <cell r="O168">
            <v>1</v>
          </cell>
          <cell r="P168">
            <v>46048</v>
          </cell>
          <cell r="Q168">
            <v>5</v>
          </cell>
          <cell r="R168" t="str">
            <v>NA</v>
          </cell>
          <cell r="S168">
            <v>5</v>
          </cell>
        </row>
        <row r="169">
          <cell r="B169" t="str">
            <v>EMMC</v>
          </cell>
          <cell r="C169" t="str">
            <v>HSLB11614</v>
          </cell>
          <cell r="D169">
            <v>112002</v>
          </cell>
          <cell r="E169" t="str">
            <v>Biombo Clínico 2 Cuerpos</v>
          </cell>
          <cell r="F169" t="str">
            <v>NO</v>
          </cell>
          <cell r="G169" t="str">
            <v>SI</v>
          </cell>
          <cell r="H169" t="str">
            <v>BODEGA DE EQUIPOS</v>
          </cell>
          <cell r="I169">
            <v>4</v>
          </cell>
          <cell r="J169" t="str">
            <v>C.3.4.4.17</v>
          </cell>
          <cell r="K169" t="str">
            <v>Hospitalización</v>
          </cell>
          <cell r="L169">
            <v>6</v>
          </cell>
          <cell r="M169">
            <v>46003</v>
          </cell>
          <cell r="N169">
            <v>46006</v>
          </cell>
          <cell r="O169">
            <v>1</v>
          </cell>
          <cell r="P169">
            <v>46007</v>
          </cell>
          <cell r="Q169">
            <v>5</v>
          </cell>
          <cell r="R169" t="str">
            <v>NA</v>
          </cell>
          <cell r="S169">
            <v>5</v>
          </cell>
        </row>
        <row r="170">
          <cell r="B170" t="str">
            <v>EMMC</v>
          </cell>
          <cell r="C170" t="str">
            <v>HSLB10731</v>
          </cell>
          <cell r="D170">
            <v>106002</v>
          </cell>
          <cell r="E170" t="str">
            <v>Chatas</v>
          </cell>
          <cell r="F170" t="str">
            <v>NO</v>
          </cell>
          <cell r="G170" t="str">
            <v>NO</v>
          </cell>
          <cell r="H170" t="str">
            <v>LAVACHATA AUTOMATICO</v>
          </cell>
          <cell r="I170">
            <v>24</v>
          </cell>
          <cell r="J170" t="str">
            <v>C.3.4.4.20.1</v>
          </cell>
          <cell r="K170" t="str">
            <v>Hospitalización</v>
          </cell>
          <cell r="L170">
            <v>6</v>
          </cell>
          <cell r="M170">
            <v>46044</v>
          </cell>
          <cell r="N170">
            <v>46045</v>
          </cell>
          <cell r="O170">
            <v>1</v>
          </cell>
          <cell r="P170">
            <v>46048</v>
          </cell>
          <cell r="Q170">
            <v>5</v>
          </cell>
          <cell r="R170" t="str">
            <v>NA</v>
          </cell>
          <cell r="S170">
            <v>5</v>
          </cell>
        </row>
        <row r="171">
          <cell r="B171" t="str">
            <v>EMMC</v>
          </cell>
          <cell r="C171" t="str">
            <v>HSLB10732</v>
          </cell>
          <cell r="D171">
            <v>106002</v>
          </cell>
          <cell r="E171" t="str">
            <v>Chatas</v>
          </cell>
          <cell r="F171" t="str">
            <v>NO</v>
          </cell>
          <cell r="G171" t="str">
            <v>NO</v>
          </cell>
          <cell r="H171" t="str">
            <v>LAVACHATA AUTOMATICO</v>
          </cell>
          <cell r="I171">
            <v>23</v>
          </cell>
          <cell r="J171" t="str">
            <v>C.3.4.4.20.2</v>
          </cell>
          <cell r="K171" t="str">
            <v>Hospitalización</v>
          </cell>
          <cell r="L171">
            <v>6</v>
          </cell>
          <cell r="M171">
            <v>46044</v>
          </cell>
          <cell r="N171">
            <v>46045</v>
          </cell>
          <cell r="O171">
            <v>1</v>
          </cell>
          <cell r="P171">
            <v>46048</v>
          </cell>
          <cell r="Q171">
            <v>5</v>
          </cell>
          <cell r="R171" t="str">
            <v>NA</v>
          </cell>
          <cell r="S171">
            <v>5</v>
          </cell>
        </row>
        <row r="172">
          <cell r="B172" t="str">
            <v>EMMC</v>
          </cell>
          <cell r="C172" t="str">
            <v>HSLB12113</v>
          </cell>
          <cell r="D172">
            <v>112054</v>
          </cell>
          <cell r="E172" t="str">
            <v>Escabel</v>
          </cell>
          <cell r="F172" t="str">
            <v>NO</v>
          </cell>
          <cell r="G172" t="str">
            <v>NO</v>
          </cell>
          <cell r="H172" t="str">
            <v>SALA 4 CAMAS</v>
          </cell>
          <cell r="I172">
            <v>1</v>
          </cell>
          <cell r="J172" t="str">
            <v>C.3.4.4.12.1</v>
          </cell>
          <cell r="K172" t="str">
            <v>Hospitalización</v>
          </cell>
          <cell r="L172">
            <v>6</v>
          </cell>
          <cell r="M172">
            <v>46044</v>
          </cell>
          <cell r="N172">
            <v>46045</v>
          </cell>
          <cell r="O172">
            <v>1</v>
          </cell>
          <cell r="P172">
            <v>46048</v>
          </cell>
          <cell r="Q172">
            <v>5</v>
          </cell>
          <cell r="R172" t="str">
            <v>NA</v>
          </cell>
          <cell r="S172">
            <v>5</v>
          </cell>
        </row>
        <row r="173">
          <cell r="B173" t="str">
            <v>EMMC</v>
          </cell>
          <cell r="C173" t="str">
            <v>HSLB12114</v>
          </cell>
          <cell r="D173">
            <v>112054</v>
          </cell>
          <cell r="E173" t="str">
            <v>Escabel</v>
          </cell>
          <cell r="F173" t="str">
            <v>NO</v>
          </cell>
          <cell r="G173" t="str">
            <v>NO</v>
          </cell>
          <cell r="H173" t="str">
            <v>SALA 3 CAMAS</v>
          </cell>
          <cell r="I173">
            <v>1</v>
          </cell>
          <cell r="J173" t="str">
            <v>C.3.4.4.12.10</v>
          </cell>
          <cell r="K173" t="str">
            <v>Hospitalización</v>
          </cell>
          <cell r="L173">
            <v>6</v>
          </cell>
          <cell r="M173">
            <v>46044</v>
          </cell>
          <cell r="N173">
            <v>46045</v>
          </cell>
          <cell r="O173">
            <v>1</v>
          </cell>
          <cell r="P173">
            <v>46048</v>
          </cell>
          <cell r="Q173">
            <v>5</v>
          </cell>
          <cell r="R173" t="str">
            <v>NA</v>
          </cell>
          <cell r="S173">
            <v>5</v>
          </cell>
        </row>
        <row r="174">
          <cell r="B174" t="str">
            <v>EMMC</v>
          </cell>
          <cell r="C174" t="str">
            <v>HSLB12115</v>
          </cell>
          <cell r="D174">
            <v>112054</v>
          </cell>
          <cell r="E174" t="str">
            <v>Escabel</v>
          </cell>
          <cell r="F174" t="str">
            <v>NO</v>
          </cell>
          <cell r="G174" t="str">
            <v>NO</v>
          </cell>
          <cell r="H174" t="str">
            <v>SALA 1 CAMA</v>
          </cell>
          <cell r="I174">
            <v>1</v>
          </cell>
          <cell r="J174" t="str">
            <v>C.3.4.4.13.1</v>
          </cell>
          <cell r="K174" t="str">
            <v>Hospitalización</v>
          </cell>
          <cell r="L174">
            <v>6</v>
          </cell>
          <cell r="M174">
            <v>46044</v>
          </cell>
          <cell r="N174">
            <v>46045</v>
          </cell>
          <cell r="O174">
            <v>1</v>
          </cell>
          <cell r="P174">
            <v>46048</v>
          </cell>
          <cell r="Q174">
            <v>5</v>
          </cell>
          <cell r="R174" t="str">
            <v>NA</v>
          </cell>
          <cell r="S174">
            <v>5</v>
          </cell>
        </row>
        <row r="175">
          <cell r="B175" t="str">
            <v>EMMC</v>
          </cell>
          <cell r="C175" t="str">
            <v>HSLB12116</v>
          </cell>
          <cell r="D175">
            <v>112054</v>
          </cell>
          <cell r="E175" t="str">
            <v>Escabel</v>
          </cell>
          <cell r="F175" t="str">
            <v>NO</v>
          </cell>
          <cell r="G175" t="str">
            <v>NO</v>
          </cell>
          <cell r="H175" t="str">
            <v>SALA 1 CAMA</v>
          </cell>
          <cell r="I175">
            <v>1</v>
          </cell>
          <cell r="J175" t="str">
            <v>C.3.4.4.13.2</v>
          </cell>
          <cell r="K175" t="str">
            <v>Hospitalización</v>
          </cell>
          <cell r="L175">
            <v>6</v>
          </cell>
          <cell r="M175">
            <v>46044</v>
          </cell>
          <cell r="N175">
            <v>46045</v>
          </cell>
          <cell r="O175">
            <v>1</v>
          </cell>
          <cell r="P175">
            <v>46048</v>
          </cell>
          <cell r="Q175">
            <v>5</v>
          </cell>
          <cell r="R175" t="str">
            <v>NA</v>
          </cell>
          <cell r="S175">
            <v>5</v>
          </cell>
        </row>
        <row r="176">
          <cell r="B176" t="str">
            <v>EMMC</v>
          </cell>
          <cell r="C176" t="str">
            <v>HSLB12117</v>
          </cell>
          <cell r="D176">
            <v>112054</v>
          </cell>
          <cell r="E176" t="str">
            <v>Escabel</v>
          </cell>
          <cell r="F176" t="str">
            <v>NO</v>
          </cell>
          <cell r="G176" t="str">
            <v>NO</v>
          </cell>
          <cell r="H176" t="str">
            <v>SALA 1 CAMA</v>
          </cell>
          <cell r="I176">
            <v>1</v>
          </cell>
          <cell r="J176" t="str">
            <v>C.3.4.4.13.3</v>
          </cell>
          <cell r="K176" t="str">
            <v>Hospitalización</v>
          </cell>
          <cell r="L176">
            <v>6</v>
          </cell>
          <cell r="M176">
            <v>46044</v>
          </cell>
          <cell r="N176">
            <v>46045</v>
          </cell>
          <cell r="O176">
            <v>1</v>
          </cell>
          <cell r="P176">
            <v>46048</v>
          </cell>
          <cell r="Q176">
            <v>5</v>
          </cell>
          <cell r="R176" t="str">
            <v>NA</v>
          </cell>
          <cell r="S176">
            <v>5</v>
          </cell>
        </row>
        <row r="177">
          <cell r="B177" t="str">
            <v>EMMC</v>
          </cell>
          <cell r="C177" t="str">
            <v>HSLB12118</v>
          </cell>
          <cell r="D177">
            <v>112054</v>
          </cell>
          <cell r="E177" t="str">
            <v>Escabel</v>
          </cell>
          <cell r="F177" t="str">
            <v>NO</v>
          </cell>
          <cell r="G177" t="str">
            <v>NO</v>
          </cell>
          <cell r="H177" t="str">
            <v>SALA 1 CAMA</v>
          </cell>
          <cell r="I177">
            <v>1</v>
          </cell>
          <cell r="J177" t="str">
            <v>C.3.4.4.13.4</v>
          </cell>
          <cell r="K177" t="str">
            <v>Hospitalización</v>
          </cell>
          <cell r="L177">
            <v>6</v>
          </cell>
          <cell r="M177">
            <v>46044</v>
          </cell>
          <cell r="N177">
            <v>46045</v>
          </cell>
          <cell r="O177">
            <v>1</v>
          </cell>
          <cell r="P177">
            <v>46048</v>
          </cell>
          <cell r="Q177">
            <v>5</v>
          </cell>
          <cell r="R177" t="str">
            <v>NA</v>
          </cell>
          <cell r="S177">
            <v>5</v>
          </cell>
        </row>
        <row r="178">
          <cell r="B178" t="str">
            <v>EMMC</v>
          </cell>
          <cell r="C178" t="str">
            <v>HSLB12119</v>
          </cell>
          <cell r="D178">
            <v>112054</v>
          </cell>
          <cell r="E178" t="str">
            <v>Escabel</v>
          </cell>
          <cell r="F178" t="str">
            <v>NO</v>
          </cell>
          <cell r="G178" t="str">
            <v>NO</v>
          </cell>
          <cell r="H178" t="str">
            <v>SALA 1 CAMA AISLAMIENTO</v>
          </cell>
          <cell r="I178">
            <v>1</v>
          </cell>
          <cell r="J178" t="str">
            <v>C.3.4.4.14.1</v>
          </cell>
          <cell r="K178" t="str">
            <v>Hospitalización</v>
          </cell>
          <cell r="L178">
            <v>6</v>
          </cell>
          <cell r="M178">
            <v>46044</v>
          </cell>
          <cell r="N178">
            <v>46045</v>
          </cell>
          <cell r="O178">
            <v>1</v>
          </cell>
          <cell r="P178">
            <v>46048</v>
          </cell>
          <cell r="Q178">
            <v>5</v>
          </cell>
          <cell r="R178" t="str">
            <v>NA</v>
          </cell>
          <cell r="S178">
            <v>5</v>
          </cell>
        </row>
        <row r="179">
          <cell r="B179" t="str">
            <v>EMMC</v>
          </cell>
          <cell r="C179" t="str">
            <v>HSLB12120</v>
          </cell>
          <cell r="D179">
            <v>112054</v>
          </cell>
          <cell r="E179" t="str">
            <v>Escabel</v>
          </cell>
          <cell r="F179" t="str">
            <v>NO</v>
          </cell>
          <cell r="G179" t="str">
            <v>NO</v>
          </cell>
          <cell r="H179" t="str">
            <v>SALA 1 CAMA AISLAMIENTO</v>
          </cell>
          <cell r="I179">
            <v>1</v>
          </cell>
          <cell r="J179" t="str">
            <v>C.3.4.4.14.2</v>
          </cell>
          <cell r="K179" t="str">
            <v>Hospitalización</v>
          </cell>
          <cell r="L179">
            <v>6</v>
          </cell>
          <cell r="M179">
            <v>46044</v>
          </cell>
          <cell r="N179">
            <v>46045</v>
          </cell>
          <cell r="O179">
            <v>1</v>
          </cell>
          <cell r="P179">
            <v>46048</v>
          </cell>
          <cell r="Q179">
            <v>5</v>
          </cell>
          <cell r="R179" t="str">
            <v>NA</v>
          </cell>
          <cell r="S179">
            <v>5</v>
          </cell>
        </row>
        <row r="180">
          <cell r="B180" t="str">
            <v>EMMC</v>
          </cell>
          <cell r="C180" t="str">
            <v>HSLB12121</v>
          </cell>
          <cell r="D180">
            <v>112054</v>
          </cell>
          <cell r="E180" t="str">
            <v>Escabel</v>
          </cell>
          <cell r="F180" t="str">
            <v>NO</v>
          </cell>
          <cell r="G180" t="str">
            <v>NO</v>
          </cell>
          <cell r="H180" t="str">
            <v>SALA 1 CAMA AISLAMIENTO</v>
          </cell>
          <cell r="I180">
            <v>1</v>
          </cell>
          <cell r="J180" t="str">
            <v>C.3.4.4.14.3</v>
          </cell>
          <cell r="K180" t="str">
            <v>Hospitalización</v>
          </cell>
          <cell r="L180">
            <v>6</v>
          </cell>
          <cell r="M180">
            <v>46044</v>
          </cell>
          <cell r="N180">
            <v>46045</v>
          </cell>
          <cell r="O180">
            <v>1</v>
          </cell>
          <cell r="P180">
            <v>46048</v>
          </cell>
          <cell r="Q180">
            <v>5</v>
          </cell>
          <cell r="R180" t="str">
            <v>NA</v>
          </cell>
          <cell r="S180">
            <v>5</v>
          </cell>
        </row>
        <row r="181">
          <cell r="B181" t="str">
            <v>EMMC</v>
          </cell>
          <cell r="C181" t="str">
            <v>HSLB12122</v>
          </cell>
          <cell r="D181">
            <v>112054</v>
          </cell>
          <cell r="E181" t="str">
            <v>Escabel</v>
          </cell>
          <cell r="F181" t="str">
            <v>NO</v>
          </cell>
          <cell r="G181" t="str">
            <v>NO</v>
          </cell>
          <cell r="H181" t="str">
            <v>SALA 1 CAMA AISLAMIENTO</v>
          </cell>
          <cell r="I181">
            <v>1</v>
          </cell>
          <cell r="J181" t="str">
            <v>C.3.4.4.14.4</v>
          </cell>
          <cell r="K181" t="str">
            <v>Hospitalización</v>
          </cell>
          <cell r="L181">
            <v>6</v>
          </cell>
          <cell r="M181">
            <v>46044</v>
          </cell>
          <cell r="N181">
            <v>46045</v>
          </cell>
          <cell r="O181">
            <v>1</v>
          </cell>
          <cell r="P181">
            <v>46048</v>
          </cell>
          <cell r="Q181">
            <v>5</v>
          </cell>
          <cell r="R181" t="str">
            <v>NA</v>
          </cell>
          <cell r="S181">
            <v>5</v>
          </cell>
        </row>
        <row r="182">
          <cell r="B182" t="str">
            <v>EMMC</v>
          </cell>
          <cell r="C182" t="str">
            <v>HSLB12123</v>
          </cell>
          <cell r="D182">
            <v>112054</v>
          </cell>
          <cell r="E182" t="str">
            <v>Escabel</v>
          </cell>
          <cell r="F182" t="str">
            <v>NO</v>
          </cell>
          <cell r="G182" t="str">
            <v>NO</v>
          </cell>
          <cell r="H182" t="str">
            <v>SALA DE PROCEDIMIENTOS</v>
          </cell>
          <cell r="I182">
            <v>1</v>
          </cell>
          <cell r="J182" t="str">
            <v>C.3.4.4.15</v>
          </cell>
          <cell r="K182" t="str">
            <v>Hospitalización</v>
          </cell>
          <cell r="L182">
            <v>6</v>
          </cell>
          <cell r="M182">
            <v>46044</v>
          </cell>
          <cell r="N182">
            <v>46045</v>
          </cell>
          <cell r="O182">
            <v>1</v>
          </cell>
          <cell r="P182">
            <v>46048</v>
          </cell>
          <cell r="Q182">
            <v>5</v>
          </cell>
          <cell r="R182" t="str">
            <v>NA</v>
          </cell>
          <cell r="S182">
            <v>5</v>
          </cell>
        </row>
        <row r="183">
          <cell r="B183" t="str">
            <v>EMMC</v>
          </cell>
          <cell r="C183" t="str">
            <v>HSLB10786</v>
          </cell>
          <cell r="D183">
            <v>106007</v>
          </cell>
          <cell r="E183" t="str">
            <v>Hervidor Eléctrico</v>
          </cell>
          <cell r="F183" t="str">
            <v>NO</v>
          </cell>
          <cell r="G183" t="str">
            <v>NO</v>
          </cell>
          <cell r="H183" t="str">
            <v>ESTAR PERSONAL C/ KITCHENETTE</v>
          </cell>
          <cell r="I183">
            <v>1</v>
          </cell>
          <cell r="J183" t="str">
            <v>C.3.4.4.24.1</v>
          </cell>
          <cell r="K183" t="str">
            <v>Hospitalización</v>
          </cell>
          <cell r="L183">
            <v>6</v>
          </cell>
          <cell r="M183">
            <v>46044</v>
          </cell>
          <cell r="N183">
            <v>46045</v>
          </cell>
          <cell r="O183">
            <v>1</v>
          </cell>
          <cell r="P183">
            <v>46048</v>
          </cell>
          <cell r="Q183">
            <v>5</v>
          </cell>
          <cell r="R183" t="str">
            <v>NA</v>
          </cell>
          <cell r="S183">
            <v>5</v>
          </cell>
        </row>
        <row r="184">
          <cell r="B184" t="str">
            <v>EMMC</v>
          </cell>
          <cell r="C184" t="str">
            <v>HSLB10787</v>
          </cell>
          <cell r="D184">
            <v>106007</v>
          </cell>
          <cell r="E184" t="str">
            <v>Hervidor Eléctrico</v>
          </cell>
          <cell r="F184" t="str">
            <v>NO</v>
          </cell>
          <cell r="G184" t="str">
            <v>NO</v>
          </cell>
          <cell r="H184" t="str">
            <v>ESTAR PERSONAL C/ KITCHENETTE</v>
          </cell>
          <cell r="I184">
            <v>1</v>
          </cell>
          <cell r="J184" t="str">
            <v>C.3.4.4.24.2</v>
          </cell>
          <cell r="K184" t="str">
            <v>Hospitalización</v>
          </cell>
          <cell r="L184">
            <v>6</v>
          </cell>
          <cell r="M184">
            <v>46044</v>
          </cell>
          <cell r="N184">
            <v>46045</v>
          </cell>
          <cell r="O184">
            <v>1</v>
          </cell>
          <cell r="P184">
            <v>46048</v>
          </cell>
          <cell r="Q184">
            <v>5</v>
          </cell>
          <cell r="R184" t="str">
            <v>NA</v>
          </cell>
          <cell r="S184">
            <v>5</v>
          </cell>
        </row>
        <row r="185">
          <cell r="B185" t="str">
            <v>EMMC</v>
          </cell>
          <cell r="C185" t="str">
            <v>HSLB10788</v>
          </cell>
          <cell r="D185">
            <v>106007</v>
          </cell>
          <cell r="E185" t="str">
            <v>Hervidor Eléctrico</v>
          </cell>
          <cell r="F185" t="str">
            <v>NO</v>
          </cell>
          <cell r="G185" t="str">
            <v>NO</v>
          </cell>
          <cell r="H185" t="str">
            <v>SALA DE ESTAR FAMILIARES Y ENTREVISTAS</v>
          </cell>
          <cell r="I185">
            <v>1</v>
          </cell>
          <cell r="J185" t="str">
            <v>C.3.4.4.4</v>
          </cell>
          <cell r="K185" t="str">
            <v>Hospitalización</v>
          </cell>
          <cell r="L185">
            <v>6</v>
          </cell>
          <cell r="M185">
            <v>46044</v>
          </cell>
          <cell r="N185">
            <v>46045</v>
          </cell>
          <cell r="O185">
            <v>1</v>
          </cell>
          <cell r="P185">
            <v>46048</v>
          </cell>
          <cell r="Q185">
            <v>5</v>
          </cell>
          <cell r="R185" t="str">
            <v>NA</v>
          </cell>
          <cell r="S185">
            <v>5</v>
          </cell>
        </row>
        <row r="186">
          <cell r="B186" t="str">
            <v>EMMC</v>
          </cell>
          <cell r="C186" t="str">
            <v>HSLB12288</v>
          </cell>
          <cell r="D186">
            <v>112061</v>
          </cell>
          <cell r="E186" t="str">
            <v>Mesa Killian</v>
          </cell>
          <cell r="F186" t="str">
            <v>NO</v>
          </cell>
          <cell r="G186" t="str">
            <v>NO</v>
          </cell>
          <cell r="H186" t="str">
            <v>SALA TELEMEDICINA</v>
          </cell>
          <cell r="I186">
            <v>1</v>
          </cell>
          <cell r="J186" t="str">
            <v>C.3.8.4.1</v>
          </cell>
          <cell r="K186" t="str">
            <v>Telemedicina</v>
          </cell>
          <cell r="L186">
            <v>6</v>
          </cell>
          <cell r="M186">
            <v>46044</v>
          </cell>
          <cell r="N186">
            <v>46045</v>
          </cell>
          <cell r="O186">
            <v>1</v>
          </cell>
          <cell r="P186">
            <v>46048</v>
          </cell>
          <cell r="Q186">
            <v>5</v>
          </cell>
          <cell r="R186" t="str">
            <v>NA</v>
          </cell>
          <cell r="S186">
            <v>5</v>
          </cell>
        </row>
        <row r="187">
          <cell r="B187" t="str">
            <v>EMMC</v>
          </cell>
          <cell r="C187" t="str">
            <v>HSLB12289</v>
          </cell>
          <cell r="D187">
            <v>112061</v>
          </cell>
          <cell r="E187" t="str">
            <v>Mesa Killian</v>
          </cell>
          <cell r="F187" t="str">
            <v>NO</v>
          </cell>
          <cell r="G187" t="str">
            <v>SI</v>
          </cell>
          <cell r="H187" t="str">
            <v>SALA TELEMEDICINA</v>
          </cell>
          <cell r="I187">
            <v>1</v>
          </cell>
          <cell r="J187" t="str">
            <v>C.3.8.4.2</v>
          </cell>
          <cell r="K187" t="str">
            <v>Telemedicina</v>
          </cell>
          <cell r="L187">
            <v>6</v>
          </cell>
          <cell r="M187">
            <v>46003</v>
          </cell>
          <cell r="N187">
            <v>46006</v>
          </cell>
          <cell r="O187">
            <v>1</v>
          </cell>
          <cell r="P187">
            <v>46007</v>
          </cell>
          <cell r="Q187">
            <v>5</v>
          </cell>
          <cell r="R187" t="str">
            <v>NA</v>
          </cell>
          <cell r="S187">
            <v>5</v>
          </cell>
        </row>
        <row r="188">
          <cell r="B188" t="str">
            <v>EMMC</v>
          </cell>
          <cell r="C188" t="str">
            <v>HSLB12317</v>
          </cell>
          <cell r="D188">
            <v>112063</v>
          </cell>
          <cell r="E188" t="str">
            <v>Mesa Mayo</v>
          </cell>
          <cell r="F188" t="str">
            <v>NO</v>
          </cell>
          <cell r="G188" t="str">
            <v>NO</v>
          </cell>
          <cell r="H188" t="str">
            <v>SALA DE PROCEDIMIENTOS</v>
          </cell>
          <cell r="I188">
            <v>1</v>
          </cell>
          <cell r="J188" t="str">
            <v>C.3.4.4.15</v>
          </cell>
          <cell r="K188" t="str">
            <v>Hospitalización</v>
          </cell>
          <cell r="L188">
            <v>6</v>
          </cell>
          <cell r="M188">
            <v>46044</v>
          </cell>
          <cell r="N188">
            <v>46045</v>
          </cell>
          <cell r="O188">
            <v>1</v>
          </cell>
          <cell r="P188">
            <v>46048</v>
          </cell>
          <cell r="Q188">
            <v>5</v>
          </cell>
          <cell r="R188" t="str">
            <v>NA</v>
          </cell>
          <cell r="S188">
            <v>5</v>
          </cell>
        </row>
        <row r="189">
          <cell r="B189" t="str">
            <v>EMMC</v>
          </cell>
          <cell r="C189" t="str">
            <v>HSLB10843</v>
          </cell>
          <cell r="D189">
            <v>106010</v>
          </cell>
          <cell r="E189" t="str">
            <v>Microondas</v>
          </cell>
          <cell r="F189" t="str">
            <v>NO</v>
          </cell>
          <cell r="G189" t="str">
            <v>NO</v>
          </cell>
          <cell r="H189" t="str">
            <v>ESTAR PERSONAL C/ KITCHENETTE</v>
          </cell>
          <cell r="I189">
            <v>1</v>
          </cell>
          <cell r="J189" t="str">
            <v>C.3.4.4.24.1</v>
          </cell>
          <cell r="K189" t="str">
            <v>Hospitalización</v>
          </cell>
          <cell r="L189">
            <v>6</v>
          </cell>
          <cell r="M189">
            <v>46044</v>
          </cell>
          <cell r="N189">
            <v>46045</v>
          </cell>
          <cell r="O189">
            <v>1</v>
          </cell>
          <cell r="P189">
            <v>46048</v>
          </cell>
          <cell r="Q189">
            <v>5</v>
          </cell>
          <cell r="R189" t="str">
            <v>NA</v>
          </cell>
          <cell r="S189">
            <v>5</v>
          </cell>
        </row>
        <row r="190">
          <cell r="B190" t="str">
            <v>EMMC</v>
          </cell>
          <cell r="C190" t="str">
            <v>HSLB10844</v>
          </cell>
          <cell r="D190">
            <v>106010</v>
          </cell>
          <cell r="E190" t="str">
            <v>Microondas</v>
          </cell>
          <cell r="F190" t="str">
            <v>NO</v>
          </cell>
          <cell r="G190" t="str">
            <v>NO</v>
          </cell>
          <cell r="H190" t="str">
            <v>ESTAR PERSONAL C/ KITCHENETTE</v>
          </cell>
          <cell r="I190">
            <v>1</v>
          </cell>
          <cell r="J190" t="str">
            <v>C.3.4.4.24.2</v>
          </cell>
          <cell r="K190" t="str">
            <v>Hospitalización</v>
          </cell>
          <cell r="L190">
            <v>6</v>
          </cell>
          <cell r="M190">
            <v>46044</v>
          </cell>
          <cell r="N190">
            <v>46045</v>
          </cell>
          <cell r="O190">
            <v>1</v>
          </cell>
          <cell r="P190">
            <v>46048</v>
          </cell>
          <cell r="Q190">
            <v>5</v>
          </cell>
          <cell r="R190" t="str">
            <v>NA</v>
          </cell>
          <cell r="S190">
            <v>5</v>
          </cell>
        </row>
        <row r="191">
          <cell r="B191" t="str">
            <v>EMMC</v>
          </cell>
          <cell r="C191" t="str">
            <v>HSLB10189</v>
          </cell>
          <cell r="D191">
            <v>101049</v>
          </cell>
          <cell r="E191" t="str">
            <v>Negatoscopio</v>
          </cell>
          <cell r="F191" t="str">
            <v>NO</v>
          </cell>
          <cell r="G191" t="str">
            <v>NO</v>
          </cell>
          <cell r="H191" t="str">
            <v>ESTACIÓN DE ENFERMERÍA</v>
          </cell>
          <cell r="I191">
            <v>1</v>
          </cell>
          <cell r="J191" t="str">
            <v>C.3.4.4.8.1</v>
          </cell>
          <cell r="K191" t="str">
            <v>Hospitalización</v>
          </cell>
          <cell r="L191">
            <v>6</v>
          </cell>
          <cell r="M191">
            <v>46044</v>
          </cell>
          <cell r="N191">
            <v>46045</v>
          </cell>
          <cell r="O191">
            <v>1</v>
          </cell>
          <cell r="P191">
            <v>46048</v>
          </cell>
          <cell r="Q191">
            <v>5</v>
          </cell>
          <cell r="R191" t="str">
            <v>NA</v>
          </cell>
          <cell r="S191">
            <v>5</v>
          </cell>
        </row>
        <row r="192">
          <cell r="B192" t="str">
            <v>EMMC</v>
          </cell>
          <cell r="C192" t="str">
            <v>HSLB10190</v>
          </cell>
          <cell r="D192">
            <v>101049</v>
          </cell>
          <cell r="E192" t="str">
            <v>Negatoscopio</v>
          </cell>
          <cell r="F192" t="str">
            <v>NO</v>
          </cell>
          <cell r="G192" t="str">
            <v>NO</v>
          </cell>
          <cell r="H192" t="str">
            <v>ESTACIÓN DE ENFERMERÍA</v>
          </cell>
          <cell r="I192">
            <v>1</v>
          </cell>
          <cell r="J192" t="str">
            <v>C.3.4.4.8.2</v>
          </cell>
          <cell r="K192" t="str">
            <v>Hospitalización</v>
          </cell>
          <cell r="L192">
            <v>6</v>
          </cell>
          <cell r="M192">
            <v>46044</v>
          </cell>
          <cell r="N192">
            <v>46045</v>
          </cell>
          <cell r="O192">
            <v>1</v>
          </cell>
          <cell r="P192">
            <v>46048</v>
          </cell>
          <cell r="Q192">
            <v>5</v>
          </cell>
          <cell r="R192" t="str">
            <v>NA</v>
          </cell>
          <cell r="S192">
            <v>5</v>
          </cell>
        </row>
        <row r="193">
          <cell r="B193" t="str">
            <v>EMMC</v>
          </cell>
          <cell r="C193" t="str">
            <v>HSLB10202</v>
          </cell>
          <cell r="D193">
            <v>101053</v>
          </cell>
          <cell r="E193" t="str">
            <v>Otooftalmoscopio Mural</v>
          </cell>
          <cell r="F193" t="str">
            <v>NO</v>
          </cell>
          <cell r="G193" t="str">
            <v>NO</v>
          </cell>
          <cell r="H193" t="str">
            <v>SALA TELEMEDICINA</v>
          </cell>
          <cell r="I193">
            <v>1</v>
          </cell>
          <cell r="J193" t="str">
            <v>C.3.8.4.1</v>
          </cell>
          <cell r="K193" t="str">
            <v>Telemedicina</v>
          </cell>
          <cell r="L193">
            <v>6</v>
          </cell>
          <cell r="M193">
            <v>46044</v>
          </cell>
          <cell r="N193">
            <v>46045</v>
          </cell>
          <cell r="O193">
            <v>1</v>
          </cell>
          <cell r="P193">
            <v>46048</v>
          </cell>
          <cell r="Q193">
            <v>5</v>
          </cell>
          <cell r="R193" t="str">
            <v>NA</v>
          </cell>
          <cell r="S193">
            <v>5</v>
          </cell>
        </row>
        <row r="194">
          <cell r="B194" t="str">
            <v>EMMC</v>
          </cell>
          <cell r="C194" t="str">
            <v>HSLB10203</v>
          </cell>
          <cell r="D194">
            <v>101053</v>
          </cell>
          <cell r="E194" t="str">
            <v>Otooftalmoscopio Mural</v>
          </cell>
          <cell r="F194" t="str">
            <v>NO</v>
          </cell>
          <cell r="G194" t="str">
            <v>SI</v>
          </cell>
          <cell r="H194" t="str">
            <v>SALA TELEMEDICINA</v>
          </cell>
          <cell r="I194">
            <v>1</v>
          </cell>
          <cell r="J194" t="str">
            <v>C.3.8.4.2</v>
          </cell>
          <cell r="K194" t="str">
            <v>Telemedicina</v>
          </cell>
          <cell r="L194">
            <v>6</v>
          </cell>
          <cell r="M194">
            <v>46003</v>
          </cell>
          <cell r="N194">
            <v>46006</v>
          </cell>
          <cell r="O194">
            <v>1</v>
          </cell>
          <cell r="P194">
            <v>46007</v>
          </cell>
          <cell r="Q194">
            <v>5</v>
          </cell>
          <cell r="R194" t="str">
            <v>NA</v>
          </cell>
          <cell r="S194">
            <v>5</v>
          </cell>
        </row>
        <row r="195">
          <cell r="B195" t="str">
            <v>EMMC</v>
          </cell>
          <cell r="C195" t="str">
            <v>HSLB10223</v>
          </cell>
          <cell r="D195">
            <v>101054</v>
          </cell>
          <cell r="E195" t="str">
            <v>Otooftalmoscopio Portátil</v>
          </cell>
          <cell r="F195" t="str">
            <v>NO</v>
          </cell>
          <cell r="G195" t="str">
            <v>NO</v>
          </cell>
          <cell r="H195" t="str">
            <v>ESTACIÓN DE ENFERMERÍA</v>
          </cell>
          <cell r="I195">
            <v>1</v>
          </cell>
          <cell r="J195" t="str">
            <v>C.3.4.4.8.1</v>
          </cell>
          <cell r="K195" t="str">
            <v>Hospitalización</v>
          </cell>
          <cell r="L195">
            <v>6</v>
          </cell>
          <cell r="M195">
            <v>46044</v>
          </cell>
          <cell r="N195">
            <v>46045</v>
          </cell>
          <cell r="O195">
            <v>1</v>
          </cell>
          <cell r="P195">
            <v>46048</v>
          </cell>
          <cell r="Q195">
            <v>5</v>
          </cell>
          <cell r="R195" t="str">
            <v>NA</v>
          </cell>
          <cell r="S195">
            <v>5</v>
          </cell>
        </row>
        <row r="196">
          <cell r="B196" t="str">
            <v>EMMC</v>
          </cell>
          <cell r="C196" t="str">
            <v>HSLB10224</v>
          </cell>
          <cell r="D196">
            <v>101054</v>
          </cell>
          <cell r="E196" t="str">
            <v>Otooftalmoscopio Portátil</v>
          </cell>
          <cell r="F196" t="str">
            <v>NO</v>
          </cell>
          <cell r="G196" t="str">
            <v>NO</v>
          </cell>
          <cell r="H196" t="str">
            <v>ESTACIÓN DE ENFERMERÍA</v>
          </cell>
          <cell r="I196">
            <v>1</v>
          </cell>
          <cell r="J196" t="str">
            <v>C.3.4.4.8.2</v>
          </cell>
          <cell r="K196" t="str">
            <v>Hospitalización</v>
          </cell>
          <cell r="L196">
            <v>6</v>
          </cell>
          <cell r="M196">
            <v>46044</v>
          </cell>
          <cell r="N196">
            <v>46045</v>
          </cell>
          <cell r="O196">
            <v>1</v>
          </cell>
          <cell r="P196">
            <v>46048</v>
          </cell>
          <cell r="Q196">
            <v>5</v>
          </cell>
          <cell r="R196" t="str">
            <v>NA</v>
          </cell>
          <cell r="S196">
            <v>5</v>
          </cell>
        </row>
        <row r="197">
          <cell r="B197" t="str">
            <v>EMMC</v>
          </cell>
          <cell r="C197" t="str">
            <v>HSLB12382</v>
          </cell>
          <cell r="D197">
            <v>112068</v>
          </cell>
          <cell r="E197" t="str">
            <v>Piso Taburete Clínico</v>
          </cell>
          <cell r="F197" t="str">
            <v>NO</v>
          </cell>
          <cell r="G197" t="str">
            <v>NO</v>
          </cell>
          <cell r="H197" t="str">
            <v>SALA DE PROCEDIMIENTOS</v>
          </cell>
          <cell r="I197">
            <v>1</v>
          </cell>
          <cell r="J197" t="str">
            <v>C.3.4.4.15</v>
          </cell>
          <cell r="K197" t="str">
            <v>Hospitalización</v>
          </cell>
          <cell r="L197">
            <v>6</v>
          </cell>
          <cell r="M197">
            <v>46044</v>
          </cell>
          <cell r="N197">
            <v>46045</v>
          </cell>
          <cell r="O197">
            <v>1</v>
          </cell>
          <cell r="P197">
            <v>46048</v>
          </cell>
          <cell r="Q197">
            <v>5</v>
          </cell>
          <cell r="R197" t="str">
            <v>NA</v>
          </cell>
          <cell r="S197">
            <v>5</v>
          </cell>
        </row>
        <row r="198">
          <cell r="B198" t="str">
            <v>EMMC</v>
          </cell>
          <cell r="C198" t="str">
            <v>HSLB10910</v>
          </cell>
          <cell r="D198">
            <v>106013</v>
          </cell>
          <cell r="E198" t="str">
            <v>Proyector</v>
          </cell>
          <cell r="F198" t="str">
            <v>NO</v>
          </cell>
          <cell r="G198" t="str">
            <v>NO</v>
          </cell>
          <cell r="H198" t="str">
            <v>SALA DE REUNIONES (20 pp)</v>
          </cell>
          <cell r="I198">
            <v>1</v>
          </cell>
          <cell r="J198" t="str">
            <v>C.3.8.1</v>
          </cell>
          <cell r="K198" t="str">
            <v>Hospitalización</v>
          </cell>
          <cell r="L198">
            <v>6</v>
          </cell>
          <cell r="M198">
            <v>46044</v>
          </cell>
          <cell r="N198">
            <v>46045</v>
          </cell>
          <cell r="O198">
            <v>1</v>
          </cell>
          <cell r="P198">
            <v>46048</v>
          </cell>
          <cell r="Q198">
            <v>5</v>
          </cell>
          <cell r="R198" t="str">
            <v>NA</v>
          </cell>
          <cell r="S198">
            <v>5</v>
          </cell>
        </row>
        <row r="199">
          <cell r="B199" t="str">
            <v>EMMC</v>
          </cell>
          <cell r="C199" t="str">
            <v>HSLB12458</v>
          </cell>
          <cell r="D199">
            <v>112077</v>
          </cell>
          <cell r="E199" t="str">
            <v>Silla de Ruedas</v>
          </cell>
          <cell r="F199" t="str">
            <v>NO</v>
          </cell>
          <cell r="G199" t="str">
            <v>NO</v>
          </cell>
          <cell r="H199" t="str">
            <v>ESTACIONAMIENTO CAMILLAS Y SILLAS DE RUEDAS</v>
          </cell>
          <cell r="I199">
            <v>6</v>
          </cell>
          <cell r="J199" t="str">
            <v>C.3.4.4.23</v>
          </cell>
          <cell r="K199" t="str">
            <v>Hospitalización</v>
          </cell>
          <cell r="L199">
            <v>6</v>
          </cell>
          <cell r="M199">
            <v>46044</v>
          </cell>
          <cell r="N199">
            <v>46045</v>
          </cell>
          <cell r="O199">
            <v>1</v>
          </cell>
          <cell r="P199">
            <v>46048</v>
          </cell>
          <cell r="Q199">
            <v>5</v>
          </cell>
          <cell r="R199" t="str">
            <v>NA</v>
          </cell>
          <cell r="S199">
            <v>5</v>
          </cell>
        </row>
        <row r="200">
          <cell r="B200" t="str">
            <v>EMMC</v>
          </cell>
          <cell r="C200" t="str">
            <v>HSLB11124</v>
          </cell>
          <cell r="D200">
            <v>106023</v>
          </cell>
          <cell r="E200" t="str">
            <v>Urinarios</v>
          </cell>
          <cell r="F200" t="str">
            <v>NO</v>
          </cell>
          <cell r="G200" t="str">
            <v>NO</v>
          </cell>
          <cell r="H200" t="str">
            <v>LAVACHATA AUTOMATICO</v>
          </cell>
          <cell r="I200">
            <v>24</v>
          </cell>
          <cell r="J200" t="str">
            <v>C.3.4.4.20.1</v>
          </cell>
          <cell r="K200" t="str">
            <v>Hospitalización</v>
          </cell>
          <cell r="L200">
            <v>6</v>
          </cell>
          <cell r="M200">
            <v>46044</v>
          </cell>
          <cell r="N200">
            <v>46045</v>
          </cell>
          <cell r="O200">
            <v>1</v>
          </cell>
          <cell r="P200">
            <v>46048</v>
          </cell>
          <cell r="Q200">
            <v>5</v>
          </cell>
          <cell r="R200" t="str">
            <v>NA</v>
          </cell>
          <cell r="S200">
            <v>5</v>
          </cell>
        </row>
        <row r="201">
          <cell r="B201" t="str">
            <v>EMMC</v>
          </cell>
          <cell r="C201" t="str">
            <v>HSLB11125</v>
          </cell>
          <cell r="D201">
            <v>106023</v>
          </cell>
          <cell r="E201" t="str">
            <v>Urinarios</v>
          </cell>
          <cell r="F201" t="str">
            <v>NO</v>
          </cell>
          <cell r="G201" t="str">
            <v>NO</v>
          </cell>
          <cell r="H201" t="str">
            <v>LAVACHATA AUTOMATICO</v>
          </cell>
          <cell r="I201">
            <v>23</v>
          </cell>
          <cell r="J201" t="str">
            <v>C.3.4.4.20.2</v>
          </cell>
          <cell r="K201" t="str">
            <v>Hospitalización</v>
          </cell>
          <cell r="L201">
            <v>6</v>
          </cell>
          <cell r="M201">
            <v>46044</v>
          </cell>
          <cell r="N201">
            <v>46045</v>
          </cell>
          <cell r="O201">
            <v>1</v>
          </cell>
          <cell r="P201">
            <v>46048</v>
          </cell>
          <cell r="Q201">
            <v>5</v>
          </cell>
          <cell r="R201" t="str">
            <v>NA</v>
          </cell>
          <cell r="S201">
            <v>5</v>
          </cell>
        </row>
        <row r="202">
          <cell r="B202" t="str">
            <v>EMMC</v>
          </cell>
          <cell r="C202" t="str">
            <v>HSLB11332</v>
          </cell>
          <cell r="D202">
            <v>110007</v>
          </cell>
          <cell r="E202" t="str">
            <v>Balanza de Precisión</v>
          </cell>
          <cell r="F202" t="str">
            <v>NO</v>
          </cell>
          <cell r="G202" t="str">
            <v>SI</v>
          </cell>
          <cell r="H202" t="str">
            <v xml:space="preserve">BODEGA DE INSUMOS </v>
          </cell>
          <cell r="I202">
            <v>0</v>
          </cell>
          <cell r="J202" t="str">
            <v>C.3.4.4.16.1</v>
          </cell>
          <cell r="K202" t="str">
            <v>Hospitalización</v>
          </cell>
          <cell r="L202">
            <v>6</v>
          </cell>
          <cell r="M202">
            <v>46003</v>
          </cell>
          <cell r="N202">
            <v>46006</v>
          </cell>
          <cell r="O202">
            <v>1</v>
          </cell>
          <cell r="P202">
            <v>46007</v>
          </cell>
          <cell r="Q202">
            <v>5</v>
          </cell>
          <cell r="R202" t="str">
            <v>NA</v>
          </cell>
          <cell r="S202">
            <v>5</v>
          </cell>
        </row>
        <row r="203">
          <cell r="B203" t="str">
            <v>EMMC</v>
          </cell>
          <cell r="C203" t="str">
            <v>HSLB11332</v>
          </cell>
          <cell r="D203">
            <v>110007</v>
          </cell>
          <cell r="E203" t="str">
            <v>Balanza de Precisión</v>
          </cell>
          <cell r="F203" t="str">
            <v>NO</v>
          </cell>
          <cell r="G203" t="str">
            <v>SI</v>
          </cell>
          <cell r="H203" t="str">
            <v xml:space="preserve">BODEGA DE INSUMOS </v>
          </cell>
          <cell r="I203">
            <v>0</v>
          </cell>
          <cell r="J203" t="str">
            <v>C.3.4.4.16.2</v>
          </cell>
          <cell r="K203" t="str">
            <v>Hospitalización</v>
          </cell>
          <cell r="L203">
            <v>6</v>
          </cell>
          <cell r="M203">
            <v>46003</v>
          </cell>
          <cell r="N203">
            <v>46006</v>
          </cell>
          <cell r="O203">
            <v>1</v>
          </cell>
          <cell r="P203">
            <v>46007</v>
          </cell>
          <cell r="Q203">
            <v>5</v>
          </cell>
          <cell r="R203" t="str">
            <v>NA</v>
          </cell>
          <cell r="S203">
            <v>5</v>
          </cell>
        </row>
        <row r="204">
          <cell r="B204" t="str">
            <v>EMMC</v>
          </cell>
          <cell r="C204" t="str">
            <v>HSLB11332</v>
          </cell>
          <cell r="D204">
            <v>110007</v>
          </cell>
          <cell r="E204" t="str">
            <v>Balanza de Precisión</v>
          </cell>
          <cell r="F204" t="str">
            <v>NO</v>
          </cell>
          <cell r="G204" t="str">
            <v>SI</v>
          </cell>
          <cell r="H204" t="str">
            <v xml:space="preserve">BODEGA ROPA LIMPIA </v>
          </cell>
          <cell r="I204">
            <v>0</v>
          </cell>
          <cell r="J204" t="str">
            <v>C.3.4.4.18.1</v>
          </cell>
          <cell r="K204" t="str">
            <v>Hospitalización</v>
          </cell>
          <cell r="L204">
            <v>6</v>
          </cell>
          <cell r="M204">
            <v>46003</v>
          </cell>
          <cell r="N204">
            <v>46006</v>
          </cell>
          <cell r="O204">
            <v>1</v>
          </cell>
          <cell r="P204">
            <v>46007</v>
          </cell>
          <cell r="Q204">
            <v>5</v>
          </cell>
          <cell r="R204" t="str">
            <v>NA</v>
          </cell>
          <cell r="S204">
            <v>5</v>
          </cell>
        </row>
        <row r="205">
          <cell r="B205" t="str">
            <v>EMMC</v>
          </cell>
          <cell r="C205" t="str">
            <v>HSLB11332</v>
          </cell>
          <cell r="D205">
            <v>110007</v>
          </cell>
          <cell r="E205" t="str">
            <v>Balanza de Precisión</v>
          </cell>
          <cell r="F205" t="str">
            <v>NO</v>
          </cell>
          <cell r="G205" t="str">
            <v>SI</v>
          </cell>
          <cell r="H205" t="str">
            <v xml:space="preserve">BODEGA ROPA LIMPIA </v>
          </cell>
          <cell r="I205">
            <v>0</v>
          </cell>
          <cell r="J205" t="str">
            <v>C.3.4.4.18.2</v>
          </cell>
          <cell r="K205" t="str">
            <v>Hospitalización</v>
          </cell>
          <cell r="L205">
            <v>6</v>
          </cell>
          <cell r="M205">
            <v>46003</v>
          </cell>
          <cell r="N205">
            <v>46006</v>
          </cell>
          <cell r="O205">
            <v>1</v>
          </cell>
          <cell r="P205">
            <v>46007</v>
          </cell>
          <cell r="Q205">
            <v>5</v>
          </cell>
          <cell r="R205" t="str">
            <v>NA</v>
          </cell>
          <cell r="S205">
            <v>5</v>
          </cell>
        </row>
        <row r="206">
          <cell r="B206" t="str">
            <v>MNC</v>
          </cell>
          <cell r="C206" t="str">
            <v>HSLB15274</v>
          </cell>
          <cell r="D206">
            <v>204020</v>
          </cell>
          <cell r="E206" t="str">
            <v>Silla Butaca Espera 3 Cuerpos</v>
          </cell>
          <cell r="F206" t="str">
            <v>NO</v>
          </cell>
          <cell r="G206" t="str">
            <v>NO</v>
          </cell>
          <cell r="H206" t="str">
            <v>SALA DE ESPERA</v>
          </cell>
          <cell r="I206">
            <v>2</v>
          </cell>
          <cell r="J206" t="str">
            <v>C.3.2.1</v>
          </cell>
          <cell r="K206" t="str">
            <v>Administración y apoyo general</v>
          </cell>
          <cell r="L206">
            <v>6</v>
          </cell>
          <cell r="M206">
            <v>46044</v>
          </cell>
          <cell r="N206">
            <v>46045</v>
          </cell>
          <cell r="O206">
            <v>1</v>
          </cell>
          <cell r="P206">
            <v>46048</v>
          </cell>
          <cell r="Q206">
            <v>5</v>
          </cell>
          <cell r="R206" t="str">
            <v>NA</v>
          </cell>
          <cell r="S206">
            <v>5</v>
          </cell>
        </row>
        <row r="207">
          <cell r="B207" t="str">
            <v>MNC</v>
          </cell>
          <cell r="C207" t="str">
            <v>HSLB13128</v>
          </cell>
          <cell r="D207">
            <v>201001</v>
          </cell>
          <cell r="E207" t="str">
            <v>Estación de Trabajo</v>
          </cell>
          <cell r="F207" t="str">
            <v>NO</v>
          </cell>
          <cell r="G207" t="str">
            <v>NO</v>
          </cell>
          <cell r="H207" t="str">
            <v>OFICINA JEFE CR ATENCIÓN CERRADA</v>
          </cell>
          <cell r="I207">
            <v>1</v>
          </cell>
          <cell r="J207" t="str">
            <v>C.3.2.2</v>
          </cell>
          <cell r="K207" t="str">
            <v>Administración y apoyo general</v>
          </cell>
          <cell r="L207">
            <v>6</v>
          </cell>
          <cell r="M207">
            <v>46044</v>
          </cell>
          <cell r="N207">
            <v>46045</v>
          </cell>
          <cell r="O207">
            <v>1</v>
          </cell>
          <cell r="P207">
            <v>46048</v>
          </cell>
          <cell r="Q207">
            <v>5</v>
          </cell>
          <cell r="R207" t="str">
            <v>NA</v>
          </cell>
          <cell r="S207">
            <v>5</v>
          </cell>
        </row>
        <row r="208">
          <cell r="B208" t="str">
            <v>MNC</v>
          </cell>
          <cell r="C208" t="str">
            <v>HSLB13583</v>
          </cell>
          <cell r="D208">
            <v>203016</v>
          </cell>
          <cell r="E208" t="str">
            <v>Mueble Tipo Biblioteca</v>
          </cell>
          <cell r="F208" t="str">
            <v>NO</v>
          </cell>
          <cell r="G208" t="str">
            <v>NO</v>
          </cell>
          <cell r="H208" t="str">
            <v>OFICINA JEFE CR ATENCIÓN CERRADA</v>
          </cell>
          <cell r="I208">
            <v>1</v>
          </cell>
          <cell r="J208" t="str">
            <v>C.3.2.2</v>
          </cell>
          <cell r="K208" t="str">
            <v>Administración y apoyo general</v>
          </cell>
          <cell r="L208">
            <v>6</v>
          </cell>
          <cell r="M208">
            <v>46044</v>
          </cell>
          <cell r="N208">
            <v>46045</v>
          </cell>
          <cell r="O208">
            <v>1</v>
          </cell>
          <cell r="P208">
            <v>46048</v>
          </cell>
          <cell r="Q208">
            <v>5</v>
          </cell>
          <cell r="R208" t="str">
            <v>NA</v>
          </cell>
          <cell r="S208">
            <v>5</v>
          </cell>
        </row>
        <row r="209">
          <cell r="B209" t="str">
            <v>MNC</v>
          </cell>
          <cell r="C209" t="str">
            <v>HSLB14304</v>
          </cell>
          <cell r="D209">
            <v>204006</v>
          </cell>
          <cell r="E209" t="str">
            <v>Silla Ergonómica</v>
          </cell>
          <cell r="F209" t="str">
            <v>NO</v>
          </cell>
          <cell r="G209" t="str">
            <v>NO</v>
          </cell>
          <cell r="H209" t="str">
            <v>OFICINA JEFE CR ATENCIÓN CERRADA</v>
          </cell>
          <cell r="I209">
            <v>1</v>
          </cell>
          <cell r="J209" t="str">
            <v>C.3.2.2</v>
          </cell>
          <cell r="K209" t="str">
            <v>Administración y apoyo general</v>
          </cell>
          <cell r="L209">
            <v>6</v>
          </cell>
          <cell r="M209">
            <v>46044</v>
          </cell>
          <cell r="N209">
            <v>46045</v>
          </cell>
          <cell r="O209">
            <v>1</v>
          </cell>
          <cell r="P209">
            <v>46048</v>
          </cell>
          <cell r="Q209">
            <v>5</v>
          </cell>
          <cell r="R209" t="str">
            <v>NA</v>
          </cell>
          <cell r="S209">
            <v>5</v>
          </cell>
        </row>
        <row r="210">
          <cell r="B210" t="str">
            <v>MNC</v>
          </cell>
          <cell r="C210" t="str">
            <v>HSLB14755</v>
          </cell>
          <cell r="D210">
            <v>204012</v>
          </cell>
          <cell r="E210" t="str">
            <v>Silla Visita</v>
          </cell>
          <cell r="F210" t="str">
            <v>NO</v>
          </cell>
          <cell r="G210" t="str">
            <v>NO</v>
          </cell>
          <cell r="H210" t="str">
            <v>OFICINA JEFE CR ATENCIÓN CERRADA</v>
          </cell>
          <cell r="I210">
            <v>2</v>
          </cell>
          <cell r="J210" t="str">
            <v>C.3.2.2</v>
          </cell>
          <cell r="K210" t="str">
            <v>Administración y apoyo general</v>
          </cell>
          <cell r="L210">
            <v>6</v>
          </cell>
          <cell r="M210">
            <v>46044</v>
          </cell>
          <cell r="N210">
            <v>46045</v>
          </cell>
          <cell r="O210">
            <v>1</v>
          </cell>
          <cell r="P210">
            <v>46048</v>
          </cell>
          <cell r="Q210">
            <v>5</v>
          </cell>
          <cell r="R210" t="str">
            <v>NA</v>
          </cell>
          <cell r="S210">
            <v>5</v>
          </cell>
        </row>
        <row r="211">
          <cell r="B211" t="str">
            <v>MNC</v>
          </cell>
          <cell r="C211" t="str">
            <v>HSLB13129</v>
          </cell>
          <cell r="D211">
            <v>201001</v>
          </cell>
          <cell r="E211" t="str">
            <v>Estación de Trabajo</v>
          </cell>
          <cell r="F211" t="str">
            <v>NO</v>
          </cell>
          <cell r="G211" t="str">
            <v>NO</v>
          </cell>
          <cell r="H211" t="str">
            <v>SECRETARIA</v>
          </cell>
          <cell r="I211">
            <v>1</v>
          </cell>
          <cell r="J211" t="str">
            <v>C.3.2.3</v>
          </cell>
          <cell r="K211" t="str">
            <v>Administración y apoyo general</v>
          </cell>
          <cell r="L211">
            <v>6</v>
          </cell>
          <cell r="M211">
            <v>46044</v>
          </cell>
          <cell r="N211">
            <v>46045</v>
          </cell>
          <cell r="O211">
            <v>1</v>
          </cell>
          <cell r="P211">
            <v>46048</v>
          </cell>
          <cell r="Q211">
            <v>5</v>
          </cell>
          <cell r="R211" t="str">
            <v>NA</v>
          </cell>
          <cell r="S211">
            <v>5</v>
          </cell>
        </row>
        <row r="212">
          <cell r="B212" t="str">
            <v>MNC</v>
          </cell>
          <cell r="C212" t="str">
            <v>HSLB13584</v>
          </cell>
          <cell r="D212">
            <v>203016</v>
          </cell>
          <cell r="E212" t="str">
            <v>Mueble Tipo Biblioteca</v>
          </cell>
          <cell r="F212" t="str">
            <v>NO</v>
          </cell>
          <cell r="G212" t="str">
            <v>NO</v>
          </cell>
          <cell r="H212" t="str">
            <v>SECRETARIA</v>
          </cell>
          <cell r="I212">
            <v>1</v>
          </cell>
          <cell r="J212" t="str">
            <v>C.3.2.3</v>
          </cell>
          <cell r="K212" t="str">
            <v>Administración y apoyo general</v>
          </cell>
          <cell r="L212">
            <v>6</v>
          </cell>
          <cell r="M212">
            <v>46044</v>
          </cell>
          <cell r="N212">
            <v>46045</v>
          </cell>
          <cell r="O212">
            <v>1</v>
          </cell>
          <cell r="P212">
            <v>46048</v>
          </cell>
          <cell r="Q212">
            <v>5</v>
          </cell>
          <cell r="R212" t="str">
            <v>NA</v>
          </cell>
          <cell r="S212">
            <v>5</v>
          </cell>
        </row>
        <row r="213">
          <cell r="B213" t="str">
            <v>MNC</v>
          </cell>
          <cell r="C213" t="str">
            <v>HSLB14305</v>
          </cell>
          <cell r="D213">
            <v>204006</v>
          </cell>
          <cell r="E213" t="str">
            <v>Silla Ergonómica</v>
          </cell>
          <cell r="F213" t="str">
            <v>NO</v>
          </cell>
          <cell r="G213" t="str">
            <v>NO</v>
          </cell>
          <cell r="H213" t="str">
            <v>SECRETARIA</v>
          </cell>
          <cell r="I213">
            <v>1</v>
          </cell>
          <cell r="J213" t="str">
            <v>C.3.2.3</v>
          </cell>
          <cell r="K213" t="str">
            <v>Administración y apoyo general</v>
          </cell>
          <cell r="L213">
            <v>6</v>
          </cell>
          <cell r="M213">
            <v>46044</v>
          </cell>
          <cell r="N213">
            <v>46045</v>
          </cell>
          <cell r="O213">
            <v>1</v>
          </cell>
          <cell r="P213">
            <v>46048</v>
          </cell>
          <cell r="Q213">
            <v>5</v>
          </cell>
          <cell r="R213" t="str">
            <v>NA</v>
          </cell>
          <cell r="S213">
            <v>5</v>
          </cell>
        </row>
        <row r="214">
          <cell r="B214" t="str">
            <v>MNC</v>
          </cell>
          <cell r="C214" t="str">
            <v>HSLB14756</v>
          </cell>
          <cell r="D214">
            <v>204012</v>
          </cell>
          <cell r="E214" t="str">
            <v>Silla Visita</v>
          </cell>
          <cell r="F214" t="str">
            <v>NO</v>
          </cell>
          <cell r="G214" t="str">
            <v>NO</v>
          </cell>
          <cell r="H214" t="str">
            <v>SECRETARIA</v>
          </cell>
          <cell r="I214">
            <v>2</v>
          </cell>
          <cell r="J214" t="str">
            <v>C.3.2.3</v>
          </cell>
          <cell r="K214" t="str">
            <v>Administración y apoyo general</v>
          </cell>
          <cell r="L214">
            <v>6</v>
          </cell>
          <cell r="M214">
            <v>46044</v>
          </cell>
          <cell r="N214">
            <v>46045</v>
          </cell>
          <cell r="O214">
            <v>1</v>
          </cell>
          <cell r="P214">
            <v>46048</v>
          </cell>
          <cell r="Q214">
            <v>5</v>
          </cell>
          <cell r="R214" t="str">
            <v>NA</v>
          </cell>
          <cell r="S214">
            <v>5</v>
          </cell>
        </row>
        <row r="215">
          <cell r="B215" t="str">
            <v>MNC</v>
          </cell>
          <cell r="C215" t="str">
            <v>HSLB13133</v>
          </cell>
          <cell r="D215">
            <v>201001</v>
          </cell>
          <cell r="E215" t="str">
            <v>Estación de Trabajo</v>
          </cell>
          <cell r="F215" t="str">
            <v>NO</v>
          </cell>
          <cell r="G215" t="str">
            <v>NO</v>
          </cell>
          <cell r="H215" t="str">
            <v>OFICINA JEFE MQ ADULTO</v>
          </cell>
          <cell r="I215">
            <v>1</v>
          </cell>
          <cell r="J215" t="str">
            <v>C.3.4.1.1</v>
          </cell>
          <cell r="K215" t="str">
            <v>Administración y apoyo general</v>
          </cell>
          <cell r="L215">
            <v>6</v>
          </cell>
          <cell r="M215">
            <v>46044</v>
          </cell>
          <cell r="N215">
            <v>46045</v>
          </cell>
          <cell r="O215">
            <v>1</v>
          </cell>
          <cell r="P215">
            <v>46048</v>
          </cell>
          <cell r="Q215">
            <v>5</v>
          </cell>
          <cell r="R215" t="str">
            <v>NA</v>
          </cell>
          <cell r="S215">
            <v>5</v>
          </cell>
        </row>
        <row r="216">
          <cell r="B216" t="str">
            <v>MNC</v>
          </cell>
          <cell r="C216" t="str">
            <v>HSLB13588</v>
          </cell>
          <cell r="D216">
            <v>203016</v>
          </cell>
          <cell r="E216" t="str">
            <v>Mueble Tipo Biblioteca</v>
          </cell>
          <cell r="F216" t="str">
            <v>NO</v>
          </cell>
          <cell r="G216" t="str">
            <v>NO</v>
          </cell>
          <cell r="H216" t="str">
            <v>OFICINA JEFE MQ ADULTO</v>
          </cell>
          <cell r="I216">
            <v>1</v>
          </cell>
          <cell r="J216" t="str">
            <v>C.3.4.1.1</v>
          </cell>
          <cell r="K216" t="str">
            <v>Administración y apoyo general</v>
          </cell>
          <cell r="L216">
            <v>6</v>
          </cell>
          <cell r="M216">
            <v>46044</v>
          </cell>
          <cell r="N216">
            <v>46045</v>
          </cell>
          <cell r="O216">
            <v>1</v>
          </cell>
          <cell r="P216">
            <v>46048</v>
          </cell>
          <cell r="Q216">
            <v>5</v>
          </cell>
          <cell r="R216" t="str">
            <v>NA</v>
          </cell>
          <cell r="S216">
            <v>5</v>
          </cell>
        </row>
        <row r="217">
          <cell r="B217" t="str">
            <v>MNC</v>
          </cell>
          <cell r="C217" t="str">
            <v>HSLB14310</v>
          </cell>
          <cell r="D217">
            <v>204006</v>
          </cell>
          <cell r="E217" t="str">
            <v>Silla Ergonómica</v>
          </cell>
          <cell r="F217" t="str">
            <v>NO</v>
          </cell>
          <cell r="G217" t="str">
            <v>NO</v>
          </cell>
          <cell r="H217" t="str">
            <v>OFICINA JEFE MQ ADULTO</v>
          </cell>
          <cell r="I217">
            <v>1</v>
          </cell>
          <cell r="J217" t="str">
            <v>C.3.4.1.1</v>
          </cell>
          <cell r="K217" t="str">
            <v>Administración y apoyo general</v>
          </cell>
          <cell r="L217">
            <v>6</v>
          </cell>
          <cell r="M217">
            <v>46044</v>
          </cell>
          <cell r="N217">
            <v>46045</v>
          </cell>
          <cell r="O217">
            <v>1</v>
          </cell>
          <cell r="P217">
            <v>46048</v>
          </cell>
          <cell r="Q217">
            <v>5</v>
          </cell>
          <cell r="R217" t="str">
            <v>NA</v>
          </cell>
          <cell r="S217">
            <v>5</v>
          </cell>
        </row>
        <row r="218">
          <cell r="B218" t="str">
            <v>MNC</v>
          </cell>
          <cell r="C218" t="str">
            <v>HSLB14761</v>
          </cell>
          <cell r="D218">
            <v>204012</v>
          </cell>
          <cell r="E218" t="str">
            <v>Silla Visita</v>
          </cell>
          <cell r="F218" t="str">
            <v>NO</v>
          </cell>
          <cell r="G218" t="str">
            <v>NO</v>
          </cell>
          <cell r="H218" t="str">
            <v>OFICINA JEFE MQ ADULTO</v>
          </cell>
          <cell r="I218">
            <v>2</v>
          </cell>
          <cell r="J218" t="str">
            <v>C.3.4.1.1</v>
          </cell>
          <cell r="K218" t="str">
            <v>Administración y apoyo general</v>
          </cell>
          <cell r="L218">
            <v>6</v>
          </cell>
          <cell r="M218">
            <v>46044</v>
          </cell>
          <cell r="N218">
            <v>46045</v>
          </cell>
          <cell r="O218">
            <v>1</v>
          </cell>
          <cell r="P218">
            <v>46048</v>
          </cell>
          <cell r="Q218">
            <v>5</v>
          </cell>
          <cell r="R218" t="str">
            <v>NA</v>
          </cell>
          <cell r="S218">
            <v>5</v>
          </cell>
        </row>
        <row r="219">
          <cell r="B219" t="str">
            <v>MNC</v>
          </cell>
          <cell r="C219" t="str">
            <v>HSLB15276</v>
          </cell>
          <cell r="D219">
            <v>204020</v>
          </cell>
          <cell r="E219" t="str">
            <v>Silla Butaca Espera 3 Cuerpos</v>
          </cell>
          <cell r="F219" t="str">
            <v>NO</v>
          </cell>
          <cell r="G219" t="str">
            <v>NO</v>
          </cell>
          <cell r="H219" t="str">
            <v>SALA DE ESPERA</v>
          </cell>
          <cell r="I219">
            <v>2</v>
          </cell>
          <cell r="J219" t="str">
            <v>C.3.4.1.2</v>
          </cell>
          <cell r="K219" t="str">
            <v>Administración y apoyo general</v>
          </cell>
          <cell r="L219">
            <v>6</v>
          </cell>
          <cell r="M219">
            <v>46044</v>
          </cell>
          <cell r="N219">
            <v>46045</v>
          </cell>
          <cell r="O219">
            <v>1</v>
          </cell>
          <cell r="P219">
            <v>46048</v>
          </cell>
          <cell r="Q219">
            <v>5</v>
          </cell>
          <cell r="R219" t="str">
            <v>NA</v>
          </cell>
          <cell r="S219">
            <v>5</v>
          </cell>
        </row>
        <row r="220">
          <cell r="B220" t="str">
            <v>MNC</v>
          </cell>
          <cell r="C220" t="str">
            <v>HSLB13292</v>
          </cell>
          <cell r="D220">
            <v>201002</v>
          </cell>
          <cell r="E220" t="str">
            <v>Mesa Lateral</v>
          </cell>
          <cell r="F220" t="str">
            <v>NO</v>
          </cell>
          <cell r="G220" t="str">
            <v>NO</v>
          </cell>
          <cell r="H220" t="str">
            <v>SALA DE ESPERA</v>
          </cell>
          <cell r="I220">
            <v>5</v>
          </cell>
          <cell r="J220" t="str">
            <v>C.3.4.4.1</v>
          </cell>
          <cell r="K220" t="str">
            <v>Administración y apoyo general</v>
          </cell>
          <cell r="L220">
            <v>6</v>
          </cell>
          <cell r="M220">
            <v>46044</v>
          </cell>
          <cell r="N220">
            <v>46045</v>
          </cell>
          <cell r="O220">
            <v>1</v>
          </cell>
          <cell r="P220">
            <v>46048</v>
          </cell>
          <cell r="Q220">
            <v>5</v>
          </cell>
          <cell r="R220" t="str">
            <v>NA</v>
          </cell>
          <cell r="S220">
            <v>5</v>
          </cell>
        </row>
        <row r="221">
          <cell r="B221" t="str">
            <v>MNC</v>
          </cell>
          <cell r="C221" t="str">
            <v>HSLB15000</v>
          </cell>
          <cell r="D221">
            <v>204014</v>
          </cell>
          <cell r="E221" t="str">
            <v>Sillón 2 Cuerpo</v>
          </cell>
          <cell r="F221" t="str">
            <v>NO</v>
          </cell>
          <cell r="G221" t="str">
            <v>NO</v>
          </cell>
          <cell r="H221" t="str">
            <v>SALA DE ESPERA</v>
          </cell>
          <cell r="I221">
            <v>10</v>
          </cell>
          <cell r="J221" t="str">
            <v>C.3.4.4.1</v>
          </cell>
          <cell r="K221" t="str">
            <v>Administración y apoyo general</v>
          </cell>
          <cell r="L221">
            <v>6</v>
          </cell>
          <cell r="M221">
            <v>46044</v>
          </cell>
          <cell r="N221">
            <v>46045</v>
          </cell>
          <cell r="O221">
            <v>1</v>
          </cell>
          <cell r="P221">
            <v>46048</v>
          </cell>
          <cell r="Q221">
            <v>5</v>
          </cell>
          <cell r="R221" t="str">
            <v>NA</v>
          </cell>
          <cell r="S221">
            <v>5</v>
          </cell>
        </row>
        <row r="222">
          <cell r="B222" t="str">
            <v>MNC</v>
          </cell>
          <cell r="C222" t="str">
            <v>HSLB15074</v>
          </cell>
          <cell r="D222">
            <v>204015</v>
          </cell>
          <cell r="E222" t="str">
            <v>Sillón Bergere</v>
          </cell>
          <cell r="F222" t="str">
            <v>NO</v>
          </cell>
          <cell r="G222" t="str">
            <v>NO</v>
          </cell>
          <cell r="H222" t="str">
            <v>SALA 4 CAMAS</v>
          </cell>
          <cell r="I222">
            <v>4</v>
          </cell>
          <cell r="J222" t="str">
            <v>C.3.4.4.12.1</v>
          </cell>
          <cell r="K222" t="str">
            <v>Hospitalización</v>
          </cell>
          <cell r="L222">
            <v>6</v>
          </cell>
          <cell r="M222">
            <v>46044</v>
          </cell>
          <cell r="N222">
            <v>46045</v>
          </cell>
          <cell r="O222">
            <v>1</v>
          </cell>
          <cell r="P222">
            <v>46048</v>
          </cell>
          <cell r="Q222">
            <v>5</v>
          </cell>
          <cell r="R222" t="str">
            <v>NA</v>
          </cell>
          <cell r="S222">
            <v>5</v>
          </cell>
        </row>
        <row r="223">
          <cell r="B223" t="str">
            <v>MNC</v>
          </cell>
          <cell r="C223" t="str">
            <v>HSLB15091</v>
          </cell>
          <cell r="D223">
            <v>204015</v>
          </cell>
          <cell r="E223" t="str">
            <v>Sillón Bergere</v>
          </cell>
          <cell r="F223" t="str">
            <v>NO</v>
          </cell>
          <cell r="G223" t="str">
            <v>NO</v>
          </cell>
          <cell r="H223" t="str">
            <v>SALA 3 CAMAS</v>
          </cell>
          <cell r="I223">
            <v>3</v>
          </cell>
          <cell r="J223" t="str">
            <v>C.3.4.4.12.10</v>
          </cell>
          <cell r="K223" t="str">
            <v>Hospitalización</v>
          </cell>
          <cell r="L223">
            <v>6</v>
          </cell>
          <cell r="M223">
            <v>46044</v>
          </cell>
          <cell r="N223">
            <v>46045</v>
          </cell>
          <cell r="O223">
            <v>1</v>
          </cell>
          <cell r="P223">
            <v>46048</v>
          </cell>
          <cell r="Q223">
            <v>5</v>
          </cell>
          <cell r="R223" t="str">
            <v>NA</v>
          </cell>
          <cell r="S223">
            <v>5</v>
          </cell>
        </row>
        <row r="224">
          <cell r="B224" t="str">
            <v>MNC</v>
          </cell>
          <cell r="C224" t="str">
            <v>HSLB15075</v>
          </cell>
          <cell r="D224">
            <v>204015</v>
          </cell>
          <cell r="E224" t="str">
            <v>Sillón Bergere</v>
          </cell>
          <cell r="F224" t="str">
            <v>NO</v>
          </cell>
          <cell r="G224" t="str">
            <v>NO</v>
          </cell>
          <cell r="H224" t="str">
            <v>SALA 4 CAMAS</v>
          </cell>
          <cell r="I224">
            <v>4</v>
          </cell>
          <cell r="J224" t="str">
            <v>C.3.4.4.12.2</v>
          </cell>
          <cell r="K224" t="str">
            <v>Hospitalización</v>
          </cell>
          <cell r="L224">
            <v>6</v>
          </cell>
          <cell r="M224">
            <v>46044</v>
          </cell>
          <cell r="N224">
            <v>46045</v>
          </cell>
          <cell r="O224">
            <v>1</v>
          </cell>
          <cell r="P224">
            <v>46048</v>
          </cell>
          <cell r="Q224">
            <v>5</v>
          </cell>
          <cell r="R224" t="str">
            <v>NA</v>
          </cell>
          <cell r="S224">
            <v>5</v>
          </cell>
        </row>
        <row r="225">
          <cell r="B225" t="str">
            <v>MNC</v>
          </cell>
          <cell r="C225" t="str">
            <v>HSLB15076</v>
          </cell>
          <cell r="D225">
            <v>204015</v>
          </cell>
          <cell r="E225" t="str">
            <v>Sillón Bergere</v>
          </cell>
          <cell r="F225" t="str">
            <v>NO</v>
          </cell>
          <cell r="G225" t="str">
            <v>NO</v>
          </cell>
          <cell r="H225" t="str">
            <v>SALA 4 CAMAS</v>
          </cell>
          <cell r="I225">
            <v>4</v>
          </cell>
          <cell r="J225" t="str">
            <v>C.3.4.4.12.3</v>
          </cell>
          <cell r="K225" t="str">
            <v>Hospitalización</v>
          </cell>
          <cell r="L225">
            <v>6</v>
          </cell>
          <cell r="M225">
            <v>46044</v>
          </cell>
          <cell r="N225">
            <v>46045</v>
          </cell>
          <cell r="O225">
            <v>1</v>
          </cell>
          <cell r="P225">
            <v>46048</v>
          </cell>
          <cell r="Q225">
            <v>5</v>
          </cell>
          <cell r="R225" t="str">
            <v>NA</v>
          </cell>
          <cell r="S225">
            <v>5</v>
          </cell>
        </row>
        <row r="226">
          <cell r="B226" t="str">
            <v>MNC</v>
          </cell>
          <cell r="C226" t="str">
            <v>HSLB15077</v>
          </cell>
          <cell r="D226">
            <v>204015</v>
          </cell>
          <cell r="E226" t="str">
            <v>Sillón Bergere</v>
          </cell>
          <cell r="F226" t="str">
            <v>NO</v>
          </cell>
          <cell r="G226" t="str">
            <v>SI</v>
          </cell>
          <cell r="H226" t="str">
            <v>SALA 4 CAMAS</v>
          </cell>
          <cell r="I226">
            <v>4</v>
          </cell>
          <cell r="J226" t="str">
            <v>C.3.4.4.12.4</v>
          </cell>
          <cell r="K226" t="str">
            <v>Hospitalización</v>
          </cell>
          <cell r="L226">
            <v>6</v>
          </cell>
          <cell r="M226">
            <v>46003</v>
          </cell>
          <cell r="N226">
            <v>46006</v>
          </cell>
          <cell r="O226">
            <v>1</v>
          </cell>
          <cell r="P226">
            <v>46007</v>
          </cell>
          <cell r="Q226">
            <v>5</v>
          </cell>
          <cell r="R226" t="str">
            <v>NA</v>
          </cell>
          <cell r="S226">
            <v>5</v>
          </cell>
        </row>
        <row r="227">
          <cell r="B227" t="str">
            <v>MNC</v>
          </cell>
          <cell r="C227" t="str">
            <v>HSLB15078</v>
          </cell>
          <cell r="D227">
            <v>204015</v>
          </cell>
          <cell r="E227" t="str">
            <v>Sillón Bergere</v>
          </cell>
          <cell r="F227" t="str">
            <v>NO</v>
          </cell>
          <cell r="G227" t="str">
            <v>NO</v>
          </cell>
          <cell r="H227" t="str">
            <v>SALA 4 CAMAS</v>
          </cell>
          <cell r="I227">
            <v>4</v>
          </cell>
          <cell r="J227" t="str">
            <v>C.3.4.4.12.5</v>
          </cell>
          <cell r="K227" t="str">
            <v>Hospitalización</v>
          </cell>
          <cell r="L227">
            <v>6</v>
          </cell>
          <cell r="M227">
            <v>46044</v>
          </cell>
          <cell r="N227">
            <v>46045</v>
          </cell>
          <cell r="O227">
            <v>1</v>
          </cell>
          <cell r="P227">
            <v>46048</v>
          </cell>
          <cell r="Q227">
            <v>5</v>
          </cell>
          <cell r="R227" t="str">
            <v>NA</v>
          </cell>
          <cell r="S227">
            <v>5</v>
          </cell>
        </row>
        <row r="228">
          <cell r="B228" t="str">
            <v>MNC</v>
          </cell>
          <cell r="C228" t="str">
            <v>HSLB15079</v>
          </cell>
          <cell r="D228">
            <v>204015</v>
          </cell>
          <cell r="E228" t="str">
            <v>Sillón Bergere</v>
          </cell>
          <cell r="F228" t="str">
            <v>NO</v>
          </cell>
          <cell r="G228" t="str">
            <v>NO</v>
          </cell>
          <cell r="H228" t="str">
            <v>SALA 4 CAMAS</v>
          </cell>
          <cell r="I228">
            <v>4</v>
          </cell>
          <cell r="J228" t="str">
            <v>C.3.4.4.12.6</v>
          </cell>
          <cell r="K228" t="str">
            <v>Hospitalización</v>
          </cell>
          <cell r="L228">
            <v>6</v>
          </cell>
          <cell r="M228">
            <v>46044</v>
          </cell>
          <cell r="N228">
            <v>46045</v>
          </cell>
          <cell r="O228">
            <v>1</v>
          </cell>
          <cell r="P228">
            <v>46048</v>
          </cell>
          <cell r="Q228">
            <v>5</v>
          </cell>
          <cell r="R228" t="str">
            <v>NA</v>
          </cell>
          <cell r="S228">
            <v>5</v>
          </cell>
        </row>
        <row r="229">
          <cell r="B229" t="str">
            <v>MNC</v>
          </cell>
          <cell r="C229" t="str">
            <v>HSLB15080</v>
          </cell>
          <cell r="D229">
            <v>204015</v>
          </cell>
          <cell r="E229" t="str">
            <v>Sillón Bergere</v>
          </cell>
          <cell r="F229" t="str">
            <v>NO</v>
          </cell>
          <cell r="G229" t="str">
            <v>SI</v>
          </cell>
          <cell r="H229" t="str">
            <v>SALA 4 CAMAS</v>
          </cell>
          <cell r="I229">
            <v>4</v>
          </cell>
          <cell r="J229" t="str">
            <v>C.3.4.4.12.7</v>
          </cell>
          <cell r="K229" t="str">
            <v>Hospitalización</v>
          </cell>
          <cell r="L229">
            <v>6</v>
          </cell>
          <cell r="M229">
            <v>46003</v>
          </cell>
          <cell r="N229">
            <v>46006</v>
          </cell>
          <cell r="O229">
            <v>1</v>
          </cell>
          <cell r="P229">
            <v>46007</v>
          </cell>
          <cell r="Q229">
            <v>5</v>
          </cell>
          <cell r="R229" t="str">
            <v>NA</v>
          </cell>
          <cell r="S229">
            <v>5</v>
          </cell>
        </row>
        <row r="230">
          <cell r="B230" t="str">
            <v>MNC</v>
          </cell>
          <cell r="C230" t="str">
            <v>HSLB15081</v>
          </cell>
          <cell r="D230">
            <v>204015</v>
          </cell>
          <cell r="E230" t="str">
            <v>Sillón Bergere</v>
          </cell>
          <cell r="F230" t="str">
            <v>NO</v>
          </cell>
          <cell r="G230" t="str">
            <v>NO</v>
          </cell>
          <cell r="H230" t="str">
            <v>SALA 4 CAMAS</v>
          </cell>
          <cell r="I230">
            <v>4</v>
          </cell>
          <cell r="J230" t="str">
            <v>C.3.4.4.12.8</v>
          </cell>
          <cell r="K230" t="str">
            <v>Hospitalización</v>
          </cell>
          <cell r="L230">
            <v>6</v>
          </cell>
          <cell r="M230">
            <v>46044</v>
          </cell>
          <cell r="N230">
            <v>46045</v>
          </cell>
          <cell r="O230">
            <v>1</v>
          </cell>
          <cell r="P230">
            <v>46048</v>
          </cell>
          <cell r="Q230">
            <v>5</v>
          </cell>
          <cell r="R230" t="str">
            <v>NA</v>
          </cell>
          <cell r="S230">
            <v>5</v>
          </cell>
        </row>
        <row r="231">
          <cell r="B231" t="str">
            <v>MNC</v>
          </cell>
          <cell r="C231" t="str">
            <v>HSLB15082</v>
          </cell>
          <cell r="D231">
            <v>204015</v>
          </cell>
          <cell r="E231" t="str">
            <v>Sillón Bergere</v>
          </cell>
          <cell r="F231" t="str">
            <v>NO</v>
          </cell>
          <cell r="G231" t="str">
            <v>NO</v>
          </cell>
          <cell r="H231" t="str">
            <v>SALA 4 CAMAS</v>
          </cell>
          <cell r="I231">
            <v>4</v>
          </cell>
          <cell r="J231" t="str">
            <v>C.3.4.4.12.9</v>
          </cell>
          <cell r="K231" t="str">
            <v>Hospitalización</v>
          </cell>
          <cell r="L231">
            <v>6</v>
          </cell>
          <cell r="M231">
            <v>46044</v>
          </cell>
          <cell r="N231">
            <v>46045</v>
          </cell>
          <cell r="O231">
            <v>1</v>
          </cell>
          <cell r="P231">
            <v>46048</v>
          </cell>
          <cell r="Q231">
            <v>5</v>
          </cell>
          <cell r="R231" t="str">
            <v>NA</v>
          </cell>
          <cell r="S231">
            <v>5</v>
          </cell>
        </row>
        <row r="232">
          <cell r="B232" t="str">
            <v>MNC</v>
          </cell>
          <cell r="C232" t="str">
            <v>HSLB15083</v>
          </cell>
          <cell r="D232">
            <v>204015</v>
          </cell>
          <cell r="E232" t="str">
            <v>Sillón Bergere</v>
          </cell>
          <cell r="F232" t="str">
            <v>NO</v>
          </cell>
          <cell r="G232" t="str">
            <v>NO</v>
          </cell>
          <cell r="H232" t="str">
            <v>SALA 1 CAMA</v>
          </cell>
          <cell r="I232">
            <v>1</v>
          </cell>
          <cell r="J232" t="str">
            <v>C.3.4.4.13.1</v>
          </cell>
          <cell r="K232" t="str">
            <v>Hospitalización</v>
          </cell>
          <cell r="L232">
            <v>6</v>
          </cell>
          <cell r="M232">
            <v>46044</v>
          </cell>
          <cell r="N232">
            <v>46045</v>
          </cell>
          <cell r="O232">
            <v>1</v>
          </cell>
          <cell r="P232">
            <v>46048</v>
          </cell>
          <cell r="Q232">
            <v>5</v>
          </cell>
          <cell r="R232" t="str">
            <v>NA</v>
          </cell>
          <cell r="S232">
            <v>5</v>
          </cell>
        </row>
        <row r="233">
          <cell r="B233" t="str">
            <v>MNC</v>
          </cell>
          <cell r="C233" t="str">
            <v>HSLB15084</v>
          </cell>
          <cell r="D233">
            <v>204015</v>
          </cell>
          <cell r="E233" t="str">
            <v>Sillón Bergere</v>
          </cell>
          <cell r="F233" t="str">
            <v>NO</v>
          </cell>
          <cell r="G233" t="str">
            <v>NO</v>
          </cell>
          <cell r="H233" t="str">
            <v>SALA 1 CAMA</v>
          </cell>
          <cell r="I233">
            <v>1</v>
          </cell>
          <cell r="J233" t="str">
            <v>C.3.4.4.13.2</v>
          </cell>
          <cell r="K233" t="str">
            <v>Hospitalización</v>
          </cell>
          <cell r="L233">
            <v>6</v>
          </cell>
          <cell r="M233">
            <v>46044</v>
          </cell>
          <cell r="N233">
            <v>46045</v>
          </cell>
          <cell r="O233">
            <v>1</v>
          </cell>
          <cell r="P233">
            <v>46048</v>
          </cell>
          <cell r="Q233">
            <v>5</v>
          </cell>
          <cell r="R233" t="str">
            <v>NA</v>
          </cell>
          <cell r="S233">
            <v>5</v>
          </cell>
        </row>
        <row r="234">
          <cell r="B234" t="str">
            <v>MNC</v>
          </cell>
          <cell r="C234" t="str">
            <v>HSLB15085</v>
          </cell>
          <cell r="D234">
            <v>204015</v>
          </cell>
          <cell r="E234" t="str">
            <v>Sillón Bergere</v>
          </cell>
          <cell r="F234" t="str">
            <v>NO</v>
          </cell>
          <cell r="G234" t="str">
            <v>NO</v>
          </cell>
          <cell r="H234" t="str">
            <v>SALA 1 CAMA</v>
          </cell>
          <cell r="I234">
            <v>1</v>
          </cell>
          <cell r="J234" t="str">
            <v>C.3.4.4.13.3</v>
          </cell>
          <cell r="K234" t="str">
            <v>Hospitalización</v>
          </cell>
          <cell r="L234">
            <v>6</v>
          </cell>
          <cell r="M234">
            <v>46044</v>
          </cell>
          <cell r="N234">
            <v>46045</v>
          </cell>
          <cell r="O234">
            <v>1</v>
          </cell>
          <cell r="P234">
            <v>46048</v>
          </cell>
          <cell r="Q234">
            <v>5</v>
          </cell>
          <cell r="R234" t="str">
            <v>NA</v>
          </cell>
          <cell r="S234">
            <v>5</v>
          </cell>
        </row>
        <row r="235">
          <cell r="B235" t="str">
            <v>MNC</v>
          </cell>
          <cell r="C235" t="str">
            <v>HSLB15086</v>
          </cell>
          <cell r="D235">
            <v>204015</v>
          </cell>
          <cell r="E235" t="str">
            <v>Sillón Bergere</v>
          </cell>
          <cell r="F235" t="str">
            <v>NO</v>
          </cell>
          <cell r="G235" t="str">
            <v>NO</v>
          </cell>
          <cell r="H235" t="str">
            <v>SALA 1 CAMA</v>
          </cell>
          <cell r="I235">
            <v>1</v>
          </cell>
          <cell r="J235" t="str">
            <v>C.3.4.4.13.4</v>
          </cell>
          <cell r="K235" t="str">
            <v>Hospitalización</v>
          </cell>
          <cell r="L235">
            <v>6</v>
          </cell>
          <cell r="M235">
            <v>46044</v>
          </cell>
          <cell r="N235">
            <v>46045</v>
          </cell>
          <cell r="O235">
            <v>1</v>
          </cell>
          <cell r="P235">
            <v>46048</v>
          </cell>
          <cell r="Q235">
            <v>5</v>
          </cell>
          <cell r="R235" t="str">
            <v>NA</v>
          </cell>
          <cell r="S235">
            <v>5</v>
          </cell>
        </row>
        <row r="236">
          <cell r="B236" t="str">
            <v>MNC</v>
          </cell>
          <cell r="C236" t="str">
            <v>HSLB15285</v>
          </cell>
          <cell r="D236">
            <v>204006</v>
          </cell>
          <cell r="E236" t="str">
            <v>Silla Ergonómica</v>
          </cell>
          <cell r="F236" t="str">
            <v>NO</v>
          </cell>
          <cell r="G236" t="str">
            <v>NO</v>
          </cell>
          <cell r="H236" t="str">
            <v>SALA DE PROCEDIMIENTOS</v>
          </cell>
          <cell r="I236">
            <v>1</v>
          </cell>
          <cell r="J236" t="str">
            <v>C.3.4.4.15</v>
          </cell>
          <cell r="K236" t="str">
            <v>Hospitalización</v>
          </cell>
          <cell r="L236">
            <v>6</v>
          </cell>
          <cell r="M236">
            <v>46044</v>
          </cell>
          <cell r="N236">
            <v>46045</v>
          </cell>
          <cell r="O236">
            <v>1</v>
          </cell>
          <cell r="P236">
            <v>46048</v>
          </cell>
          <cell r="Q236">
            <v>5</v>
          </cell>
          <cell r="R236" t="str">
            <v>NA</v>
          </cell>
          <cell r="S236">
            <v>5</v>
          </cell>
        </row>
        <row r="237">
          <cell r="B237" t="str">
            <v>MNC</v>
          </cell>
          <cell r="C237" t="str">
            <v>HSLB15286</v>
          </cell>
          <cell r="D237">
            <v>204012</v>
          </cell>
          <cell r="E237" t="str">
            <v>Silla Visita</v>
          </cell>
          <cell r="F237" t="str">
            <v>NO</v>
          </cell>
          <cell r="G237" t="str">
            <v>NO</v>
          </cell>
          <cell r="H237" t="str">
            <v>SALA DE PROCEDIMIENTOS</v>
          </cell>
          <cell r="I237">
            <v>1</v>
          </cell>
          <cell r="J237" t="str">
            <v>C.3.4.4.15</v>
          </cell>
          <cell r="K237" t="str">
            <v>Hospitalización</v>
          </cell>
          <cell r="L237">
            <v>6</v>
          </cell>
          <cell r="M237">
            <v>46044</v>
          </cell>
          <cell r="N237">
            <v>46045</v>
          </cell>
          <cell r="O237">
            <v>1</v>
          </cell>
          <cell r="P237">
            <v>46048</v>
          </cell>
          <cell r="Q237">
            <v>5</v>
          </cell>
          <cell r="R237" t="str">
            <v>NA</v>
          </cell>
          <cell r="S237">
            <v>5</v>
          </cell>
        </row>
        <row r="238">
          <cell r="B238" t="str">
            <v>MNC</v>
          </cell>
          <cell r="C238" t="str">
            <v>HSLB15287</v>
          </cell>
          <cell r="D238">
            <v>201001</v>
          </cell>
          <cell r="E238" t="str">
            <v>Estación de Trabajo</v>
          </cell>
          <cell r="F238" t="str">
            <v>NO</v>
          </cell>
          <cell r="G238" t="str">
            <v>NO</v>
          </cell>
          <cell r="H238" t="str">
            <v>SALA DE PROCEDIMIENTOS</v>
          </cell>
          <cell r="I238">
            <v>1</v>
          </cell>
          <cell r="J238" t="str">
            <v>C.3.4.4.15</v>
          </cell>
          <cell r="K238" t="str">
            <v>Hospitalización</v>
          </cell>
          <cell r="L238">
            <v>6</v>
          </cell>
          <cell r="M238">
            <v>46044</v>
          </cell>
          <cell r="N238">
            <v>46045</v>
          </cell>
          <cell r="O238">
            <v>1</v>
          </cell>
          <cell r="P238">
            <v>46048</v>
          </cell>
          <cell r="Q238">
            <v>5</v>
          </cell>
          <cell r="R238" t="str">
            <v>NA</v>
          </cell>
          <cell r="S238">
            <v>5</v>
          </cell>
        </row>
        <row r="239">
          <cell r="B239" t="str">
            <v>MNC</v>
          </cell>
          <cell r="C239" t="str">
            <v>HSLB14319</v>
          </cell>
          <cell r="D239">
            <v>204006</v>
          </cell>
          <cell r="E239" t="str">
            <v>Silla Ergonómica</v>
          </cell>
          <cell r="F239" t="str">
            <v>NO</v>
          </cell>
          <cell r="G239" t="str">
            <v>NO</v>
          </cell>
          <cell r="H239" t="str">
            <v>MESÓN DE RECEPCIÓN</v>
          </cell>
          <cell r="I239">
            <v>1</v>
          </cell>
          <cell r="J239" t="str">
            <v>C.3.4.4.2</v>
          </cell>
          <cell r="K239" t="str">
            <v>Administración y apoyo general</v>
          </cell>
          <cell r="L239">
            <v>6</v>
          </cell>
          <cell r="M239">
            <v>46044</v>
          </cell>
          <cell r="N239">
            <v>46045</v>
          </cell>
          <cell r="O239">
            <v>1</v>
          </cell>
          <cell r="P239">
            <v>46048</v>
          </cell>
          <cell r="Q239">
            <v>5</v>
          </cell>
          <cell r="R239" t="str">
            <v>NA</v>
          </cell>
          <cell r="S239">
            <v>5</v>
          </cell>
        </row>
        <row r="240">
          <cell r="B240" t="str">
            <v>MNC</v>
          </cell>
          <cell r="C240" t="str">
            <v>HSLB13406</v>
          </cell>
          <cell r="D240">
            <v>201011</v>
          </cell>
          <cell r="E240" t="str">
            <v>Mesa Tipo Casino</v>
          </cell>
          <cell r="F240" t="str">
            <v>NO</v>
          </cell>
          <cell r="G240" t="str">
            <v>NO</v>
          </cell>
          <cell r="H240" t="str">
            <v>ESTAR PERSONAL C/ KITCHENETTE</v>
          </cell>
          <cell r="I240">
            <v>1</v>
          </cell>
          <cell r="J240" t="str">
            <v>C.3.4.4.24.1</v>
          </cell>
          <cell r="K240" t="str">
            <v>Administración y apoyo general</v>
          </cell>
          <cell r="L240">
            <v>6</v>
          </cell>
          <cell r="M240">
            <v>46044</v>
          </cell>
          <cell r="N240">
            <v>46045</v>
          </cell>
          <cell r="O240">
            <v>1</v>
          </cell>
          <cell r="P240">
            <v>46048</v>
          </cell>
          <cell r="Q240">
            <v>5</v>
          </cell>
          <cell r="R240" t="str">
            <v>NA</v>
          </cell>
          <cell r="S240">
            <v>5</v>
          </cell>
        </row>
        <row r="241">
          <cell r="B241" t="str">
            <v>MNC</v>
          </cell>
          <cell r="C241" t="str">
            <v>HSLB14592</v>
          </cell>
          <cell r="D241">
            <v>204010</v>
          </cell>
          <cell r="E241" t="str">
            <v>Silla tipo Casino</v>
          </cell>
          <cell r="F241" t="str">
            <v>NO</v>
          </cell>
          <cell r="G241" t="str">
            <v>NO</v>
          </cell>
          <cell r="H241" t="str">
            <v>ESTAR PERSONAL C/ KITCHENETTE</v>
          </cell>
          <cell r="I241">
            <v>4</v>
          </cell>
          <cell r="J241" t="str">
            <v>C.3.4.4.24.1</v>
          </cell>
          <cell r="K241" t="str">
            <v>Administración y apoyo general</v>
          </cell>
          <cell r="L241">
            <v>6</v>
          </cell>
          <cell r="M241">
            <v>46044</v>
          </cell>
          <cell r="N241">
            <v>46045</v>
          </cell>
          <cell r="O241">
            <v>1</v>
          </cell>
          <cell r="P241">
            <v>46048</v>
          </cell>
          <cell r="Q241">
            <v>5</v>
          </cell>
          <cell r="R241" t="str">
            <v>NA</v>
          </cell>
          <cell r="S241">
            <v>5</v>
          </cell>
        </row>
        <row r="242">
          <cell r="B242" t="str">
            <v>MNC</v>
          </cell>
          <cell r="C242" t="str">
            <v>HSLB15001</v>
          </cell>
          <cell r="D242">
            <v>204014</v>
          </cell>
          <cell r="E242" t="str">
            <v>Sillón 2 Cuerpo</v>
          </cell>
          <cell r="F242" t="str">
            <v>NO</v>
          </cell>
          <cell r="G242" t="str">
            <v>NO</v>
          </cell>
          <cell r="H242" t="str">
            <v>ESTAR PERSONAL C/ KITCHENETTE</v>
          </cell>
          <cell r="I242">
            <v>1</v>
          </cell>
          <cell r="J242" t="str">
            <v>C.3.4.4.24.1</v>
          </cell>
          <cell r="K242" t="str">
            <v>Administración y apoyo general</v>
          </cell>
          <cell r="L242">
            <v>6</v>
          </cell>
          <cell r="M242">
            <v>46044</v>
          </cell>
          <cell r="N242">
            <v>46045</v>
          </cell>
          <cell r="O242">
            <v>1</v>
          </cell>
          <cell r="P242">
            <v>46048</v>
          </cell>
          <cell r="Q242">
            <v>5</v>
          </cell>
          <cell r="R242" t="str">
            <v>NA</v>
          </cell>
          <cell r="S242">
            <v>5</v>
          </cell>
        </row>
        <row r="243">
          <cell r="B243" t="str">
            <v>MNC</v>
          </cell>
          <cell r="C243" t="str">
            <v>HSLB13407</v>
          </cell>
          <cell r="D243">
            <v>201011</v>
          </cell>
          <cell r="E243" t="str">
            <v>Mesa Tipo Casino</v>
          </cell>
          <cell r="F243" t="str">
            <v>NO</v>
          </cell>
          <cell r="G243" t="str">
            <v>NO</v>
          </cell>
          <cell r="H243" t="str">
            <v>ESTAR PERSONAL C/ KITCHENETTE</v>
          </cell>
          <cell r="I243">
            <v>1</v>
          </cell>
          <cell r="J243" t="str">
            <v>C.3.4.4.24.2</v>
          </cell>
          <cell r="K243" t="str">
            <v>Administración y apoyo general</v>
          </cell>
          <cell r="L243">
            <v>6</v>
          </cell>
          <cell r="M243">
            <v>46044</v>
          </cell>
          <cell r="N243">
            <v>46045</v>
          </cell>
          <cell r="O243">
            <v>1</v>
          </cell>
          <cell r="P243">
            <v>46048</v>
          </cell>
          <cell r="Q243">
            <v>5</v>
          </cell>
          <cell r="R243" t="str">
            <v>NA</v>
          </cell>
          <cell r="S243">
            <v>5</v>
          </cell>
        </row>
        <row r="244">
          <cell r="B244" t="str">
            <v>MNC</v>
          </cell>
          <cell r="C244" t="str">
            <v>HSLB14593</v>
          </cell>
          <cell r="D244">
            <v>204010</v>
          </cell>
          <cell r="E244" t="str">
            <v>Silla tipo Casino</v>
          </cell>
          <cell r="F244" t="str">
            <v>NO</v>
          </cell>
          <cell r="G244" t="str">
            <v>NO</v>
          </cell>
          <cell r="H244" t="str">
            <v>ESTAR PERSONAL C/ KITCHENETTE</v>
          </cell>
          <cell r="I244">
            <v>4</v>
          </cell>
          <cell r="J244" t="str">
            <v>C.3.4.4.24.2</v>
          </cell>
          <cell r="K244" t="str">
            <v>Administración y apoyo general</v>
          </cell>
          <cell r="L244">
            <v>6</v>
          </cell>
          <cell r="M244">
            <v>46044</v>
          </cell>
          <cell r="N244">
            <v>46045</v>
          </cell>
          <cell r="O244">
            <v>1</v>
          </cell>
          <cell r="P244">
            <v>46048</v>
          </cell>
          <cell r="Q244">
            <v>5</v>
          </cell>
          <cell r="R244" t="str">
            <v>NA</v>
          </cell>
          <cell r="S244">
            <v>5</v>
          </cell>
        </row>
        <row r="245">
          <cell r="B245" t="str">
            <v>MNC</v>
          </cell>
          <cell r="C245" t="str">
            <v>HSLB15002</v>
          </cell>
          <cell r="D245">
            <v>204014</v>
          </cell>
          <cell r="E245" t="str">
            <v>Sillón 2 Cuerpo</v>
          </cell>
          <cell r="F245" t="str">
            <v>NO</v>
          </cell>
          <cell r="G245" t="str">
            <v>NO</v>
          </cell>
          <cell r="H245" t="str">
            <v>ESTAR PERSONAL C/ KITCHENETTE</v>
          </cell>
          <cell r="I245">
            <v>1</v>
          </cell>
          <cell r="J245" t="str">
            <v>C.3.4.4.24.2</v>
          </cell>
          <cell r="K245" t="str">
            <v>Administración y apoyo general</v>
          </cell>
          <cell r="L245">
            <v>6</v>
          </cell>
          <cell r="M245">
            <v>46044</v>
          </cell>
          <cell r="N245">
            <v>46045</v>
          </cell>
          <cell r="O245">
            <v>1</v>
          </cell>
          <cell r="P245">
            <v>46048</v>
          </cell>
          <cell r="Q245">
            <v>5</v>
          </cell>
          <cell r="R245" t="str">
            <v>NA</v>
          </cell>
          <cell r="S245">
            <v>5</v>
          </cell>
        </row>
        <row r="246">
          <cell r="B246" t="str">
            <v>MNC</v>
          </cell>
          <cell r="C246" t="str">
            <v>HSLB13293</v>
          </cell>
          <cell r="D246">
            <v>201002</v>
          </cell>
          <cell r="E246" t="str">
            <v>Mesa Lateral</v>
          </cell>
          <cell r="F246" t="str">
            <v>NO</v>
          </cell>
          <cell r="G246" t="str">
            <v>NO</v>
          </cell>
          <cell r="H246" t="str">
            <v>SALA DE ESTAR FAMILIARES Y ENTREVISTAS</v>
          </cell>
          <cell r="I246">
            <v>2</v>
          </cell>
          <cell r="J246" t="str">
            <v>C.3.4.4.4</v>
          </cell>
          <cell r="K246" t="str">
            <v>Administración y apoyo general</v>
          </cell>
          <cell r="L246">
            <v>6</v>
          </cell>
          <cell r="M246">
            <v>46044</v>
          </cell>
          <cell r="N246">
            <v>46045</v>
          </cell>
          <cell r="O246">
            <v>1</v>
          </cell>
          <cell r="P246">
            <v>46048</v>
          </cell>
          <cell r="Q246">
            <v>5</v>
          </cell>
          <cell r="R246" t="str">
            <v>NA</v>
          </cell>
          <cell r="S246">
            <v>5</v>
          </cell>
        </row>
        <row r="247">
          <cell r="B247" t="str">
            <v>MNC</v>
          </cell>
          <cell r="C247" t="str">
            <v>HSLB13408</v>
          </cell>
          <cell r="D247">
            <v>201011</v>
          </cell>
          <cell r="E247" t="str">
            <v>Mesa Tipo Casino</v>
          </cell>
          <cell r="F247" t="str">
            <v>NO</v>
          </cell>
          <cell r="G247" t="str">
            <v>NO</v>
          </cell>
          <cell r="H247" t="str">
            <v>SALA DE ESTAR FAMILIARES Y ENTREVISTAS</v>
          </cell>
          <cell r="I247">
            <v>1</v>
          </cell>
          <cell r="J247" t="str">
            <v>C.3.4.4.4</v>
          </cell>
          <cell r="K247" t="str">
            <v>Administración y apoyo general</v>
          </cell>
          <cell r="L247">
            <v>6</v>
          </cell>
          <cell r="M247">
            <v>46044</v>
          </cell>
          <cell r="N247">
            <v>46045</v>
          </cell>
          <cell r="O247">
            <v>1</v>
          </cell>
          <cell r="P247">
            <v>46048</v>
          </cell>
          <cell r="Q247">
            <v>5</v>
          </cell>
          <cell r="R247" t="str">
            <v>NA</v>
          </cell>
          <cell r="S247">
            <v>5</v>
          </cell>
        </row>
        <row r="248">
          <cell r="B248" t="str">
            <v>MNC</v>
          </cell>
          <cell r="C248" t="str">
            <v>HSLB14594</v>
          </cell>
          <cell r="D248">
            <v>204010</v>
          </cell>
          <cell r="E248" t="str">
            <v>Silla tipo Casino</v>
          </cell>
          <cell r="F248" t="str">
            <v>NO</v>
          </cell>
          <cell r="G248" t="str">
            <v>NO</v>
          </cell>
          <cell r="H248" t="str">
            <v>SALA DE ESTAR FAMILIARES Y ENTREVISTAS</v>
          </cell>
          <cell r="I248">
            <v>4</v>
          </cell>
          <cell r="J248" t="str">
            <v>C.3.4.4.4</v>
          </cell>
          <cell r="K248" t="str">
            <v>Administración y apoyo general</v>
          </cell>
          <cell r="L248">
            <v>6</v>
          </cell>
          <cell r="M248">
            <v>46044</v>
          </cell>
          <cell r="N248">
            <v>46045</v>
          </cell>
          <cell r="O248">
            <v>1</v>
          </cell>
          <cell r="P248">
            <v>46048</v>
          </cell>
          <cell r="Q248">
            <v>5</v>
          </cell>
          <cell r="R248" t="str">
            <v>NA</v>
          </cell>
          <cell r="S248">
            <v>5</v>
          </cell>
        </row>
        <row r="249">
          <cell r="B249" t="str">
            <v>MNC</v>
          </cell>
          <cell r="C249" t="str">
            <v>HSLB15003</v>
          </cell>
          <cell r="D249">
            <v>204014</v>
          </cell>
          <cell r="E249" t="str">
            <v>Sillón 2 Cuerpo</v>
          </cell>
          <cell r="F249" t="str">
            <v>NO</v>
          </cell>
          <cell r="G249" t="str">
            <v>NO</v>
          </cell>
          <cell r="H249" t="str">
            <v>SALA DE ESTAR FAMILIARES Y ENTREVISTAS</v>
          </cell>
          <cell r="I249">
            <v>2</v>
          </cell>
          <cell r="J249" t="str">
            <v>C.3.4.4.4</v>
          </cell>
          <cell r="K249" t="str">
            <v>Administración y apoyo general</v>
          </cell>
          <cell r="L249">
            <v>6</v>
          </cell>
          <cell r="M249">
            <v>46044</v>
          </cell>
          <cell r="N249">
            <v>46045</v>
          </cell>
          <cell r="O249">
            <v>1</v>
          </cell>
          <cell r="P249">
            <v>46048</v>
          </cell>
          <cell r="Q249">
            <v>5</v>
          </cell>
          <cell r="R249" t="str">
            <v>NA</v>
          </cell>
          <cell r="S249">
            <v>5</v>
          </cell>
        </row>
        <row r="250">
          <cell r="B250" t="str">
            <v>MNC</v>
          </cell>
          <cell r="C250" t="str">
            <v>HSLB13137</v>
          </cell>
          <cell r="D250">
            <v>201001</v>
          </cell>
          <cell r="E250" t="str">
            <v>Estación de Trabajo</v>
          </cell>
          <cell r="F250" t="str">
            <v>NO</v>
          </cell>
          <cell r="G250" t="str">
            <v>NO</v>
          </cell>
          <cell r="H250" t="str">
            <v>MÓDULO TRABAJO SUPERVISOR</v>
          </cell>
          <cell r="I250">
            <v>1</v>
          </cell>
          <cell r="J250" t="str">
            <v>C.3.4.4.7.1</v>
          </cell>
          <cell r="K250" t="str">
            <v>Administración y apoyo general</v>
          </cell>
          <cell r="L250">
            <v>6</v>
          </cell>
          <cell r="M250">
            <v>46044</v>
          </cell>
          <cell r="N250">
            <v>46045</v>
          </cell>
          <cell r="O250">
            <v>1</v>
          </cell>
          <cell r="P250">
            <v>46048</v>
          </cell>
          <cell r="Q250">
            <v>5</v>
          </cell>
          <cell r="R250" t="str">
            <v>NA</v>
          </cell>
          <cell r="S250">
            <v>5</v>
          </cell>
        </row>
        <row r="251">
          <cell r="B251" t="str">
            <v>MNC</v>
          </cell>
          <cell r="C251" t="str">
            <v>HSLB15289</v>
          </cell>
          <cell r="D251">
            <v>203016</v>
          </cell>
          <cell r="E251" t="str">
            <v>Mueble Tipo Biblioteca</v>
          </cell>
          <cell r="F251" t="str">
            <v>NO</v>
          </cell>
          <cell r="G251" t="str">
            <v>NO</v>
          </cell>
          <cell r="H251" t="str">
            <v>MÓDULO TRABAJO SUPERVISOR</v>
          </cell>
          <cell r="I251">
            <v>1</v>
          </cell>
          <cell r="J251" t="str">
            <v>C.3.4.4.7.1</v>
          </cell>
          <cell r="K251" t="str">
            <v>Administración y apoyo general</v>
          </cell>
          <cell r="L251">
            <v>6</v>
          </cell>
          <cell r="M251">
            <v>46044</v>
          </cell>
          <cell r="N251">
            <v>46045</v>
          </cell>
          <cell r="O251">
            <v>1</v>
          </cell>
          <cell r="P251">
            <v>46048</v>
          </cell>
          <cell r="Q251">
            <v>5</v>
          </cell>
          <cell r="R251" t="str">
            <v>NA</v>
          </cell>
          <cell r="S251">
            <v>5</v>
          </cell>
        </row>
        <row r="252">
          <cell r="B252" t="str">
            <v>MNC</v>
          </cell>
          <cell r="C252" t="str">
            <v>HSLB14320</v>
          </cell>
          <cell r="D252">
            <v>204006</v>
          </cell>
          <cell r="E252" t="str">
            <v>Silla Ergonómica</v>
          </cell>
          <cell r="F252" t="str">
            <v>NO</v>
          </cell>
          <cell r="G252" t="str">
            <v>NO</v>
          </cell>
          <cell r="H252" t="str">
            <v>MÓDULO TRABAJO SUPERVISOR</v>
          </cell>
          <cell r="I252">
            <v>1</v>
          </cell>
          <cell r="J252" t="str">
            <v>C.3.4.4.7.1</v>
          </cell>
          <cell r="K252" t="str">
            <v>Administración y apoyo general</v>
          </cell>
          <cell r="L252">
            <v>6</v>
          </cell>
          <cell r="M252">
            <v>46044</v>
          </cell>
          <cell r="N252">
            <v>46045</v>
          </cell>
          <cell r="O252">
            <v>1</v>
          </cell>
          <cell r="P252">
            <v>46048</v>
          </cell>
          <cell r="Q252">
            <v>5</v>
          </cell>
          <cell r="R252" t="str">
            <v>NA</v>
          </cell>
          <cell r="S252">
            <v>5</v>
          </cell>
        </row>
        <row r="253">
          <cell r="B253" t="str">
            <v>MNC</v>
          </cell>
          <cell r="C253" t="str">
            <v>HSLB15290</v>
          </cell>
          <cell r="D253">
            <v>204012</v>
          </cell>
          <cell r="E253" t="str">
            <v>Silla Visita</v>
          </cell>
          <cell r="F253" t="str">
            <v>NO</v>
          </cell>
          <cell r="G253" t="str">
            <v>NO</v>
          </cell>
          <cell r="H253" t="str">
            <v>MÓDULO TRABAJO SUPERVISOR</v>
          </cell>
          <cell r="I253">
            <v>2</v>
          </cell>
          <cell r="J253" t="str">
            <v>C.3.4.4.7.1</v>
          </cell>
          <cell r="K253" t="str">
            <v>Administración y apoyo general</v>
          </cell>
          <cell r="L253">
            <v>6</v>
          </cell>
          <cell r="M253">
            <v>46044</v>
          </cell>
          <cell r="N253">
            <v>46045</v>
          </cell>
          <cell r="O253">
            <v>1</v>
          </cell>
          <cell r="P253">
            <v>46048</v>
          </cell>
          <cell r="Q253">
            <v>5</v>
          </cell>
          <cell r="R253" t="str">
            <v>NA</v>
          </cell>
          <cell r="S253">
            <v>5</v>
          </cell>
        </row>
        <row r="254">
          <cell r="B254" t="str">
            <v>MNC</v>
          </cell>
          <cell r="C254" t="str">
            <v>HSLB14321</v>
          </cell>
          <cell r="D254">
            <v>204006</v>
          </cell>
          <cell r="E254" t="str">
            <v>Silla Ergonómica</v>
          </cell>
          <cell r="F254" t="str">
            <v>NO</v>
          </cell>
          <cell r="G254" t="str">
            <v>NO</v>
          </cell>
          <cell r="H254" t="str">
            <v>ESTACIÓN DE ENFERMERÍA</v>
          </cell>
          <cell r="I254">
            <v>6</v>
          </cell>
          <cell r="J254" t="str">
            <v>C.3.4.4.8.1</v>
          </cell>
          <cell r="K254" t="str">
            <v>Hospitalización</v>
          </cell>
          <cell r="L254">
            <v>6</v>
          </cell>
          <cell r="M254">
            <v>46044</v>
          </cell>
          <cell r="N254">
            <v>46045</v>
          </cell>
          <cell r="O254">
            <v>1</v>
          </cell>
          <cell r="P254">
            <v>46048</v>
          </cell>
          <cell r="Q254">
            <v>5</v>
          </cell>
          <cell r="R254" t="str">
            <v>NA</v>
          </cell>
          <cell r="S254">
            <v>5</v>
          </cell>
        </row>
        <row r="255">
          <cell r="B255" t="str">
            <v>MNC</v>
          </cell>
          <cell r="C255" t="str">
            <v>HSLB14322</v>
          </cell>
          <cell r="D255">
            <v>204006</v>
          </cell>
          <cell r="E255" t="str">
            <v>Silla Ergonómica</v>
          </cell>
          <cell r="F255" t="str">
            <v>NO</v>
          </cell>
          <cell r="G255" t="str">
            <v>NO</v>
          </cell>
          <cell r="H255" t="str">
            <v>ESTACIÓN DE ENFERMERÍA</v>
          </cell>
          <cell r="I255">
            <v>6</v>
          </cell>
          <cell r="J255" t="str">
            <v>C.3.4.4.8.2</v>
          </cell>
          <cell r="K255" t="str">
            <v>Hospitalización</v>
          </cell>
          <cell r="L255">
            <v>6</v>
          </cell>
          <cell r="M255">
            <v>46044</v>
          </cell>
          <cell r="N255">
            <v>46045</v>
          </cell>
          <cell r="O255">
            <v>1</v>
          </cell>
          <cell r="P255">
            <v>46048</v>
          </cell>
          <cell r="Q255">
            <v>5</v>
          </cell>
          <cell r="R255" t="str">
            <v>NA</v>
          </cell>
          <cell r="S255">
            <v>5</v>
          </cell>
        </row>
        <row r="256">
          <cell r="B256" t="str">
            <v>MNC</v>
          </cell>
          <cell r="C256" t="str">
            <v>HSLB13389</v>
          </cell>
          <cell r="D256">
            <v>201010</v>
          </cell>
          <cell r="E256" t="str">
            <v>Mesa Reuniones Tipo III</v>
          </cell>
          <cell r="F256" t="str">
            <v>NO</v>
          </cell>
          <cell r="G256" t="str">
            <v>NO</v>
          </cell>
          <cell r="H256" t="str">
            <v>SALA DE REUNIONES (20 ppm)</v>
          </cell>
          <cell r="I256">
            <v>1</v>
          </cell>
          <cell r="J256" t="str">
            <v>C.3.8.1</v>
          </cell>
          <cell r="K256" t="str">
            <v>Administración y apoyo general</v>
          </cell>
          <cell r="L256">
            <v>6</v>
          </cell>
          <cell r="M256">
            <v>46044</v>
          </cell>
          <cell r="N256">
            <v>46045</v>
          </cell>
          <cell r="O256">
            <v>1</v>
          </cell>
          <cell r="P256">
            <v>46048</v>
          </cell>
          <cell r="Q256">
            <v>5</v>
          </cell>
          <cell r="R256" t="str">
            <v>NA</v>
          </cell>
          <cell r="S256">
            <v>5</v>
          </cell>
        </row>
        <row r="257">
          <cell r="B257" t="str">
            <v>MNC</v>
          </cell>
          <cell r="C257" t="str">
            <v>HSLB14780</v>
          </cell>
          <cell r="D257">
            <v>204012</v>
          </cell>
          <cell r="E257" t="str">
            <v>Silla Visita</v>
          </cell>
          <cell r="F257" t="str">
            <v>NO</v>
          </cell>
          <cell r="G257" t="str">
            <v>NO</v>
          </cell>
          <cell r="H257" t="str">
            <v>SALA DE REUNIONES (20 ppm)</v>
          </cell>
          <cell r="I257">
            <v>20</v>
          </cell>
          <cell r="J257" t="str">
            <v>C.3.8.1</v>
          </cell>
          <cell r="K257" t="str">
            <v>Administración y apoyo general</v>
          </cell>
          <cell r="L257">
            <v>6</v>
          </cell>
          <cell r="M257">
            <v>46044</v>
          </cell>
          <cell r="N257">
            <v>46045</v>
          </cell>
          <cell r="O257">
            <v>1</v>
          </cell>
          <cell r="P257">
            <v>46048</v>
          </cell>
          <cell r="Q257">
            <v>5</v>
          </cell>
          <cell r="R257" t="str">
            <v>NA</v>
          </cell>
          <cell r="S257">
            <v>5</v>
          </cell>
        </row>
        <row r="258">
          <cell r="B258" t="str">
            <v>MNC</v>
          </cell>
          <cell r="C258" t="str">
            <v>HSLB14131</v>
          </cell>
          <cell r="D258">
            <v>203021</v>
          </cell>
          <cell r="E258" t="str">
            <v>Velador</v>
          </cell>
          <cell r="F258" t="str">
            <v>NO</v>
          </cell>
          <cell r="G258" t="str">
            <v>NO</v>
          </cell>
          <cell r="H258" t="str">
            <v>RESIDENCIA MÉDICA</v>
          </cell>
          <cell r="I258">
            <v>1</v>
          </cell>
          <cell r="J258" t="str">
            <v>C.3.8.3.3</v>
          </cell>
          <cell r="K258" t="str">
            <v>Hospitalización</v>
          </cell>
          <cell r="L258">
            <v>6</v>
          </cell>
          <cell r="M258">
            <v>46044</v>
          </cell>
          <cell r="N258">
            <v>46045</v>
          </cell>
          <cell r="P258">
            <v>46045</v>
          </cell>
          <cell r="Q258">
            <v>5</v>
          </cell>
          <cell r="R258" t="str">
            <v>NA</v>
          </cell>
          <cell r="S258">
            <v>5</v>
          </cell>
        </row>
        <row r="259">
          <cell r="B259" t="str">
            <v>MNC</v>
          </cell>
          <cell r="C259" t="str">
            <v>HSLB15122</v>
          </cell>
          <cell r="D259">
            <v>204015</v>
          </cell>
          <cell r="E259" t="str">
            <v>Sillón Bergere</v>
          </cell>
          <cell r="F259" t="str">
            <v>NO</v>
          </cell>
          <cell r="G259" t="str">
            <v>NO</v>
          </cell>
          <cell r="H259" t="str">
            <v>RESIDENCIA MÉDICA</v>
          </cell>
          <cell r="I259">
            <v>1</v>
          </cell>
          <cell r="J259" t="str">
            <v>C.3.8.3.3</v>
          </cell>
          <cell r="K259" t="str">
            <v>Hospitalización</v>
          </cell>
          <cell r="L259">
            <v>6</v>
          </cell>
          <cell r="M259">
            <v>46044</v>
          </cell>
          <cell r="N259">
            <v>46045</v>
          </cell>
          <cell r="O259">
            <v>1</v>
          </cell>
          <cell r="P259">
            <v>46048</v>
          </cell>
          <cell r="Q259">
            <v>5</v>
          </cell>
          <cell r="R259" t="str">
            <v>NA</v>
          </cell>
          <cell r="S259">
            <v>5</v>
          </cell>
        </row>
        <row r="260">
          <cell r="B260" t="str">
            <v>MNC</v>
          </cell>
          <cell r="C260" t="str">
            <v>HSLB13278</v>
          </cell>
          <cell r="D260">
            <v>201001</v>
          </cell>
          <cell r="E260" t="str">
            <v>Estación de Trabajo</v>
          </cell>
          <cell r="F260" t="str">
            <v>NO</v>
          </cell>
          <cell r="G260" t="str">
            <v>NO</v>
          </cell>
          <cell r="H260" t="str">
            <v>SALA TELEMEDICINA</v>
          </cell>
          <cell r="I260">
            <v>1</v>
          </cell>
          <cell r="J260" t="str">
            <v>C.3.8.4.1</v>
          </cell>
          <cell r="K260" t="str">
            <v>Telemedicina</v>
          </cell>
          <cell r="L260">
            <v>6</v>
          </cell>
          <cell r="M260">
            <v>46044</v>
          </cell>
          <cell r="N260">
            <v>46045</v>
          </cell>
          <cell r="O260">
            <v>1</v>
          </cell>
          <cell r="P260">
            <v>46048</v>
          </cell>
          <cell r="Q260">
            <v>5</v>
          </cell>
          <cell r="R260" t="str">
            <v>NA</v>
          </cell>
          <cell r="S260">
            <v>5</v>
          </cell>
        </row>
        <row r="261">
          <cell r="B261" t="str">
            <v>MNC</v>
          </cell>
          <cell r="C261" t="str">
            <v>HSLB14550</v>
          </cell>
          <cell r="D261">
            <v>204006</v>
          </cell>
          <cell r="E261" t="str">
            <v>Silla Ergonómica</v>
          </cell>
          <cell r="F261" t="str">
            <v>NO</v>
          </cell>
          <cell r="G261" t="str">
            <v>NO</v>
          </cell>
          <cell r="H261" t="str">
            <v>SALA TELEMEDICINA</v>
          </cell>
          <cell r="I261">
            <v>1</v>
          </cell>
          <cell r="J261" t="str">
            <v>C.3.8.4.1</v>
          </cell>
          <cell r="K261" t="str">
            <v>Telemedicina</v>
          </cell>
          <cell r="L261">
            <v>6</v>
          </cell>
          <cell r="M261">
            <v>46044</v>
          </cell>
          <cell r="N261">
            <v>46045</v>
          </cell>
          <cell r="O261">
            <v>1</v>
          </cell>
          <cell r="P261">
            <v>46048</v>
          </cell>
          <cell r="Q261">
            <v>5</v>
          </cell>
          <cell r="R261" t="str">
            <v>NA</v>
          </cell>
          <cell r="S261">
            <v>5</v>
          </cell>
        </row>
        <row r="262">
          <cell r="B262" t="str">
            <v>MNC</v>
          </cell>
          <cell r="C262" t="str">
            <v>HSLB14948</v>
          </cell>
          <cell r="D262">
            <v>204012</v>
          </cell>
          <cell r="E262" t="str">
            <v>Silla Visita</v>
          </cell>
          <cell r="F262" t="str">
            <v>NO</v>
          </cell>
          <cell r="G262" t="str">
            <v>NO</v>
          </cell>
          <cell r="H262" t="str">
            <v>SALA TELEMEDICINA</v>
          </cell>
          <cell r="I262">
            <v>2</v>
          </cell>
          <cell r="J262" t="str">
            <v>C.3.8.4.1</v>
          </cell>
          <cell r="K262" t="str">
            <v>Telemedicina</v>
          </cell>
          <cell r="L262">
            <v>6</v>
          </cell>
          <cell r="M262">
            <v>46044</v>
          </cell>
          <cell r="N262">
            <v>46045</v>
          </cell>
          <cell r="O262">
            <v>1</v>
          </cell>
          <cell r="P262">
            <v>46048</v>
          </cell>
          <cell r="Q262">
            <v>5</v>
          </cell>
          <cell r="R262" t="str">
            <v>NA</v>
          </cell>
          <cell r="S262">
            <v>5</v>
          </cell>
        </row>
        <row r="263">
          <cell r="B263" t="str">
            <v>MNC</v>
          </cell>
          <cell r="C263" t="str">
            <v>HSLB13154</v>
          </cell>
          <cell r="D263">
            <v>201001</v>
          </cell>
          <cell r="E263" t="str">
            <v>Estación de Trabajo</v>
          </cell>
          <cell r="F263" t="str">
            <v>NO</v>
          </cell>
          <cell r="G263" t="str">
            <v>SI</v>
          </cell>
          <cell r="H263" t="str">
            <v>SALA TELEMEDICINA</v>
          </cell>
          <cell r="I263">
            <v>1</v>
          </cell>
          <cell r="J263" t="str">
            <v>C.3.8.4.2</v>
          </cell>
          <cell r="K263" t="str">
            <v>Telemedicina</v>
          </cell>
          <cell r="L263">
            <v>6</v>
          </cell>
          <cell r="M263">
            <v>46003</v>
          </cell>
          <cell r="N263">
            <v>46006</v>
          </cell>
          <cell r="O263">
            <v>1</v>
          </cell>
          <cell r="P263">
            <v>46007</v>
          </cell>
          <cell r="Q263">
            <v>5</v>
          </cell>
          <cell r="R263" t="str">
            <v>NA</v>
          </cell>
          <cell r="S263">
            <v>5</v>
          </cell>
        </row>
        <row r="264">
          <cell r="B264" t="str">
            <v>MNC</v>
          </cell>
          <cell r="C264" t="str">
            <v>HSLB14349</v>
          </cell>
          <cell r="D264">
            <v>204006</v>
          </cell>
          <cell r="E264" t="str">
            <v>Silla Ergonómica</v>
          </cell>
          <cell r="F264" t="str">
            <v>NO</v>
          </cell>
          <cell r="G264" t="str">
            <v>SI</v>
          </cell>
          <cell r="H264" t="str">
            <v>SALA TELEMEDICINA</v>
          </cell>
          <cell r="I264">
            <v>1</v>
          </cell>
          <cell r="J264" t="str">
            <v>C.3.8.4.2</v>
          </cell>
          <cell r="K264" t="str">
            <v>Telemedicina</v>
          </cell>
          <cell r="L264">
            <v>6</v>
          </cell>
          <cell r="M264">
            <v>46003</v>
          </cell>
          <cell r="N264">
            <v>46006</v>
          </cell>
          <cell r="O264">
            <v>1</v>
          </cell>
          <cell r="P264">
            <v>46007</v>
          </cell>
          <cell r="Q264">
            <v>5</v>
          </cell>
          <cell r="R264" t="str">
            <v>NA</v>
          </cell>
          <cell r="S264">
            <v>5</v>
          </cell>
        </row>
        <row r="265">
          <cell r="B265" t="str">
            <v>MNC</v>
          </cell>
          <cell r="C265" t="str">
            <v>HSLB14782</v>
          </cell>
          <cell r="D265">
            <v>204012</v>
          </cell>
          <cell r="E265" t="str">
            <v>Silla Visita</v>
          </cell>
          <cell r="F265" t="str">
            <v>NO</v>
          </cell>
          <cell r="G265" t="str">
            <v>SI</v>
          </cell>
          <cell r="H265" t="str">
            <v>SALA TELEMEDICINA</v>
          </cell>
          <cell r="I265">
            <v>2</v>
          </cell>
          <cell r="J265" t="str">
            <v>C.3.8.4.2</v>
          </cell>
          <cell r="K265" t="str">
            <v>Telemedicina</v>
          </cell>
          <cell r="L265">
            <v>6</v>
          </cell>
          <cell r="M265">
            <v>46003</v>
          </cell>
          <cell r="N265">
            <v>46006</v>
          </cell>
          <cell r="O265">
            <v>1</v>
          </cell>
          <cell r="P265">
            <v>46007</v>
          </cell>
          <cell r="Q265">
            <v>5</v>
          </cell>
          <cell r="R265" t="str">
            <v>NA</v>
          </cell>
          <cell r="S265">
            <v>5</v>
          </cell>
        </row>
        <row r="266">
          <cell r="B266" t="str">
            <v>MNC</v>
          </cell>
          <cell r="C266" t="str">
            <v>HSLB15475</v>
          </cell>
          <cell r="D266">
            <v>203035</v>
          </cell>
          <cell r="E266" t="str">
            <v>Mueble Tipo Biblioteca</v>
          </cell>
          <cell r="F266" t="str">
            <v>NO</v>
          </cell>
          <cell r="G266" t="str">
            <v>SI</v>
          </cell>
          <cell r="H266" t="str">
            <v xml:space="preserve">BODEGA DE INSUMOS </v>
          </cell>
          <cell r="I266">
            <v>0</v>
          </cell>
          <cell r="J266" t="str">
            <v>C.3.4.4.16.1</v>
          </cell>
          <cell r="K266" t="str">
            <v>Hospitalización</v>
          </cell>
          <cell r="L266">
            <v>6</v>
          </cell>
          <cell r="M266">
            <v>46003</v>
          </cell>
          <cell r="N266">
            <v>46006</v>
          </cell>
          <cell r="O266">
            <v>1</v>
          </cell>
          <cell r="P266">
            <v>46007</v>
          </cell>
          <cell r="Q266">
            <v>5</v>
          </cell>
          <cell r="R266" t="str">
            <v>NA</v>
          </cell>
          <cell r="S266">
            <v>5</v>
          </cell>
        </row>
        <row r="267">
          <cell r="B267" t="str">
            <v>MNC</v>
          </cell>
          <cell r="C267" t="str">
            <v>HSLB15476</v>
          </cell>
          <cell r="D267">
            <v>203036</v>
          </cell>
          <cell r="E267" t="str">
            <v>Mueble Tipo Biblioteca</v>
          </cell>
          <cell r="F267" t="str">
            <v>NO</v>
          </cell>
          <cell r="G267" t="str">
            <v>SI</v>
          </cell>
          <cell r="H267" t="str">
            <v xml:space="preserve">BODEGA DE INSUMOS </v>
          </cell>
          <cell r="I267">
            <v>0</v>
          </cell>
          <cell r="J267" t="str">
            <v>C.3.4.4.16.2</v>
          </cell>
          <cell r="K267" t="str">
            <v>Hospitalización</v>
          </cell>
          <cell r="L267">
            <v>6</v>
          </cell>
          <cell r="M267">
            <v>46003</v>
          </cell>
          <cell r="N267">
            <v>46006</v>
          </cell>
          <cell r="O267">
            <v>1</v>
          </cell>
          <cell r="P267">
            <v>46007</v>
          </cell>
          <cell r="Q267">
            <v>5</v>
          </cell>
          <cell r="R267" t="str">
            <v>NA</v>
          </cell>
          <cell r="S267">
            <v>5</v>
          </cell>
        </row>
        <row r="268">
          <cell r="B268" t="str">
            <v>MNC</v>
          </cell>
          <cell r="C268" t="str">
            <v>HSLB15477</v>
          </cell>
          <cell r="D268">
            <v>203037</v>
          </cell>
          <cell r="E268" t="str">
            <v>Mueble Tipo Biblioteca</v>
          </cell>
          <cell r="F268" t="str">
            <v>NO</v>
          </cell>
          <cell r="G268" t="str">
            <v>SI</v>
          </cell>
          <cell r="H268" t="str">
            <v>BODEGA DE EQUIPOS</v>
          </cell>
          <cell r="I268">
            <v>0</v>
          </cell>
          <cell r="J268" t="str">
            <v>C.3.4.4.17</v>
          </cell>
          <cell r="K268" t="str">
            <v>Hospitalización</v>
          </cell>
          <cell r="L268">
            <v>6</v>
          </cell>
          <cell r="M268">
            <v>46003</v>
          </cell>
          <cell r="N268">
            <v>46006</v>
          </cell>
          <cell r="O268">
            <v>1</v>
          </cell>
          <cell r="P268">
            <v>46007</v>
          </cell>
          <cell r="Q268">
            <v>5</v>
          </cell>
          <cell r="R268" t="str">
            <v>NA</v>
          </cell>
          <cell r="S268">
            <v>5</v>
          </cell>
        </row>
        <row r="269">
          <cell r="B269" t="str">
            <v>MNC</v>
          </cell>
          <cell r="C269" t="str">
            <v>HSLB15478</v>
          </cell>
          <cell r="D269">
            <v>203038</v>
          </cell>
          <cell r="E269" t="str">
            <v>Mueble Tipo Biblioteca</v>
          </cell>
          <cell r="F269" t="str">
            <v>NO</v>
          </cell>
          <cell r="G269" t="str">
            <v>SI</v>
          </cell>
          <cell r="H269" t="str">
            <v>BODEGA DE EQUIPOS</v>
          </cell>
          <cell r="I269">
            <v>0</v>
          </cell>
          <cell r="J269" t="str">
            <v>C.3.4.4.17</v>
          </cell>
          <cell r="K269" t="str">
            <v>Hospitalización</v>
          </cell>
          <cell r="L269">
            <v>6</v>
          </cell>
          <cell r="M269">
            <v>46003</v>
          </cell>
          <cell r="N269">
            <v>46006</v>
          </cell>
          <cell r="O269">
            <v>1</v>
          </cell>
          <cell r="P269">
            <v>46007</v>
          </cell>
          <cell r="Q269">
            <v>5</v>
          </cell>
          <cell r="R269" t="str">
            <v>NA</v>
          </cell>
          <cell r="S269">
            <v>5</v>
          </cell>
        </row>
        <row r="270">
          <cell r="B270" t="str">
            <v>MNC</v>
          </cell>
          <cell r="C270" t="str">
            <v>HSLB15479</v>
          </cell>
          <cell r="D270">
            <v>203039</v>
          </cell>
          <cell r="E270" t="str">
            <v>Mueble Tipo Biblioteca</v>
          </cell>
          <cell r="F270" t="str">
            <v>NO</v>
          </cell>
          <cell r="G270" t="str">
            <v>SI</v>
          </cell>
          <cell r="H270" t="str">
            <v xml:space="preserve">BODEGA ROPA LIMPIA </v>
          </cell>
          <cell r="I270">
            <v>0</v>
          </cell>
          <cell r="J270" t="str">
            <v>C.3.4.4.18.1</v>
          </cell>
          <cell r="K270" t="str">
            <v>Hospitalización</v>
          </cell>
          <cell r="L270">
            <v>6</v>
          </cell>
          <cell r="M270">
            <v>46003</v>
          </cell>
          <cell r="N270">
            <v>46006</v>
          </cell>
          <cell r="O270">
            <v>1</v>
          </cell>
          <cell r="P270">
            <v>46007</v>
          </cell>
          <cell r="Q270">
            <v>5</v>
          </cell>
          <cell r="R270" t="str">
            <v>NA</v>
          </cell>
          <cell r="S270">
            <v>5</v>
          </cell>
        </row>
        <row r="271">
          <cell r="B271" t="str">
            <v>MNC</v>
          </cell>
          <cell r="C271" t="str">
            <v>HSLB15480</v>
          </cell>
          <cell r="D271">
            <v>203040</v>
          </cell>
          <cell r="E271" t="str">
            <v>Mueble Tipo Biblioteca</v>
          </cell>
          <cell r="F271" t="str">
            <v>NO</v>
          </cell>
          <cell r="G271" t="str">
            <v>SI</v>
          </cell>
          <cell r="H271" t="str">
            <v xml:space="preserve">BODEGA ROPA LIMPIA </v>
          </cell>
          <cell r="I271">
            <v>0</v>
          </cell>
          <cell r="J271" t="str">
            <v>C.3.4.4.18.2</v>
          </cell>
          <cell r="K271" t="str">
            <v>Hospitalización</v>
          </cell>
          <cell r="L271">
            <v>6</v>
          </cell>
          <cell r="M271">
            <v>46003</v>
          </cell>
          <cell r="N271">
            <v>46006</v>
          </cell>
          <cell r="O271">
            <v>1</v>
          </cell>
          <cell r="P271">
            <v>46007</v>
          </cell>
          <cell r="Q271">
            <v>5</v>
          </cell>
          <cell r="R271" t="str">
            <v>NA</v>
          </cell>
          <cell r="S271">
            <v>5</v>
          </cell>
        </row>
      </sheetData>
      <sheetData sheetId="14">
        <row r="23">
          <cell r="B23" t="str">
            <v>EMMC</v>
          </cell>
          <cell r="C23" t="str">
            <v>HSLB10958</v>
          </cell>
          <cell r="D23">
            <v>106019</v>
          </cell>
          <cell r="E23" t="str">
            <v>Televisor 32'</v>
          </cell>
          <cell r="F23" t="str">
            <v>NO</v>
          </cell>
          <cell r="G23" t="str">
            <v>NO</v>
          </cell>
          <cell r="H23" t="str">
            <v>SALA 4 CAMAS</v>
          </cell>
          <cell r="I23">
            <v>2</v>
          </cell>
          <cell r="J23" t="str">
            <v>C.3.4.3.12.1</v>
          </cell>
          <cell r="K23" t="str">
            <v>Hospitalización</v>
          </cell>
          <cell r="L23">
            <v>7</v>
          </cell>
          <cell r="M23">
            <v>46050</v>
          </cell>
          <cell r="N23">
            <v>46051</v>
          </cell>
          <cell r="O23">
            <v>2</v>
          </cell>
          <cell r="P23">
            <v>46055</v>
          </cell>
          <cell r="Q23">
            <v>5</v>
          </cell>
          <cell r="R23" t="str">
            <v>NA</v>
          </cell>
          <cell r="S23">
            <v>5</v>
          </cell>
        </row>
        <row r="24">
          <cell r="B24" t="str">
            <v>EMMC</v>
          </cell>
          <cell r="C24" t="str">
            <v>HSLB10959</v>
          </cell>
          <cell r="D24">
            <v>106019</v>
          </cell>
          <cell r="E24" t="str">
            <v>Televisor 32'</v>
          </cell>
          <cell r="F24" t="str">
            <v>NO</v>
          </cell>
          <cell r="G24" t="str">
            <v>NO</v>
          </cell>
          <cell r="H24" t="str">
            <v>SALA 4 CAMAS</v>
          </cell>
          <cell r="I24">
            <v>2</v>
          </cell>
          <cell r="J24" t="str">
            <v>C.3.4.3.12.10</v>
          </cell>
          <cell r="K24" t="str">
            <v>Hospitalización</v>
          </cell>
          <cell r="L24">
            <v>7</v>
          </cell>
          <cell r="M24">
            <v>46050</v>
          </cell>
          <cell r="N24">
            <v>46051</v>
          </cell>
          <cell r="O24">
            <v>1</v>
          </cell>
          <cell r="P24">
            <v>46052</v>
          </cell>
          <cell r="Q24">
            <v>5</v>
          </cell>
          <cell r="R24" t="str">
            <v>NA</v>
          </cell>
          <cell r="S24">
            <v>5</v>
          </cell>
        </row>
        <row r="25">
          <cell r="B25" t="str">
            <v>EMMC</v>
          </cell>
          <cell r="C25" t="str">
            <v>HSLB10960</v>
          </cell>
          <cell r="D25">
            <v>106019</v>
          </cell>
          <cell r="E25" t="str">
            <v>Televisor 32'</v>
          </cell>
          <cell r="F25" t="str">
            <v>NO</v>
          </cell>
          <cell r="G25" t="str">
            <v>SI</v>
          </cell>
          <cell r="H25" t="str">
            <v>SALA 4 CAMAS</v>
          </cell>
          <cell r="I25">
            <v>2</v>
          </cell>
          <cell r="J25" t="str">
            <v>C.3.4.3.12.11</v>
          </cell>
          <cell r="K25" t="str">
            <v>Hospitalización</v>
          </cell>
          <cell r="L25">
            <v>7</v>
          </cell>
          <cell r="M25">
            <v>46003</v>
          </cell>
          <cell r="N25">
            <v>46006</v>
          </cell>
          <cell r="O25">
            <v>1</v>
          </cell>
          <cell r="P25">
            <v>46007</v>
          </cell>
          <cell r="Q25">
            <v>5</v>
          </cell>
          <cell r="R25" t="str">
            <v>NA</v>
          </cell>
          <cell r="S25">
            <v>5</v>
          </cell>
        </row>
        <row r="26">
          <cell r="B26" t="str">
            <v>EMMC</v>
          </cell>
          <cell r="C26" t="str">
            <v>HSLB10961</v>
          </cell>
          <cell r="D26">
            <v>106019</v>
          </cell>
          <cell r="E26" t="str">
            <v>Televisor 32'</v>
          </cell>
          <cell r="F26" t="str">
            <v>NO</v>
          </cell>
          <cell r="G26" t="str">
            <v>NO</v>
          </cell>
          <cell r="H26" t="str">
            <v>SALA 4 CAMAS</v>
          </cell>
          <cell r="I26">
            <v>2</v>
          </cell>
          <cell r="J26" t="str">
            <v>C.3.4.3.12.12</v>
          </cell>
          <cell r="K26" t="str">
            <v>Hospitalización</v>
          </cell>
          <cell r="L26">
            <v>7</v>
          </cell>
          <cell r="M26">
            <v>46050</v>
          </cell>
          <cell r="N26">
            <v>46051</v>
          </cell>
          <cell r="O26">
            <v>1</v>
          </cell>
          <cell r="P26">
            <v>46052</v>
          </cell>
          <cell r="Q26">
            <v>5</v>
          </cell>
          <cell r="R26" t="str">
            <v>NA</v>
          </cell>
          <cell r="S26">
            <v>5</v>
          </cell>
        </row>
        <row r="27">
          <cell r="B27" t="str">
            <v>EMMC</v>
          </cell>
          <cell r="C27" t="str">
            <v>HSLB10962</v>
          </cell>
          <cell r="D27">
            <v>106019</v>
          </cell>
          <cell r="E27" t="str">
            <v>Televisor 32'</v>
          </cell>
          <cell r="F27" t="str">
            <v>NO</v>
          </cell>
          <cell r="G27" t="str">
            <v>NO</v>
          </cell>
          <cell r="H27" t="str">
            <v>SALA 4 CAMAS</v>
          </cell>
          <cell r="I27">
            <v>2</v>
          </cell>
          <cell r="J27" t="str">
            <v>C.3.4.3.12.13</v>
          </cell>
          <cell r="K27" t="str">
            <v>Hospitalización</v>
          </cell>
          <cell r="L27">
            <v>7</v>
          </cell>
          <cell r="M27">
            <v>46050</v>
          </cell>
          <cell r="N27">
            <v>46051</v>
          </cell>
          <cell r="O27">
            <v>1</v>
          </cell>
          <cell r="P27">
            <v>46052</v>
          </cell>
          <cell r="Q27">
            <v>5</v>
          </cell>
          <cell r="R27" t="str">
            <v>NA</v>
          </cell>
          <cell r="S27">
            <v>5</v>
          </cell>
        </row>
        <row r="28">
          <cell r="B28" t="str">
            <v>EMMC</v>
          </cell>
          <cell r="C28" t="str">
            <v>HSLB10963</v>
          </cell>
          <cell r="D28">
            <v>106019</v>
          </cell>
          <cell r="E28" t="str">
            <v>Televisor 32'</v>
          </cell>
          <cell r="F28" t="str">
            <v>NO</v>
          </cell>
          <cell r="G28" t="str">
            <v>NO</v>
          </cell>
          <cell r="H28" t="str">
            <v>SALA 4 CAMAS</v>
          </cell>
          <cell r="I28">
            <v>2</v>
          </cell>
          <cell r="J28" t="str">
            <v>C.3.4.3.12.2</v>
          </cell>
          <cell r="K28" t="str">
            <v>Hospitalización</v>
          </cell>
          <cell r="L28">
            <v>7</v>
          </cell>
          <cell r="M28">
            <v>46050</v>
          </cell>
          <cell r="N28">
            <v>46051</v>
          </cell>
          <cell r="O28">
            <v>1</v>
          </cell>
          <cell r="P28">
            <v>46052</v>
          </cell>
          <cell r="Q28">
            <v>5</v>
          </cell>
          <cell r="R28" t="str">
            <v>NA</v>
          </cell>
          <cell r="S28">
            <v>5</v>
          </cell>
        </row>
        <row r="29">
          <cell r="B29" t="str">
            <v>EMMC</v>
          </cell>
          <cell r="C29" t="str">
            <v>HSLB10964</v>
          </cell>
          <cell r="D29">
            <v>106019</v>
          </cell>
          <cell r="E29" t="str">
            <v>Televisor 32'</v>
          </cell>
          <cell r="F29" t="str">
            <v>NO</v>
          </cell>
          <cell r="G29" t="str">
            <v>NO</v>
          </cell>
          <cell r="H29" t="str">
            <v>SALA 4 CAMAS</v>
          </cell>
          <cell r="I29">
            <v>2</v>
          </cell>
          <cell r="J29" t="str">
            <v>C.3.4.3.12.3</v>
          </cell>
          <cell r="K29" t="str">
            <v>Hospitalización</v>
          </cell>
          <cell r="L29">
            <v>7</v>
          </cell>
          <cell r="M29">
            <v>46050</v>
          </cell>
          <cell r="N29">
            <v>46051</v>
          </cell>
          <cell r="O29">
            <v>1</v>
          </cell>
          <cell r="P29">
            <v>46052</v>
          </cell>
          <cell r="Q29">
            <v>5</v>
          </cell>
          <cell r="R29" t="str">
            <v>NA</v>
          </cell>
          <cell r="S29">
            <v>5</v>
          </cell>
        </row>
        <row r="30">
          <cell r="B30" t="str">
            <v>EMMC</v>
          </cell>
          <cell r="C30" t="str">
            <v>HSLB10965</v>
          </cell>
          <cell r="D30">
            <v>106019</v>
          </cell>
          <cell r="E30" t="str">
            <v>Televisor 32'</v>
          </cell>
          <cell r="F30" t="str">
            <v>NO</v>
          </cell>
          <cell r="G30" t="str">
            <v>SI</v>
          </cell>
          <cell r="H30" t="str">
            <v>SALA 4 CAMAS</v>
          </cell>
          <cell r="I30">
            <v>2</v>
          </cell>
          <cell r="J30" t="str">
            <v>C.3.4.3.12.4</v>
          </cell>
          <cell r="K30" t="str">
            <v>Hospitalización</v>
          </cell>
          <cell r="L30">
            <v>7</v>
          </cell>
          <cell r="M30">
            <v>46003</v>
          </cell>
          <cell r="N30">
            <v>46006</v>
          </cell>
          <cell r="O30">
            <v>1</v>
          </cell>
          <cell r="P30">
            <v>46007</v>
          </cell>
          <cell r="Q30">
            <v>5</v>
          </cell>
          <cell r="R30" t="str">
            <v>NA</v>
          </cell>
          <cell r="S30">
            <v>5</v>
          </cell>
        </row>
        <row r="31">
          <cell r="B31" t="str">
            <v>EMMC</v>
          </cell>
          <cell r="C31" t="str">
            <v>HSLB10966</v>
          </cell>
          <cell r="D31">
            <v>106019</v>
          </cell>
          <cell r="E31" t="str">
            <v>Televisor 32'</v>
          </cell>
          <cell r="F31" t="str">
            <v>NO</v>
          </cell>
          <cell r="G31" t="str">
            <v>NO</v>
          </cell>
          <cell r="H31" t="str">
            <v>SALA 4 CAMAS</v>
          </cell>
          <cell r="I31">
            <v>2</v>
          </cell>
          <cell r="J31" t="str">
            <v>C.3.4.3.12.5</v>
          </cell>
          <cell r="K31" t="str">
            <v>Hospitalización</v>
          </cell>
          <cell r="L31">
            <v>7</v>
          </cell>
          <cell r="M31">
            <v>46050</v>
          </cell>
          <cell r="N31">
            <v>46051</v>
          </cell>
          <cell r="O31">
            <v>1</v>
          </cell>
          <cell r="P31">
            <v>46052</v>
          </cell>
          <cell r="Q31">
            <v>5</v>
          </cell>
          <cell r="R31" t="str">
            <v>NA</v>
          </cell>
          <cell r="S31">
            <v>5</v>
          </cell>
        </row>
        <row r="32">
          <cell r="B32" t="str">
            <v>EMMC</v>
          </cell>
          <cell r="C32" t="str">
            <v>HSLB10967</v>
          </cell>
          <cell r="D32">
            <v>106019</v>
          </cell>
          <cell r="E32" t="str">
            <v>Televisor 32'</v>
          </cell>
          <cell r="F32" t="str">
            <v>NO</v>
          </cell>
          <cell r="G32" t="str">
            <v>NO</v>
          </cell>
          <cell r="H32" t="str">
            <v>SALA 4 CAMAS</v>
          </cell>
          <cell r="I32">
            <v>2</v>
          </cell>
          <cell r="J32" t="str">
            <v>C.3.4.3.12.6</v>
          </cell>
          <cell r="K32" t="str">
            <v>Hospitalización</v>
          </cell>
          <cell r="L32">
            <v>7</v>
          </cell>
          <cell r="M32">
            <v>46050</v>
          </cell>
          <cell r="N32">
            <v>46051</v>
          </cell>
          <cell r="O32">
            <v>1</v>
          </cell>
          <cell r="P32">
            <v>46052</v>
          </cell>
          <cell r="Q32">
            <v>5</v>
          </cell>
          <cell r="R32" t="str">
            <v>NA</v>
          </cell>
          <cell r="S32">
            <v>5</v>
          </cell>
        </row>
        <row r="33">
          <cell r="B33" t="str">
            <v>EMMC</v>
          </cell>
          <cell r="C33" t="str">
            <v>HSLB10968</v>
          </cell>
          <cell r="D33">
            <v>106019</v>
          </cell>
          <cell r="E33" t="str">
            <v>Televisor 32'</v>
          </cell>
          <cell r="F33" t="str">
            <v>NO</v>
          </cell>
          <cell r="G33" t="str">
            <v>NO</v>
          </cell>
          <cell r="H33" t="str">
            <v>SALA 4 CAMAS</v>
          </cell>
          <cell r="I33">
            <v>2</v>
          </cell>
          <cell r="J33" t="str">
            <v>C.3.4.3.12.7</v>
          </cell>
          <cell r="K33" t="str">
            <v>Hospitalización</v>
          </cell>
          <cell r="L33">
            <v>7</v>
          </cell>
          <cell r="M33">
            <v>46050</v>
          </cell>
          <cell r="N33">
            <v>46051</v>
          </cell>
          <cell r="O33">
            <v>1</v>
          </cell>
          <cell r="P33">
            <v>46052</v>
          </cell>
          <cell r="Q33">
            <v>5</v>
          </cell>
          <cell r="R33" t="str">
            <v>NA</v>
          </cell>
          <cell r="S33">
            <v>5</v>
          </cell>
        </row>
        <row r="34">
          <cell r="B34" t="str">
            <v>EMMC</v>
          </cell>
          <cell r="C34" t="str">
            <v>HSLB10969</v>
          </cell>
          <cell r="D34">
            <v>106019</v>
          </cell>
          <cell r="E34" t="str">
            <v>Televisor 32'</v>
          </cell>
          <cell r="F34" t="str">
            <v>NO</v>
          </cell>
          <cell r="G34" t="str">
            <v>NO</v>
          </cell>
          <cell r="H34" t="str">
            <v>SALA 4 CAMAS</v>
          </cell>
          <cell r="I34">
            <v>2</v>
          </cell>
          <cell r="J34" t="str">
            <v>C.3.4.3.12.8</v>
          </cell>
          <cell r="K34" t="str">
            <v>Hospitalización</v>
          </cell>
          <cell r="L34">
            <v>7</v>
          </cell>
          <cell r="M34">
            <v>46050</v>
          </cell>
          <cell r="N34">
            <v>46051</v>
          </cell>
          <cell r="O34">
            <v>1</v>
          </cell>
          <cell r="P34">
            <v>46052</v>
          </cell>
          <cell r="Q34">
            <v>5</v>
          </cell>
          <cell r="R34" t="str">
            <v>NA</v>
          </cell>
          <cell r="S34">
            <v>5</v>
          </cell>
        </row>
        <row r="35">
          <cell r="B35" t="str">
            <v>EMMC</v>
          </cell>
          <cell r="C35" t="str">
            <v>HSLB10970</v>
          </cell>
          <cell r="D35">
            <v>106019</v>
          </cell>
          <cell r="E35" t="str">
            <v>Televisor 32'</v>
          </cell>
          <cell r="F35" t="str">
            <v>NO</v>
          </cell>
          <cell r="G35" t="str">
            <v>NO</v>
          </cell>
          <cell r="H35" t="str">
            <v>SALA 4 CAMAS</v>
          </cell>
          <cell r="I35">
            <v>2</v>
          </cell>
          <cell r="J35" t="str">
            <v>C.3.4.3.12.9</v>
          </cell>
          <cell r="K35" t="str">
            <v>Hospitalización</v>
          </cell>
          <cell r="L35">
            <v>7</v>
          </cell>
          <cell r="M35">
            <v>46050</v>
          </cell>
          <cell r="N35">
            <v>46051</v>
          </cell>
          <cell r="O35">
            <v>1</v>
          </cell>
          <cell r="P35">
            <v>46052</v>
          </cell>
          <cell r="Q35">
            <v>5</v>
          </cell>
          <cell r="R35" t="str">
            <v>NA</v>
          </cell>
          <cell r="S35">
            <v>5</v>
          </cell>
        </row>
        <row r="36">
          <cell r="B36" t="str">
            <v>EMMC</v>
          </cell>
          <cell r="C36" t="str">
            <v>HSLB10971</v>
          </cell>
          <cell r="D36">
            <v>106019</v>
          </cell>
          <cell r="E36" t="str">
            <v>Televisor 32'</v>
          </cell>
          <cell r="F36" t="str">
            <v>NO</v>
          </cell>
          <cell r="G36" t="str">
            <v>NO</v>
          </cell>
          <cell r="H36" t="str">
            <v>SALA 1 CAMA</v>
          </cell>
          <cell r="I36">
            <v>1</v>
          </cell>
          <cell r="J36" t="str">
            <v>C.3.4.3.13.1</v>
          </cell>
          <cell r="K36" t="str">
            <v>Hospitalización</v>
          </cell>
          <cell r="L36">
            <v>7</v>
          </cell>
          <cell r="M36">
            <v>46050</v>
          </cell>
          <cell r="N36">
            <v>46051</v>
          </cell>
          <cell r="O36">
            <v>1</v>
          </cell>
          <cell r="P36">
            <v>46052</v>
          </cell>
          <cell r="Q36">
            <v>5</v>
          </cell>
          <cell r="R36" t="str">
            <v>NA</v>
          </cell>
          <cell r="S36">
            <v>5</v>
          </cell>
        </row>
        <row r="37">
          <cell r="B37" t="str">
            <v>EMMC</v>
          </cell>
          <cell r="C37" t="str">
            <v>HSLB10972</v>
          </cell>
          <cell r="D37">
            <v>106019</v>
          </cell>
          <cell r="E37" t="str">
            <v>Televisor 32'</v>
          </cell>
          <cell r="F37" t="str">
            <v>NO</v>
          </cell>
          <cell r="G37" t="str">
            <v>NO</v>
          </cell>
          <cell r="H37" t="str">
            <v>SALA 1 CAMA</v>
          </cell>
          <cell r="I37">
            <v>1</v>
          </cell>
          <cell r="J37" t="str">
            <v>C.3.4.3.13.2</v>
          </cell>
          <cell r="K37" t="str">
            <v>Hospitalización</v>
          </cell>
          <cell r="L37">
            <v>7</v>
          </cell>
          <cell r="M37">
            <v>46050</v>
          </cell>
          <cell r="N37">
            <v>46051</v>
          </cell>
          <cell r="O37">
            <v>1</v>
          </cell>
          <cell r="P37">
            <v>46052</v>
          </cell>
          <cell r="Q37">
            <v>5</v>
          </cell>
          <cell r="R37" t="str">
            <v>NA</v>
          </cell>
          <cell r="S37">
            <v>5</v>
          </cell>
        </row>
        <row r="38">
          <cell r="B38" t="str">
            <v>EMMC</v>
          </cell>
          <cell r="C38" t="str">
            <v>HSLB10973</v>
          </cell>
          <cell r="D38">
            <v>106019</v>
          </cell>
          <cell r="E38" t="str">
            <v>Televisor 32'</v>
          </cell>
          <cell r="F38" t="str">
            <v>NO</v>
          </cell>
          <cell r="G38" t="str">
            <v>NO</v>
          </cell>
          <cell r="H38" t="str">
            <v>SALA 1 CAMA</v>
          </cell>
          <cell r="I38">
            <v>1</v>
          </cell>
          <cell r="J38" t="str">
            <v>C.3.4.3.13.3</v>
          </cell>
          <cell r="K38" t="str">
            <v>Hospitalización</v>
          </cell>
          <cell r="L38">
            <v>7</v>
          </cell>
          <cell r="M38">
            <v>46050</v>
          </cell>
          <cell r="N38">
            <v>46051</v>
          </cell>
          <cell r="O38">
            <v>1</v>
          </cell>
          <cell r="P38">
            <v>46052</v>
          </cell>
          <cell r="Q38">
            <v>5</v>
          </cell>
          <cell r="R38" t="str">
            <v>NA</v>
          </cell>
          <cell r="S38">
            <v>5</v>
          </cell>
        </row>
        <row r="39">
          <cell r="B39" t="str">
            <v>EMMC</v>
          </cell>
          <cell r="C39" t="str">
            <v>HSLB10974</v>
          </cell>
          <cell r="D39">
            <v>106019</v>
          </cell>
          <cell r="E39" t="str">
            <v>Televisor 32'</v>
          </cell>
          <cell r="F39" t="str">
            <v>NO</v>
          </cell>
          <cell r="G39" t="str">
            <v>NO</v>
          </cell>
          <cell r="H39" t="str">
            <v>SALA 1 CAMA AISLAMIENTO</v>
          </cell>
          <cell r="I39">
            <v>1</v>
          </cell>
          <cell r="J39" t="str">
            <v>C.3.4.3.14.1</v>
          </cell>
          <cell r="K39" t="str">
            <v>Hospitalización</v>
          </cell>
          <cell r="L39">
            <v>7</v>
          </cell>
          <cell r="M39">
            <v>46050</v>
          </cell>
          <cell r="N39">
            <v>46051</v>
          </cell>
          <cell r="O39">
            <v>1</v>
          </cell>
          <cell r="P39">
            <v>46052</v>
          </cell>
          <cell r="Q39">
            <v>5</v>
          </cell>
          <cell r="R39" t="str">
            <v>NA</v>
          </cell>
          <cell r="S39">
            <v>5</v>
          </cell>
        </row>
        <row r="40">
          <cell r="B40" t="str">
            <v>EMMC</v>
          </cell>
          <cell r="C40" t="str">
            <v>HSLB10975</v>
          </cell>
          <cell r="D40">
            <v>106019</v>
          </cell>
          <cell r="E40" t="str">
            <v>Televisor 32'</v>
          </cell>
          <cell r="F40" t="str">
            <v>NO</v>
          </cell>
          <cell r="G40" t="str">
            <v>NO</v>
          </cell>
          <cell r="H40" t="str">
            <v>SALA 1 CAMA AISLAMIENTO</v>
          </cell>
          <cell r="I40">
            <v>1</v>
          </cell>
          <cell r="J40" t="str">
            <v>C.3.4.3.14.2</v>
          </cell>
          <cell r="K40" t="str">
            <v>Hospitalización</v>
          </cell>
          <cell r="L40">
            <v>7</v>
          </cell>
          <cell r="M40">
            <v>46050</v>
          </cell>
          <cell r="N40">
            <v>46051</v>
          </cell>
          <cell r="O40">
            <v>1</v>
          </cell>
          <cell r="P40">
            <v>46052</v>
          </cell>
          <cell r="Q40">
            <v>5</v>
          </cell>
          <cell r="R40" t="str">
            <v>NA</v>
          </cell>
          <cell r="S40">
            <v>5</v>
          </cell>
        </row>
        <row r="41">
          <cell r="B41" t="str">
            <v>EMMC</v>
          </cell>
          <cell r="C41" t="str">
            <v>HSLB10976</v>
          </cell>
          <cell r="D41">
            <v>106019</v>
          </cell>
          <cell r="E41" t="str">
            <v>Televisor 32'</v>
          </cell>
          <cell r="F41" t="str">
            <v>NO</v>
          </cell>
          <cell r="G41" t="str">
            <v>NO</v>
          </cell>
          <cell r="H41" t="str">
            <v>SALA 1 CAMA AISLAMIENTO</v>
          </cell>
          <cell r="I41">
            <v>1</v>
          </cell>
          <cell r="J41" t="str">
            <v>C.3.4.3.14.3</v>
          </cell>
          <cell r="K41" t="str">
            <v>Hospitalización</v>
          </cell>
          <cell r="L41">
            <v>7</v>
          </cell>
          <cell r="M41">
            <v>46050</v>
          </cell>
          <cell r="N41">
            <v>46051</v>
          </cell>
          <cell r="O41">
            <v>1</v>
          </cell>
          <cell r="P41">
            <v>46052</v>
          </cell>
          <cell r="Q41">
            <v>5</v>
          </cell>
          <cell r="R41" t="str">
            <v>NA</v>
          </cell>
          <cell r="S41">
            <v>5</v>
          </cell>
        </row>
        <row r="42">
          <cell r="B42" t="str">
            <v>EMMC</v>
          </cell>
          <cell r="C42" t="str">
            <v>HSLB11061</v>
          </cell>
          <cell r="D42">
            <v>106020</v>
          </cell>
          <cell r="E42" t="str">
            <v>Televisor 42'</v>
          </cell>
          <cell r="F42" t="str">
            <v>NO</v>
          </cell>
          <cell r="G42" t="str">
            <v>NO</v>
          </cell>
          <cell r="H42" t="str">
            <v>SALA DE ESPERA</v>
          </cell>
          <cell r="I42">
            <v>1</v>
          </cell>
          <cell r="J42" t="str">
            <v>C.3.4.3.1</v>
          </cell>
          <cell r="K42" t="str">
            <v>Hospitalización</v>
          </cell>
          <cell r="L42">
            <v>7</v>
          </cell>
          <cell r="M42">
            <v>46050</v>
          </cell>
          <cell r="N42">
            <v>46051</v>
          </cell>
          <cell r="O42">
            <v>1</v>
          </cell>
          <cell r="P42">
            <v>46052</v>
          </cell>
          <cell r="Q42">
            <v>5</v>
          </cell>
          <cell r="R42" t="str">
            <v>NA</v>
          </cell>
          <cell r="S42">
            <v>5</v>
          </cell>
        </row>
        <row r="43">
          <cell r="B43" t="str">
            <v>EMMC</v>
          </cell>
          <cell r="C43" t="str">
            <v>HSLB11355</v>
          </cell>
          <cell r="D43">
            <v>110022</v>
          </cell>
          <cell r="E43" t="str">
            <v>Dispensador Automático de insumos y Medicamentos 2 Columnas</v>
          </cell>
          <cell r="F43" t="str">
            <v>SI</v>
          </cell>
          <cell r="G43" t="str">
            <v>NO</v>
          </cell>
          <cell r="H43" t="str">
            <v>DISPENSADOR DE MEDICAMENTOS</v>
          </cell>
          <cell r="I43">
            <v>1</v>
          </cell>
          <cell r="J43" t="str">
            <v>C.3.4.3.10.1</v>
          </cell>
          <cell r="K43" t="str">
            <v>Hospitalización</v>
          </cell>
          <cell r="L43">
            <v>7</v>
          </cell>
          <cell r="M43">
            <v>46037</v>
          </cell>
          <cell r="N43">
            <v>46038</v>
          </cell>
          <cell r="O43">
            <v>7</v>
          </cell>
          <cell r="P43">
            <v>46049</v>
          </cell>
          <cell r="Q43">
            <v>5</v>
          </cell>
          <cell r="R43" t="str">
            <v>NA</v>
          </cell>
          <cell r="S43">
            <v>5</v>
          </cell>
        </row>
        <row r="44">
          <cell r="B44" t="str">
            <v>EMMC</v>
          </cell>
          <cell r="C44" t="str">
            <v>HSLB11356</v>
          </cell>
          <cell r="D44">
            <v>110022</v>
          </cell>
          <cell r="E44" t="str">
            <v>Dispensador Automático de insumos y Medicamentos 2 Columnas</v>
          </cell>
          <cell r="F44" t="str">
            <v>SI</v>
          </cell>
          <cell r="G44" t="str">
            <v>NO</v>
          </cell>
          <cell r="H44" t="str">
            <v>DISPENSADOR DE MEDICAMENTOS</v>
          </cell>
          <cell r="I44">
            <v>1</v>
          </cell>
          <cell r="J44" t="str">
            <v>C.3.4.3.10.2</v>
          </cell>
          <cell r="K44" t="str">
            <v>Hospitalización</v>
          </cell>
          <cell r="L44">
            <v>7</v>
          </cell>
          <cell r="M44">
            <v>46037</v>
          </cell>
          <cell r="N44">
            <v>46038</v>
          </cell>
          <cell r="O44">
            <v>7</v>
          </cell>
          <cell r="P44">
            <v>46049</v>
          </cell>
          <cell r="Q44">
            <v>5</v>
          </cell>
          <cell r="R44" t="str">
            <v>NA</v>
          </cell>
          <cell r="S44">
            <v>5</v>
          </cell>
        </row>
        <row r="45">
          <cell r="B45" t="str">
            <v>EMMC</v>
          </cell>
          <cell r="C45" t="str">
            <v>HSLB10363</v>
          </cell>
          <cell r="D45">
            <v>103032</v>
          </cell>
          <cell r="E45" t="str">
            <v>Lavachatas Automático</v>
          </cell>
          <cell r="F45" t="str">
            <v>SI</v>
          </cell>
          <cell r="G45" t="str">
            <v>NO</v>
          </cell>
          <cell r="H45" t="str">
            <v>LAVACHATA AUTOMATICO</v>
          </cell>
          <cell r="I45">
            <v>1</v>
          </cell>
          <cell r="J45" t="str">
            <v>C.3.4.3.20.1</v>
          </cell>
          <cell r="K45" t="str">
            <v>Hospitalización</v>
          </cell>
          <cell r="L45">
            <v>7</v>
          </cell>
          <cell r="M45">
            <v>46043</v>
          </cell>
          <cell r="N45">
            <v>46044</v>
          </cell>
          <cell r="O45">
            <v>5</v>
          </cell>
          <cell r="P45">
            <v>46051</v>
          </cell>
          <cell r="Q45">
            <v>5</v>
          </cell>
          <cell r="R45" t="str">
            <v>NA</v>
          </cell>
          <cell r="S45">
            <v>5</v>
          </cell>
        </row>
        <row r="46">
          <cell r="B46" t="str">
            <v>EMMC</v>
          </cell>
          <cell r="C46" t="str">
            <v>HSLB12521</v>
          </cell>
          <cell r="D46">
            <v>112089</v>
          </cell>
          <cell r="E46" t="str">
            <v>Soporte Universal</v>
          </cell>
          <cell r="F46" t="str">
            <v>NO</v>
          </cell>
          <cell r="G46" t="str">
            <v>NO</v>
          </cell>
          <cell r="H46" t="str">
            <v>SALA 4 CAMAS</v>
          </cell>
          <cell r="I46">
            <v>4</v>
          </cell>
          <cell r="J46" t="str">
            <v>C.3.4.3.12.1</v>
          </cell>
          <cell r="K46" t="str">
            <v>Hospitalización</v>
          </cell>
          <cell r="L46">
            <v>7</v>
          </cell>
          <cell r="M46">
            <v>46050</v>
          </cell>
          <cell r="N46">
            <v>46051</v>
          </cell>
          <cell r="O46">
            <v>1</v>
          </cell>
          <cell r="P46">
            <v>46052</v>
          </cell>
          <cell r="Q46">
            <v>5</v>
          </cell>
          <cell r="R46" t="str">
            <v>NA</v>
          </cell>
          <cell r="S46">
            <v>5</v>
          </cell>
        </row>
        <row r="47">
          <cell r="B47" t="str">
            <v>EMMC</v>
          </cell>
          <cell r="C47" t="str">
            <v>HSLB12522</v>
          </cell>
          <cell r="D47">
            <v>112089</v>
          </cell>
          <cell r="E47" t="str">
            <v>Soporte Universal</v>
          </cell>
          <cell r="F47" t="str">
            <v>NO</v>
          </cell>
          <cell r="G47" t="str">
            <v>NO</v>
          </cell>
          <cell r="H47" t="str">
            <v>SALA 4 CAMAS</v>
          </cell>
          <cell r="I47">
            <v>4</v>
          </cell>
          <cell r="J47" t="str">
            <v>C.3.4.3.12.10</v>
          </cell>
          <cell r="K47" t="str">
            <v>Hospitalización</v>
          </cell>
          <cell r="L47">
            <v>7</v>
          </cell>
          <cell r="M47">
            <v>46050</v>
          </cell>
          <cell r="N47">
            <v>46051</v>
          </cell>
          <cell r="O47">
            <v>1</v>
          </cell>
          <cell r="P47">
            <v>46052</v>
          </cell>
          <cell r="Q47">
            <v>5</v>
          </cell>
          <cell r="R47" t="str">
            <v>NA</v>
          </cell>
          <cell r="S47">
            <v>5</v>
          </cell>
        </row>
        <row r="48">
          <cell r="B48" t="str">
            <v>EMMC</v>
          </cell>
          <cell r="C48" t="str">
            <v>HSLB12523</v>
          </cell>
          <cell r="D48">
            <v>112089</v>
          </cell>
          <cell r="E48" t="str">
            <v>Soporte Universal</v>
          </cell>
          <cell r="F48" t="str">
            <v>NO</v>
          </cell>
          <cell r="G48" t="str">
            <v>SI</v>
          </cell>
          <cell r="H48" t="str">
            <v>SALA 4 CAMAS</v>
          </cell>
          <cell r="I48">
            <v>4</v>
          </cell>
          <cell r="J48" t="str">
            <v>C.3.4.3.12.11</v>
          </cell>
          <cell r="K48" t="str">
            <v>Hospitalización</v>
          </cell>
          <cell r="L48">
            <v>7</v>
          </cell>
          <cell r="M48">
            <v>46003</v>
          </cell>
          <cell r="N48">
            <v>46006</v>
          </cell>
          <cell r="O48">
            <v>1</v>
          </cell>
          <cell r="P48">
            <v>46007</v>
          </cell>
          <cell r="Q48">
            <v>5</v>
          </cell>
          <cell r="R48" t="str">
            <v>NA</v>
          </cell>
          <cell r="S48">
            <v>5</v>
          </cell>
        </row>
        <row r="49">
          <cell r="B49" t="str">
            <v>EMMC</v>
          </cell>
          <cell r="C49" t="str">
            <v>HSLB12524</v>
          </cell>
          <cell r="D49">
            <v>112089</v>
          </cell>
          <cell r="E49" t="str">
            <v>Soporte Universal</v>
          </cell>
          <cell r="F49" t="str">
            <v>NO</v>
          </cell>
          <cell r="G49" t="str">
            <v>NO</v>
          </cell>
          <cell r="H49" t="str">
            <v>SALA 4 CAMAS</v>
          </cell>
          <cell r="I49">
            <v>4</v>
          </cell>
          <cell r="J49" t="str">
            <v>C.3.4.3.12.12</v>
          </cell>
          <cell r="K49" t="str">
            <v>Hospitalización</v>
          </cell>
          <cell r="L49">
            <v>7</v>
          </cell>
          <cell r="M49">
            <v>46050</v>
          </cell>
          <cell r="N49">
            <v>46051</v>
          </cell>
          <cell r="O49">
            <v>1</v>
          </cell>
          <cell r="P49">
            <v>46052</v>
          </cell>
          <cell r="Q49">
            <v>5</v>
          </cell>
          <cell r="R49" t="str">
            <v>NA</v>
          </cell>
          <cell r="S49">
            <v>5</v>
          </cell>
        </row>
        <row r="50">
          <cell r="B50" t="str">
            <v>EMMC</v>
          </cell>
          <cell r="C50" t="str">
            <v>HSLB12525</v>
          </cell>
          <cell r="D50">
            <v>112089</v>
          </cell>
          <cell r="E50" t="str">
            <v>Soporte Universal</v>
          </cell>
          <cell r="F50" t="str">
            <v>NO</v>
          </cell>
          <cell r="G50" t="str">
            <v>NO</v>
          </cell>
          <cell r="H50" t="str">
            <v>SALA 4 CAMAS</v>
          </cell>
          <cell r="I50">
            <v>4</v>
          </cell>
          <cell r="J50" t="str">
            <v>C.3.4.3.12.13</v>
          </cell>
          <cell r="K50" t="str">
            <v>Hospitalización</v>
          </cell>
          <cell r="L50">
            <v>7</v>
          </cell>
          <cell r="M50">
            <v>46050</v>
          </cell>
          <cell r="N50">
            <v>46051</v>
          </cell>
          <cell r="O50">
            <v>1</v>
          </cell>
          <cell r="P50">
            <v>46052</v>
          </cell>
          <cell r="Q50">
            <v>5</v>
          </cell>
          <cell r="R50" t="str">
            <v>NA</v>
          </cell>
          <cell r="S50">
            <v>5</v>
          </cell>
        </row>
        <row r="51">
          <cell r="B51" t="str">
            <v>EMMC</v>
          </cell>
          <cell r="C51" t="str">
            <v>HSLB12526</v>
          </cell>
          <cell r="D51">
            <v>112089</v>
          </cell>
          <cell r="E51" t="str">
            <v>Soporte Universal</v>
          </cell>
          <cell r="F51" t="str">
            <v>NO</v>
          </cell>
          <cell r="G51" t="str">
            <v>NO</v>
          </cell>
          <cell r="H51" t="str">
            <v>SALA 4 CAMAS</v>
          </cell>
          <cell r="I51">
            <v>4</v>
          </cell>
          <cell r="J51" t="str">
            <v>C.3.4.3.12.2</v>
          </cell>
          <cell r="K51" t="str">
            <v>Hospitalización</v>
          </cell>
          <cell r="L51">
            <v>7</v>
          </cell>
          <cell r="M51">
            <v>46050</v>
          </cell>
          <cell r="N51">
            <v>46051</v>
          </cell>
          <cell r="O51">
            <v>1</v>
          </cell>
          <cell r="P51">
            <v>46052</v>
          </cell>
          <cell r="Q51">
            <v>5</v>
          </cell>
          <cell r="R51" t="str">
            <v>NA</v>
          </cell>
          <cell r="S51">
            <v>5</v>
          </cell>
        </row>
        <row r="52">
          <cell r="B52" t="str">
            <v>EMMC</v>
          </cell>
          <cell r="C52" t="str">
            <v>HSLB12527</v>
          </cell>
          <cell r="D52">
            <v>112089</v>
          </cell>
          <cell r="E52" t="str">
            <v>Soporte Universal</v>
          </cell>
          <cell r="F52" t="str">
            <v>NO</v>
          </cell>
          <cell r="G52" t="str">
            <v>NO</v>
          </cell>
          <cell r="H52" t="str">
            <v>SALA 4 CAMAS</v>
          </cell>
          <cell r="I52">
            <v>4</v>
          </cell>
          <cell r="J52" t="str">
            <v>C.3.4.3.12.3</v>
          </cell>
          <cell r="K52" t="str">
            <v>Hospitalización</v>
          </cell>
          <cell r="L52">
            <v>7</v>
          </cell>
          <cell r="M52">
            <v>46050</v>
          </cell>
          <cell r="N52">
            <v>46051</v>
          </cell>
          <cell r="O52">
            <v>1</v>
          </cell>
          <cell r="P52">
            <v>46052</v>
          </cell>
          <cell r="Q52">
            <v>5</v>
          </cell>
          <cell r="R52" t="str">
            <v>NA</v>
          </cell>
          <cell r="S52">
            <v>5</v>
          </cell>
        </row>
        <row r="53">
          <cell r="B53" t="str">
            <v>EMMC</v>
          </cell>
          <cell r="C53" t="str">
            <v>HSLB12528</v>
          </cell>
          <cell r="D53">
            <v>112089</v>
          </cell>
          <cell r="E53" t="str">
            <v>Soporte Universal</v>
          </cell>
          <cell r="F53" t="str">
            <v>NO</v>
          </cell>
          <cell r="G53" t="str">
            <v>SI</v>
          </cell>
          <cell r="H53" t="str">
            <v>SALA 4 CAMAS</v>
          </cell>
          <cell r="I53">
            <v>4</v>
          </cell>
          <cell r="J53" t="str">
            <v>C.3.4.3.12.4</v>
          </cell>
          <cell r="K53" t="str">
            <v>Hospitalización</v>
          </cell>
          <cell r="L53">
            <v>7</v>
          </cell>
          <cell r="M53">
            <v>46003</v>
          </cell>
          <cell r="N53">
            <v>46006</v>
          </cell>
          <cell r="O53">
            <v>1</v>
          </cell>
          <cell r="P53">
            <v>46007</v>
          </cell>
          <cell r="Q53">
            <v>5</v>
          </cell>
          <cell r="R53" t="str">
            <v>NA</v>
          </cell>
          <cell r="S53">
            <v>5</v>
          </cell>
        </row>
        <row r="54">
          <cell r="B54" t="str">
            <v>EMMC</v>
          </cell>
          <cell r="C54" t="str">
            <v>HSLB12529</v>
          </cell>
          <cell r="D54">
            <v>112089</v>
          </cell>
          <cell r="E54" t="str">
            <v>Soporte Universal</v>
          </cell>
          <cell r="F54" t="str">
            <v>NO</v>
          </cell>
          <cell r="G54" t="str">
            <v>NO</v>
          </cell>
          <cell r="H54" t="str">
            <v>SALA 4 CAMAS</v>
          </cell>
          <cell r="I54">
            <v>4</v>
          </cell>
          <cell r="J54" t="str">
            <v>C.3.4.3.12.5</v>
          </cell>
          <cell r="K54" t="str">
            <v>Hospitalización</v>
          </cell>
          <cell r="L54">
            <v>7</v>
          </cell>
          <cell r="M54">
            <v>46050</v>
          </cell>
          <cell r="N54">
            <v>46051</v>
          </cell>
          <cell r="O54">
            <v>1</v>
          </cell>
          <cell r="P54">
            <v>46052</v>
          </cell>
          <cell r="Q54">
            <v>5</v>
          </cell>
          <cell r="R54" t="str">
            <v>NA</v>
          </cell>
          <cell r="S54">
            <v>5</v>
          </cell>
        </row>
        <row r="55">
          <cell r="B55" t="str">
            <v>EMMC</v>
          </cell>
          <cell r="C55" t="str">
            <v>HSLB12530</v>
          </cell>
          <cell r="D55">
            <v>112089</v>
          </cell>
          <cell r="E55" t="str">
            <v>Soporte Universal</v>
          </cell>
          <cell r="F55" t="str">
            <v>NO</v>
          </cell>
          <cell r="G55" t="str">
            <v>NO</v>
          </cell>
          <cell r="H55" t="str">
            <v>SALA 4 CAMAS</v>
          </cell>
          <cell r="I55">
            <v>4</v>
          </cell>
          <cell r="J55" t="str">
            <v>C.3.4.3.12.6</v>
          </cell>
          <cell r="K55" t="str">
            <v>Hospitalización</v>
          </cell>
          <cell r="L55">
            <v>7</v>
          </cell>
          <cell r="M55">
            <v>46050</v>
          </cell>
          <cell r="N55">
            <v>46051</v>
          </cell>
          <cell r="O55">
            <v>1</v>
          </cell>
          <cell r="P55">
            <v>46052</v>
          </cell>
          <cell r="Q55">
            <v>5</v>
          </cell>
          <cell r="R55" t="str">
            <v>NA</v>
          </cell>
          <cell r="S55">
            <v>5</v>
          </cell>
        </row>
        <row r="56">
          <cell r="B56" t="str">
            <v>EMMC</v>
          </cell>
          <cell r="C56" t="str">
            <v>HSLB12531</v>
          </cell>
          <cell r="D56">
            <v>112089</v>
          </cell>
          <cell r="E56" t="str">
            <v>Soporte Universal</v>
          </cell>
          <cell r="F56" t="str">
            <v>NO</v>
          </cell>
          <cell r="G56" t="str">
            <v>NO</v>
          </cell>
          <cell r="H56" t="str">
            <v>SALA 4 CAMAS</v>
          </cell>
          <cell r="I56">
            <v>4</v>
          </cell>
          <cell r="J56" t="str">
            <v>C.3.4.3.12.7</v>
          </cell>
          <cell r="K56" t="str">
            <v>Hospitalización</v>
          </cell>
          <cell r="L56">
            <v>7</v>
          </cell>
          <cell r="M56">
            <v>46050</v>
          </cell>
          <cell r="N56">
            <v>46051</v>
          </cell>
          <cell r="O56">
            <v>1</v>
          </cell>
          <cell r="P56">
            <v>46052</v>
          </cell>
          <cell r="Q56">
            <v>5</v>
          </cell>
          <cell r="R56" t="str">
            <v>NA</v>
          </cell>
          <cell r="S56">
            <v>5</v>
          </cell>
        </row>
        <row r="57">
          <cell r="B57" t="str">
            <v>EMMC</v>
          </cell>
          <cell r="C57" t="str">
            <v>HSLB12532</v>
          </cell>
          <cell r="D57">
            <v>112089</v>
          </cell>
          <cell r="E57" t="str">
            <v>Soporte Universal</v>
          </cell>
          <cell r="F57" t="str">
            <v>NO</v>
          </cell>
          <cell r="G57" t="str">
            <v>NO</v>
          </cell>
          <cell r="H57" t="str">
            <v>SALA 4 CAMAS</v>
          </cell>
          <cell r="I57">
            <v>4</v>
          </cell>
          <cell r="J57" t="str">
            <v>C.3.4.3.12.8</v>
          </cell>
          <cell r="K57" t="str">
            <v>Hospitalización</v>
          </cell>
          <cell r="L57">
            <v>7</v>
          </cell>
          <cell r="M57">
            <v>46050</v>
          </cell>
          <cell r="N57">
            <v>46051</v>
          </cell>
          <cell r="O57">
            <v>1</v>
          </cell>
          <cell r="P57">
            <v>46052</v>
          </cell>
          <cell r="Q57">
            <v>5</v>
          </cell>
          <cell r="R57" t="str">
            <v>NA</v>
          </cell>
          <cell r="S57">
            <v>5</v>
          </cell>
        </row>
        <row r="58">
          <cell r="B58" t="str">
            <v>EMMC</v>
          </cell>
          <cell r="C58" t="str">
            <v>HSLB12533</v>
          </cell>
          <cell r="D58">
            <v>112089</v>
          </cell>
          <cell r="E58" t="str">
            <v>Soporte Universal</v>
          </cell>
          <cell r="F58" t="str">
            <v>NO</v>
          </cell>
          <cell r="G58" t="str">
            <v>NO</v>
          </cell>
          <cell r="H58" t="str">
            <v>SALA 4 CAMAS</v>
          </cell>
          <cell r="I58">
            <v>4</v>
          </cell>
          <cell r="J58" t="str">
            <v>C.3.4.3.12.9</v>
          </cell>
          <cell r="K58" t="str">
            <v>Hospitalización</v>
          </cell>
          <cell r="L58">
            <v>7</v>
          </cell>
          <cell r="M58">
            <v>46050</v>
          </cell>
          <cell r="N58">
            <v>46051</v>
          </cell>
          <cell r="O58">
            <v>1</v>
          </cell>
          <cell r="P58">
            <v>46052</v>
          </cell>
          <cell r="Q58">
            <v>5</v>
          </cell>
          <cell r="R58" t="str">
            <v>NA</v>
          </cell>
          <cell r="S58">
            <v>5</v>
          </cell>
        </row>
        <row r="59">
          <cell r="B59" t="str">
            <v>EMMC</v>
          </cell>
          <cell r="C59" t="str">
            <v>HSLB12534</v>
          </cell>
          <cell r="D59">
            <v>112089</v>
          </cell>
          <cell r="E59" t="str">
            <v>Soporte Universal</v>
          </cell>
          <cell r="F59" t="str">
            <v>NO</v>
          </cell>
          <cell r="G59" t="str">
            <v>NO</v>
          </cell>
          <cell r="H59" t="str">
            <v>SALA 1 CAMA</v>
          </cell>
          <cell r="I59">
            <v>1</v>
          </cell>
          <cell r="J59" t="str">
            <v>C.3.4.3.13.1</v>
          </cell>
          <cell r="K59" t="str">
            <v>Hospitalización</v>
          </cell>
          <cell r="L59">
            <v>7</v>
          </cell>
          <cell r="M59">
            <v>46050</v>
          </cell>
          <cell r="N59">
            <v>46051</v>
          </cell>
          <cell r="O59">
            <v>1</v>
          </cell>
          <cell r="P59">
            <v>46052</v>
          </cell>
          <cell r="Q59">
            <v>5</v>
          </cell>
          <cell r="R59" t="str">
            <v>NA</v>
          </cell>
          <cell r="S59">
            <v>5</v>
          </cell>
        </row>
        <row r="60">
          <cell r="B60" t="str">
            <v>EMMC</v>
          </cell>
          <cell r="C60" t="str">
            <v>HSLB12535</v>
          </cell>
          <cell r="D60">
            <v>112089</v>
          </cell>
          <cell r="E60" t="str">
            <v>Soporte Universal</v>
          </cell>
          <cell r="F60" t="str">
            <v>NO</v>
          </cell>
          <cell r="G60" t="str">
            <v>NO</v>
          </cell>
          <cell r="H60" t="str">
            <v>SALA 1 CAMA</v>
          </cell>
          <cell r="I60">
            <v>1</v>
          </cell>
          <cell r="J60" t="str">
            <v>C.3.4.3.13.2</v>
          </cell>
          <cell r="K60" t="str">
            <v>Hospitalización</v>
          </cell>
          <cell r="L60">
            <v>7</v>
          </cell>
          <cell r="M60">
            <v>46050</v>
          </cell>
          <cell r="N60">
            <v>46051</v>
          </cell>
          <cell r="O60">
            <v>1</v>
          </cell>
          <cell r="P60">
            <v>46052</v>
          </cell>
          <cell r="Q60">
            <v>5</v>
          </cell>
          <cell r="R60" t="str">
            <v>NA</v>
          </cell>
          <cell r="S60">
            <v>5</v>
          </cell>
        </row>
        <row r="61">
          <cell r="B61" t="str">
            <v>EMMC</v>
          </cell>
          <cell r="C61" t="str">
            <v>HSLB12536</v>
          </cell>
          <cell r="D61">
            <v>112089</v>
          </cell>
          <cell r="E61" t="str">
            <v>Soporte Universal</v>
          </cell>
          <cell r="F61" t="str">
            <v>NO</v>
          </cell>
          <cell r="G61" t="str">
            <v>NO</v>
          </cell>
          <cell r="H61" t="str">
            <v>SALA 1 CAMA</v>
          </cell>
          <cell r="I61">
            <v>1</v>
          </cell>
          <cell r="J61" t="str">
            <v>C.3.4.3.13.3</v>
          </cell>
          <cell r="K61" t="str">
            <v>Hospitalización</v>
          </cell>
          <cell r="L61">
            <v>7</v>
          </cell>
          <cell r="M61">
            <v>46050</v>
          </cell>
          <cell r="N61">
            <v>46051</v>
          </cell>
          <cell r="O61">
            <v>1</v>
          </cell>
          <cell r="P61">
            <v>46052</v>
          </cell>
          <cell r="Q61">
            <v>5</v>
          </cell>
          <cell r="R61" t="str">
            <v>NA</v>
          </cell>
          <cell r="S61">
            <v>5</v>
          </cell>
        </row>
        <row r="62">
          <cell r="B62" t="str">
            <v>EMMC</v>
          </cell>
          <cell r="C62" t="str">
            <v>HSLB12537</v>
          </cell>
          <cell r="D62">
            <v>112089</v>
          </cell>
          <cell r="E62" t="str">
            <v>Soporte Universal</v>
          </cell>
          <cell r="F62" t="str">
            <v>NO</v>
          </cell>
          <cell r="G62" t="str">
            <v>NO</v>
          </cell>
          <cell r="H62" t="str">
            <v>SALA 1 CAMA AISLAMIENTO</v>
          </cell>
          <cell r="I62">
            <v>1</v>
          </cell>
          <cell r="J62" t="str">
            <v>C.3.4.3.14.1</v>
          </cell>
          <cell r="K62" t="str">
            <v>Hospitalización</v>
          </cell>
          <cell r="L62">
            <v>7</v>
          </cell>
          <cell r="M62">
            <v>46050</v>
          </cell>
          <cell r="N62">
            <v>46051</v>
          </cell>
          <cell r="O62">
            <v>1</v>
          </cell>
          <cell r="P62">
            <v>46052</v>
          </cell>
          <cell r="Q62">
            <v>5</v>
          </cell>
          <cell r="R62" t="str">
            <v>NA</v>
          </cell>
          <cell r="S62">
            <v>5</v>
          </cell>
        </row>
        <row r="63">
          <cell r="B63" t="str">
            <v>EMMC</v>
          </cell>
          <cell r="C63" t="str">
            <v>HSLB12538</v>
          </cell>
          <cell r="D63">
            <v>112089</v>
          </cell>
          <cell r="E63" t="str">
            <v>Soporte Universal</v>
          </cell>
          <cell r="F63" t="str">
            <v>NO</v>
          </cell>
          <cell r="G63" t="str">
            <v>NO</v>
          </cell>
          <cell r="H63" t="str">
            <v>SALA 1 CAMA AISLAMIENTO</v>
          </cell>
          <cell r="I63">
            <v>1</v>
          </cell>
          <cell r="J63" t="str">
            <v>C.3.4.3.14.2</v>
          </cell>
          <cell r="K63" t="str">
            <v>Hospitalización</v>
          </cell>
          <cell r="L63">
            <v>7</v>
          </cell>
          <cell r="M63">
            <v>46050</v>
          </cell>
          <cell r="N63">
            <v>46051</v>
          </cell>
          <cell r="O63">
            <v>1</v>
          </cell>
          <cell r="P63">
            <v>46052</v>
          </cell>
          <cell r="Q63">
            <v>5</v>
          </cell>
          <cell r="R63" t="str">
            <v>NA</v>
          </cell>
          <cell r="S63">
            <v>5</v>
          </cell>
        </row>
        <row r="64">
          <cell r="B64" t="str">
            <v>EMMC</v>
          </cell>
          <cell r="C64" t="str">
            <v>HSLB12539</v>
          </cell>
          <cell r="D64">
            <v>112089</v>
          </cell>
          <cell r="E64" t="str">
            <v>Soporte Universal</v>
          </cell>
          <cell r="F64" t="str">
            <v>NO</v>
          </cell>
          <cell r="G64" t="str">
            <v>NO</v>
          </cell>
          <cell r="H64" t="str">
            <v>SALA 1 CAMA AISLAMIENTO</v>
          </cell>
          <cell r="I64">
            <v>1</v>
          </cell>
          <cell r="J64" t="str">
            <v>C.3.4.3.14.3</v>
          </cell>
          <cell r="K64" t="str">
            <v>Hospitalización</v>
          </cell>
          <cell r="L64">
            <v>7</v>
          </cell>
          <cell r="M64">
            <v>46050</v>
          </cell>
          <cell r="N64">
            <v>46051</v>
          </cell>
          <cell r="O64">
            <v>1</v>
          </cell>
          <cell r="P64">
            <v>46052</v>
          </cell>
          <cell r="Q64">
            <v>5</v>
          </cell>
          <cell r="R64" t="str">
            <v>NA</v>
          </cell>
          <cell r="S64">
            <v>5</v>
          </cell>
        </row>
        <row r="65">
          <cell r="B65" t="str">
            <v>EMMC</v>
          </cell>
          <cell r="C65" t="str">
            <v>HSLB12540</v>
          </cell>
          <cell r="D65">
            <v>112089</v>
          </cell>
          <cell r="E65" t="str">
            <v>Soporte Universal</v>
          </cell>
          <cell r="F65" t="str">
            <v>NO</v>
          </cell>
          <cell r="G65" t="str">
            <v>NO</v>
          </cell>
          <cell r="H65" t="str">
            <v>SALA DE PROCEDIMIENTOS</v>
          </cell>
          <cell r="I65">
            <v>1</v>
          </cell>
          <cell r="J65" t="str">
            <v>C.3.4.3.15</v>
          </cell>
          <cell r="K65" t="str">
            <v>Hospitalización</v>
          </cell>
          <cell r="L65">
            <v>7</v>
          </cell>
          <cell r="M65">
            <v>46050</v>
          </cell>
          <cell r="N65">
            <v>46051</v>
          </cell>
          <cell r="O65">
            <v>1</v>
          </cell>
          <cell r="P65">
            <v>46052</v>
          </cell>
          <cell r="Q65">
            <v>5</v>
          </cell>
          <cell r="R65" t="str">
            <v>NA</v>
          </cell>
          <cell r="S65">
            <v>5</v>
          </cell>
        </row>
        <row r="66">
          <cell r="B66" t="str">
            <v>EMMC</v>
          </cell>
          <cell r="C66" t="str">
            <v>HSLB10585</v>
          </cell>
          <cell r="D66">
            <v>105001</v>
          </cell>
          <cell r="E66" t="str">
            <v>Acelerador Infusión</v>
          </cell>
          <cell r="F66" t="str">
            <v>NO</v>
          </cell>
          <cell r="G66" t="str">
            <v>NO</v>
          </cell>
          <cell r="H66" t="str">
            <v>ESTACIÓN DE ENFERMERÍA</v>
          </cell>
          <cell r="I66">
            <v>3</v>
          </cell>
          <cell r="J66" t="str">
            <v>C.3.4.3.8.1</v>
          </cell>
          <cell r="K66" t="str">
            <v>Hospitalización</v>
          </cell>
          <cell r="L66">
            <v>7</v>
          </cell>
          <cell r="M66">
            <v>46050</v>
          </cell>
          <cell r="N66">
            <v>46051</v>
          </cell>
          <cell r="O66">
            <v>1</v>
          </cell>
          <cell r="P66">
            <v>46052</v>
          </cell>
          <cell r="Q66">
            <v>5</v>
          </cell>
          <cell r="R66" t="str">
            <v>NA</v>
          </cell>
          <cell r="S66">
            <v>5</v>
          </cell>
        </row>
        <row r="67">
          <cell r="B67" t="str">
            <v>EMMC</v>
          </cell>
          <cell r="C67" t="str">
            <v>HSLB10586</v>
          </cell>
          <cell r="D67">
            <v>105001</v>
          </cell>
          <cell r="E67" t="str">
            <v>Acelerador Infusión</v>
          </cell>
          <cell r="F67" t="str">
            <v>NO</v>
          </cell>
          <cell r="G67" t="str">
            <v>NO</v>
          </cell>
          <cell r="H67" t="str">
            <v>ESTACIÓN DE ENFERMERÍA</v>
          </cell>
          <cell r="I67">
            <v>2</v>
          </cell>
          <cell r="J67" t="str">
            <v>C.3.4.3.8.2</v>
          </cell>
          <cell r="K67" t="str">
            <v>Hospitalización</v>
          </cell>
          <cell r="L67">
            <v>7</v>
          </cell>
          <cell r="M67">
            <v>46050</v>
          </cell>
          <cell r="N67">
            <v>46051</v>
          </cell>
          <cell r="O67">
            <v>1</v>
          </cell>
          <cell r="P67">
            <v>46052</v>
          </cell>
          <cell r="Q67">
            <v>5</v>
          </cell>
          <cell r="R67" t="str">
            <v>NA</v>
          </cell>
          <cell r="S67">
            <v>5</v>
          </cell>
        </row>
        <row r="68">
          <cell r="B68" t="str">
            <v>EMMC</v>
          </cell>
          <cell r="C68" t="str">
            <v>HSLB11606</v>
          </cell>
          <cell r="D68">
            <v>112001</v>
          </cell>
          <cell r="E68" t="str">
            <v>Alza Ropa</v>
          </cell>
          <cell r="F68" t="str">
            <v>NO</v>
          </cell>
          <cell r="G68" t="str">
            <v>NO</v>
          </cell>
          <cell r="H68" t="str">
            <v>BODEGA DE EQUIPOS</v>
          </cell>
          <cell r="I68">
            <v>6</v>
          </cell>
          <cell r="J68" t="str">
            <v>C.3.4.3.17</v>
          </cell>
          <cell r="K68" t="str">
            <v>Hospitalización</v>
          </cell>
          <cell r="L68">
            <v>7</v>
          </cell>
          <cell r="M68">
            <v>46050</v>
          </cell>
          <cell r="N68">
            <v>46051</v>
          </cell>
          <cell r="O68">
            <v>1</v>
          </cell>
          <cell r="P68">
            <v>46052</v>
          </cell>
          <cell r="Q68">
            <v>5</v>
          </cell>
          <cell r="R68" t="str">
            <v>NA</v>
          </cell>
          <cell r="S68">
            <v>5</v>
          </cell>
        </row>
        <row r="69">
          <cell r="B69" t="str">
            <v>EMMC</v>
          </cell>
          <cell r="C69" t="str">
            <v>HSLB12627</v>
          </cell>
          <cell r="D69">
            <v>112092</v>
          </cell>
          <cell r="E69" t="str">
            <v>Velador Clínico</v>
          </cell>
          <cell r="F69" t="str">
            <v>NO</v>
          </cell>
          <cell r="G69" t="str">
            <v>NO</v>
          </cell>
          <cell r="H69" t="str">
            <v>SALA 4 CAMAS</v>
          </cell>
          <cell r="I69">
            <v>4</v>
          </cell>
          <cell r="J69" t="str">
            <v>C.3.4.3.12.1</v>
          </cell>
          <cell r="K69" t="str">
            <v>Hospitalización</v>
          </cell>
          <cell r="L69">
            <v>7</v>
          </cell>
          <cell r="M69">
            <v>46045</v>
          </cell>
          <cell r="N69">
            <v>46048</v>
          </cell>
          <cell r="O69">
            <v>1</v>
          </cell>
          <cell r="P69">
            <v>46049</v>
          </cell>
          <cell r="Q69">
            <v>5</v>
          </cell>
          <cell r="R69" t="str">
            <v>NA</v>
          </cell>
          <cell r="S69">
            <v>5</v>
          </cell>
        </row>
        <row r="70">
          <cell r="B70" t="str">
            <v>EMMC</v>
          </cell>
          <cell r="C70" t="str">
            <v>HSLB12628</v>
          </cell>
          <cell r="D70">
            <v>112092</v>
          </cell>
          <cell r="E70" t="str">
            <v>Velador Clínico</v>
          </cell>
          <cell r="F70" t="str">
            <v>NO</v>
          </cell>
          <cell r="G70" t="str">
            <v>NO</v>
          </cell>
          <cell r="H70" t="str">
            <v>SALA 4 CAMAS</v>
          </cell>
          <cell r="I70">
            <v>4</v>
          </cell>
          <cell r="J70" t="str">
            <v>C.3.4.3.12.10</v>
          </cell>
          <cell r="K70" t="str">
            <v>Hospitalización</v>
          </cell>
          <cell r="L70">
            <v>7</v>
          </cell>
          <cell r="M70">
            <v>46045</v>
          </cell>
          <cell r="N70">
            <v>46048</v>
          </cell>
          <cell r="O70">
            <v>1</v>
          </cell>
          <cell r="P70">
            <v>46049</v>
          </cell>
          <cell r="Q70">
            <v>5</v>
          </cell>
          <cell r="R70" t="str">
            <v>NA</v>
          </cell>
          <cell r="S70">
            <v>5</v>
          </cell>
        </row>
        <row r="71">
          <cell r="B71" t="str">
            <v>EMMC</v>
          </cell>
          <cell r="C71" t="str">
            <v>HSLB12629</v>
          </cell>
          <cell r="D71">
            <v>112092</v>
          </cell>
          <cell r="E71" t="str">
            <v>Velador Clínico</v>
          </cell>
          <cell r="F71" t="str">
            <v>NO</v>
          </cell>
          <cell r="G71" t="str">
            <v>SI</v>
          </cell>
          <cell r="H71" t="str">
            <v>SALA 4 CAMAS</v>
          </cell>
          <cell r="I71">
            <v>4</v>
          </cell>
          <cell r="J71" t="str">
            <v>C.3.4.3.12.11</v>
          </cell>
          <cell r="K71" t="str">
            <v>Hospitalización</v>
          </cell>
          <cell r="L71">
            <v>7</v>
          </cell>
          <cell r="M71">
            <v>46003</v>
          </cell>
          <cell r="N71">
            <v>46006</v>
          </cell>
          <cell r="O71">
            <v>1</v>
          </cell>
          <cell r="P71">
            <v>46007</v>
          </cell>
          <cell r="Q71">
            <v>5</v>
          </cell>
          <cell r="R71" t="str">
            <v>NA</v>
          </cell>
          <cell r="S71">
            <v>5</v>
          </cell>
        </row>
        <row r="72">
          <cell r="B72" t="str">
            <v>EMMC</v>
          </cell>
          <cell r="C72" t="str">
            <v>HSLB12630</v>
          </cell>
          <cell r="D72">
            <v>112092</v>
          </cell>
          <cell r="E72" t="str">
            <v>Velador Clínico</v>
          </cell>
          <cell r="F72" t="str">
            <v>NO</v>
          </cell>
          <cell r="G72" t="str">
            <v>NO</v>
          </cell>
          <cell r="H72" t="str">
            <v>SALA 4 CAMAS</v>
          </cell>
          <cell r="I72">
            <v>4</v>
          </cell>
          <cell r="J72" t="str">
            <v>C.3.4.3.12.12</v>
          </cell>
          <cell r="K72" t="str">
            <v>Hospitalización</v>
          </cell>
          <cell r="L72">
            <v>7</v>
          </cell>
          <cell r="M72">
            <v>46045</v>
          </cell>
          <cell r="N72">
            <v>46048</v>
          </cell>
          <cell r="O72">
            <v>1</v>
          </cell>
          <cell r="P72">
            <v>46049</v>
          </cell>
          <cell r="Q72">
            <v>5</v>
          </cell>
          <cell r="R72" t="str">
            <v>NA</v>
          </cell>
          <cell r="S72">
            <v>5</v>
          </cell>
        </row>
        <row r="73">
          <cell r="B73" t="str">
            <v>EMMC</v>
          </cell>
          <cell r="C73" t="str">
            <v>HSLB12631</v>
          </cell>
          <cell r="D73">
            <v>112092</v>
          </cell>
          <cell r="E73" t="str">
            <v>Velador Clínico</v>
          </cell>
          <cell r="F73" t="str">
            <v>NO</v>
          </cell>
          <cell r="G73" t="str">
            <v>NO</v>
          </cell>
          <cell r="H73" t="str">
            <v>SALA 4 CAMAS</v>
          </cell>
          <cell r="I73">
            <v>4</v>
          </cell>
          <cell r="J73" t="str">
            <v>C.3.4.3.12.13</v>
          </cell>
          <cell r="K73" t="str">
            <v>Hospitalización</v>
          </cell>
          <cell r="L73">
            <v>7</v>
          </cell>
          <cell r="M73">
            <v>46045</v>
          </cell>
          <cell r="N73">
            <v>46048</v>
          </cell>
          <cell r="O73">
            <v>1</v>
          </cell>
          <cell r="P73">
            <v>46049</v>
          </cell>
          <cell r="Q73">
            <v>5</v>
          </cell>
          <cell r="R73" t="str">
            <v>NA</v>
          </cell>
          <cell r="S73">
            <v>5</v>
          </cell>
        </row>
        <row r="74">
          <cell r="B74" t="str">
            <v>EMMC</v>
          </cell>
          <cell r="C74" t="str">
            <v>HSLB12632</v>
          </cell>
          <cell r="D74">
            <v>112092</v>
          </cell>
          <cell r="E74" t="str">
            <v>Velador Clínico</v>
          </cell>
          <cell r="F74" t="str">
            <v>NO</v>
          </cell>
          <cell r="G74" t="str">
            <v>NO</v>
          </cell>
          <cell r="H74" t="str">
            <v>SALA 4 CAMAS</v>
          </cell>
          <cell r="I74">
            <v>4</v>
          </cell>
          <cell r="J74" t="str">
            <v>C.3.4.3.12.2</v>
          </cell>
          <cell r="K74" t="str">
            <v>Hospitalización</v>
          </cell>
          <cell r="L74">
            <v>7</v>
          </cell>
          <cell r="M74">
            <v>46045</v>
          </cell>
          <cell r="N74">
            <v>46048</v>
          </cell>
          <cell r="O74">
            <v>1</v>
          </cell>
          <cell r="P74">
            <v>46049</v>
          </cell>
          <cell r="Q74">
            <v>5</v>
          </cell>
          <cell r="R74" t="str">
            <v>NA</v>
          </cell>
          <cell r="S74">
            <v>5</v>
          </cell>
        </row>
        <row r="75">
          <cell r="B75" t="str">
            <v>EMMC</v>
          </cell>
          <cell r="C75" t="str">
            <v>HSLB12633</v>
          </cell>
          <cell r="D75">
            <v>112092</v>
          </cell>
          <cell r="E75" t="str">
            <v>Velador Clínico</v>
          </cell>
          <cell r="F75" t="str">
            <v>NO</v>
          </cell>
          <cell r="G75" t="str">
            <v>NO</v>
          </cell>
          <cell r="H75" t="str">
            <v>SALA 4 CAMAS</v>
          </cell>
          <cell r="I75">
            <v>4</v>
          </cell>
          <cell r="J75" t="str">
            <v>C.3.4.3.12.3</v>
          </cell>
          <cell r="K75" t="str">
            <v>Hospitalización</v>
          </cell>
          <cell r="L75">
            <v>7</v>
          </cell>
          <cell r="M75">
            <v>46045</v>
          </cell>
          <cell r="N75">
            <v>46048</v>
          </cell>
          <cell r="O75">
            <v>1</v>
          </cell>
          <cell r="P75">
            <v>46049</v>
          </cell>
          <cell r="Q75">
            <v>5</v>
          </cell>
          <cell r="R75" t="str">
            <v>NA</v>
          </cell>
          <cell r="S75">
            <v>5</v>
          </cell>
        </row>
        <row r="76">
          <cell r="B76" t="str">
            <v>EMMC</v>
          </cell>
          <cell r="C76" t="str">
            <v>HSLB12634</v>
          </cell>
          <cell r="D76">
            <v>112092</v>
          </cell>
          <cell r="E76" t="str">
            <v>Velador Clínico</v>
          </cell>
          <cell r="F76" t="str">
            <v>NO</v>
          </cell>
          <cell r="G76" t="str">
            <v>SI</v>
          </cell>
          <cell r="H76" t="str">
            <v>SALA 4 CAMAS</v>
          </cell>
          <cell r="I76">
            <v>4</v>
          </cell>
          <cell r="J76" t="str">
            <v>C.3.4.3.12.4</v>
          </cell>
          <cell r="K76" t="str">
            <v>Hospitalización</v>
          </cell>
          <cell r="L76">
            <v>7</v>
          </cell>
          <cell r="M76">
            <v>46003</v>
          </cell>
          <cell r="N76">
            <v>46006</v>
          </cell>
          <cell r="O76">
            <v>1</v>
          </cell>
          <cell r="P76">
            <v>46007</v>
          </cell>
          <cell r="Q76">
            <v>5</v>
          </cell>
          <cell r="R76" t="str">
            <v>NA</v>
          </cell>
          <cell r="S76">
            <v>5</v>
          </cell>
        </row>
        <row r="77">
          <cell r="B77" t="str">
            <v>EMMC</v>
          </cell>
          <cell r="C77" t="str">
            <v>HSLB12635</v>
          </cell>
          <cell r="D77">
            <v>112092</v>
          </cell>
          <cell r="E77" t="str">
            <v>Velador Clínico</v>
          </cell>
          <cell r="F77" t="str">
            <v>NO</v>
          </cell>
          <cell r="G77" t="str">
            <v>NO</v>
          </cell>
          <cell r="H77" t="str">
            <v>SALA 4 CAMAS</v>
          </cell>
          <cell r="I77">
            <v>4</v>
          </cell>
          <cell r="J77" t="str">
            <v>C.3.4.3.12.5</v>
          </cell>
          <cell r="K77" t="str">
            <v>Hospitalización</v>
          </cell>
          <cell r="L77">
            <v>7</v>
          </cell>
          <cell r="M77">
            <v>46045</v>
          </cell>
          <cell r="N77">
            <v>46048</v>
          </cell>
          <cell r="O77">
            <v>1</v>
          </cell>
          <cell r="P77">
            <v>46049</v>
          </cell>
          <cell r="Q77">
            <v>5</v>
          </cell>
          <cell r="R77" t="str">
            <v>NA</v>
          </cell>
          <cell r="S77">
            <v>5</v>
          </cell>
        </row>
        <row r="78">
          <cell r="B78" t="str">
            <v>EMMC</v>
          </cell>
          <cell r="C78" t="str">
            <v>HSLB12636</v>
          </cell>
          <cell r="D78">
            <v>112092</v>
          </cell>
          <cell r="E78" t="str">
            <v>Velador Clínico</v>
          </cell>
          <cell r="F78" t="str">
            <v>NO</v>
          </cell>
          <cell r="G78" t="str">
            <v>NO</v>
          </cell>
          <cell r="H78" t="str">
            <v>SALA 4 CAMAS</v>
          </cell>
          <cell r="I78">
            <v>4</v>
          </cell>
          <cell r="J78" t="str">
            <v>C.3.4.3.12.6</v>
          </cell>
          <cell r="K78" t="str">
            <v>Hospitalización</v>
          </cell>
          <cell r="L78">
            <v>7</v>
          </cell>
          <cell r="M78">
            <v>46045</v>
          </cell>
          <cell r="N78">
            <v>46048</v>
          </cell>
          <cell r="O78">
            <v>1</v>
          </cell>
          <cell r="P78">
            <v>46049</v>
          </cell>
          <cell r="Q78">
            <v>5</v>
          </cell>
          <cell r="R78" t="str">
            <v>NA</v>
          </cell>
          <cell r="S78">
            <v>5</v>
          </cell>
        </row>
        <row r="79">
          <cell r="B79" t="str">
            <v>EMMC</v>
          </cell>
          <cell r="C79" t="str">
            <v>HSLB12637</v>
          </cell>
          <cell r="D79">
            <v>112092</v>
          </cell>
          <cell r="E79" t="str">
            <v>Velador Clínico</v>
          </cell>
          <cell r="F79" t="str">
            <v>NO</v>
          </cell>
          <cell r="G79" t="str">
            <v>NO</v>
          </cell>
          <cell r="H79" t="str">
            <v>SALA 4 CAMAS</v>
          </cell>
          <cell r="I79">
            <v>4</v>
          </cell>
          <cell r="J79" t="str">
            <v>C.3.4.3.12.7</v>
          </cell>
          <cell r="K79" t="str">
            <v>Hospitalización</v>
          </cell>
          <cell r="L79">
            <v>7</v>
          </cell>
          <cell r="M79">
            <v>46045</v>
          </cell>
          <cell r="N79">
            <v>46048</v>
          </cell>
          <cell r="O79">
            <v>1</v>
          </cell>
          <cell r="P79">
            <v>46049</v>
          </cell>
          <cell r="Q79">
            <v>5</v>
          </cell>
          <cell r="R79" t="str">
            <v>NA</v>
          </cell>
          <cell r="S79">
            <v>5</v>
          </cell>
        </row>
        <row r="80">
          <cell r="B80" t="str">
            <v>EMMC</v>
          </cell>
          <cell r="C80" t="str">
            <v>HSLB12638</v>
          </cell>
          <cell r="D80">
            <v>112092</v>
          </cell>
          <cell r="E80" t="str">
            <v>Velador Clínico</v>
          </cell>
          <cell r="F80" t="str">
            <v>NO</v>
          </cell>
          <cell r="G80" t="str">
            <v>NO</v>
          </cell>
          <cell r="H80" t="str">
            <v>SALA 4 CAMAS</v>
          </cell>
          <cell r="I80">
            <v>4</v>
          </cell>
          <cell r="J80" t="str">
            <v>C.3.4.3.12.8</v>
          </cell>
          <cell r="K80" t="str">
            <v>Hospitalización</v>
          </cell>
          <cell r="L80">
            <v>7</v>
          </cell>
          <cell r="M80">
            <v>46045</v>
          </cell>
          <cell r="N80">
            <v>46048</v>
          </cell>
          <cell r="O80">
            <v>1</v>
          </cell>
          <cell r="P80">
            <v>46049</v>
          </cell>
          <cell r="Q80">
            <v>5</v>
          </cell>
          <cell r="R80" t="str">
            <v>NA</v>
          </cell>
          <cell r="S80">
            <v>5</v>
          </cell>
        </row>
        <row r="81">
          <cell r="B81" t="str">
            <v>EMMC</v>
          </cell>
          <cell r="C81" t="str">
            <v>HSLB12639</v>
          </cell>
          <cell r="D81">
            <v>112092</v>
          </cell>
          <cell r="E81" t="str">
            <v>Velador Clínico</v>
          </cell>
          <cell r="F81" t="str">
            <v>NO</v>
          </cell>
          <cell r="G81" t="str">
            <v>NO</v>
          </cell>
          <cell r="H81" t="str">
            <v>SALA 4 CAMAS</v>
          </cell>
          <cell r="I81">
            <v>4</v>
          </cell>
          <cell r="J81" t="str">
            <v>C.3.4.3.12.9</v>
          </cell>
          <cell r="K81" t="str">
            <v>Hospitalización</v>
          </cell>
          <cell r="L81">
            <v>7</v>
          </cell>
          <cell r="M81">
            <v>46045</v>
          </cell>
          <cell r="N81">
            <v>46048</v>
          </cell>
          <cell r="O81">
            <v>1</v>
          </cell>
          <cell r="P81">
            <v>46049</v>
          </cell>
          <cell r="Q81">
            <v>5</v>
          </cell>
          <cell r="R81" t="str">
            <v>NA</v>
          </cell>
          <cell r="S81">
            <v>5</v>
          </cell>
        </row>
        <row r="82">
          <cell r="B82" t="str">
            <v>EMMC</v>
          </cell>
          <cell r="C82" t="str">
            <v>HSLB12640</v>
          </cell>
          <cell r="D82">
            <v>112092</v>
          </cell>
          <cell r="E82" t="str">
            <v>Velador Clínico</v>
          </cell>
          <cell r="F82" t="str">
            <v>NO</v>
          </cell>
          <cell r="G82" t="str">
            <v>NO</v>
          </cell>
          <cell r="H82" t="str">
            <v>SALA 1 CAMA</v>
          </cell>
          <cell r="I82">
            <v>1</v>
          </cell>
          <cell r="J82" t="str">
            <v>C.3.4.3.13.1</v>
          </cell>
          <cell r="K82" t="str">
            <v>Hospitalización</v>
          </cell>
          <cell r="L82">
            <v>7</v>
          </cell>
          <cell r="M82">
            <v>46045</v>
          </cell>
          <cell r="N82">
            <v>46048</v>
          </cell>
          <cell r="O82">
            <v>1</v>
          </cell>
          <cell r="P82">
            <v>46049</v>
          </cell>
          <cell r="Q82">
            <v>5</v>
          </cell>
          <cell r="R82" t="str">
            <v>NA</v>
          </cell>
          <cell r="S82">
            <v>5</v>
          </cell>
        </row>
        <row r="83">
          <cell r="B83" t="str">
            <v>EMMC</v>
          </cell>
          <cell r="C83" t="str">
            <v>HSLB12641</v>
          </cell>
          <cell r="D83">
            <v>112092</v>
          </cell>
          <cell r="E83" t="str">
            <v>Velador Clínico</v>
          </cell>
          <cell r="F83" t="str">
            <v>NO</v>
          </cell>
          <cell r="G83" t="str">
            <v>NO</v>
          </cell>
          <cell r="H83" t="str">
            <v>SALA 1 CAMA</v>
          </cell>
          <cell r="I83">
            <v>1</v>
          </cell>
          <cell r="J83" t="str">
            <v>C.3.4.3.13.2</v>
          </cell>
          <cell r="K83" t="str">
            <v>Hospitalización</v>
          </cell>
          <cell r="L83">
            <v>7</v>
          </cell>
          <cell r="M83">
            <v>46045</v>
          </cell>
          <cell r="N83">
            <v>46048</v>
          </cell>
          <cell r="O83">
            <v>1</v>
          </cell>
          <cell r="P83">
            <v>46049</v>
          </cell>
          <cell r="Q83">
            <v>5</v>
          </cell>
          <cell r="R83" t="str">
            <v>NA</v>
          </cell>
          <cell r="S83">
            <v>5</v>
          </cell>
        </row>
        <row r="84">
          <cell r="B84" t="str">
            <v>EMMC</v>
          </cell>
          <cell r="C84" t="str">
            <v>HSLB12642</v>
          </cell>
          <cell r="D84">
            <v>112092</v>
          </cell>
          <cell r="E84" t="str">
            <v>Velador Clínico</v>
          </cell>
          <cell r="F84" t="str">
            <v>NO</v>
          </cell>
          <cell r="G84" t="str">
            <v>NO</v>
          </cell>
          <cell r="H84" t="str">
            <v>SALA 1 CAMA</v>
          </cell>
          <cell r="I84">
            <v>1</v>
          </cell>
          <cell r="J84" t="str">
            <v>C.3.4.3.13.3</v>
          </cell>
          <cell r="K84" t="str">
            <v>Hospitalización</v>
          </cell>
          <cell r="L84">
            <v>7</v>
          </cell>
          <cell r="M84">
            <v>46045</v>
          </cell>
          <cell r="N84">
            <v>46048</v>
          </cell>
          <cell r="O84">
            <v>1</v>
          </cell>
          <cell r="P84">
            <v>46049</v>
          </cell>
          <cell r="Q84">
            <v>5</v>
          </cell>
          <cell r="R84" t="str">
            <v>NA</v>
          </cell>
          <cell r="S84">
            <v>5</v>
          </cell>
        </row>
        <row r="85">
          <cell r="B85" t="str">
            <v>EMMC</v>
          </cell>
          <cell r="C85" t="str">
            <v>HSLB12643</v>
          </cell>
          <cell r="D85">
            <v>112092</v>
          </cell>
          <cell r="E85" t="str">
            <v>Velador Clínico</v>
          </cell>
          <cell r="F85" t="str">
            <v>NO</v>
          </cell>
          <cell r="G85" t="str">
            <v>NO</v>
          </cell>
          <cell r="H85" t="str">
            <v>SALA 1 CAMA AISLAMIENTO</v>
          </cell>
          <cell r="I85">
            <v>1</v>
          </cell>
          <cell r="J85" t="str">
            <v>C.3.4.3.14.1</v>
          </cell>
          <cell r="K85" t="str">
            <v>Hospitalización</v>
          </cell>
          <cell r="L85">
            <v>7</v>
          </cell>
          <cell r="M85">
            <v>46045</v>
          </cell>
          <cell r="N85">
            <v>46048</v>
          </cell>
          <cell r="O85">
            <v>1</v>
          </cell>
          <cell r="P85">
            <v>46049</v>
          </cell>
          <cell r="Q85">
            <v>5</v>
          </cell>
          <cell r="R85" t="str">
            <v>NA</v>
          </cell>
          <cell r="S85">
            <v>5</v>
          </cell>
        </row>
        <row r="86">
          <cell r="B86" t="str">
            <v>EMMC</v>
          </cell>
          <cell r="C86" t="str">
            <v>HSLB12644</v>
          </cell>
          <cell r="D86">
            <v>112092</v>
          </cell>
          <cell r="E86" t="str">
            <v>Velador Clínico</v>
          </cell>
          <cell r="F86" t="str">
            <v>NO</v>
          </cell>
          <cell r="G86" t="str">
            <v>NO</v>
          </cell>
          <cell r="H86" t="str">
            <v>SALA 1 CAMA AISLAMIENTO</v>
          </cell>
          <cell r="I86">
            <v>1</v>
          </cell>
          <cell r="J86" t="str">
            <v>C.3.4.3.14.2</v>
          </cell>
          <cell r="K86" t="str">
            <v>Hospitalización</v>
          </cell>
          <cell r="L86">
            <v>7</v>
          </cell>
          <cell r="M86">
            <v>46045</v>
          </cell>
          <cell r="N86">
            <v>46048</v>
          </cell>
          <cell r="O86">
            <v>1</v>
          </cell>
          <cell r="P86">
            <v>46049</v>
          </cell>
          <cell r="Q86">
            <v>5</v>
          </cell>
          <cell r="R86" t="str">
            <v>NA</v>
          </cell>
          <cell r="S86">
            <v>5</v>
          </cell>
        </row>
        <row r="87">
          <cell r="B87" t="str">
            <v>EMMC</v>
          </cell>
          <cell r="C87" t="str">
            <v>HSLB12645</v>
          </cell>
          <cell r="D87">
            <v>112092</v>
          </cell>
          <cell r="E87" t="str">
            <v>Velador Clínico</v>
          </cell>
          <cell r="F87" t="str">
            <v>NO</v>
          </cell>
          <cell r="G87" t="str">
            <v>NO</v>
          </cell>
          <cell r="H87" t="str">
            <v>SALA 1 CAMA AISLAMIENTO</v>
          </cell>
          <cell r="I87">
            <v>1</v>
          </cell>
          <cell r="J87" t="str">
            <v>C.3.4.3.14.3</v>
          </cell>
          <cell r="K87" t="str">
            <v>Hospitalización</v>
          </cell>
          <cell r="L87">
            <v>7</v>
          </cell>
          <cell r="M87">
            <v>46045</v>
          </cell>
          <cell r="N87">
            <v>46048</v>
          </cell>
          <cell r="O87">
            <v>1</v>
          </cell>
          <cell r="P87">
            <v>46049</v>
          </cell>
          <cell r="Q87">
            <v>5</v>
          </cell>
          <cell r="R87" t="str">
            <v>NA</v>
          </cell>
          <cell r="S87">
            <v>5</v>
          </cell>
        </row>
        <row r="88">
          <cell r="B88" t="str">
            <v>EMMC</v>
          </cell>
          <cell r="C88" t="str">
            <v>HSLB12210</v>
          </cell>
          <cell r="D88">
            <v>112060</v>
          </cell>
          <cell r="E88" t="str">
            <v>Mesa Comer en Cama</v>
          </cell>
          <cell r="F88" t="str">
            <v>NO</v>
          </cell>
          <cell r="G88" t="str">
            <v>NO</v>
          </cell>
          <cell r="H88" t="str">
            <v>SALA 4 CAMAS</v>
          </cell>
          <cell r="I88">
            <v>4</v>
          </cell>
          <cell r="J88" t="str">
            <v>C.3.4.3.12.1</v>
          </cell>
          <cell r="K88" t="str">
            <v>Hospitalización</v>
          </cell>
          <cell r="L88">
            <v>7</v>
          </cell>
          <cell r="M88">
            <v>46050</v>
          </cell>
          <cell r="N88">
            <v>46051</v>
          </cell>
          <cell r="O88">
            <v>1</v>
          </cell>
          <cell r="P88">
            <v>46052</v>
          </cell>
          <cell r="Q88">
            <v>5</v>
          </cell>
          <cell r="R88" t="str">
            <v>NA</v>
          </cell>
          <cell r="S88">
            <v>5</v>
          </cell>
        </row>
        <row r="89">
          <cell r="B89" t="str">
            <v>EMMC</v>
          </cell>
          <cell r="C89" t="str">
            <v>HSLB12211</v>
          </cell>
          <cell r="D89">
            <v>112060</v>
          </cell>
          <cell r="E89" t="str">
            <v>Mesa Comer en Cama</v>
          </cell>
          <cell r="F89" t="str">
            <v>NO</v>
          </cell>
          <cell r="G89" t="str">
            <v>NO</v>
          </cell>
          <cell r="H89" t="str">
            <v>SALA 4 CAMAS</v>
          </cell>
          <cell r="I89">
            <v>4</v>
          </cell>
          <cell r="J89" t="str">
            <v>C.3.4.3.12.10</v>
          </cell>
          <cell r="K89" t="str">
            <v>Hospitalización</v>
          </cell>
          <cell r="L89">
            <v>7</v>
          </cell>
          <cell r="M89">
            <v>46050</v>
          </cell>
          <cell r="N89">
            <v>46051</v>
          </cell>
          <cell r="O89">
            <v>1</v>
          </cell>
          <cell r="P89">
            <v>46052</v>
          </cell>
          <cell r="Q89">
            <v>5</v>
          </cell>
          <cell r="R89" t="str">
            <v>NA</v>
          </cell>
          <cell r="S89">
            <v>5</v>
          </cell>
        </row>
        <row r="90">
          <cell r="B90" t="str">
            <v>EMMC</v>
          </cell>
          <cell r="C90" t="str">
            <v>HSLB12212</v>
          </cell>
          <cell r="D90">
            <v>112060</v>
          </cell>
          <cell r="E90" t="str">
            <v>Mesa Comer en Cama</v>
          </cell>
          <cell r="F90" t="str">
            <v>NO</v>
          </cell>
          <cell r="G90" t="str">
            <v>SI</v>
          </cell>
          <cell r="H90" t="str">
            <v>SALA 4 CAMAS</v>
          </cell>
          <cell r="I90">
            <v>4</v>
          </cell>
          <cell r="J90" t="str">
            <v>C.3.4.3.12.11</v>
          </cell>
          <cell r="K90" t="str">
            <v>Hospitalización</v>
          </cell>
          <cell r="L90">
            <v>7</v>
          </cell>
          <cell r="M90">
            <v>46003</v>
          </cell>
          <cell r="N90">
            <v>46006</v>
          </cell>
          <cell r="O90">
            <v>1</v>
          </cell>
          <cell r="P90">
            <v>46007</v>
          </cell>
          <cell r="Q90">
            <v>5</v>
          </cell>
          <cell r="R90" t="str">
            <v>NA</v>
          </cell>
          <cell r="S90">
            <v>5</v>
          </cell>
        </row>
        <row r="91">
          <cell r="B91" t="str">
            <v>EMMC</v>
          </cell>
          <cell r="C91" t="str">
            <v>HSLB12213</v>
          </cell>
          <cell r="D91">
            <v>112060</v>
          </cell>
          <cell r="E91" t="str">
            <v>Mesa Comer en Cama</v>
          </cell>
          <cell r="F91" t="str">
            <v>NO</v>
          </cell>
          <cell r="G91" t="str">
            <v>NO</v>
          </cell>
          <cell r="H91" t="str">
            <v>SALA 4 CAMAS</v>
          </cell>
          <cell r="I91">
            <v>4</v>
          </cell>
          <cell r="J91" t="str">
            <v>C.3.4.3.12.12</v>
          </cell>
          <cell r="K91" t="str">
            <v>Hospitalización</v>
          </cell>
          <cell r="L91">
            <v>7</v>
          </cell>
          <cell r="M91">
            <v>46050</v>
          </cell>
          <cell r="N91">
            <v>46051</v>
          </cell>
          <cell r="O91">
            <v>1</v>
          </cell>
          <cell r="P91">
            <v>46052</v>
          </cell>
          <cell r="Q91">
            <v>5</v>
          </cell>
          <cell r="R91" t="str">
            <v>NA</v>
          </cell>
          <cell r="S91">
            <v>5</v>
          </cell>
        </row>
        <row r="92">
          <cell r="B92" t="str">
            <v>EMMC</v>
          </cell>
          <cell r="C92" t="str">
            <v>HSLB12214</v>
          </cell>
          <cell r="D92">
            <v>112060</v>
          </cell>
          <cell r="E92" t="str">
            <v>Mesa Comer en Cama</v>
          </cell>
          <cell r="F92" t="str">
            <v>NO</v>
          </cell>
          <cell r="G92" t="str">
            <v>NO</v>
          </cell>
          <cell r="H92" t="str">
            <v>SALA 4 CAMAS</v>
          </cell>
          <cell r="I92">
            <v>4</v>
          </cell>
          <cell r="J92" t="str">
            <v>C.3.4.3.12.13</v>
          </cell>
          <cell r="K92" t="str">
            <v>Hospitalización</v>
          </cell>
          <cell r="L92">
            <v>7</v>
          </cell>
          <cell r="M92">
            <v>46050</v>
          </cell>
          <cell r="N92">
            <v>46051</v>
          </cell>
          <cell r="O92">
            <v>1</v>
          </cell>
          <cell r="P92">
            <v>46052</v>
          </cell>
          <cell r="Q92">
            <v>5</v>
          </cell>
          <cell r="R92" t="str">
            <v>NA</v>
          </cell>
          <cell r="S92">
            <v>5</v>
          </cell>
        </row>
        <row r="93">
          <cell r="B93" t="str">
            <v>EMMC</v>
          </cell>
          <cell r="C93" t="str">
            <v>HSLB12215</v>
          </cell>
          <cell r="D93">
            <v>112060</v>
          </cell>
          <cell r="E93" t="str">
            <v>Mesa Comer en Cama</v>
          </cell>
          <cell r="F93" t="str">
            <v>NO</v>
          </cell>
          <cell r="G93" t="str">
            <v>NO</v>
          </cell>
          <cell r="H93" t="str">
            <v>SALA 4 CAMAS</v>
          </cell>
          <cell r="I93">
            <v>4</v>
          </cell>
          <cell r="J93" t="str">
            <v>C.3.4.3.12.2</v>
          </cell>
          <cell r="K93" t="str">
            <v>Hospitalización</v>
          </cell>
          <cell r="L93">
            <v>7</v>
          </cell>
          <cell r="M93">
            <v>46050</v>
          </cell>
          <cell r="N93">
            <v>46051</v>
          </cell>
          <cell r="O93">
            <v>1</v>
          </cell>
          <cell r="P93">
            <v>46052</v>
          </cell>
          <cell r="Q93">
            <v>5</v>
          </cell>
          <cell r="R93" t="str">
            <v>NA</v>
          </cell>
          <cell r="S93">
            <v>5</v>
          </cell>
        </row>
        <row r="94">
          <cell r="B94" t="str">
            <v>EMMC</v>
          </cell>
          <cell r="C94" t="str">
            <v>HSLB12216</v>
          </cell>
          <cell r="D94">
            <v>112060</v>
          </cell>
          <cell r="E94" t="str">
            <v>Mesa Comer en Cama</v>
          </cell>
          <cell r="F94" t="str">
            <v>NO</v>
          </cell>
          <cell r="G94" t="str">
            <v>NO</v>
          </cell>
          <cell r="H94" t="str">
            <v>SALA 4 CAMAS</v>
          </cell>
          <cell r="I94">
            <v>4</v>
          </cell>
          <cell r="J94" t="str">
            <v>C.3.4.3.12.3</v>
          </cell>
          <cell r="K94" t="str">
            <v>Hospitalización</v>
          </cell>
          <cell r="L94">
            <v>7</v>
          </cell>
          <cell r="M94">
            <v>46050</v>
          </cell>
          <cell r="N94">
            <v>46051</v>
          </cell>
          <cell r="O94">
            <v>1</v>
          </cell>
          <cell r="P94">
            <v>46052</v>
          </cell>
          <cell r="Q94">
            <v>5</v>
          </cell>
          <cell r="R94" t="str">
            <v>NA</v>
          </cell>
          <cell r="S94">
            <v>5</v>
          </cell>
        </row>
        <row r="95">
          <cell r="B95" t="str">
            <v>EMMC</v>
          </cell>
          <cell r="C95" t="str">
            <v>HSLB12217</v>
          </cell>
          <cell r="D95">
            <v>112060</v>
          </cell>
          <cell r="E95" t="str">
            <v>Mesa Comer en Cama</v>
          </cell>
          <cell r="F95" t="str">
            <v>NO</v>
          </cell>
          <cell r="G95" t="str">
            <v>SI</v>
          </cell>
          <cell r="H95" t="str">
            <v>SALA 4 CAMAS</v>
          </cell>
          <cell r="I95">
            <v>4</v>
          </cell>
          <cell r="J95" t="str">
            <v>C.3.4.3.12.4</v>
          </cell>
          <cell r="K95" t="str">
            <v>Hospitalización</v>
          </cell>
          <cell r="L95">
            <v>7</v>
          </cell>
          <cell r="M95">
            <v>46003</v>
          </cell>
          <cell r="N95">
            <v>46006</v>
          </cell>
          <cell r="O95">
            <v>1</v>
          </cell>
          <cell r="P95">
            <v>46007</v>
          </cell>
          <cell r="Q95">
            <v>5</v>
          </cell>
          <cell r="R95" t="str">
            <v>NA</v>
          </cell>
          <cell r="S95">
            <v>5</v>
          </cell>
        </row>
        <row r="96">
          <cell r="B96" t="str">
            <v>EMMC</v>
          </cell>
          <cell r="C96" t="str">
            <v>HSLB12218</v>
          </cell>
          <cell r="D96">
            <v>112060</v>
          </cell>
          <cell r="E96" t="str">
            <v>Mesa Comer en Cama</v>
          </cell>
          <cell r="F96" t="str">
            <v>NO</v>
          </cell>
          <cell r="G96" t="str">
            <v>NO</v>
          </cell>
          <cell r="H96" t="str">
            <v>SALA 4 CAMAS</v>
          </cell>
          <cell r="I96">
            <v>4</v>
          </cell>
          <cell r="J96" t="str">
            <v>C.3.4.3.12.5</v>
          </cell>
          <cell r="K96" t="str">
            <v>Hospitalización</v>
          </cell>
          <cell r="L96">
            <v>7</v>
          </cell>
          <cell r="M96">
            <v>46050</v>
          </cell>
          <cell r="N96">
            <v>46051</v>
          </cell>
          <cell r="O96">
            <v>1</v>
          </cell>
          <cell r="P96">
            <v>46052</v>
          </cell>
          <cell r="Q96">
            <v>5</v>
          </cell>
          <cell r="R96" t="str">
            <v>NA</v>
          </cell>
          <cell r="S96">
            <v>5</v>
          </cell>
        </row>
        <row r="97">
          <cell r="B97" t="str">
            <v>EMMC</v>
          </cell>
          <cell r="C97" t="str">
            <v>HSLB12219</v>
          </cell>
          <cell r="D97">
            <v>112060</v>
          </cell>
          <cell r="E97" t="str">
            <v>Mesa Comer en Cama</v>
          </cell>
          <cell r="F97" t="str">
            <v>NO</v>
          </cell>
          <cell r="G97" t="str">
            <v>NO</v>
          </cell>
          <cell r="H97" t="str">
            <v>SALA 4 CAMAS</v>
          </cell>
          <cell r="I97">
            <v>4</v>
          </cell>
          <cell r="J97" t="str">
            <v>C.3.4.3.12.6</v>
          </cell>
          <cell r="K97" t="str">
            <v>Hospitalización</v>
          </cell>
          <cell r="L97">
            <v>7</v>
          </cell>
          <cell r="M97">
            <v>46050</v>
          </cell>
          <cell r="N97">
            <v>46051</v>
          </cell>
          <cell r="O97">
            <v>1</v>
          </cell>
          <cell r="P97">
            <v>46052</v>
          </cell>
          <cell r="Q97">
            <v>5</v>
          </cell>
          <cell r="R97" t="str">
            <v>NA</v>
          </cell>
          <cell r="S97">
            <v>5</v>
          </cell>
        </row>
        <row r="98">
          <cell r="B98" t="str">
            <v>EMMC</v>
          </cell>
          <cell r="C98" t="str">
            <v>HSLB12220</v>
          </cell>
          <cell r="D98">
            <v>112060</v>
          </cell>
          <cell r="E98" t="str">
            <v>Mesa Comer en Cama</v>
          </cell>
          <cell r="F98" t="str">
            <v>NO</v>
          </cell>
          <cell r="G98" t="str">
            <v>NO</v>
          </cell>
          <cell r="H98" t="str">
            <v>SALA 4 CAMAS</v>
          </cell>
          <cell r="I98">
            <v>4</v>
          </cell>
          <cell r="J98" t="str">
            <v>C.3.4.3.12.7</v>
          </cell>
          <cell r="K98" t="str">
            <v>Hospitalización</v>
          </cell>
          <cell r="L98">
            <v>7</v>
          </cell>
          <cell r="M98">
            <v>46050</v>
          </cell>
          <cell r="N98">
            <v>46051</v>
          </cell>
          <cell r="O98">
            <v>1</v>
          </cell>
          <cell r="P98">
            <v>46052</v>
          </cell>
          <cell r="Q98">
            <v>5</v>
          </cell>
          <cell r="R98" t="str">
            <v>NA</v>
          </cell>
          <cell r="S98">
            <v>5</v>
          </cell>
        </row>
        <row r="99">
          <cell r="B99" t="str">
            <v>EMMC</v>
          </cell>
          <cell r="C99" t="str">
            <v>HSLB12221</v>
          </cell>
          <cell r="D99">
            <v>112060</v>
          </cell>
          <cell r="E99" t="str">
            <v>Mesa Comer en Cama</v>
          </cell>
          <cell r="F99" t="str">
            <v>NO</v>
          </cell>
          <cell r="G99" t="str">
            <v>NO</v>
          </cell>
          <cell r="H99" t="str">
            <v>SALA 4 CAMAS</v>
          </cell>
          <cell r="I99">
            <v>4</v>
          </cell>
          <cell r="J99" t="str">
            <v>C.3.4.3.12.8</v>
          </cell>
          <cell r="K99" t="str">
            <v>Hospitalización</v>
          </cell>
          <cell r="L99">
            <v>7</v>
          </cell>
          <cell r="M99">
            <v>46050</v>
          </cell>
          <cell r="N99">
            <v>46051</v>
          </cell>
          <cell r="O99">
            <v>1</v>
          </cell>
          <cell r="P99">
            <v>46052</v>
          </cell>
          <cell r="Q99">
            <v>5</v>
          </cell>
          <cell r="R99" t="str">
            <v>NA</v>
          </cell>
          <cell r="S99">
            <v>5</v>
          </cell>
        </row>
        <row r="100">
          <cell r="B100" t="str">
            <v>EMMC</v>
          </cell>
          <cell r="C100" t="str">
            <v>HSLB12222</v>
          </cell>
          <cell r="D100">
            <v>112060</v>
          </cell>
          <cell r="E100" t="str">
            <v>Mesa Comer en Cama</v>
          </cell>
          <cell r="F100" t="str">
            <v>NO</v>
          </cell>
          <cell r="G100" t="str">
            <v>NO</v>
          </cell>
          <cell r="H100" t="str">
            <v>SALA 4 CAMAS</v>
          </cell>
          <cell r="I100">
            <v>4</v>
          </cell>
          <cell r="J100" t="str">
            <v>C.3.4.3.12.9</v>
          </cell>
          <cell r="K100" t="str">
            <v>Hospitalización</v>
          </cell>
          <cell r="L100">
            <v>7</v>
          </cell>
          <cell r="M100">
            <v>46050</v>
          </cell>
          <cell r="N100">
            <v>46051</v>
          </cell>
          <cell r="O100">
            <v>1</v>
          </cell>
          <cell r="P100">
            <v>46052</v>
          </cell>
          <cell r="Q100">
            <v>5</v>
          </cell>
          <cell r="R100" t="str">
            <v>NA</v>
          </cell>
          <cell r="S100">
            <v>5</v>
          </cell>
        </row>
        <row r="101">
          <cell r="B101" t="str">
            <v>EMMC</v>
          </cell>
          <cell r="C101" t="str">
            <v>HSLB12223</v>
          </cell>
          <cell r="D101">
            <v>112060</v>
          </cell>
          <cell r="E101" t="str">
            <v>Mesa Comer en Cama</v>
          </cell>
          <cell r="F101" t="str">
            <v>NO</v>
          </cell>
          <cell r="G101" t="str">
            <v>NO</v>
          </cell>
          <cell r="H101" t="str">
            <v>SALA 1 CAMA</v>
          </cell>
          <cell r="I101">
            <v>1</v>
          </cell>
          <cell r="J101" t="str">
            <v>C.3.4.3.13.1</v>
          </cell>
          <cell r="K101" t="str">
            <v>Hospitalización</v>
          </cell>
          <cell r="L101">
            <v>7</v>
          </cell>
          <cell r="M101">
            <v>46050</v>
          </cell>
          <cell r="N101">
            <v>46051</v>
          </cell>
          <cell r="O101">
            <v>1</v>
          </cell>
          <cell r="P101">
            <v>46052</v>
          </cell>
          <cell r="Q101">
            <v>5</v>
          </cell>
          <cell r="R101" t="str">
            <v>NA</v>
          </cell>
          <cell r="S101">
            <v>5</v>
          </cell>
        </row>
        <row r="102">
          <cell r="B102" t="str">
            <v>EMMC</v>
          </cell>
          <cell r="C102" t="str">
            <v>HSLB12224</v>
          </cell>
          <cell r="D102">
            <v>112060</v>
          </cell>
          <cell r="E102" t="str">
            <v>Mesa Comer en Cama</v>
          </cell>
          <cell r="F102" t="str">
            <v>NO</v>
          </cell>
          <cell r="G102" t="str">
            <v>NO</v>
          </cell>
          <cell r="H102" t="str">
            <v>SALA 1 CAMA</v>
          </cell>
          <cell r="I102">
            <v>1</v>
          </cell>
          <cell r="J102" t="str">
            <v>C.3.4.3.13.2</v>
          </cell>
          <cell r="K102" t="str">
            <v>Hospitalización</v>
          </cell>
          <cell r="L102">
            <v>7</v>
          </cell>
          <cell r="M102">
            <v>46050</v>
          </cell>
          <cell r="N102">
            <v>46051</v>
          </cell>
          <cell r="O102">
            <v>1</v>
          </cell>
          <cell r="P102">
            <v>46052</v>
          </cell>
          <cell r="Q102">
            <v>5</v>
          </cell>
          <cell r="R102" t="str">
            <v>NA</v>
          </cell>
          <cell r="S102">
            <v>5</v>
          </cell>
        </row>
        <row r="103">
          <cell r="B103" t="str">
            <v>EMMC</v>
          </cell>
          <cell r="C103" t="str">
            <v>HSLB12225</v>
          </cell>
          <cell r="D103">
            <v>112060</v>
          </cell>
          <cell r="E103" t="str">
            <v>Mesa Comer en Cama</v>
          </cell>
          <cell r="F103" t="str">
            <v>NO</v>
          </cell>
          <cell r="G103" t="str">
            <v>NO</v>
          </cell>
          <cell r="H103" t="str">
            <v>SALA 1 CAMA</v>
          </cell>
          <cell r="I103">
            <v>1</v>
          </cell>
          <cell r="J103" t="str">
            <v>C.3.4.3.13.3</v>
          </cell>
          <cell r="K103" t="str">
            <v>Hospitalización</v>
          </cell>
          <cell r="L103">
            <v>7</v>
          </cell>
          <cell r="M103">
            <v>46050</v>
          </cell>
          <cell r="N103">
            <v>46051</v>
          </cell>
          <cell r="O103">
            <v>1</v>
          </cell>
          <cell r="P103">
            <v>46052</v>
          </cell>
          <cell r="Q103">
            <v>5</v>
          </cell>
          <cell r="R103" t="str">
            <v>NA</v>
          </cell>
          <cell r="S103">
            <v>5</v>
          </cell>
        </row>
        <row r="104">
          <cell r="B104" t="str">
            <v>EMMC</v>
          </cell>
          <cell r="C104" t="str">
            <v>HSLB12226</v>
          </cell>
          <cell r="D104">
            <v>112060</v>
          </cell>
          <cell r="E104" t="str">
            <v>Mesa Comer en Cama</v>
          </cell>
          <cell r="F104" t="str">
            <v>NO</v>
          </cell>
          <cell r="G104" t="str">
            <v>NO</v>
          </cell>
          <cell r="H104" t="str">
            <v>SALA 1 CAMA AISLAMIENTO</v>
          </cell>
          <cell r="I104">
            <v>1</v>
          </cell>
          <cell r="J104" t="str">
            <v>C.3.4.3.14.1</v>
          </cell>
          <cell r="K104" t="str">
            <v>Hospitalización</v>
          </cell>
          <cell r="L104">
            <v>7</v>
          </cell>
          <cell r="M104">
            <v>46050</v>
          </cell>
          <cell r="N104">
            <v>46051</v>
          </cell>
          <cell r="O104">
            <v>1</v>
          </cell>
          <cell r="P104">
            <v>46052</v>
          </cell>
          <cell r="Q104">
            <v>5</v>
          </cell>
          <cell r="R104" t="str">
            <v>NA</v>
          </cell>
          <cell r="S104">
            <v>5</v>
          </cell>
        </row>
        <row r="105">
          <cell r="B105" t="str">
            <v>EMMC</v>
          </cell>
          <cell r="C105" t="str">
            <v>HSLB12227</v>
          </cell>
          <cell r="D105">
            <v>112060</v>
          </cell>
          <cell r="E105" t="str">
            <v>Mesa Comer en Cama</v>
          </cell>
          <cell r="F105" t="str">
            <v>NO</v>
          </cell>
          <cell r="G105" t="str">
            <v>NO</v>
          </cell>
          <cell r="H105" t="str">
            <v>SALA 1 CAMA AISLAMIENTO</v>
          </cell>
          <cell r="I105">
            <v>1</v>
          </cell>
          <cell r="J105" t="str">
            <v>C.3.4.3.14.2</v>
          </cell>
          <cell r="K105" t="str">
            <v>Hospitalización</v>
          </cell>
          <cell r="L105">
            <v>7</v>
          </cell>
          <cell r="M105">
            <v>46050</v>
          </cell>
          <cell r="N105">
            <v>46051</v>
          </cell>
          <cell r="O105">
            <v>1</v>
          </cell>
          <cell r="P105">
            <v>46052</v>
          </cell>
          <cell r="Q105">
            <v>5</v>
          </cell>
          <cell r="R105" t="str">
            <v>NA</v>
          </cell>
          <cell r="S105">
            <v>5</v>
          </cell>
        </row>
        <row r="106">
          <cell r="B106" t="str">
            <v>EMMC</v>
          </cell>
          <cell r="C106" t="str">
            <v>HSLB12228</v>
          </cell>
          <cell r="D106">
            <v>112060</v>
          </cell>
          <cell r="E106" t="str">
            <v>Mesa Comer en Cama</v>
          </cell>
          <cell r="F106" t="str">
            <v>NO</v>
          </cell>
          <cell r="G106" t="str">
            <v>NO</v>
          </cell>
          <cell r="H106" t="str">
            <v>SALA 1 CAMA AISLAMIENTO</v>
          </cell>
          <cell r="I106">
            <v>1</v>
          </cell>
          <cell r="J106" t="str">
            <v>C.3.4.3.14.3</v>
          </cell>
          <cell r="K106" t="str">
            <v>Hospitalización</v>
          </cell>
          <cell r="L106">
            <v>7</v>
          </cell>
          <cell r="M106">
            <v>46050</v>
          </cell>
          <cell r="N106">
            <v>46051</v>
          </cell>
          <cell r="O106">
            <v>1</v>
          </cell>
          <cell r="P106">
            <v>46052</v>
          </cell>
          <cell r="Q106">
            <v>5</v>
          </cell>
          <cell r="R106" t="str">
            <v>NA</v>
          </cell>
          <cell r="S106">
            <v>5</v>
          </cell>
        </row>
        <row r="107">
          <cell r="B107" t="str">
            <v>EMMC</v>
          </cell>
          <cell r="C107" t="str">
            <v>HSLB12778</v>
          </cell>
          <cell r="D107">
            <v>113009</v>
          </cell>
          <cell r="E107" t="str">
            <v>Monitor de Signos Vitales Básico</v>
          </cell>
          <cell r="F107" t="str">
            <v>NO</v>
          </cell>
          <cell r="G107" t="str">
            <v>NO</v>
          </cell>
          <cell r="H107" t="str">
            <v>BODEGA DE EQUIPOS</v>
          </cell>
          <cell r="I107">
            <v>5</v>
          </cell>
          <cell r="J107" t="str">
            <v>C.3.4.3.17</v>
          </cell>
          <cell r="K107" t="str">
            <v>Hospitalización</v>
          </cell>
          <cell r="L107">
            <v>7</v>
          </cell>
          <cell r="M107">
            <v>46050</v>
          </cell>
          <cell r="N107">
            <v>46051</v>
          </cell>
          <cell r="O107">
            <v>1</v>
          </cell>
          <cell r="P107">
            <v>46052</v>
          </cell>
          <cell r="Q107">
            <v>5</v>
          </cell>
          <cell r="R107" t="str">
            <v>NA</v>
          </cell>
          <cell r="S107">
            <v>5</v>
          </cell>
        </row>
        <row r="108">
          <cell r="B108" t="str">
            <v>EMMC</v>
          </cell>
          <cell r="C108" t="str">
            <v>HSLB12737</v>
          </cell>
          <cell r="D108">
            <v>113008</v>
          </cell>
          <cell r="E108" t="str">
            <v>Monitor de Signos Vitales Baja Complejidad</v>
          </cell>
          <cell r="F108" t="str">
            <v>NO</v>
          </cell>
          <cell r="G108" t="str">
            <v>NO</v>
          </cell>
          <cell r="H108" t="str">
            <v>BODEGA DE EQUIPOS</v>
          </cell>
          <cell r="I108">
            <v>3</v>
          </cell>
          <cell r="J108" t="str">
            <v>C.3.4.3.17</v>
          </cell>
          <cell r="K108" t="str">
            <v>Hospitalización</v>
          </cell>
          <cell r="L108">
            <v>7</v>
          </cell>
          <cell r="M108">
            <v>46050</v>
          </cell>
          <cell r="N108">
            <v>46051</v>
          </cell>
          <cell r="O108">
            <v>1</v>
          </cell>
          <cell r="P108">
            <v>46052</v>
          </cell>
          <cell r="Q108">
            <v>5</v>
          </cell>
          <cell r="R108" t="str">
            <v>NA</v>
          </cell>
          <cell r="S108">
            <v>5</v>
          </cell>
        </row>
        <row r="109">
          <cell r="B109" t="str">
            <v>EMMC</v>
          </cell>
          <cell r="C109" t="str">
            <v>HSLB10712</v>
          </cell>
          <cell r="D109">
            <v>105023</v>
          </cell>
          <cell r="E109" t="str">
            <v>Ventilador Mecánico no Invasivo</v>
          </cell>
          <cell r="F109" t="str">
            <v>NO</v>
          </cell>
          <cell r="G109" t="str">
            <v>NO</v>
          </cell>
          <cell r="H109" t="str">
            <v>BODEGA DE EQUIPOS</v>
          </cell>
          <cell r="I109">
            <v>2</v>
          </cell>
          <cell r="J109" t="str">
            <v>C.3.4.3.17</v>
          </cell>
          <cell r="K109" t="str">
            <v>Hospitalización</v>
          </cell>
          <cell r="L109">
            <v>7</v>
          </cell>
          <cell r="M109">
            <v>46050</v>
          </cell>
          <cell r="N109">
            <v>46051</v>
          </cell>
          <cell r="O109">
            <v>1</v>
          </cell>
          <cell r="P109">
            <v>46052</v>
          </cell>
          <cell r="Q109">
            <v>5</v>
          </cell>
          <cell r="R109" t="str">
            <v>NA</v>
          </cell>
          <cell r="S109">
            <v>5</v>
          </cell>
        </row>
        <row r="110">
          <cell r="B110" t="str">
            <v>EMMC</v>
          </cell>
          <cell r="C110" t="str">
            <v>HSLB11818</v>
          </cell>
          <cell r="D110">
            <v>112022</v>
          </cell>
          <cell r="E110" t="str">
            <v>Carro de Paro</v>
          </cell>
          <cell r="F110" t="str">
            <v>NO</v>
          </cell>
          <cell r="G110" t="str">
            <v>NO</v>
          </cell>
          <cell r="H110" t="str">
            <v>ESTACIÓN DE ENFERMERÍA</v>
          </cell>
          <cell r="I110">
            <v>1</v>
          </cell>
          <cell r="J110" t="str">
            <v>C.3.4.3.8.2</v>
          </cell>
          <cell r="K110" t="str">
            <v>Hospitalización</v>
          </cell>
          <cell r="L110">
            <v>7</v>
          </cell>
          <cell r="M110">
            <v>46050</v>
          </cell>
          <cell r="N110">
            <v>46051</v>
          </cell>
          <cell r="O110">
            <v>1</v>
          </cell>
          <cell r="P110">
            <v>46052</v>
          </cell>
          <cell r="Q110">
            <v>5</v>
          </cell>
          <cell r="R110" t="str">
            <v>NA</v>
          </cell>
          <cell r="S110">
            <v>5</v>
          </cell>
        </row>
        <row r="111">
          <cell r="B111" t="str">
            <v>EMMC</v>
          </cell>
          <cell r="C111" t="str">
            <v>HSLB12838</v>
          </cell>
          <cell r="D111">
            <v>113012</v>
          </cell>
          <cell r="E111" t="str">
            <v>Monitor de Transporte baja complejidad</v>
          </cell>
          <cell r="F111" t="str">
            <v>NO</v>
          </cell>
          <cell r="G111" t="str">
            <v>NO</v>
          </cell>
          <cell r="H111" t="str">
            <v>BODEGA DE EQUIPOS</v>
          </cell>
          <cell r="I111">
            <v>1</v>
          </cell>
          <cell r="J111" t="str">
            <v>C.3.4.3.17</v>
          </cell>
          <cell r="K111" t="str">
            <v>Hospitalización</v>
          </cell>
          <cell r="L111">
            <v>7</v>
          </cell>
          <cell r="M111">
            <v>46050</v>
          </cell>
          <cell r="N111">
            <v>46051</v>
          </cell>
          <cell r="O111">
            <v>1</v>
          </cell>
          <cell r="P111">
            <v>46052</v>
          </cell>
          <cell r="Q111">
            <v>5</v>
          </cell>
          <cell r="R111" t="str">
            <v>NA</v>
          </cell>
          <cell r="S111">
            <v>5</v>
          </cell>
        </row>
        <row r="112">
          <cell r="B112" t="str">
            <v>EMMC</v>
          </cell>
          <cell r="C112" t="str">
            <v>HSLB12849</v>
          </cell>
          <cell r="D112">
            <v>113013</v>
          </cell>
          <cell r="E112" t="str">
            <v>Monitor Desfibrilador</v>
          </cell>
          <cell r="F112" t="str">
            <v>NO</v>
          </cell>
          <cell r="G112" t="str">
            <v>NO</v>
          </cell>
          <cell r="H112" t="str">
            <v>ESTACIÓN DE ENFERMERÍA</v>
          </cell>
          <cell r="I112">
            <v>1</v>
          </cell>
          <cell r="J112" t="str">
            <v>C.3.4.3.8.1</v>
          </cell>
          <cell r="K112" t="str">
            <v>Hospitalización</v>
          </cell>
          <cell r="L112">
            <v>7</v>
          </cell>
          <cell r="M112">
            <v>46050</v>
          </cell>
          <cell r="N112">
            <v>46051</v>
          </cell>
          <cell r="O112">
            <v>1</v>
          </cell>
          <cell r="P112">
            <v>46052</v>
          </cell>
          <cell r="Q112">
            <v>5</v>
          </cell>
          <cell r="R112" t="str">
            <v>NA</v>
          </cell>
          <cell r="S112">
            <v>5</v>
          </cell>
        </row>
        <row r="113">
          <cell r="B113" t="str">
            <v>EMMC</v>
          </cell>
          <cell r="C113" t="str">
            <v>HSLB12850</v>
          </cell>
          <cell r="D113">
            <v>113013</v>
          </cell>
          <cell r="E113" t="str">
            <v>Monitor Desfibrilador</v>
          </cell>
          <cell r="F113" t="str">
            <v>NO</v>
          </cell>
          <cell r="G113" t="str">
            <v>NO</v>
          </cell>
          <cell r="H113" t="str">
            <v>ESTACIÓN DE ENFERMERÍA</v>
          </cell>
          <cell r="I113">
            <v>1</v>
          </cell>
          <cell r="J113" t="str">
            <v>C.3.4.3.8.2</v>
          </cell>
          <cell r="K113" t="str">
            <v>Hospitalización</v>
          </cell>
          <cell r="L113">
            <v>7</v>
          </cell>
          <cell r="M113">
            <v>46050</v>
          </cell>
          <cell r="N113">
            <v>46051</v>
          </cell>
          <cell r="O113">
            <v>1</v>
          </cell>
          <cell r="P113">
            <v>46052</v>
          </cell>
          <cell r="Q113">
            <v>5</v>
          </cell>
          <cell r="R113" t="str">
            <v>NA</v>
          </cell>
          <cell r="S113">
            <v>5</v>
          </cell>
        </row>
        <row r="114">
          <cell r="B114" t="str">
            <v>EMMC</v>
          </cell>
          <cell r="C114" t="str">
            <v>HSLB11415</v>
          </cell>
          <cell r="D114">
            <v>110051</v>
          </cell>
          <cell r="E114" t="str">
            <v>Refrigerador Clínico 60 l</v>
          </cell>
          <cell r="F114" t="str">
            <v>NO</v>
          </cell>
          <cell r="G114" t="str">
            <v>NO</v>
          </cell>
          <cell r="H114" t="str">
            <v>AREA LIMPIA</v>
          </cell>
          <cell r="I114">
            <v>1</v>
          </cell>
          <cell r="J114" t="str">
            <v>C.3.4.3.9.1.1</v>
          </cell>
          <cell r="K114" t="str">
            <v>Hospitalización</v>
          </cell>
          <cell r="L114">
            <v>7</v>
          </cell>
          <cell r="M114">
            <v>46050</v>
          </cell>
          <cell r="N114">
            <v>46051</v>
          </cell>
          <cell r="O114">
            <v>1</v>
          </cell>
          <cell r="P114">
            <v>46052</v>
          </cell>
          <cell r="Q114">
            <v>5</v>
          </cell>
          <cell r="R114" t="str">
            <v>NA</v>
          </cell>
          <cell r="S114">
            <v>5</v>
          </cell>
        </row>
        <row r="115">
          <cell r="B115" t="str">
            <v>EMMC</v>
          </cell>
          <cell r="C115" t="str">
            <v>HSLB11416</v>
          </cell>
          <cell r="D115">
            <v>110051</v>
          </cell>
          <cell r="E115" t="str">
            <v>Refrigerador Clínico 60 l</v>
          </cell>
          <cell r="F115" t="str">
            <v>NO</v>
          </cell>
          <cell r="G115" t="str">
            <v>NO</v>
          </cell>
          <cell r="H115" t="str">
            <v>AREA LIMPIA</v>
          </cell>
          <cell r="I115">
            <v>1</v>
          </cell>
          <cell r="J115" t="str">
            <v>C.3.4.3.9.2.1</v>
          </cell>
          <cell r="K115" t="str">
            <v>Hospitalización</v>
          </cell>
          <cell r="L115">
            <v>7</v>
          </cell>
          <cell r="M115">
            <v>46050</v>
          </cell>
          <cell r="N115">
            <v>46051</v>
          </cell>
          <cell r="O115">
            <v>1</v>
          </cell>
          <cell r="P115">
            <v>46052</v>
          </cell>
          <cell r="Q115">
            <v>5</v>
          </cell>
          <cell r="R115" t="str">
            <v>NA</v>
          </cell>
          <cell r="S115">
            <v>5</v>
          </cell>
        </row>
        <row r="116">
          <cell r="B116" t="str">
            <v>EMMC</v>
          </cell>
          <cell r="C116" t="str">
            <v>HSLB10401</v>
          </cell>
          <cell r="D116">
            <v>103048</v>
          </cell>
          <cell r="E116" t="str">
            <v>Refrigerador Doméstico</v>
          </cell>
          <cell r="F116" t="str">
            <v>NO</v>
          </cell>
          <cell r="G116" t="str">
            <v>NO</v>
          </cell>
          <cell r="H116" t="str">
            <v>ESTAR PERSONAL C/ KITCHENETTE</v>
          </cell>
          <cell r="I116">
            <v>1</v>
          </cell>
          <cell r="J116" t="str">
            <v>C.3.4.3.24.1</v>
          </cell>
          <cell r="K116" t="str">
            <v>Hospitalización</v>
          </cell>
          <cell r="L116">
            <v>7</v>
          </cell>
          <cell r="M116">
            <v>46050</v>
          </cell>
          <cell r="N116">
            <v>46051</v>
          </cell>
          <cell r="O116">
            <v>1</v>
          </cell>
          <cell r="P116">
            <v>46052</v>
          </cell>
          <cell r="Q116">
            <v>5</v>
          </cell>
          <cell r="R116" t="str">
            <v>NA</v>
          </cell>
          <cell r="S116">
            <v>5</v>
          </cell>
        </row>
        <row r="117">
          <cell r="B117" t="str">
            <v>EMMC</v>
          </cell>
          <cell r="C117" t="str">
            <v>HSLB11762</v>
          </cell>
          <cell r="D117">
            <v>112019</v>
          </cell>
          <cell r="E117" t="str">
            <v>Carro Aseo Paciente</v>
          </cell>
          <cell r="F117" t="str">
            <v>NO</v>
          </cell>
          <cell r="G117" t="str">
            <v>NO</v>
          </cell>
          <cell r="H117" t="str">
            <v>ESTACIÓN DE ENFERMERÍA</v>
          </cell>
          <cell r="I117">
            <v>1</v>
          </cell>
          <cell r="J117" t="str">
            <v>C.3.4.3.8.1</v>
          </cell>
          <cell r="K117" t="str">
            <v>Hospitalización</v>
          </cell>
          <cell r="L117">
            <v>7</v>
          </cell>
          <cell r="M117">
            <v>46050</v>
          </cell>
          <cell r="N117">
            <v>46051</v>
          </cell>
          <cell r="O117">
            <v>1</v>
          </cell>
          <cell r="P117">
            <v>46052</v>
          </cell>
          <cell r="Q117">
            <v>5</v>
          </cell>
          <cell r="R117" t="str">
            <v>NA</v>
          </cell>
          <cell r="S117">
            <v>5</v>
          </cell>
        </row>
        <row r="118">
          <cell r="B118" t="str">
            <v>EMMC</v>
          </cell>
          <cell r="C118" t="str">
            <v>HSLB11763</v>
          </cell>
          <cell r="D118">
            <v>112019</v>
          </cell>
          <cell r="E118" t="str">
            <v>Carro Aseo Paciente</v>
          </cell>
          <cell r="F118" t="str">
            <v>NO</v>
          </cell>
          <cell r="G118" t="str">
            <v>NO</v>
          </cell>
          <cell r="H118" t="str">
            <v>ESTACIÓN DE ENFERMERÍA</v>
          </cell>
          <cell r="I118">
            <v>1</v>
          </cell>
          <cell r="J118" t="str">
            <v>C.3.4.3.8.2</v>
          </cell>
          <cell r="K118" t="str">
            <v>Hospitalización</v>
          </cell>
          <cell r="L118">
            <v>7</v>
          </cell>
          <cell r="M118">
            <v>46050</v>
          </cell>
          <cell r="N118">
            <v>46051</v>
          </cell>
          <cell r="O118">
            <v>1</v>
          </cell>
          <cell r="P118">
            <v>46052</v>
          </cell>
          <cell r="Q118">
            <v>5</v>
          </cell>
          <cell r="R118" t="str">
            <v>NA</v>
          </cell>
          <cell r="S118">
            <v>5</v>
          </cell>
        </row>
        <row r="119">
          <cell r="B119" t="str">
            <v>EMMC</v>
          </cell>
          <cell r="C119" t="str">
            <v>HSLB11790</v>
          </cell>
          <cell r="D119">
            <v>112021</v>
          </cell>
          <cell r="E119" t="str">
            <v>Carro Curación</v>
          </cell>
          <cell r="F119" t="str">
            <v>NO</v>
          </cell>
          <cell r="G119" t="str">
            <v>NO</v>
          </cell>
          <cell r="H119" t="str">
            <v>ESTACIÓN DE ENFERMERÍA</v>
          </cell>
          <cell r="I119">
            <v>1</v>
          </cell>
          <cell r="J119" t="str">
            <v>C.3.4.3.8.1</v>
          </cell>
          <cell r="K119" t="str">
            <v>Hospitalización</v>
          </cell>
          <cell r="L119">
            <v>7</v>
          </cell>
          <cell r="M119">
            <v>46050</v>
          </cell>
          <cell r="N119">
            <v>46051</v>
          </cell>
          <cell r="O119">
            <v>1</v>
          </cell>
          <cell r="P119">
            <v>46052</v>
          </cell>
          <cell r="Q119">
            <v>5</v>
          </cell>
          <cell r="R119" t="str">
            <v>NA</v>
          </cell>
          <cell r="S119">
            <v>5</v>
          </cell>
        </row>
        <row r="120">
          <cell r="B120" t="str">
            <v>EMMC</v>
          </cell>
          <cell r="C120" t="str">
            <v>HSLB11791</v>
          </cell>
          <cell r="D120">
            <v>112021</v>
          </cell>
          <cell r="E120" t="str">
            <v>Carro Curación</v>
          </cell>
          <cell r="F120" t="str">
            <v>NO</v>
          </cell>
          <cell r="G120" t="str">
            <v>NO</v>
          </cell>
          <cell r="H120" t="str">
            <v>ESTACIÓN DE ENFERMERÍA</v>
          </cell>
          <cell r="I120">
            <v>1</v>
          </cell>
          <cell r="J120" t="str">
            <v>C.3.4.3.8.2</v>
          </cell>
          <cell r="K120" t="str">
            <v>Hospitalización</v>
          </cell>
          <cell r="L120">
            <v>7</v>
          </cell>
          <cell r="M120">
            <v>46050</v>
          </cell>
          <cell r="N120">
            <v>46051</v>
          </cell>
          <cell r="O120">
            <v>1</v>
          </cell>
          <cell r="P120">
            <v>46052</v>
          </cell>
          <cell r="Q120">
            <v>5</v>
          </cell>
          <cell r="R120" t="str">
            <v>NA</v>
          </cell>
          <cell r="S120">
            <v>5</v>
          </cell>
        </row>
        <row r="121">
          <cell r="B121" t="str">
            <v>EMMC</v>
          </cell>
          <cell r="C121" t="str">
            <v>HSLB11847</v>
          </cell>
          <cell r="D121">
            <v>112023</v>
          </cell>
          <cell r="E121" t="str">
            <v>Carro de Procedimientos</v>
          </cell>
          <cell r="F121" t="str">
            <v>NO</v>
          </cell>
          <cell r="G121" t="str">
            <v>NO</v>
          </cell>
          <cell r="H121" t="str">
            <v>SALA DE PROCEDIMIENTOS</v>
          </cell>
          <cell r="I121">
            <v>1</v>
          </cell>
          <cell r="J121" t="str">
            <v>C.3.4.3.15</v>
          </cell>
          <cell r="K121" t="str">
            <v>Hospitalización</v>
          </cell>
          <cell r="L121">
            <v>7</v>
          </cell>
          <cell r="M121">
            <v>46050</v>
          </cell>
          <cell r="N121">
            <v>46051</v>
          </cell>
          <cell r="O121">
            <v>1</v>
          </cell>
          <cell r="P121">
            <v>46052</v>
          </cell>
          <cell r="Q121">
            <v>5</v>
          </cell>
          <cell r="R121" t="str">
            <v>NA</v>
          </cell>
          <cell r="S121">
            <v>5</v>
          </cell>
        </row>
        <row r="122">
          <cell r="B122" t="str">
            <v>EMMC</v>
          </cell>
          <cell r="C122" t="str">
            <v>HSLB11848</v>
          </cell>
          <cell r="D122">
            <v>112023</v>
          </cell>
          <cell r="E122" t="str">
            <v>Carro de Procedimientos</v>
          </cell>
          <cell r="F122" t="str">
            <v>NO</v>
          </cell>
          <cell r="G122" t="str">
            <v>NO</v>
          </cell>
          <cell r="H122" t="str">
            <v>ESTACIÓN DE ENFERMERÍA</v>
          </cell>
          <cell r="I122">
            <v>1</v>
          </cell>
          <cell r="J122" t="str">
            <v>C.3.4.3.8.1</v>
          </cell>
          <cell r="K122" t="str">
            <v>Hospitalización</v>
          </cell>
          <cell r="L122">
            <v>7</v>
          </cell>
          <cell r="M122">
            <v>46050</v>
          </cell>
          <cell r="N122">
            <v>46051</v>
          </cell>
          <cell r="O122">
            <v>1</v>
          </cell>
          <cell r="P122">
            <v>46052</v>
          </cell>
          <cell r="Q122">
            <v>5</v>
          </cell>
          <cell r="R122" t="str">
            <v>NA</v>
          </cell>
          <cell r="S122">
            <v>5</v>
          </cell>
        </row>
        <row r="123">
          <cell r="B123" t="str">
            <v>EMMC</v>
          </cell>
          <cell r="C123" t="str">
            <v>HSLB11849</v>
          </cell>
          <cell r="D123">
            <v>112023</v>
          </cell>
          <cell r="E123" t="str">
            <v>Carro de Procedimientos</v>
          </cell>
          <cell r="F123" t="str">
            <v>NO</v>
          </cell>
          <cell r="G123" t="str">
            <v>NO</v>
          </cell>
          <cell r="H123" t="str">
            <v>ESTACIÓN DE ENFERMERÍA</v>
          </cell>
          <cell r="I123">
            <v>1</v>
          </cell>
          <cell r="J123" t="str">
            <v>C.3.4.3.8.2</v>
          </cell>
          <cell r="K123" t="str">
            <v>Hospitalización</v>
          </cell>
          <cell r="L123">
            <v>7</v>
          </cell>
          <cell r="M123">
            <v>46050</v>
          </cell>
          <cell r="N123">
            <v>46051</v>
          </cell>
          <cell r="O123">
            <v>1</v>
          </cell>
          <cell r="P123">
            <v>46052</v>
          </cell>
          <cell r="Q123">
            <v>5</v>
          </cell>
          <cell r="R123" t="str">
            <v>NA</v>
          </cell>
          <cell r="S123">
            <v>5</v>
          </cell>
        </row>
        <row r="124">
          <cell r="B124" t="str">
            <v>EMMC</v>
          </cell>
          <cell r="C124" t="str">
            <v>HSLB11881</v>
          </cell>
          <cell r="D124">
            <v>112027</v>
          </cell>
          <cell r="E124" t="str">
            <v>Carro Dosis Unitaria 2x15</v>
          </cell>
          <cell r="F124" t="str">
            <v>NO</v>
          </cell>
          <cell r="G124" t="str">
            <v>NO</v>
          </cell>
          <cell r="H124" t="str">
            <v>ESTACIÓN DE ENFERMERÍA</v>
          </cell>
          <cell r="I124">
            <v>1</v>
          </cell>
          <cell r="J124" t="str">
            <v>C.3.4.3.8.1</v>
          </cell>
          <cell r="K124" t="str">
            <v>Hospitalización</v>
          </cell>
          <cell r="L124">
            <v>7</v>
          </cell>
          <cell r="M124">
            <v>46050</v>
          </cell>
          <cell r="N124">
            <v>46051</v>
          </cell>
          <cell r="O124">
            <v>1</v>
          </cell>
          <cell r="P124">
            <v>46052</v>
          </cell>
          <cell r="Q124">
            <v>5</v>
          </cell>
          <cell r="R124" t="str">
            <v>NA</v>
          </cell>
          <cell r="S124">
            <v>5</v>
          </cell>
        </row>
        <row r="125">
          <cell r="B125" t="str">
            <v>EMMC</v>
          </cell>
          <cell r="C125" t="str">
            <v>HSLB11882</v>
          </cell>
          <cell r="D125">
            <v>112027</v>
          </cell>
          <cell r="E125" t="str">
            <v>Carro Dosis Unitaria 2x15</v>
          </cell>
          <cell r="F125" t="str">
            <v>NO</v>
          </cell>
          <cell r="G125" t="str">
            <v>NO</v>
          </cell>
          <cell r="H125" t="str">
            <v>ESTACIÓN DE ENFERMERÍA</v>
          </cell>
          <cell r="I125">
            <v>1</v>
          </cell>
          <cell r="J125" t="str">
            <v>C.3.4.3.8.2</v>
          </cell>
          <cell r="K125" t="str">
            <v>Hospitalización</v>
          </cell>
          <cell r="L125">
            <v>7</v>
          </cell>
          <cell r="M125">
            <v>46050</v>
          </cell>
          <cell r="N125">
            <v>46051</v>
          </cell>
          <cell r="O125">
            <v>1</v>
          </cell>
          <cell r="P125">
            <v>46052</v>
          </cell>
          <cell r="Q125">
            <v>5</v>
          </cell>
          <cell r="R125" t="str">
            <v>NA</v>
          </cell>
          <cell r="S125">
            <v>5</v>
          </cell>
        </row>
        <row r="126">
          <cell r="B126" t="str">
            <v>EMMC</v>
          </cell>
          <cell r="C126" t="str">
            <v>HSLB11912</v>
          </cell>
          <cell r="D126">
            <v>112039</v>
          </cell>
          <cell r="E126" t="str">
            <v>Carro Transporte Ropa Sucia Tipo I</v>
          </cell>
          <cell r="F126" t="str">
            <v>NO</v>
          </cell>
          <cell r="G126" t="str">
            <v>NO</v>
          </cell>
          <cell r="H126" t="str">
            <v>BODEGA ROPA SUCIA</v>
          </cell>
          <cell r="I126">
            <v>2</v>
          </cell>
          <cell r="J126" t="str">
            <v>C.3.4.3.19.1</v>
          </cell>
          <cell r="K126" t="str">
            <v>Hospitalización</v>
          </cell>
          <cell r="L126">
            <v>7</v>
          </cell>
          <cell r="M126">
            <v>46050</v>
          </cell>
          <cell r="N126">
            <v>46051</v>
          </cell>
          <cell r="O126">
            <v>1</v>
          </cell>
          <cell r="P126">
            <v>46052</v>
          </cell>
          <cell r="Q126">
            <v>5</v>
          </cell>
          <cell r="R126" t="str">
            <v>NA</v>
          </cell>
          <cell r="S126">
            <v>5</v>
          </cell>
        </row>
        <row r="127">
          <cell r="B127" t="str">
            <v>EMMC</v>
          </cell>
          <cell r="C127" t="str">
            <v>HSLB11913</v>
          </cell>
          <cell r="D127">
            <v>112039</v>
          </cell>
          <cell r="E127" t="str">
            <v>Carro Transporte Ropa Sucia Tipo I</v>
          </cell>
          <cell r="F127" t="str">
            <v>NO</v>
          </cell>
          <cell r="G127" t="str">
            <v>NO</v>
          </cell>
          <cell r="H127" t="str">
            <v>BODEGA ROPA SUCIA</v>
          </cell>
          <cell r="I127">
            <v>2</v>
          </cell>
          <cell r="J127" t="str">
            <v>C.3.4.3.19.2</v>
          </cell>
          <cell r="K127" t="str">
            <v>Hospitalización</v>
          </cell>
          <cell r="L127">
            <v>7</v>
          </cell>
          <cell r="M127">
            <v>46050</v>
          </cell>
          <cell r="N127">
            <v>46051</v>
          </cell>
          <cell r="O127">
            <v>1</v>
          </cell>
          <cell r="P127">
            <v>46052</v>
          </cell>
          <cell r="Q127">
            <v>5</v>
          </cell>
          <cell r="R127" t="str">
            <v>NA</v>
          </cell>
          <cell r="S127">
            <v>5</v>
          </cell>
        </row>
        <row r="128">
          <cell r="B128" t="str">
            <v>EMMC</v>
          </cell>
          <cell r="C128" t="str">
            <v>HSLB10402</v>
          </cell>
          <cell r="D128">
            <v>103048</v>
          </cell>
          <cell r="E128" t="str">
            <v>Refrigerador Doméstico</v>
          </cell>
          <cell r="F128" t="str">
            <v>NO</v>
          </cell>
          <cell r="G128" t="str">
            <v>NO</v>
          </cell>
          <cell r="H128" t="str">
            <v>ESTAR PERSONAL C/ KITCHENETTE</v>
          </cell>
          <cell r="I128">
            <v>1</v>
          </cell>
          <cell r="J128" t="str">
            <v>C.3.4.3.24.2</v>
          </cell>
          <cell r="K128" t="str">
            <v>Hospitalización</v>
          </cell>
          <cell r="L128">
            <v>7</v>
          </cell>
          <cell r="M128">
            <v>46050</v>
          </cell>
          <cell r="N128">
            <v>46051</v>
          </cell>
          <cell r="O128">
            <v>1</v>
          </cell>
          <cell r="P128">
            <v>46052</v>
          </cell>
          <cell r="Q128">
            <v>5</v>
          </cell>
          <cell r="R128" t="str">
            <v>NA</v>
          </cell>
          <cell r="S128">
            <v>5</v>
          </cell>
        </row>
        <row r="129">
          <cell r="B129" t="str">
            <v>EMMC</v>
          </cell>
          <cell r="C129" t="str">
            <v>HSLB10635</v>
          </cell>
          <cell r="D129">
            <v>105004</v>
          </cell>
          <cell r="E129" t="str">
            <v>Calentador de Paciente</v>
          </cell>
          <cell r="F129" t="str">
            <v>NO</v>
          </cell>
          <cell r="G129" t="str">
            <v>NO</v>
          </cell>
          <cell r="H129" t="str">
            <v>BODEGA DE EQUIPOS</v>
          </cell>
          <cell r="I129">
            <v>6</v>
          </cell>
          <cell r="J129" t="str">
            <v>C.3.4.3.17</v>
          </cell>
          <cell r="K129" t="str">
            <v>Hospitalización</v>
          </cell>
          <cell r="L129">
            <v>7</v>
          </cell>
          <cell r="M129">
            <v>46050</v>
          </cell>
          <cell r="N129">
            <v>46051</v>
          </cell>
          <cell r="O129">
            <v>1</v>
          </cell>
          <cell r="P129">
            <v>46052</v>
          </cell>
          <cell r="Q129">
            <v>5</v>
          </cell>
          <cell r="R129" t="str">
            <v>NA</v>
          </cell>
          <cell r="S129">
            <v>5</v>
          </cell>
        </row>
        <row r="130">
          <cell r="B130" t="str">
            <v>EMMC</v>
          </cell>
          <cell r="C130" t="str">
            <v>HSLB11711</v>
          </cell>
          <cell r="D130">
            <v>112016</v>
          </cell>
          <cell r="E130" t="str">
            <v>Camilla Transporte Paciente</v>
          </cell>
          <cell r="F130" t="str">
            <v>NO</v>
          </cell>
          <cell r="G130" t="str">
            <v>NO</v>
          </cell>
          <cell r="H130" t="str">
            <v>ESTACIONAMIENTO CAMILLAS Y SILLAS DE RUEDAS</v>
          </cell>
          <cell r="I130">
            <v>2</v>
          </cell>
          <cell r="J130" t="str">
            <v>C.3.4.3.23</v>
          </cell>
          <cell r="K130" t="str">
            <v>Hospitalización</v>
          </cell>
          <cell r="L130">
            <v>7</v>
          </cell>
          <cell r="M130">
            <v>46050</v>
          </cell>
          <cell r="N130">
            <v>46051</v>
          </cell>
          <cell r="O130">
            <v>1</v>
          </cell>
          <cell r="P130">
            <v>46052</v>
          </cell>
          <cell r="Q130">
            <v>5</v>
          </cell>
          <cell r="R130" t="str">
            <v>NA</v>
          </cell>
          <cell r="S130">
            <v>5</v>
          </cell>
        </row>
        <row r="131">
          <cell r="B131" t="str">
            <v>EMMC</v>
          </cell>
          <cell r="C131" t="str">
            <v>HSLB10018</v>
          </cell>
          <cell r="D131">
            <v>101005</v>
          </cell>
          <cell r="E131" t="str">
            <v>Balanza Adulto con Tallímetro</v>
          </cell>
          <cell r="F131" t="str">
            <v>NO</v>
          </cell>
          <cell r="G131" t="str">
            <v>NO</v>
          </cell>
          <cell r="H131" t="str">
            <v>SALA DE PROCEDIMIENTOS</v>
          </cell>
          <cell r="I131">
            <v>1</v>
          </cell>
          <cell r="J131" t="str">
            <v>C.3.4.3.15</v>
          </cell>
          <cell r="K131" t="str">
            <v>Hospitalización</v>
          </cell>
          <cell r="L131">
            <v>7</v>
          </cell>
          <cell r="M131">
            <v>46050</v>
          </cell>
          <cell r="N131">
            <v>46051</v>
          </cell>
          <cell r="O131">
            <v>1</v>
          </cell>
          <cell r="P131">
            <v>46052</v>
          </cell>
          <cell r="Q131">
            <v>5</v>
          </cell>
          <cell r="R131" t="str">
            <v>NA</v>
          </cell>
          <cell r="S131">
            <v>5</v>
          </cell>
        </row>
        <row r="132">
          <cell r="B132" t="str">
            <v>EMMC</v>
          </cell>
          <cell r="C132" t="str">
            <v>HSLB10056</v>
          </cell>
          <cell r="D132">
            <v>101012</v>
          </cell>
          <cell r="E132" t="str">
            <v>Balanza Silla</v>
          </cell>
          <cell r="F132" t="str">
            <v>NO</v>
          </cell>
          <cell r="G132" t="str">
            <v>NO</v>
          </cell>
          <cell r="H132" t="str">
            <v>BODEGA DE EQUIPOS</v>
          </cell>
          <cell r="I132">
            <v>1</v>
          </cell>
          <cell r="J132" t="str">
            <v>C.3.4.3.17</v>
          </cell>
          <cell r="K132" t="str">
            <v>Hospitalización</v>
          </cell>
          <cell r="L132">
            <v>7</v>
          </cell>
          <cell r="M132">
            <v>46050</v>
          </cell>
          <cell r="N132">
            <v>46051</v>
          </cell>
          <cell r="O132">
            <v>1</v>
          </cell>
          <cell r="P132">
            <v>46052</v>
          </cell>
          <cell r="Q132">
            <v>5</v>
          </cell>
          <cell r="R132" t="str">
            <v>NA</v>
          </cell>
          <cell r="S132">
            <v>5</v>
          </cell>
        </row>
        <row r="133">
          <cell r="B133" t="str">
            <v>EMMC</v>
          </cell>
          <cell r="C133" t="str">
            <v>HSLB10468</v>
          </cell>
          <cell r="D133">
            <v>104002</v>
          </cell>
          <cell r="E133" t="str">
            <v>BOMBA ASPIRACIÓN UNIVERSAL</v>
          </cell>
          <cell r="F133" t="str">
            <v>NO</v>
          </cell>
          <cell r="G133" t="str">
            <v>NO</v>
          </cell>
          <cell r="H133" t="str">
            <v>ESTACIÓN DE ENFERMERÍA</v>
          </cell>
          <cell r="I133">
            <v>1</v>
          </cell>
          <cell r="J133" t="str">
            <v>C.3.4.3.8.1</v>
          </cell>
          <cell r="K133" t="str">
            <v>Hospitalización</v>
          </cell>
          <cell r="L133">
            <v>7</v>
          </cell>
          <cell r="M133">
            <v>46050</v>
          </cell>
          <cell r="N133">
            <v>46051</v>
          </cell>
          <cell r="O133">
            <v>1</v>
          </cell>
          <cell r="P133">
            <v>46052</v>
          </cell>
          <cell r="Q133">
            <v>5</v>
          </cell>
          <cell r="R133" t="str">
            <v>NA</v>
          </cell>
          <cell r="S133">
            <v>5</v>
          </cell>
        </row>
        <row r="134">
          <cell r="B134" t="str">
            <v>EMMC</v>
          </cell>
          <cell r="C134" t="str">
            <v>HSLB10469</v>
          </cell>
          <cell r="D134">
            <v>104002</v>
          </cell>
          <cell r="E134" t="str">
            <v>BOMBA ASPIRACIÓN UNIVERSAL</v>
          </cell>
          <cell r="F134" t="str">
            <v>NO</v>
          </cell>
          <cell r="G134" t="str">
            <v>NO</v>
          </cell>
          <cell r="H134" t="str">
            <v>ESTACIÓN DE ENFERMERÍA</v>
          </cell>
          <cell r="I134">
            <v>1</v>
          </cell>
          <cell r="J134" t="str">
            <v>C.3.4.3.8.2</v>
          </cell>
          <cell r="K134" t="str">
            <v>Hospitalización</v>
          </cell>
          <cell r="L134">
            <v>7</v>
          </cell>
          <cell r="M134">
            <v>46050</v>
          </cell>
          <cell r="N134">
            <v>46051</v>
          </cell>
          <cell r="O134">
            <v>1</v>
          </cell>
          <cell r="P134">
            <v>46052</v>
          </cell>
          <cell r="Q134">
            <v>5</v>
          </cell>
          <cell r="R134" t="str">
            <v>NA</v>
          </cell>
          <cell r="S134">
            <v>5</v>
          </cell>
        </row>
        <row r="135">
          <cell r="B135" t="str">
            <v>EMMC</v>
          </cell>
          <cell r="C135" t="str">
            <v>HSLB11710</v>
          </cell>
          <cell r="D135">
            <v>112016</v>
          </cell>
          <cell r="E135" t="str">
            <v>Camilla Transporte Paciente</v>
          </cell>
          <cell r="F135" t="str">
            <v>NO</v>
          </cell>
          <cell r="G135" t="str">
            <v>NO</v>
          </cell>
          <cell r="H135" t="str">
            <v>SALA DE PROCEDIMIENTOS</v>
          </cell>
          <cell r="I135">
            <v>1</v>
          </cell>
          <cell r="J135" t="str">
            <v>C.3.4.3.15</v>
          </cell>
          <cell r="K135" t="str">
            <v>Hospitalización</v>
          </cell>
          <cell r="L135">
            <v>7</v>
          </cell>
          <cell r="M135">
            <v>46050</v>
          </cell>
          <cell r="N135">
            <v>46051</v>
          </cell>
          <cell r="O135">
            <v>1</v>
          </cell>
          <cell r="P135">
            <v>46052</v>
          </cell>
          <cell r="Q135">
            <v>5</v>
          </cell>
          <cell r="R135" t="str">
            <v>NA</v>
          </cell>
          <cell r="S135">
            <v>5</v>
          </cell>
        </row>
        <row r="136">
          <cell r="B136" t="str">
            <v>EMMC</v>
          </cell>
          <cell r="C136" t="str">
            <v>HSLB11817</v>
          </cell>
          <cell r="D136">
            <v>112022</v>
          </cell>
          <cell r="E136" t="str">
            <v>Carro de Paro</v>
          </cell>
          <cell r="F136" t="str">
            <v>NO</v>
          </cell>
          <cell r="G136" t="str">
            <v>NO</v>
          </cell>
          <cell r="H136" t="str">
            <v>ESTACIÓN DE ENFERMERÍA</v>
          </cell>
          <cell r="I136">
            <v>1</v>
          </cell>
          <cell r="J136" t="str">
            <v>C.3.4.3.8.1</v>
          </cell>
          <cell r="K136" t="str">
            <v>Hospitalización</v>
          </cell>
          <cell r="L136">
            <v>7</v>
          </cell>
          <cell r="M136">
            <v>46050</v>
          </cell>
          <cell r="N136">
            <v>46051</v>
          </cell>
          <cell r="O136">
            <v>1</v>
          </cell>
          <cell r="P136">
            <v>46052</v>
          </cell>
          <cell r="Q136">
            <v>5</v>
          </cell>
          <cell r="R136" t="str">
            <v>NA</v>
          </cell>
          <cell r="S136">
            <v>5</v>
          </cell>
        </row>
        <row r="137">
          <cell r="B137" t="str">
            <v>EMMC</v>
          </cell>
          <cell r="C137" t="str">
            <v>HSLB10087</v>
          </cell>
          <cell r="D137">
            <v>101024</v>
          </cell>
          <cell r="E137" t="str">
            <v>Electrocardiógrafo</v>
          </cell>
          <cell r="F137" t="str">
            <v>NO</v>
          </cell>
          <cell r="G137" t="str">
            <v>NO</v>
          </cell>
          <cell r="H137" t="str">
            <v>ESTACIÓN DE ENFERMERÍA</v>
          </cell>
          <cell r="I137">
            <v>1</v>
          </cell>
          <cell r="J137" t="str">
            <v>C.3.4.3.8.1</v>
          </cell>
          <cell r="K137" t="str">
            <v>Hospitalización</v>
          </cell>
          <cell r="L137">
            <v>7</v>
          </cell>
          <cell r="M137">
            <v>46050</v>
          </cell>
          <cell r="N137">
            <v>46051</v>
          </cell>
          <cell r="O137">
            <v>1</v>
          </cell>
          <cell r="P137">
            <v>46052</v>
          </cell>
          <cell r="Q137">
            <v>5</v>
          </cell>
          <cell r="R137" t="str">
            <v>NA</v>
          </cell>
          <cell r="S137">
            <v>5</v>
          </cell>
        </row>
        <row r="138">
          <cell r="B138" t="str">
            <v>EMMC</v>
          </cell>
          <cell r="C138" t="str">
            <v>HSLB10088</v>
          </cell>
          <cell r="D138">
            <v>101024</v>
          </cell>
          <cell r="E138" t="str">
            <v>Electrocardiógrafo</v>
          </cell>
          <cell r="F138" t="str">
            <v>NO</v>
          </cell>
          <cell r="G138" t="str">
            <v>NO</v>
          </cell>
          <cell r="H138" t="str">
            <v>ESTACIÓN DE ENFERMERÍA</v>
          </cell>
          <cell r="I138">
            <v>1</v>
          </cell>
          <cell r="J138" t="str">
            <v>C.3.4.3.8.2</v>
          </cell>
          <cell r="K138" t="str">
            <v>Hospitalización</v>
          </cell>
          <cell r="L138">
            <v>7</v>
          </cell>
          <cell r="M138">
            <v>46050</v>
          </cell>
          <cell r="N138">
            <v>46051</v>
          </cell>
          <cell r="O138">
            <v>1</v>
          </cell>
          <cell r="P138">
            <v>46052</v>
          </cell>
          <cell r="Q138">
            <v>5</v>
          </cell>
          <cell r="R138" t="str">
            <v>NA</v>
          </cell>
          <cell r="S138">
            <v>5</v>
          </cell>
        </row>
        <row r="139">
          <cell r="B139" t="str">
            <v>EMMC</v>
          </cell>
          <cell r="C139" t="str">
            <v>HSLB10145</v>
          </cell>
          <cell r="D139">
            <v>101037</v>
          </cell>
          <cell r="E139" t="str">
            <v>LÁMPARA DE EXAMEN RODABLE</v>
          </cell>
          <cell r="F139" t="str">
            <v>NO</v>
          </cell>
          <cell r="G139" t="str">
            <v>NO</v>
          </cell>
          <cell r="H139" t="str">
            <v>BODEGA DE EQUIPOS</v>
          </cell>
          <cell r="I139">
            <v>1</v>
          </cell>
          <cell r="J139" t="str">
            <v>C.3.4.3.17</v>
          </cell>
          <cell r="K139" t="str">
            <v>Hospitalización</v>
          </cell>
          <cell r="L139">
            <v>7</v>
          </cell>
          <cell r="M139">
            <v>46050</v>
          </cell>
          <cell r="N139">
            <v>46051</v>
          </cell>
          <cell r="O139">
            <v>1</v>
          </cell>
          <cell r="P139">
            <v>46052</v>
          </cell>
          <cell r="Q139">
            <v>5</v>
          </cell>
          <cell r="R139" t="str">
            <v>NA</v>
          </cell>
          <cell r="S139">
            <v>5</v>
          </cell>
        </row>
        <row r="140">
          <cell r="B140" t="str">
            <v>EMMC</v>
          </cell>
          <cell r="C140" t="str">
            <v>HSLB10146</v>
          </cell>
          <cell r="D140">
            <v>101037</v>
          </cell>
          <cell r="E140" t="str">
            <v>LÁMPARA DE EXAMEN RODABLE</v>
          </cell>
          <cell r="F140" t="str">
            <v>NO</v>
          </cell>
          <cell r="G140" t="str">
            <v>NO</v>
          </cell>
          <cell r="H140" t="str">
            <v>ESTACIÓN DE ENFERMERÍA</v>
          </cell>
          <cell r="I140">
            <v>1</v>
          </cell>
          <cell r="J140" t="str">
            <v>C.3.4.3.8.1</v>
          </cell>
          <cell r="K140" t="str">
            <v>Hospitalización</v>
          </cell>
          <cell r="L140">
            <v>7</v>
          </cell>
          <cell r="M140">
            <v>46050</v>
          </cell>
          <cell r="N140">
            <v>46051</v>
          </cell>
          <cell r="O140">
            <v>1</v>
          </cell>
          <cell r="P140">
            <v>46052</v>
          </cell>
          <cell r="Q140">
            <v>5</v>
          </cell>
          <cell r="R140" t="str">
            <v>NA</v>
          </cell>
          <cell r="S140">
            <v>5</v>
          </cell>
        </row>
        <row r="141">
          <cell r="B141" t="str">
            <v>EMMC</v>
          </cell>
          <cell r="C141" t="str">
            <v>HSLB10523</v>
          </cell>
          <cell r="D141">
            <v>104010</v>
          </cell>
          <cell r="E141" t="str">
            <v>Lámpara de Procedimientos Rodable</v>
          </cell>
          <cell r="F141" t="str">
            <v>NO</v>
          </cell>
          <cell r="G141" t="str">
            <v>NO</v>
          </cell>
          <cell r="H141" t="str">
            <v>SALA DE PROCEDIMIENTOS</v>
          </cell>
          <cell r="I141">
            <v>1</v>
          </cell>
          <cell r="J141" t="str">
            <v>C.3.4.3.15</v>
          </cell>
          <cell r="K141" t="str">
            <v>Hospitalización</v>
          </cell>
          <cell r="L141">
            <v>7</v>
          </cell>
          <cell r="M141">
            <v>46050</v>
          </cell>
          <cell r="N141">
            <v>46051</v>
          </cell>
          <cell r="O141">
            <v>1</v>
          </cell>
          <cell r="P141">
            <v>46052</v>
          </cell>
          <cell r="Q141">
            <v>5</v>
          </cell>
          <cell r="R141" t="str">
            <v>NA</v>
          </cell>
          <cell r="S141">
            <v>5</v>
          </cell>
        </row>
        <row r="142">
          <cell r="B142" t="str">
            <v>EMMC</v>
          </cell>
          <cell r="C142" t="str">
            <v>HSLB11236</v>
          </cell>
          <cell r="D142">
            <v>109010</v>
          </cell>
          <cell r="E142" t="str">
            <v>Set Instrumental Curación</v>
          </cell>
          <cell r="F142" t="str">
            <v>NO</v>
          </cell>
          <cell r="G142" t="str">
            <v>NO</v>
          </cell>
          <cell r="H142" t="str">
            <v>SALA DE PROCEDIMIENTOS</v>
          </cell>
          <cell r="I142">
            <v>10</v>
          </cell>
          <cell r="J142" t="str">
            <v>C.3.4.3.15</v>
          </cell>
          <cell r="K142" t="str">
            <v>Hospitalización</v>
          </cell>
          <cell r="L142">
            <v>7</v>
          </cell>
          <cell r="M142">
            <v>46050</v>
          </cell>
          <cell r="N142">
            <v>46051</v>
          </cell>
          <cell r="O142">
            <v>1</v>
          </cell>
          <cell r="P142">
            <v>46052</v>
          </cell>
          <cell r="Q142">
            <v>5</v>
          </cell>
          <cell r="R142" t="str">
            <v>NA</v>
          </cell>
          <cell r="S142">
            <v>5</v>
          </cell>
        </row>
        <row r="143">
          <cell r="B143" t="str">
            <v>EMMC</v>
          </cell>
          <cell r="C143" t="str">
            <v>HSLB11297</v>
          </cell>
          <cell r="D143">
            <v>109021</v>
          </cell>
          <cell r="E143" t="str">
            <v>Set Instrumental Sutura</v>
          </cell>
          <cell r="F143" t="str">
            <v>NO</v>
          </cell>
          <cell r="G143" t="str">
            <v>NO</v>
          </cell>
          <cell r="H143" t="str">
            <v>SALA DE PROCEDIMIENTOS</v>
          </cell>
          <cell r="I143">
            <v>10</v>
          </cell>
          <cell r="J143" t="str">
            <v>C.3.4.3.15</v>
          </cell>
          <cell r="K143" t="str">
            <v>Hospitalización</v>
          </cell>
          <cell r="L143">
            <v>7</v>
          </cell>
          <cell r="M143">
            <v>46050</v>
          </cell>
          <cell r="N143">
            <v>46051</v>
          </cell>
          <cell r="O143">
            <v>1</v>
          </cell>
          <cell r="P143">
            <v>46052</v>
          </cell>
          <cell r="Q143">
            <v>5</v>
          </cell>
          <cell r="R143" t="str">
            <v>NA</v>
          </cell>
          <cell r="S143">
            <v>5</v>
          </cell>
        </row>
        <row r="144">
          <cell r="B144" t="str">
            <v>EMMC</v>
          </cell>
          <cell r="C144" t="str">
            <v>HSLB11613</v>
          </cell>
          <cell r="D144">
            <v>112002</v>
          </cell>
          <cell r="E144" t="str">
            <v>Biombo Clínico 2 Cuerpos</v>
          </cell>
          <cell r="F144" t="str">
            <v>NO</v>
          </cell>
          <cell r="G144" t="str">
            <v>NO</v>
          </cell>
          <cell r="H144" t="str">
            <v>BODEGA DE EQUIPOS</v>
          </cell>
          <cell r="I144">
            <v>4</v>
          </cell>
          <cell r="J144" t="str">
            <v>C.3.4.3.17</v>
          </cell>
          <cell r="K144" t="str">
            <v>Hospitalización</v>
          </cell>
          <cell r="L144">
            <v>7</v>
          </cell>
          <cell r="M144">
            <v>46050</v>
          </cell>
          <cell r="N144">
            <v>46051</v>
          </cell>
          <cell r="O144">
            <v>1</v>
          </cell>
          <cell r="P144">
            <v>46052</v>
          </cell>
          <cell r="Q144">
            <v>5</v>
          </cell>
          <cell r="R144" t="str">
            <v>NA</v>
          </cell>
          <cell r="S144">
            <v>5</v>
          </cell>
        </row>
        <row r="145">
          <cell r="B145" t="str">
            <v>EMMC</v>
          </cell>
          <cell r="C145" t="str">
            <v>HSLB10729</v>
          </cell>
          <cell r="D145">
            <v>106002</v>
          </cell>
          <cell r="E145" t="str">
            <v>Chatas</v>
          </cell>
          <cell r="F145" t="str">
            <v>NO</v>
          </cell>
          <cell r="G145" t="str">
            <v>NO</v>
          </cell>
          <cell r="H145" t="str">
            <v>LAVACHATA AUTOMATICO</v>
          </cell>
          <cell r="I145">
            <v>30</v>
          </cell>
          <cell r="J145" t="str">
            <v>C.3.4.3.20.1</v>
          </cell>
          <cell r="K145" t="str">
            <v>Hospitalización</v>
          </cell>
          <cell r="L145">
            <v>7</v>
          </cell>
          <cell r="M145">
            <v>46050</v>
          </cell>
          <cell r="N145">
            <v>46051</v>
          </cell>
          <cell r="O145">
            <v>1</v>
          </cell>
          <cell r="P145">
            <v>46052</v>
          </cell>
          <cell r="Q145">
            <v>5</v>
          </cell>
          <cell r="R145" t="str">
            <v>NA</v>
          </cell>
          <cell r="S145">
            <v>5</v>
          </cell>
        </row>
        <row r="146">
          <cell r="B146" t="str">
            <v>EMMC</v>
          </cell>
          <cell r="C146" t="str">
            <v>HSLB10730</v>
          </cell>
          <cell r="D146">
            <v>106002</v>
          </cell>
          <cell r="E146" t="str">
            <v>Chatas</v>
          </cell>
          <cell r="F146" t="str">
            <v>NO</v>
          </cell>
          <cell r="G146" t="str">
            <v>NO</v>
          </cell>
          <cell r="H146" t="str">
            <v>LAVACHATA AUTOMATICO</v>
          </cell>
          <cell r="I146">
            <v>28</v>
          </cell>
          <cell r="J146" t="str">
            <v>C.3.4.3.20.2</v>
          </cell>
          <cell r="K146" t="str">
            <v>Hospitalización</v>
          </cell>
          <cell r="L146">
            <v>7</v>
          </cell>
          <cell r="M146">
            <v>46050</v>
          </cell>
          <cell r="N146">
            <v>46051</v>
          </cell>
          <cell r="O146">
            <v>1</v>
          </cell>
          <cell r="P146">
            <v>46052</v>
          </cell>
          <cell r="Q146">
            <v>5</v>
          </cell>
          <cell r="R146" t="str">
            <v>NA</v>
          </cell>
          <cell r="S146">
            <v>5</v>
          </cell>
        </row>
        <row r="147">
          <cell r="B147" t="str">
            <v>EMMC</v>
          </cell>
          <cell r="C147" t="str">
            <v>HSLB12093</v>
          </cell>
          <cell r="D147">
            <v>112054</v>
          </cell>
          <cell r="E147" t="str">
            <v>Escabel</v>
          </cell>
          <cell r="F147" t="str">
            <v>NO</v>
          </cell>
          <cell r="G147" t="str">
            <v>NO</v>
          </cell>
          <cell r="H147" t="str">
            <v>SALA 4 CAMAS</v>
          </cell>
          <cell r="I147">
            <v>1</v>
          </cell>
          <cell r="J147" t="str">
            <v>C.3.4.3.12.1</v>
          </cell>
          <cell r="K147" t="str">
            <v>Hospitalización</v>
          </cell>
          <cell r="L147">
            <v>7</v>
          </cell>
          <cell r="M147">
            <v>46050</v>
          </cell>
          <cell r="N147">
            <v>46051</v>
          </cell>
          <cell r="O147">
            <v>1</v>
          </cell>
          <cell r="P147">
            <v>46052</v>
          </cell>
          <cell r="Q147">
            <v>5</v>
          </cell>
          <cell r="R147" t="str">
            <v>NA</v>
          </cell>
          <cell r="S147">
            <v>5</v>
          </cell>
        </row>
        <row r="148">
          <cell r="B148" t="str">
            <v>EMMC</v>
          </cell>
          <cell r="C148" t="str">
            <v>HSLB12094</v>
          </cell>
          <cell r="D148">
            <v>112054</v>
          </cell>
          <cell r="E148" t="str">
            <v>Escabel</v>
          </cell>
          <cell r="F148" t="str">
            <v>NO</v>
          </cell>
          <cell r="G148" t="str">
            <v>NO</v>
          </cell>
          <cell r="H148" t="str">
            <v>SALA 4 CAMAS</v>
          </cell>
          <cell r="I148">
            <v>1</v>
          </cell>
          <cell r="J148" t="str">
            <v>C.3.4.3.12.10</v>
          </cell>
          <cell r="K148" t="str">
            <v>Hospitalización</v>
          </cell>
          <cell r="L148">
            <v>7</v>
          </cell>
          <cell r="M148">
            <v>46050</v>
          </cell>
          <cell r="N148">
            <v>46051</v>
          </cell>
          <cell r="O148">
            <v>1</v>
          </cell>
          <cell r="P148">
            <v>46052</v>
          </cell>
          <cell r="Q148">
            <v>5</v>
          </cell>
          <cell r="R148" t="str">
            <v>NA</v>
          </cell>
          <cell r="S148">
            <v>5</v>
          </cell>
        </row>
        <row r="149">
          <cell r="B149" t="str">
            <v>EMMC</v>
          </cell>
          <cell r="C149" t="str">
            <v>HSLB12095</v>
          </cell>
          <cell r="D149">
            <v>112054</v>
          </cell>
          <cell r="E149" t="str">
            <v>Escabel</v>
          </cell>
          <cell r="F149" t="str">
            <v>NO</v>
          </cell>
          <cell r="G149" t="str">
            <v>SI</v>
          </cell>
          <cell r="H149" t="str">
            <v>SALA 4 CAMAS</v>
          </cell>
          <cell r="I149">
            <v>1</v>
          </cell>
          <cell r="J149" t="str">
            <v>C.3.4.3.12.11</v>
          </cell>
          <cell r="K149" t="str">
            <v>Hospitalización</v>
          </cell>
          <cell r="L149">
            <v>7</v>
          </cell>
          <cell r="M149">
            <v>46003</v>
          </cell>
          <cell r="N149">
            <v>46006</v>
          </cell>
          <cell r="O149">
            <v>1</v>
          </cell>
          <cell r="P149">
            <v>46007</v>
          </cell>
          <cell r="Q149">
            <v>5</v>
          </cell>
          <cell r="R149" t="str">
            <v>NA</v>
          </cell>
          <cell r="S149">
            <v>5</v>
          </cell>
        </row>
        <row r="150">
          <cell r="B150" t="str">
            <v>EMMC</v>
          </cell>
          <cell r="C150" t="str">
            <v>HSLB12096</v>
          </cell>
          <cell r="D150">
            <v>112054</v>
          </cell>
          <cell r="E150" t="str">
            <v>Escabel</v>
          </cell>
          <cell r="F150" t="str">
            <v>NO</v>
          </cell>
          <cell r="G150" t="str">
            <v>NO</v>
          </cell>
          <cell r="H150" t="str">
            <v>SALA 4 CAMAS</v>
          </cell>
          <cell r="I150">
            <v>1</v>
          </cell>
          <cell r="J150" t="str">
            <v>C.3.4.3.12.12</v>
          </cell>
          <cell r="K150" t="str">
            <v>Hospitalización</v>
          </cell>
          <cell r="L150">
            <v>7</v>
          </cell>
          <cell r="M150">
            <v>46050</v>
          </cell>
          <cell r="N150">
            <v>46051</v>
          </cell>
          <cell r="O150">
            <v>1</v>
          </cell>
          <cell r="P150">
            <v>46052</v>
          </cell>
          <cell r="Q150">
            <v>5</v>
          </cell>
          <cell r="R150" t="str">
            <v>NA</v>
          </cell>
          <cell r="S150">
            <v>5</v>
          </cell>
        </row>
        <row r="151">
          <cell r="B151" t="str">
            <v>EMMC</v>
          </cell>
          <cell r="C151" t="str">
            <v>HSLB12097</v>
          </cell>
          <cell r="D151">
            <v>112054</v>
          </cell>
          <cell r="E151" t="str">
            <v>Escabel</v>
          </cell>
          <cell r="F151" t="str">
            <v>NO</v>
          </cell>
          <cell r="G151" t="str">
            <v>NO</v>
          </cell>
          <cell r="H151" t="str">
            <v>SALA 4 CAMAS</v>
          </cell>
          <cell r="I151">
            <v>1</v>
          </cell>
          <cell r="J151" t="str">
            <v>C.3.4.3.12.13</v>
          </cell>
          <cell r="K151" t="str">
            <v>Hospitalización</v>
          </cell>
          <cell r="L151">
            <v>7</v>
          </cell>
          <cell r="M151">
            <v>46050</v>
          </cell>
          <cell r="N151">
            <v>46051</v>
          </cell>
          <cell r="O151">
            <v>1</v>
          </cell>
          <cell r="P151">
            <v>46052</v>
          </cell>
          <cell r="Q151">
            <v>5</v>
          </cell>
          <cell r="R151" t="str">
            <v>NA</v>
          </cell>
          <cell r="S151">
            <v>5</v>
          </cell>
        </row>
        <row r="152">
          <cell r="B152" t="str">
            <v>EMMC</v>
          </cell>
          <cell r="C152" t="str">
            <v>HSLB12098</v>
          </cell>
          <cell r="D152">
            <v>112054</v>
          </cell>
          <cell r="E152" t="str">
            <v>Escabel</v>
          </cell>
          <cell r="F152" t="str">
            <v>NO</v>
          </cell>
          <cell r="G152" t="str">
            <v>NO</v>
          </cell>
          <cell r="H152" t="str">
            <v>SALA 4 CAMAS</v>
          </cell>
          <cell r="I152">
            <v>1</v>
          </cell>
          <cell r="J152" t="str">
            <v>C.3.4.3.12.2</v>
          </cell>
          <cell r="K152" t="str">
            <v>Hospitalización</v>
          </cell>
          <cell r="L152">
            <v>7</v>
          </cell>
          <cell r="M152">
            <v>46050</v>
          </cell>
          <cell r="N152">
            <v>46051</v>
          </cell>
          <cell r="O152">
            <v>1</v>
          </cell>
          <cell r="P152">
            <v>46052</v>
          </cell>
          <cell r="Q152">
            <v>5</v>
          </cell>
          <cell r="R152" t="str">
            <v>NA</v>
          </cell>
          <cell r="S152">
            <v>5</v>
          </cell>
        </row>
        <row r="153">
          <cell r="B153" t="str">
            <v>EMMC</v>
          </cell>
          <cell r="C153" t="str">
            <v>HSLB12099</v>
          </cell>
          <cell r="D153">
            <v>112054</v>
          </cell>
          <cell r="E153" t="str">
            <v>Escabel</v>
          </cell>
          <cell r="F153" t="str">
            <v>NO</v>
          </cell>
          <cell r="G153" t="str">
            <v>NO</v>
          </cell>
          <cell r="H153" t="str">
            <v>SALA 4 CAMAS</v>
          </cell>
          <cell r="I153">
            <v>1</v>
          </cell>
          <cell r="J153" t="str">
            <v>C.3.4.3.12.3</v>
          </cell>
          <cell r="K153" t="str">
            <v>Hospitalización</v>
          </cell>
          <cell r="L153">
            <v>7</v>
          </cell>
          <cell r="M153">
            <v>46050</v>
          </cell>
          <cell r="N153">
            <v>46051</v>
          </cell>
          <cell r="O153">
            <v>1</v>
          </cell>
          <cell r="P153">
            <v>46052</v>
          </cell>
          <cell r="Q153">
            <v>5</v>
          </cell>
          <cell r="R153" t="str">
            <v>NA</v>
          </cell>
          <cell r="S153">
            <v>5</v>
          </cell>
        </row>
        <row r="154">
          <cell r="B154" t="str">
            <v>EMMC</v>
          </cell>
          <cell r="C154" t="str">
            <v>HSLB12100</v>
          </cell>
          <cell r="D154">
            <v>112054</v>
          </cell>
          <cell r="E154" t="str">
            <v>Escabel</v>
          </cell>
          <cell r="F154" t="str">
            <v>NO</v>
          </cell>
          <cell r="G154" t="str">
            <v>SI</v>
          </cell>
          <cell r="H154" t="str">
            <v>SALA 4 CAMAS</v>
          </cell>
          <cell r="I154">
            <v>1</v>
          </cell>
          <cell r="J154" t="str">
            <v>C.3.4.3.12.4</v>
          </cell>
          <cell r="K154" t="str">
            <v>Hospitalización</v>
          </cell>
          <cell r="L154">
            <v>7</v>
          </cell>
          <cell r="M154">
            <v>46003</v>
          </cell>
          <cell r="N154">
            <v>46006</v>
          </cell>
          <cell r="O154">
            <v>1</v>
          </cell>
          <cell r="P154">
            <v>46007</v>
          </cell>
          <cell r="Q154">
            <v>5</v>
          </cell>
          <cell r="R154" t="str">
            <v>NA</v>
          </cell>
          <cell r="S154">
            <v>5</v>
          </cell>
        </row>
        <row r="155">
          <cell r="B155" t="str">
            <v>EMMC</v>
          </cell>
          <cell r="C155" t="str">
            <v>HSLB12101</v>
          </cell>
          <cell r="D155">
            <v>112054</v>
          </cell>
          <cell r="E155" t="str">
            <v>Escabel</v>
          </cell>
          <cell r="F155" t="str">
            <v>NO</v>
          </cell>
          <cell r="G155" t="str">
            <v>NO</v>
          </cell>
          <cell r="H155" t="str">
            <v>SALA 4 CAMAS</v>
          </cell>
          <cell r="I155">
            <v>1</v>
          </cell>
          <cell r="J155" t="str">
            <v>C.3.4.3.12.5</v>
          </cell>
          <cell r="K155" t="str">
            <v>Hospitalización</v>
          </cell>
          <cell r="L155">
            <v>7</v>
          </cell>
          <cell r="M155">
            <v>46050</v>
          </cell>
          <cell r="N155">
            <v>46051</v>
          </cell>
          <cell r="O155">
            <v>1</v>
          </cell>
          <cell r="P155">
            <v>46052</v>
          </cell>
          <cell r="Q155">
            <v>5</v>
          </cell>
          <cell r="R155" t="str">
            <v>NA</v>
          </cell>
          <cell r="S155">
            <v>5</v>
          </cell>
        </row>
        <row r="156">
          <cell r="B156" t="str">
            <v>EMMC</v>
          </cell>
          <cell r="C156" t="str">
            <v>HSLB12102</v>
          </cell>
          <cell r="D156">
            <v>112054</v>
          </cell>
          <cell r="E156" t="str">
            <v>Escabel</v>
          </cell>
          <cell r="F156" t="str">
            <v>NO</v>
          </cell>
          <cell r="G156" t="str">
            <v>NO</v>
          </cell>
          <cell r="H156" t="str">
            <v>SALA 4 CAMAS</v>
          </cell>
          <cell r="I156">
            <v>1</v>
          </cell>
          <cell r="J156" t="str">
            <v>C.3.4.3.12.6</v>
          </cell>
          <cell r="K156" t="str">
            <v>Hospitalización</v>
          </cell>
          <cell r="L156">
            <v>7</v>
          </cell>
          <cell r="M156">
            <v>46050</v>
          </cell>
          <cell r="N156">
            <v>46051</v>
          </cell>
          <cell r="O156">
            <v>1</v>
          </cell>
          <cell r="P156">
            <v>46052</v>
          </cell>
          <cell r="Q156">
            <v>5</v>
          </cell>
          <cell r="R156" t="str">
            <v>NA</v>
          </cell>
          <cell r="S156">
            <v>5</v>
          </cell>
        </row>
        <row r="157">
          <cell r="B157" t="str">
            <v>EMMC</v>
          </cell>
          <cell r="C157" t="str">
            <v>HSLB12103</v>
          </cell>
          <cell r="D157">
            <v>112054</v>
          </cell>
          <cell r="E157" t="str">
            <v>Escabel</v>
          </cell>
          <cell r="F157" t="str">
            <v>NO</v>
          </cell>
          <cell r="G157" t="str">
            <v>NO</v>
          </cell>
          <cell r="H157" t="str">
            <v>SALA 4 CAMAS</v>
          </cell>
          <cell r="I157">
            <v>1</v>
          </cell>
          <cell r="J157" t="str">
            <v>C.3.4.3.12.7</v>
          </cell>
          <cell r="K157" t="str">
            <v>Hospitalización</v>
          </cell>
          <cell r="L157">
            <v>7</v>
          </cell>
          <cell r="M157">
            <v>46050</v>
          </cell>
          <cell r="N157">
            <v>46051</v>
          </cell>
          <cell r="O157">
            <v>1</v>
          </cell>
          <cell r="P157">
            <v>46052</v>
          </cell>
          <cell r="Q157">
            <v>5</v>
          </cell>
          <cell r="R157" t="str">
            <v>NA</v>
          </cell>
          <cell r="S157">
            <v>5</v>
          </cell>
        </row>
        <row r="158">
          <cell r="B158" t="str">
            <v>EMMC</v>
          </cell>
          <cell r="C158" t="str">
            <v>HSLB12104</v>
          </cell>
          <cell r="D158">
            <v>112054</v>
          </cell>
          <cell r="E158" t="str">
            <v>Escabel</v>
          </cell>
          <cell r="F158" t="str">
            <v>NO</v>
          </cell>
          <cell r="G158" t="str">
            <v>NO</v>
          </cell>
          <cell r="H158" t="str">
            <v>SALA 4 CAMAS</v>
          </cell>
          <cell r="I158">
            <v>1</v>
          </cell>
          <cell r="J158" t="str">
            <v>C.3.4.3.12.8</v>
          </cell>
          <cell r="K158" t="str">
            <v>Hospitalización</v>
          </cell>
          <cell r="L158">
            <v>7</v>
          </cell>
          <cell r="M158">
            <v>46050</v>
          </cell>
          <cell r="N158">
            <v>46051</v>
          </cell>
          <cell r="O158">
            <v>1</v>
          </cell>
          <cell r="P158">
            <v>46052</v>
          </cell>
          <cell r="Q158">
            <v>5</v>
          </cell>
          <cell r="R158" t="str">
            <v>NA</v>
          </cell>
          <cell r="S158">
            <v>5</v>
          </cell>
        </row>
        <row r="159">
          <cell r="B159" t="str">
            <v>EMMC</v>
          </cell>
          <cell r="C159" t="str">
            <v>HSLB12105</v>
          </cell>
          <cell r="D159">
            <v>112054</v>
          </cell>
          <cell r="E159" t="str">
            <v>Escabel</v>
          </cell>
          <cell r="F159" t="str">
            <v>NO</v>
          </cell>
          <cell r="G159" t="str">
            <v>NO</v>
          </cell>
          <cell r="H159" t="str">
            <v>SALA 4 CAMAS</v>
          </cell>
          <cell r="I159">
            <v>1</v>
          </cell>
          <cell r="J159" t="str">
            <v>C.3.4.3.12.9</v>
          </cell>
          <cell r="K159" t="str">
            <v>Hospitalización</v>
          </cell>
          <cell r="L159">
            <v>7</v>
          </cell>
          <cell r="M159">
            <v>46050</v>
          </cell>
          <cell r="N159">
            <v>46051</v>
          </cell>
          <cell r="O159">
            <v>1</v>
          </cell>
          <cell r="P159">
            <v>46052</v>
          </cell>
          <cell r="Q159">
            <v>5</v>
          </cell>
          <cell r="R159" t="str">
            <v>NA</v>
          </cell>
          <cell r="S159">
            <v>5</v>
          </cell>
        </row>
        <row r="160">
          <cell r="B160" t="str">
            <v>EMMC</v>
          </cell>
          <cell r="C160" t="str">
            <v>HSLB12106</v>
          </cell>
          <cell r="D160">
            <v>112054</v>
          </cell>
          <cell r="E160" t="str">
            <v>Escabel</v>
          </cell>
          <cell r="F160" t="str">
            <v>NO</v>
          </cell>
          <cell r="G160" t="str">
            <v>NO</v>
          </cell>
          <cell r="H160" t="str">
            <v>SALA 1 CAMA</v>
          </cell>
          <cell r="I160">
            <v>1</v>
          </cell>
          <cell r="J160" t="str">
            <v>C.3.4.3.13.1</v>
          </cell>
          <cell r="K160" t="str">
            <v>Hospitalización</v>
          </cell>
          <cell r="L160">
            <v>7</v>
          </cell>
          <cell r="M160">
            <v>46050</v>
          </cell>
          <cell r="N160">
            <v>46051</v>
          </cell>
          <cell r="O160">
            <v>1</v>
          </cell>
          <cell r="P160">
            <v>46052</v>
          </cell>
          <cell r="Q160">
            <v>5</v>
          </cell>
          <cell r="R160" t="str">
            <v>NA</v>
          </cell>
          <cell r="S160">
            <v>5</v>
          </cell>
        </row>
        <row r="161">
          <cell r="B161" t="str">
            <v>EMMC</v>
          </cell>
          <cell r="C161" t="str">
            <v>HSLB12107</v>
          </cell>
          <cell r="D161">
            <v>112054</v>
          </cell>
          <cell r="E161" t="str">
            <v>Escabel</v>
          </cell>
          <cell r="F161" t="str">
            <v>NO</v>
          </cell>
          <cell r="G161" t="str">
            <v>NO</v>
          </cell>
          <cell r="H161" t="str">
            <v>SALA 1 CAMA</v>
          </cell>
          <cell r="I161">
            <v>1</v>
          </cell>
          <cell r="J161" t="str">
            <v>C.3.4.3.13.2</v>
          </cell>
          <cell r="K161" t="str">
            <v>Hospitalización</v>
          </cell>
          <cell r="L161">
            <v>7</v>
          </cell>
          <cell r="M161">
            <v>46050</v>
          </cell>
          <cell r="N161">
            <v>46051</v>
          </cell>
          <cell r="O161">
            <v>1</v>
          </cell>
          <cell r="P161">
            <v>46052</v>
          </cell>
          <cell r="Q161">
            <v>5</v>
          </cell>
          <cell r="R161" t="str">
            <v>NA</v>
          </cell>
          <cell r="S161">
            <v>5</v>
          </cell>
        </row>
        <row r="162">
          <cell r="B162" t="str">
            <v>EMMC</v>
          </cell>
          <cell r="C162" t="str">
            <v>HSLB12108</v>
          </cell>
          <cell r="D162">
            <v>112054</v>
          </cell>
          <cell r="E162" t="str">
            <v>Escabel</v>
          </cell>
          <cell r="F162" t="str">
            <v>NO</v>
          </cell>
          <cell r="G162" t="str">
            <v>NO</v>
          </cell>
          <cell r="H162" t="str">
            <v>SALA 1 CAMA</v>
          </cell>
          <cell r="I162">
            <v>1</v>
          </cell>
          <cell r="J162" t="str">
            <v>C.3.4.3.13.3</v>
          </cell>
          <cell r="K162" t="str">
            <v>Hospitalización</v>
          </cell>
          <cell r="L162">
            <v>7</v>
          </cell>
          <cell r="M162">
            <v>46050</v>
          </cell>
          <cell r="N162">
            <v>46051</v>
          </cell>
          <cell r="O162">
            <v>1</v>
          </cell>
          <cell r="P162">
            <v>46052</v>
          </cell>
          <cell r="Q162">
            <v>5</v>
          </cell>
          <cell r="R162" t="str">
            <v>NA</v>
          </cell>
          <cell r="S162">
            <v>5</v>
          </cell>
        </row>
        <row r="163">
          <cell r="B163" t="str">
            <v>EMMC</v>
          </cell>
          <cell r="C163" t="str">
            <v>HSLB12109</v>
          </cell>
          <cell r="D163">
            <v>112054</v>
          </cell>
          <cell r="E163" t="str">
            <v>Escabel</v>
          </cell>
          <cell r="F163" t="str">
            <v>NO</v>
          </cell>
          <cell r="G163" t="str">
            <v>NO</v>
          </cell>
          <cell r="H163" t="str">
            <v>SALA 1 CAMA AISLAMIENTO</v>
          </cell>
          <cell r="I163">
            <v>1</v>
          </cell>
          <cell r="J163" t="str">
            <v>C.3.4.3.14.1</v>
          </cell>
          <cell r="K163" t="str">
            <v>Hospitalización</v>
          </cell>
          <cell r="L163">
            <v>7</v>
          </cell>
          <cell r="M163">
            <v>46050</v>
          </cell>
          <cell r="N163">
            <v>46051</v>
          </cell>
          <cell r="O163">
            <v>1</v>
          </cell>
          <cell r="P163">
            <v>46052</v>
          </cell>
          <cell r="Q163">
            <v>5</v>
          </cell>
          <cell r="R163" t="str">
            <v>NA</v>
          </cell>
          <cell r="S163">
            <v>5</v>
          </cell>
        </row>
        <row r="164">
          <cell r="B164" t="str">
            <v>EMMC</v>
          </cell>
          <cell r="C164" t="str">
            <v>HSLB12110</v>
          </cell>
          <cell r="D164">
            <v>112054</v>
          </cell>
          <cell r="E164" t="str">
            <v>Escabel</v>
          </cell>
          <cell r="F164" t="str">
            <v>NO</v>
          </cell>
          <cell r="G164" t="str">
            <v>NO</v>
          </cell>
          <cell r="H164" t="str">
            <v>SALA 1 CAMA AISLAMIENTO</v>
          </cell>
          <cell r="I164">
            <v>1</v>
          </cell>
          <cell r="J164" t="str">
            <v>C.3.4.3.14.2</v>
          </cell>
          <cell r="K164" t="str">
            <v>Hospitalización</v>
          </cell>
          <cell r="L164">
            <v>7</v>
          </cell>
          <cell r="M164">
            <v>46050</v>
          </cell>
          <cell r="N164">
            <v>46051</v>
          </cell>
          <cell r="O164">
            <v>1</v>
          </cell>
          <cell r="P164">
            <v>46052</v>
          </cell>
          <cell r="Q164">
            <v>5</v>
          </cell>
          <cell r="R164" t="str">
            <v>NA</v>
          </cell>
          <cell r="S164">
            <v>5</v>
          </cell>
        </row>
        <row r="165">
          <cell r="B165" t="str">
            <v>EMMC</v>
          </cell>
          <cell r="C165" t="str">
            <v>HSLB12111</v>
          </cell>
          <cell r="D165">
            <v>112054</v>
          </cell>
          <cell r="E165" t="str">
            <v>Escabel</v>
          </cell>
          <cell r="F165" t="str">
            <v>NO</v>
          </cell>
          <cell r="G165" t="str">
            <v>NO</v>
          </cell>
          <cell r="H165" t="str">
            <v>SALA 1 CAMA AISLAMIENTO</v>
          </cell>
          <cell r="I165">
            <v>1</v>
          </cell>
          <cell r="J165" t="str">
            <v>C.3.4.3.14.3</v>
          </cell>
          <cell r="K165" t="str">
            <v>Hospitalización</v>
          </cell>
          <cell r="L165">
            <v>7</v>
          </cell>
          <cell r="M165">
            <v>46050</v>
          </cell>
          <cell r="N165">
            <v>46051</v>
          </cell>
          <cell r="O165">
            <v>1</v>
          </cell>
          <cell r="P165">
            <v>46052</v>
          </cell>
          <cell r="Q165">
            <v>5</v>
          </cell>
          <cell r="R165" t="str">
            <v>NA</v>
          </cell>
          <cell r="S165">
            <v>5</v>
          </cell>
        </row>
        <row r="166">
          <cell r="B166" t="str">
            <v>EMMC</v>
          </cell>
          <cell r="C166" t="str">
            <v>HSLB12112</v>
          </cell>
          <cell r="D166">
            <v>112054</v>
          </cell>
          <cell r="E166" t="str">
            <v>Escabel</v>
          </cell>
          <cell r="F166" t="str">
            <v>NO</v>
          </cell>
          <cell r="G166" t="str">
            <v>NO</v>
          </cell>
          <cell r="H166" t="str">
            <v>SALA DE PROCEDIMIENTOS</v>
          </cell>
          <cell r="I166">
            <v>1</v>
          </cell>
          <cell r="J166" t="str">
            <v>C.3.4.3.15</v>
          </cell>
          <cell r="K166" t="str">
            <v>Hospitalización</v>
          </cell>
          <cell r="L166">
            <v>7</v>
          </cell>
          <cell r="M166">
            <v>46050</v>
          </cell>
          <cell r="N166">
            <v>46051</v>
          </cell>
          <cell r="O166">
            <v>1</v>
          </cell>
          <cell r="P166">
            <v>46052</v>
          </cell>
          <cell r="Q166">
            <v>5</v>
          </cell>
          <cell r="R166" t="str">
            <v>NA</v>
          </cell>
          <cell r="S166">
            <v>5</v>
          </cell>
        </row>
        <row r="167">
          <cell r="B167" t="str">
            <v>EMMC</v>
          </cell>
          <cell r="C167" t="str">
            <v>HSLB10783</v>
          </cell>
          <cell r="D167">
            <v>106007</v>
          </cell>
          <cell r="E167" t="str">
            <v>Hervidor Eléctrico</v>
          </cell>
          <cell r="F167" t="str">
            <v>NO</v>
          </cell>
          <cell r="G167" t="str">
            <v>NO</v>
          </cell>
          <cell r="H167" t="str">
            <v>ESTAR PERSONAL C/ KITCHENETTE</v>
          </cell>
          <cell r="I167">
            <v>1</v>
          </cell>
          <cell r="J167" t="str">
            <v>C.3.4.3.24.1</v>
          </cell>
          <cell r="K167" t="str">
            <v>Hospitalización</v>
          </cell>
          <cell r="L167">
            <v>7</v>
          </cell>
          <cell r="M167">
            <v>46050</v>
          </cell>
          <cell r="N167">
            <v>46051</v>
          </cell>
          <cell r="O167">
            <v>1</v>
          </cell>
          <cell r="P167">
            <v>46052</v>
          </cell>
          <cell r="Q167">
            <v>5</v>
          </cell>
          <cell r="R167" t="str">
            <v>NA</v>
          </cell>
          <cell r="S167">
            <v>5</v>
          </cell>
        </row>
        <row r="168">
          <cell r="B168" t="str">
            <v>EMMC</v>
          </cell>
          <cell r="C168" t="str">
            <v>HSLB10784</v>
          </cell>
          <cell r="D168">
            <v>106007</v>
          </cell>
          <cell r="E168" t="str">
            <v>Hervidor Eléctrico</v>
          </cell>
          <cell r="F168" t="str">
            <v>NO</v>
          </cell>
          <cell r="G168" t="str">
            <v>NO</v>
          </cell>
          <cell r="H168" t="str">
            <v>ESTAR PERSONAL C/ KITCHENETTE</v>
          </cell>
          <cell r="I168">
            <v>1</v>
          </cell>
          <cell r="J168" t="str">
            <v>C.3.4.3.24.2</v>
          </cell>
          <cell r="K168" t="str">
            <v>Hospitalización</v>
          </cell>
          <cell r="L168">
            <v>7</v>
          </cell>
          <cell r="M168">
            <v>46050</v>
          </cell>
          <cell r="N168">
            <v>46051</v>
          </cell>
          <cell r="O168">
            <v>1</v>
          </cell>
          <cell r="P168">
            <v>46052</v>
          </cell>
          <cell r="Q168">
            <v>5</v>
          </cell>
          <cell r="R168" t="str">
            <v>NA</v>
          </cell>
          <cell r="S168">
            <v>5</v>
          </cell>
        </row>
        <row r="169">
          <cell r="B169" t="str">
            <v>EMMC</v>
          </cell>
          <cell r="C169" t="str">
            <v>HSLB12316</v>
          </cell>
          <cell r="D169">
            <v>112063</v>
          </cell>
          <cell r="E169" t="str">
            <v>Mesa Mayo</v>
          </cell>
          <cell r="F169" t="str">
            <v>NO</v>
          </cell>
          <cell r="G169" t="str">
            <v>NO</v>
          </cell>
          <cell r="H169" t="str">
            <v>SALA DE PROCEDIMIENTOS</v>
          </cell>
          <cell r="I169">
            <v>1</v>
          </cell>
          <cell r="J169" t="str">
            <v>C.3.4.3.15</v>
          </cell>
          <cell r="K169" t="str">
            <v>Hospitalización</v>
          </cell>
          <cell r="L169">
            <v>7</v>
          </cell>
          <cell r="M169">
            <v>46050</v>
          </cell>
          <cell r="N169">
            <v>46051</v>
          </cell>
          <cell r="O169">
            <v>1</v>
          </cell>
          <cell r="P169">
            <v>46052</v>
          </cell>
          <cell r="Q169">
            <v>5</v>
          </cell>
          <cell r="R169" t="str">
            <v>NA</v>
          </cell>
          <cell r="S169">
            <v>5</v>
          </cell>
        </row>
        <row r="170">
          <cell r="B170" t="str">
            <v>EMMC</v>
          </cell>
          <cell r="C170" t="str">
            <v>HSLB10841</v>
          </cell>
          <cell r="D170">
            <v>106010</v>
          </cell>
          <cell r="E170" t="str">
            <v>Microondas</v>
          </cell>
          <cell r="F170" t="str">
            <v>NO</v>
          </cell>
          <cell r="G170" t="str">
            <v>NO</v>
          </cell>
          <cell r="H170" t="str">
            <v>ESTAR PERSONAL C/ KITCHENETTE</v>
          </cell>
          <cell r="I170">
            <v>1</v>
          </cell>
          <cell r="J170" t="str">
            <v>C.3.4.3.24.1</v>
          </cell>
          <cell r="K170" t="str">
            <v>Hospitalización</v>
          </cell>
          <cell r="L170">
            <v>7</v>
          </cell>
          <cell r="M170">
            <v>46050</v>
          </cell>
          <cell r="N170">
            <v>46051</v>
          </cell>
          <cell r="O170">
            <v>1</v>
          </cell>
          <cell r="P170">
            <v>46052</v>
          </cell>
          <cell r="Q170">
            <v>5</v>
          </cell>
          <cell r="R170" t="str">
            <v>NA</v>
          </cell>
          <cell r="S170">
            <v>5</v>
          </cell>
        </row>
        <row r="171">
          <cell r="B171" t="str">
            <v>EMMC</v>
          </cell>
          <cell r="C171" t="str">
            <v>HSLB10842</v>
          </cell>
          <cell r="D171">
            <v>106010</v>
          </cell>
          <cell r="E171" t="str">
            <v>Microondas</v>
          </cell>
          <cell r="F171" t="str">
            <v>NO</v>
          </cell>
          <cell r="G171" t="str">
            <v>NO</v>
          </cell>
          <cell r="H171" t="str">
            <v>ESTAR PERSONAL C/ KITCHENETTE</v>
          </cell>
          <cell r="I171">
            <v>1</v>
          </cell>
          <cell r="J171" t="str">
            <v>C.3.4.3.24.2</v>
          </cell>
          <cell r="K171" t="str">
            <v>Hospitalización</v>
          </cell>
          <cell r="L171">
            <v>7</v>
          </cell>
          <cell r="M171">
            <v>46050</v>
          </cell>
          <cell r="N171">
            <v>46051</v>
          </cell>
          <cell r="O171">
            <v>1</v>
          </cell>
          <cell r="P171">
            <v>46052</v>
          </cell>
          <cell r="Q171">
            <v>5</v>
          </cell>
          <cell r="R171" t="str">
            <v>NA</v>
          </cell>
          <cell r="S171">
            <v>5</v>
          </cell>
        </row>
        <row r="172">
          <cell r="B172" t="str">
            <v>EMMC</v>
          </cell>
          <cell r="C172" t="str">
            <v>HSLB10187</v>
          </cell>
          <cell r="D172">
            <v>101049</v>
          </cell>
          <cell r="E172" t="str">
            <v>Negatoscopio</v>
          </cell>
          <cell r="F172" t="str">
            <v>NO</v>
          </cell>
          <cell r="G172" t="str">
            <v>NO</v>
          </cell>
          <cell r="H172" t="str">
            <v>ESTACIÓN DE ENFERMERÍA</v>
          </cell>
          <cell r="I172">
            <v>1</v>
          </cell>
          <cell r="J172" t="str">
            <v>C.3.4.3.8.1</v>
          </cell>
          <cell r="K172" t="str">
            <v>Hospitalización</v>
          </cell>
          <cell r="L172">
            <v>7</v>
          </cell>
          <cell r="M172">
            <v>46050</v>
          </cell>
          <cell r="N172">
            <v>46051</v>
          </cell>
          <cell r="O172">
            <v>1</v>
          </cell>
          <cell r="P172">
            <v>46052</v>
          </cell>
          <cell r="Q172">
            <v>5</v>
          </cell>
          <cell r="R172" t="str">
            <v>NA</v>
          </cell>
          <cell r="S172">
            <v>5</v>
          </cell>
        </row>
        <row r="173">
          <cell r="B173" t="str">
            <v>EMMC</v>
          </cell>
          <cell r="C173" t="str">
            <v>HSLB10188</v>
          </cell>
          <cell r="D173">
            <v>101049</v>
          </cell>
          <cell r="E173" t="str">
            <v>Negatoscopio</v>
          </cell>
          <cell r="F173" t="str">
            <v>NO</v>
          </cell>
          <cell r="G173" t="str">
            <v>NO</v>
          </cell>
          <cell r="H173" t="str">
            <v>ESTACIÓN DE ENFERMERÍA</v>
          </cell>
          <cell r="I173">
            <v>1</v>
          </cell>
          <cell r="J173" t="str">
            <v>C.3.4.3.8.2</v>
          </cell>
          <cell r="K173" t="str">
            <v>Hospitalización</v>
          </cell>
          <cell r="L173">
            <v>7</v>
          </cell>
          <cell r="M173">
            <v>46050</v>
          </cell>
          <cell r="N173">
            <v>46051</v>
          </cell>
          <cell r="O173">
            <v>1</v>
          </cell>
          <cell r="P173">
            <v>46052</v>
          </cell>
          <cell r="Q173">
            <v>5</v>
          </cell>
          <cell r="R173" t="str">
            <v>NA</v>
          </cell>
          <cell r="S173">
            <v>5</v>
          </cell>
        </row>
        <row r="174">
          <cell r="B174" t="str">
            <v>EMMC</v>
          </cell>
          <cell r="C174" t="str">
            <v>HSLB10221</v>
          </cell>
          <cell r="D174">
            <v>101054</v>
          </cell>
          <cell r="E174" t="str">
            <v>Otooftalmoscopio Portátil</v>
          </cell>
          <cell r="F174" t="str">
            <v>NO</v>
          </cell>
          <cell r="G174" t="str">
            <v>NO</v>
          </cell>
          <cell r="H174" t="str">
            <v>ESTACIÓN DE ENFERMERÍA</v>
          </cell>
          <cell r="I174">
            <v>1</v>
          </cell>
          <cell r="J174" t="str">
            <v>C.3.4.3.8.1</v>
          </cell>
          <cell r="K174" t="str">
            <v>Hospitalización</v>
          </cell>
          <cell r="L174">
            <v>7</v>
          </cell>
          <cell r="M174">
            <v>46050</v>
          </cell>
          <cell r="N174">
            <v>46051</v>
          </cell>
          <cell r="O174">
            <v>1</v>
          </cell>
          <cell r="P174">
            <v>46052</v>
          </cell>
          <cell r="Q174">
            <v>5</v>
          </cell>
          <cell r="R174" t="str">
            <v>NA</v>
          </cell>
          <cell r="S174">
            <v>5</v>
          </cell>
        </row>
        <row r="175">
          <cell r="B175" t="str">
            <v>EMMC</v>
          </cell>
          <cell r="C175" t="str">
            <v>HSLB10222</v>
          </cell>
          <cell r="D175">
            <v>101054</v>
          </cell>
          <cell r="E175" t="str">
            <v>Otooftalmoscopio Portátil</v>
          </cell>
          <cell r="F175" t="str">
            <v>NO</v>
          </cell>
          <cell r="G175" t="str">
            <v>NO</v>
          </cell>
          <cell r="H175" t="str">
            <v>ESTACIÓN DE ENFERMERÍA</v>
          </cell>
          <cell r="I175">
            <v>1</v>
          </cell>
          <cell r="J175" t="str">
            <v>C.3.4.3.8.2</v>
          </cell>
          <cell r="K175" t="str">
            <v>Hospitalización</v>
          </cell>
          <cell r="L175">
            <v>7</v>
          </cell>
          <cell r="M175">
            <v>46050</v>
          </cell>
          <cell r="N175">
            <v>46051</v>
          </cell>
          <cell r="O175">
            <v>1</v>
          </cell>
          <cell r="P175">
            <v>46052</v>
          </cell>
          <cell r="Q175">
            <v>5</v>
          </cell>
          <cell r="R175" t="str">
            <v>NA</v>
          </cell>
          <cell r="S175">
            <v>5</v>
          </cell>
        </row>
        <row r="176">
          <cell r="B176" t="str">
            <v>EMMC</v>
          </cell>
          <cell r="C176" t="str">
            <v>HSLB12381</v>
          </cell>
          <cell r="D176">
            <v>112068</v>
          </cell>
          <cell r="E176" t="str">
            <v>Piso Taburete Clínico</v>
          </cell>
          <cell r="F176" t="str">
            <v>NO</v>
          </cell>
          <cell r="G176" t="str">
            <v>NO</v>
          </cell>
          <cell r="H176" t="str">
            <v>SALA DE PROCEDIMIENTOS</v>
          </cell>
          <cell r="I176">
            <v>1</v>
          </cell>
          <cell r="J176" t="str">
            <v>C.3.4.3.15</v>
          </cell>
          <cell r="K176" t="str">
            <v>Hospitalización</v>
          </cell>
          <cell r="L176">
            <v>7</v>
          </cell>
          <cell r="M176">
            <v>46050</v>
          </cell>
          <cell r="N176">
            <v>46051</v>
          </cell>
          <cell r="O176">
            <v>1</v>
          </cell>
          <cell r="P176">
            <v>46052</v>
          </cell>
          <cell r="Q176">
            <v>5</v>
          </cell>
          <cell r="R176" t="str">
            <v>NA</v>
          </cell>
          <cell r="S176">
            <v>5</v>
          </cell>
        </row>
        <row r="177">
          <cell r="B177" t="str">
            <v>EMMC</v>
          </cell>
          <cell r="C177" t="str">
            <v>HSLB12457</v>
          </cell>
          <cell r="D177">
            <v>112077</v>
          </cell>
          <cell r="E177" t="str">
            <v>Silla de Ruedas</v>
          </cell>
          <cell r="F177" t="str">
            <v>NO</v>
          </cell>
          <cell r="G177" t="str">
            <v>NO</v>
          </cell>
          <cell r="H177" t="str">
            <v>ESTACIONAMIENTO CAMILLAS Y SILLAS DE RUEDAS</v>
          </cell>
          <cell r="I177">
            <v>6</v>
          </cell>
          <cell r="J177" t="str">
            <v>C.3.4.3.23</v>
          </cell>
          <cell r="K177" t="str">
            <v>Hospitalización</v>
          </cell>
          <cell r="L177">
            <v>7</v>
          </cell>
          <cell r="M177">
            <v>46050</v>
          </cell>
          <cell r="N177">
            <v>46051</v>
          </cell>
          <cell r="O177">
            <v>1</v>
          </cell>
          <cell r="P177">
            <v>46052</v>
          </cell>
          <cell r="Q177">
            <v>5</v>
          </cell>
          <cell r="R177" t="str">
            <v>NA</v>
          </cell>
          <cell r="S177">
            <v>5</v>
          </cell>
        </row>
        <row r="178">
          <cell r="B178" t="str">
            <v>EMMC</v>
          </cell>
          <cell r="C178" t="str">
            <v>HSLB11122</v>
          </cell>
          <cell r="D178">
            <v>106023</v>
          </cell>
          <cell r="E178" t="str">
            <v>Urinarios</v>
          </cell>
          <cell r="F178" t="str">
            <v>NO</v>
          </cell>
          <cell r="G178" t="str">
            <v>NO</v>
          </cell>
          <cell r="H178" t="str">
            <v>LAVACHATA AUTOMATICO</v>
          </cell>
          <cell r="I178">
            <v>30</v>
          </cell>
          <cell r="J178" t="str">
            <v>C.3.4.3.20.1</v>
          </cell>
          <cell r="K178" t="str">
            <v>Hospitalización</v>
          </cell>
          <cell r="L178">
            <v>7</v>
          </cell>
          <cell r="M178">
            <v>46050</v>
          </cell>
          <cell r="N178">
            <v>46051</v>
          </cell>
          <cell r="O178">
            <v>1</v>
          </cell>
          <cell r="P178">
            <v>46052</v>
          </cell>
          <cell r="Q178">
            <v>5</v>
          </cell>
          <cell r="R178" t="str">
            <v>NA</v>
          </cell>
          <cell r="S178">
            <v>5</v>
          </cell>
        </row>
        <row r="179">
          <cell r="B179" t="str">
            <v>EMMC</v>
          </cell>
          <cell r="C179" t="str">
            <v>HSLB11123</v>
          </cell>
          <cell r="D179">
            <v>106023</v>
          </cell>
          <cell r="E179" t="str">
            <v>Urinarios</v>
          </cell>
          <cell r="F179" t="str">
            <v>NO</v>
          </cell>
          <cell r="G179" t="str">
            <v>NO</v>
          </cell>
          <cell r="H179" t="str">
            <v>LAVACHATA AUTOMATICO</v>
          </cell>
          <cell r="I179">
            <v>28</v>
          </cell>
          <cell r="J179" t="str">
            <v>C.3.4.3.20.2</v>
          </cell>
          <cell r="K179" t="str">
            <v>Hospitalización</v>
          </cell>
          <cell r="L179">
            <v>7</v>
          </cell>
          <cell r="M179">
            <v>46050</v>
          </cell>
          <cell r="N179">
            <v>46051</v>
          </cell>
          <cell r="O179">
            <v>1</v>
          </cell>
          <cell r="P179">
            <v>46052</v>
          </cell>
          <cell r="Q179">
            <v>5</v>
          </cell>
          <cell r="R179" t="str">
            <v>NA</v>
          </cell>
          <cell r="S179">
            <v>5</v>
          </cell>
        </row>
        <row r="180">
          <cell r="B180" t="str">
            <v>EMMC</v>
          </cell>
          <cell r="C180" t="str">
            <v>HSLB12023</v>
          </cell>
          <cell r="D180">
            <v>112049</v>
          </cell>
          <cell r="E180" t="str">
            <v>Catre Clínico Mecánico</v>
          </cell>
          <cell r="F180" t="str">
            <v>NO</v>
          </cell>
          <cell r="G180" t="str">
            <v>NO</v>
          </cell>
          <cell r="H180" t="str">
            <v>SALA 1 CAMA AISLAMIENTO</v>
          </cell>
          <cell r="I180">
            <v>1</v>
          </cell>
          <cell r="J180" t="str">
            <v>C.3.4.3.14.3</v>
          </cell>
          <cell r="K180" t="str">
            <v>Hospitalización</v>
          </cell>
          <cell r="L180">
            <v>7</v>
          </cell>
          <cell r="M180">
            <v>46045</v>
          </cell>
          <cell r="N180">
            <v>46048</v>
          </cell>
          <cell r="O180">
            <v>2</v>
          </cell>
          <cell r="P180">
            <v>46050</v>
          </cell>
          <cell r="Q180">
            <v>5</v>
          </cell>
          <cell r="R180" t="str">
            <v>NA</v>
          </cell>
          <cell r="S180">
            <v>5</v>
          </cell>
        </row>
        <row r="181">
          <cell r="B181" t="str">
            <v>EMMC</v>
          </cell>
          <cell r="C181" t="str">
            <v>HSLB12022</v>
          </cell>
          <cell r="D181">
            <v>112049</v>
          </cell>
          <cell r="E181" t="str">
            <v>Catre Clínico Mecánico</v>
          </cell>
          <cell r="F181" t="str">
            <v>NO</v>
          </cell>
          <cell r="G181" t="str">
            <v>NO</v>
          </cell>
          <cell r="H181" t="str">
            <v>SALA 1 CAMA AISLAMIENTO</v>
          </cell>
          <cell r="I181">
            <v>1</v>
          </cell>
          <cell r="J181" t="str">
            <v>C.3.4.3.14.2</v>
          </cell>
          <cell r="K181" t="str">
            <v>Hospitalización</v>
          </cell>
          <cell r="L181">
            <v>7</v>
          </cell>
          <cell r="M181">
            <v>46045</v>
          </cell>
          <cell r="N181">
            <v>46048</v>
          </cell>
          <cell r="O181">
            <v>2</v>
          </cell>
          <cell r="P181">
            <v>46050</v>
          </cell>
          <cell r="Q181">
            <v>5</v>
          </cell>
          <cell r="R181" t="str">
            <v>NA</v>
          </cell>
          <cell r="S181">
            <v>5</v>
          </cell>
        </row>
        <row r="182">
          <cell r="B182" t="str">
            <v>EMMC</v>
          </cell>
          <cell r="C182" t="str">
            <v>HSLB12021</v>
          </cell>
          <cell r="D182">
            <v>112049</v>
          </cell>
          <cell r="E182" t="str">
            <v>Catre Clínico Mecánico</v>
          </cell>
          <cell r="F182" t="str">
            <v>NO</v>
          </cell>
          <cell r="G182" t="str">
            <v>NO</v>
          </cell>
          <cell r="H182" t="str">
            <v>SALA 1 CAMA AISLAMIENTO</v>
          </cell>
          <cell r="I182">
            <v>1</v>
          </cell>
          <cell r="J182" t="str">
            <v>C.3.4.3.14.1</v>
          </cell>
          <cell r="K182" t="str">
            <v>Hospitalización</v>
          </cell>
          <cell r="L182">
            <v>7</v>
          </cell>
          <cell r="M182">
            <v>46045</v>
          </cell>
          <cell r="N182">
            <v>46048</v>
          </cell>
          <cell r="O182">
            <v>2</v>
          </cell>
          <cell r="P182">
            <v>46050</v>
          </cell>
          <cell r="Q182">
            <v>5</v>
          </cell>
          <cell r="R182" t="str">
            <v>NA</v>
          </cell>
          <cell r="S182">
            <v>5</v>
          </cell>
        </row>
        <row r="183">
          <cell r="B183" t="str">
            <v>EMMC</v>
          </cell>
          <cell r="C183" t="str">
            <v>HSLB12020</v>
          </cell>
          <cell r="D183">
            <v>112049</v>
          </cell>
          <cell r="E183" t="str">
            <v>Catre Clínico Mecánico</v>
          </cell>
          <cell r="F183" t="str">
            <v>NO</v>
          </cell>
          <cell r="G183" t="str">
            <v>NO</v>
          </cell>
          <cell r="H183" t="str">
            <v>SALA 1 CAMA</v>
          </cell>
          <cell r="I183">
            <v>1</v>
          </cell>
          <cell r="J183" t="str">
            <v>C.3.4.3.13.3</v>
          </cell>
          <cell r="K183" t="str">
            <v>Hospitalización</v>
          </cell>
          <cell r="L183">
            <v>7</v>
          </cell>
          <cell r="M183">
            <v>46045</v>
          </cell>
          <cell r="N183">
            <v>46048</v>
          </cell>
          <cell r="O183">
            <v>2</v>
          </cell>
          <cell r="P183">
            <v>46050</v>
          </cell>
          <cell r="Q183">
            <v>5</v>
          </cell>
          <cell r="R183" t="str">
            <v>NA</v>
          </cell>
          <cell r="S183">
            <v>5</v>
          </cell>
        </row>
        <row r="184">
          <cell r="B184" t="str">
            <v>EMMC</v>
          </cell>
          <cell r="C184" t="str">
            <v>HSLB12019</v>
          </cell>
          <cell r="D184">
            <v>112049</v>
          </cell>
          <cell r="E184" t="str">
            <v>Catre Clínico Mecánico</v>
          </cell>
          <cell r="F184" t="str">
            <v>NO</v>
          </cell>
          <cell r="G184" t="str">
            <v>NO</v>
          </cell>
          <cell r="H184" t="str">
            <v>SALA 1 CAMA</v>
          </cell>
          <cell r="I184">
            <v>1</v>
          </cell>
          <cell r="J184" t="str">
            <v>C.3.4.3.13.2</v>
          </cell>
          <cell r="K184" t="str">
            <v>Hospitalización</v>
          </cell>
          <cell r="L184">
            <v>7</v>
          </cell>
          <cell r="M184">
            <v>46045</v>
          </cell>
          <cell r="N184">
            <v>46048</v>
          </cell>
          <cell r="O184">
            <v>2</v>
          </cell>
          <cell r="P184">
            <v>46050</v>
          </cell>
          <cell r="Q184">
            <v>5</v>
          </cell>
          <cell r="R184" t="str">
            <v>NA</v>
          </cell>
          <cell r="S184">
            <v>5</v>
          </cell>
        </row>
        <row r="185">
          <cell r="B185" t="str">
            <v>EMMC</v>
          </cell>
          <cell r="C185" t="str">
            <v>HSLB12018</v>
          </cell>
          <cell r="D185">
            <v>112049</v>
          </cell>
          <cell r="E185" t="str">
            <v>Catre Clínico Mecánico</v>
          </cell>
          <cell r="F185" t="str">
            <v>NO</v>
          </cell>
          <cell r="G185" t="str">
            <v>NO</v>
          </cell>
          <cell r="H185" t="str">
            <v>SALA 1 CAMA</v>
          </cell>
          <cell r="I185">
            <v>1</v>
          </cell>
          <cell r="J185" t="str">
            <v>C.3.4.3.13.1</v>
          </cell>
          <cell r="K185" t="str">
            <v>Hospitalización</v>
          </cell>
          <cell r="L185">
            <v>7</v>
          </cell>
          <cell r="M185">
            <v>46045</v>
          </cell>
          <cell r="N185">
            <v>46048</v>
          </cell>
          <cell r="O185">
            <v>2</v>
          </cell>
          <cell r="P185">
            <v>46050</v>
          </cell>
          <cell r="Q185">
            <v>5</v>
          </cell>
          <cell r="R185" t="str">
            <v>NA</v>
          </cell>
          <cell r="S185">
            <v>5</v>
          </cell>
        </row>
        <row r="186">
          <cell r="B186" t="str">
            <v>EMMC</v>
          </cell>
          <cell r="C186" t="str">
            <v>HSLB12017</v>
          </cell>
          <cell r="D186">
            <v>112049</v>
          </cell>
          <cell r="E186" t="str">
            <v>Catre Clínico Mecánico</v>
          </cell>
          <cell r="F186" t="str">
            <v>NO</v>
          </cell>
          <cell r="G186" t="str">
            <v>NO</v>
          </cell>
          <cell r="H186" t="str">
            <v>SALA 4 CAMAS</v>
          </cell>
          <cell r="I186">
            <v>4</v>
          </cell>
          <cell r="J186" t="str">
            <v>C.3.4.3.12.9</v>
          </cell>
          <cell r="K186" t="str">
            <v>Hospitalización</v>
          </cell>
          <cell r="L186">
            <v>7</v>
          </cell>
          <cell r="M186">
            <v>46045</v>
          </cell>
          <cell r="N186">
            <v>46048</v>
          </cell>
          <cell r="O186">
            <v>2</v>
          </cell>
          <cell r="P186">
            <v>46050</v>
          </cell>
          <cell r="Q186">
            <v>5</v>
          </cell>
          <cell r="R186" t="str">
            <v>NA</v>
          </cell>
          <cell r="S186">
            <v>5</v>
          </cell>
        </row>
        <row r="187">
          <cell r="B187" t="str">
            <v>EMMC</v>
          </cell>
          <cell r="C187" t="str">
            <v>HSLB12016</v>
          </cell>
          <cell r="D187">
            <v>112049</v>
          </cell>
          <cell r="E187" t="str">
            <v>Catre Clínico Mecánico</v>
          </cell>
          <cell r="F187" t="str">
            <v>NO</v>
          </cell>
          <cell r="G187" t="str">
            <v>NO</v>
          </cell>
          <cell r="H187" t="str">
            <v>SALA 4 CAMAS</v>
          </cell>
          <cell r="I187">
            <v>4</v>
          </cell>
          <cell r="J187" t="str">
            <v>C.3.4.3.12.8</v>
          </cell>
          <cell r="K187" t="str">
            <v>Hospitalización</v>
          </cell>
          <cell r="L187">
            <v>7</v>
          </cell>
          <cell r="M187">
            <v>46045</v>
          </cell>
          <cell r="N187">
            <v>46048</v>
          </cell>
          <cell r="O187">
            <v>2</v>
          </cell>
          <cell r="P187">
            <v>46050</v>
          </cell>
          <cell r="Q187">
            <v>5</v>
          </cell>
          <cell r="R187" t="str">
            <v>NA</v>
          </cell>
          <cell r="S187">
            <v>5</v>
          </cell>
        </row>
        <row r="188">
          <cell r="B188" t="str">
            <v>EMMC</v>
          </cell>
          <cell r="C188" t="str">
            <v>HSLB12015</v>
          </cell>
          <cell r="D188">
            <v>112049</v>
          </cell>
          <cell r="E188" t="str">
            <v>Catre Clínico Mecánico</v>
          </cell>
          <cell r="F188" t="str">
            <v>NO</v>
          </cell>
          <cell r="G188" t="str">
            <v>NO</v>
          </cell>
          <cell r="H188" t="str">
            <v>SALA 4 CAMAS</v>
          </cell>
          <cell r="I188">
            <v>4</v>
          </cell>
          <cell r="J188" t="str">
            <v>C.3.4.3.12.7</v>
          </cell>
          <cell r="K188" t="str">
            <v>Hospitalización</v>
          </cell>
          <cell r="L188">
            <v>7</v>
          </cell>
          <cell r="M188">
            <v>46045</v>
          </cell>
          <cell r="N188">
            <v>46048</v>
          </cell>
          <cell r="O188">
            <v>2</v>
          </cell>
          <cell r="P188">
            <v>46050</v>
          </cell>
          <cell r="Q188">
            <v>5</v>
          </cell>
          <cell r="R188" t="str">
            <v>NA</v>
          </cell>
          <cell r="S188">
            <v>5</v>
          </cell>
        </row>
        <row r="189">
          <cell r="B189" t="str">
            <v>EMMC</v>
          </cell>
          <cell r="C189" t="str">
            <v>HSLB12014</v>
          </cell>
          <cell r="D189">
            <v>112049</v>
          </cell>
          <cell r="E189" t="str">
            <v>Catre Clínico Mecánico</v>
          </cell>
          <cell r="F189" t="str">
            <v>NO</v>
          </cell>
          <cell r="G189" t="str">
            <v>NO</v>
          </cell>
          <cell r="H189" t="str">
            <v>SALA 4 CAMAS</v>
          </cell>
          <cell r="I189">
            <v>4</v>
          </cell>
          <cell r="J189" t="str">
            <v>C.3.4.3.12.6</v>
          </cell>
          <cell r="K189" t="str">
            <v>Hospitalización</v>
          </cell>
          <cell r="L189">
            <v>7</v>
          </cell>
          <cell r="M189">
            <v>46045</v>
          </cell>
          <cell r="N189">
            <v>46048</v>
          </cell>
          <cell r="O189">
            <v>2</v>
          </cell>
          <cell r="P189">
            <v>46050</v>
          </cell>
          <cell r="Q189">
            <v>5</v>
          </cell>
          <cell r="R189" t="str">
            <v>NA</v>
          </cell>
          <cell r="S189">
            <v>5</v>
          </cell>
        </row>
        <row r="190">
          <cell r="B190" t="str">
            <v>EMMC</v>
          </cell>
          <cell r="C190" t="str">
            <v>HSLB12013</v>
          </cell>
          <cell r="D190">
            <v>112049</v>
          </cell>
          <cell r="E190" t="str">
            <v>Catre Clínico Mecánico</v>
          </cell>
          <cell r="F190" t="str">
            <v>NO</v>
          </cell>
          <cell r="G190" t="str">
            <v>NO</v>
          </cell>
          <cell r="H190" t="str">
            <v>SALA 4 CAMAS</v>
          </cell>
          <cell r="I190">
            <v>4</v>
          </cell>
          <cell r="J190" t="str">
            <v>C.3.4.3.12.5</v>
          </cell>
          <cell r="K190" t="str">
            <v>Hospitalización</v>
          </cell>
          <cell r="L190">
            <v>7</v>
          </cell>
          <cell r="M190">
            <v>46045</v>
          </cell>
          <cell r="N190">
            <v>46048</v>
          </cell>
          <cell r="O190">
            <v>2</v>
          </cell>
          <cell r="P190">
            <v>46050</v>
          </cell>
          <cell r="Q190">
            <v>5</v>
          </cell>
          <cell r="R190" t="str">
            <v>NA</v>
          </cell>
          <cell r="S190">
            <v>5</v>
          </cell>
        </row>
        <row r="191">
          <cell r="B191" t="str">
            <v>EMMC</v>
          </cell>
          <cell r="C191" t="str">
            <v>HSLB12012</v>
          </cell>
          <cell r="D191">
            <v>112049</v>
          </cell>
          <cell r="E191" t="str">
            <v>Catre Clínico Mecánico</v>
          </cell>
          <cell r="F191" t="str">
            <v>NO</v>
          </cell>
          <cell r="G191" t="str">
            <v>SI</v>
          </cell>
          <cell r="H191" t="str">
            <v>SALA 4 CAMAS</v>
          </cell>
          <cell r="I191">
            <v>4</v>
          </cell>
          <cell r="J191" t="str">
            <v>C.3.4.3.12.4</v>
          </cell>
          <cell r="K191" t="str">
            <v>Hospitalización</v>
          </cell>
          <cell r="L191">
            <v>7</v>
          </cell>
          <cell r="M191">
            <v>46003</v>
          </cell>
          <cell r="N191">
            <v>46006</v>
          </cell>
          <cell r="O191">
            <v>2</v>
          </cell>
          <cell r="P191">
            <v>46008</v>
          </cell>
          <cell r="Q191">
            <v>5</v>
          </cell>
          <cell r="R191" t="str">
            <v>NA</v>
          </cell>
          <cell r="S191">
            <v>5</v>
          </cell>
        </row>
        <row r="192">
          <cell r="B192" t="str">
            <v>EMMC</v>
          </cell>
          <cell r="C192" t="str">
            <v>HSLB12011</v>
          </cell>
          <cell r="D192">
            <v>112049</v>
          </cell>
          <cell r="E192" t="str">
            <v>Catre Clínico Mecánico</v>
          </cell>
          <cell r="F192" t="str">
            <v>NO</v>
          </cell>
          <cell r="G192" t="str">
            <v>NO</v>
          </cell>
          <cell r="H192" t="str">
            <v>SALA 4 CAMAS</v>
          </cell>
          <cell r="I192">
            <v>4</v>
          </cell>
          <cell r="J192" t="str">
            <v>C.3.4.3.12.3</v>
          </cell>
          <cell r="K192" t="str">
            <v>Hospitalización</v>
          </cell>
          <cell r="L192">
            <v>7</v>
          </cell>
          <cell r="M192">
            <v>46045</v>
          </cell>
          <cell r="N192">
            <v>46048</v>
          </cell>
          <cell r="O192">
            <v>2</v>
          </cell>
          <cell r="P192">
            <v>46050</v>
          </cell>
          <cell r="Q192">
            <v>5</v>
          </cell>
          <cell r="R192" t="str">
            <v>NA</v>
          </cell>
          <cell r="S192">
            <v>5</v>
          </cell>
        </row>
        <row r="193">
          <cell r="B193" t="str">
            <v>EMMC</v>
          </cell>
          <cell r="C193" t="str">
            <v>HSLB12010</v>
          </cell>
          <cell r="D193">
            <v>112049</v>
          </cell>
          <cell r="E193" t="str">
            <v>Catre Clínico Mecánico</v>
          </cell>
          <cell r="F193" t="str">
            <v>NO</v>
          </cell>
          <cell r="G193" t="str">
            <v>NO</v>
          </cell>
          <cell r="H193" t="str">
            <v>SALA 4 CAMAS</v>
          </cell>
          <cell r="I193">
            <v>4</v>
          </cell>
          <cell r="J193" t="str">
            <v>C.3.4.3.12.2</v>
          </cell>
          <cell r="K193" t="str">
            <v>Hospitalización</v>
          </cell>
          <cell r="L193">
            <v>7</v>
          </cell>
          <cell r="M193">
            <v>46045</v>
          </cell>
          <cell r="N193">
            <v>46048</v>
          </cell>
          <cell r="O193">
            <v>2</v>
          </cell>
          <cell r="P193">
            <v>46050</v>
          </cell>
          <cell r="Q193">
            <v>5</v>
          </cell>
          <cell r="R193" t="str">
            <v>NA</v>
          </cell>
          <cell r="S193">
            <v>5</v>
          </cell>
        </row>
        <row r="194">
          <cell r="B194" t="str">
            <v>EMMC</v>
          </cell>
          <cell r="C194" t="str">
            <v>HSLB12009</v>
          </cell>
          <cell r="D194">
            <v>112049</v>
          </cell>
          <cell r="E194" t="str">
            <v>Catre Clínico Mecánico</v>
          </cell>
          <cell r="F194" t="str">
            <v>NO</v>
          </cell>
          <cell r="G194" t="str">
            <v>NO</v>
          </cell>
          <cell r="H194" t="str">
            <v>SALA 4 CAMAS</v>
          </cell>
          <cell r="I194">
            <v>4</v>
          </cell>
          <cell r="J194" t="str">
            <v>C.3.4.3.12.13</v>
          </cell>
          <cell r="K194" t="str">
            <v>Hospitalización</v>
          </cell>
          <cell r="L194">
            <v>7</v>
          </cell>
          <cell r="M194">
            <v>46045</v>
          </cell>
          <cell r="N194">
            <v>46048</v>
          </cell>
          <cell r="O194">
            <v>2</v>
          </cell>
          <cell r="P194">
            <v>46050</v>
          </cell>
          <cell r="Q194">
            <v>5</v>
          </cell>
          <cell r="R194" t="str">
            <v>NA</v>
          </cell>
          <cell r="S194">
            <v>5</v>
          </cell>
        </row>
        <row r="195">
          <cell r="B195" t="str">
            <v>EMMC</v>
          </cell>
          <cell r="C195" t="str">
            <v>HSLB12008</v>
          </cell>
          <cell r="D195">
            <v>112049</v>
          </cell>
          <cell r="E195" t="str">
            <v>Catre Clínico Mecánico</v>
          </cell>
          <cell r="F195" t="str">
            <v>NO</v>
          </cell>
          <cell r="G195" t="str">
            <v>NO</v>
          </cell>
          <cell r="H195" t="str">
            <v>SALA 4 CAMAS</v>
          </cell>
          <cell r="I195">
            <v>4</v>
          </cell>
          <cell r="J195" t="str">
            <v>C.3.4.3.12.12</v>
          </cell>
          <cell r="K195" t="str">
            <v>Hospitalización</v>
          </cell>
          <cell r="L195">
            <v>7</v>
          </cell>
          <cell r="M195">
            <v>46045</v>
          </cell>
          <cell r="N195">
            <v>46048</v>
          </cell>
          <cell r="O195">
            <v>2</v>
          </cell>
          <cell r="P195">
            <v>46050</v>
          </cell>
          <cell r="Q195">
            <v>5</v>
          </cell>
          <cell r="R195" t="str">
            <v>NA</v>
          </cell>
          <cell r="S195">
            <v>5</v>
          </cell>
        </row>
        <row r="196">
          <cell r="B196" t="str">
            <v>EMMC</v>
          </cell>
          <cell r="C196" t="str">
            <v>HSLB12007</v>
          </cell>
          <cell r="D196">
            <v>112049</v>
          </cell>
          <cell r="E196" t="str">
            <v>Catre Clínico Mecánico</v>
          </cell>
          <cell r="F196" t="str">
            <v>NO</v>
          </cell>
          <cell r="G196" t="str">
            <v>SI</v>
          </cell>
          <cell r="H196" t="str">
            <v>SALA 4 CAMAS</v>
          </cell>
          <cell r="I196">
            <v>4</v>
          </cell>
          <cell r="J196" t="str">
            <v>C.3.4.3.12.11</v>
          </cell>
          <cell r="K196" t="str">
            <v>Hospitalización</v>
          </cell>
          <cell r="L196">
            <v>7</v>
          </cell>
          <cell r="M196">
            <v>46003</v>
          </cell>
          <cell r="N196">
            <v>46006</v>
          </cell>
          <cell r="O196">
            <v>2</v>
          </cell>
          <cell r="P196">
            <v>46008</v>
          </cell>
          <cell r="Q196">
            <v>5</v>
          </cell>
          <cell r="R196" t="str">
            <v>NA</v>
          </cell>
          <cell r="S196">
            <v>5</v>
          </cell>
        </row>
        <row r="197">
          <cell r="B197" t="str">
            <v>EMMC</v>
          </cell>
          <cell r="C197" t="str">
            <v>HSLB12006</v>
          </cell>
          <cell r="D197">
            <v>112049</v>
          </cell>
          <cell r="E197" t="str">
            <v>Catre Clínico Mecánico</v>
          </cell>
          <cell r="F197" t="str">
            <v>NO</v>
          </cell>
          <cell r="G197" t="str">
            <v>NO</v>
          </cell>
          <cell r="H197" t="str">
            <v>SALA 4 CAMAS</v>
          </cell>
          <cell r="I197">
            <v>4</v>
          </cell>
          <cell r="J197" t="str">
            <v>C.3.4.3.12.10</v>
          </cell>
          <cell r="K197" t="str">
            <v>Hospitalización</v>
          </cell>
          <cell r="L197">
            <v>7</v>
          </cell>
          <cell r="M197">
            <v>46045</v>
          </cell>
          <cell r="N197">
            <v>46048</v>
          </cell>
          <cell r="O197">
            <v>2</v>
          </cell>
          <cell r="P197">
            <v>46050</v>
          </cell>
          <cell r="Q197">
            <v>5</v>
          </cell>
          <cell r="R197" t="str">
            <v>NA</v>
          </cell>
          <cell r="S197">
            <v>5</v>
          </cell>
        </row>
        <row r="198">
          <cell r="B198" t="str">
            <v>EMMC</v>
          </cell>
          <cell r="C198" t="str">
            <v>HSLB12005</v>
          </cell>
          <cell r="D198">
            <v>112049</v>
          </cell>
          <cell r="E198" t="str">
            <v>Catre Clínico Mecánico</v>
          </cell>
          <cell r="F198" t="str">
            <v>NO</v>
          </cell>
          <cell r="G198" t="str">
            <v>NO</v>
          </cell>
          <cell r="H198" t="str">
            <v>SALA 4 CAMAS</v>
          </cell>
          <cell r="I198">
            <v>4</v>
          </cell>
          <cell r="J198" t="str">
            <v>C.3.4.3.12.1</v>
          </cell>
          <cell r="K198" t="str">
            <v>Hospitalización</v>
          </cell>
          <cell r="L198">
            <v>7</v>
          </cell>
          <cell r="M198">
            <v>46045</v>
          </cell>
          <cell r="N198">
            <v>46048</v>
          </cell>
          <cell r="O198">
            <v>2</v>
          </cell>
          <cell r="P198">
            <v>46050</v>
          </cell>
          <cell r="Q198">
            <v>5</v>
          </cell>
          <cell r="R198" t="str">
            <v>NA</v>
          </cell>
          <cell r="S198">
            <v>5</v>
          </cell>
        </row>
        <row r="199">
          <cell r="B199" t="str">
            <v>EMMC</v>
          </cell>
          <cell r="C199" t="str">
            <v>HSLB11332</v>
          </cell>
          <cell r="D199">
            <v>110007</v>
          </cell>
          <cell r="E199" t="str">
            <v>Balanza de Precisión</v>
          </cell>
          <cell r="F199" t="str">
            <v>NO</v>
          </cell>
          <cell r="G199" t="str">
            <v>SI</v>
          </cell>
          <cell r="H199" t="str">
            <v xml:space="preserve">BODEGA DE INSUMOS </v>
          </cell>
          <cell r="I199">
            <v>0</v>
          </cell>
          <cell r="J199" t="str">
            <v>C.3.4.3.16.1</v>
          </cell>
          <cell r="K199" t="str">
            <v>Hospitalización</v>
          </cell>
          <cell r="L199">
            <v>7</v>
          </cell>
          <cell r="M199">
            <v>46003</v>
          </cell>
          <cell r="N199">
            <v>46006</v>
          </cell>
          <cell r="O199">
            <v>1</v>
          </cell>
          <cell r="P199">
            <v>46007</v>
          </cell>
          <cell r="Q199">
            <v>5</v>
          </cell>
          <cell r="R199" t="str">
            <v>NA</v>
          </cell>
          <cell r="S199">
            <v>5</v>
          </cell>
        </row>
        <row r="200">
          <cell r="B200" t="str">
            <v>EMMC</v>
          </cell>
          <cell r="C200" t="str">
            <v>HSLB11332</v>
          </cell>
          <cell r="D200">
            <v>110007</v>
          </cell>
          <cell r="E200" t="str">
            <v>Balanza de Precisión</v>
          </cell>
          <cell r="F200" t="str">
            <v>NO</v>
          </cell>
          <cell r="G200" t="str">
            <v>SI</v>
          </cell>
          <cell r="H200" t="str">
            <v xml:space="preserve">BODEGA DE INSUMOS </v>
          </cell>
          <cell r="I200">
            <v>0</v>
          </cell>
          <cell r="J200" t="str">
            <v>C.3.4.3.16.2</v>
          </cell>
          <cell r="K200" t="str">
            <v>Hospitalización</v>
          </cell>
          <cell r="L200">
            <v>7</v>
          </cell>
          <cell r="M200">
            <v>46003</v>
          </cell>
          <cell r="N200">
            <v>46006</v>
          </cell>
          <cell r="O200">
            <v>1</v>
          </cell>
          <cell r="P200">
            <v>46007</v>
          </cell>
          <cell r="Q200">
            <v>5</v>
          </cell>
          <cell r="R200" t="str">
            <v>NA</v>
          </cell>
          <cell r="S200">
            <v>5</v>
          </cell>
        </row>
        <row r="201">
          <cell r="B201" t="str">
            <v>EMMC</v>
          </cell>
          <cell r="C201" t="str">
            <v>HSLB11332</v>
          </cell>
          <cell r="D201">
            <v>110007</v>
          </cell>
          <cell r="E201" t="str">
            <v>Balanza de Precisión</v>
          </cell>
          <cell r="F201" t="str">
            <v>NO</v>
          </cell>
          <cell r="G201" t="str">
            <v>SI</v>
          </cell>
          <cell r="H201" t="str">
            <v xml:space="preserve">BODEGA ROPA LIMPIA </v>
          </cell>
          <cell r="I201">
            <v>0</v>
          </cell>
          <cell r="J201" t="str">
            <v>C.3.4.3.18.1</v>
          </cell>
          <cell r="K201" t="str">
            <v>Hospitalización</v>
          </cell>
          <cell r="L201">
            <v>7</v>
          </cell>
          <cell r="M201">
            <v>46003</v>
          </cell>
          <cell r="N201">
            <v>46006</v>
          </cell>
          <cell r="O201">
            <v>1</v>
          </cell>
          <cell r="P201">
            <v>46007</v>
          </cell>
          <cell r="Q201">
            <v>5</v>
          </cell>
          <cell r="R201" t="str">
            <v>NA</v>
          </cell>
          <cell r="S201">
            <v>5</v>
          </cell>
        </row>
        <row r="202">
          <cell r="B202" t="str">
            <v>EMMC</v>
          </cell>
          <cell r="C202" t="str">
            <v>HSLB11332</v>
          </cell>
          <cell r="D202">
            <v>110007</v>
          </cell>
          <cell r="E202" t="str">
            <v>Balanza de Precisión</v>
          </cell>
          <cell r="F202" t="str">
            <v>NO</v>
          </cell>
          <cell r="G202" t="str">
            <v>SI</v>
          </cell>
          <cell r="H202" t="str">
            <v xml:space="preserve">BODEGA ROPA LIMPIA </v>
          </cell>
          <cell r="I202">
            <v>0</v>
          </cell>
          <cell r="J202" t="str">
            <v>C.3.4.3.18.2</v>
          </cell>
          <cell r="K202" t="str">
            <v>Hospitalización</v>
          </cell>
          <cell r="L202">
            <v>7</v>
          </cell>
          <cell r="M202">
            <v>46003</v>
          </cell>
          <cell r="N202">
            <v>46006</v>
          </cell>
          <cell r="O202">
            <v>1</v>
          </cell>
          <cell r="P202">
            <v>46007</v>
          </cell>
          <cell r="Q202">
            <v>5</v>
          </cell>
          <cell r="R202" t="str">
            <v>NA</v>
          </cell>
          <cell r="S202">
            <v>5</v>
          </cell>
        </row>
        <row r="203">
          <cell r="B203" t="str">
            <v>MNC</v>
          </cell>
          <cell r="C203" t="str">
            <v>HSLB13000</v>
          </cell>
          <cell r="D203">
            <v>201001</v>
          </cell>
          <cell r="E203" t="str">
            <v>Estación de Trabajo</v>
          </cell>
          <cell r="F203" t="str">
            <v>NO</v>
          </cell>
          <cell r="G203" t="str">
            <v>NO</v>
          </cell>
          <cell r="H203" t="str">
            <v>SALA VOLUNTARIADO</v>
          </cell>
          <cell r="I203">
            <v>3</v>
          </cell>
          <cell r="J203" t="str">
            <v>A.1.2</v>
          </cell>
          <cell r="K203" t="str">
            <v>Administración y apoyo general</v>
          </cell>
          <cell r="L203">
            <v>7</v>
          </cell>
          <cell r="M203">
            <v>46050</v>
          </cell>
          <cell r="N203">
            <v>46051</v>
          </cell>
          <cell r="O203">
            <v>2</v>
          </cell>
          <cell r="P203">
            <v>46055</v>
          </cell>
          <cell r="Q203">
            <v>5</v>
          </cell>
          <cell r="R203" t="str">
            <v>NA</v>
          </cell>
          <cell r="S203">
            <v>5</v>
          </cell>
        </row>
        <row r="204">
          <cell r="B204" t="str">
            <v>MNC</v>
          </cell>
          <cell r="C204" t="str">
            <v>HSLB13512</v>
          </cell>
          <cell r="D204">
            <v>203016</v>
          </cell>
          <cell r="E204" t="str">
            <v>Mueble Tipo Biblioteca</v>
          </cell>
          <cell r="F204" t="str">
            <v>NO</v>
          </cell>
          <cell r="G204" t="str">
            <v>NO</v>
          </cell>
          <cell r="H204" t="str">
            <v>SALA VOLUNTARIADO</v>
          </cell>
          <cell r="I204">
            <v>3</v>
          </cell>
          <cell r="J204" t="str">
            <v>A.1.2</v>
          </cell>
          <cell r="K204" t="str">
            <v>Administración y apoyo general</v>
          </cell>
          <cell r="L204">
            <v>7</v>
          </cell>
          <cell r="M204">
            <v>46050</v>
          </cell>
          <cell r="N204">
            <v>46051</v>
          </cell>
          <cell r="O204">
            <v>2</v>
          </cell>
          <cell r="P204">
            <v>46055</v>
          </cell>
          <cell r="Q204">
            <v>5</v>
          </cell>
          <cell r="R204" t="str">
            <v>NA</v>
          </cell>
          <cell r="S204">
            <v>5</v>
          </cell>
        </row>
        <row r="205">
          <cell r="B205" t="str">
            <v>MNC</v>
          </cell>
          <cell r="C205" t="str">
            <v>HSLB14165</v>
          </cell>
          <cell r="D205">
            <v>204006</v>
          </cell>
          <cell r="E205" t="str">
            <v>Silla Ergonómica</v>
          </cell>
          <cell r="F205" t="str">
            <v>NO</v>
          </cell>
          <cell r="G205" t="str">
            <v>NO</v>
          </cell>
          <cell r="H205" t="str">
            <v>SALA VOLUNTARIADO</v>
          </cell>
          <cell r="I205">
            <v>3</v>
          </cell>
          <cell r="J205" t="str">
            <v>A.1.2</v>
          </cell>
          <cell r="K205" t="str">
            <v>Administración y apoyo general</v>
          </cell>
          <cell r="L205">
            <v>7</v>
          </cell>
          <cell r="M205">
            <v>46050</v>
          </cell>
          <cell r="N205">
            <v>46051</v>
          </cell>
          <cell r="O205">
            <v>1</v>
          </cell>
          <cell r="P205">
            <v>46052</v>
          </cell>
          <cell r="Q205">
            <v>5</v>
          </cell>
          <cell r="R205" t="str">
            <v>NA</v>
          </cell>
          <cell r="S205">
            <v>5</v>
          </cell>
        </row>
        <row r="206">
          <cell r="B206" t="str">
            <v>MNC</v>
          </cell>
          <cell r="C206" t="str">
            <v>HSLB14626</v>
          </cell>
          <cell r="D206">
            <v>204012</v>
          </cell>
          <cell r="E206" t="str">
            <v>Silla Visita</v>
          </cell>
          <cell r="F206" t="str">
            <v>NO</v>
          </cell>
          <cell r="G206" t="str">
            <v>NO</v>
          </cell>
          <cell r="H206" t="str">
            <v>SALA VOLUNTARIADO</v>
          </cell>
          <cell r="I206">
            <v>6</v>
          </cell>
          <cell r="J206" t="str">
            <v>A.1.2</v>
          </cell>
          <cell r="K206" t="str">
            <v>Administración y apoyo general</v>
          </cell>
          <cell r="L206">
            <v>7</v>
          </cell>
          <cell r="M206">
            <v>46050</v>
          </cell>
          <cell r="N206">
            <v>46051</v>
          </cell>
          <cell r="O206">
            <v>1</v>
          </cell>
          <cell r="P206">
            <v>46052</v>
          </cell>
          <cell r="Q206">
            <v>5</v>
          </cell>
          <cell r="R206" t="str">
            <v>NA</v>
          </cell>
          <cell r="S206">
            <v>5</v>
          </cell>
        </row>
        <row r="207">
          <cell r="B207" t="str">
            <v>MNC</v>
          </cell>
          <cell r="C207" t="str">
            <v>HSLB13290</v>
          </cell>
          <cell r="D207">
            <v>201002</v>
          </cell>
          <cell r="E207" t="str">
            <v>Mesa Lateral</v>
          </cell>
          <cell r="F207" t="str">
            <v>NO</v>
          </cell>
          <cell r="G207" t="str">
            <v>NO</v>
          </cell>
          <cell r="H207" t="str">
            <v>SALA DE ESPERA</v>
          </cell>
          <cell r="I207">
            <v>5</v>
          </cell>
          <cell r="J207" t="str">
            <v>C.3.4.3.1</v>
          </cell>
          <cell r="K207" t="str">
            <v>Administración y apoyo general</v>
          </cell>
          <cell r="L207">
            <v>7</v>
          </cell>
          <cell r="M207">
            <v>46050</v>
          </cell>
          <cell r="N207">
            <v>46051</v>
          </cell>
          <cell r="O207">
            <v>2</v>
          </cell>
          <cell r="P207">
            <v>46055</v>
          </cell>
          <cell r="Q207">
            <v>5</v>
          </cell>
          <cell r="R207" t="str">
            <v>NA</v>
          </cell>
          <cell r="S207">
            <v>5</v>
          </cell>
        </row>
        <row r="208">
          <cell r="B208" t="str">
            <v>MNC</v>
          </cell>
          <cell r="C208" t="str">
            <v>HSLB14996</v>
          </cell>
          <cell r="D208">
            <v>204014</v>
          </cell>
          <cell r="E208" t="str">
            <v>Sillón 2 Cuerpo</v>
          </cell>
          <cell r="F208" t="str">
            <v>NO</v>
          </cell>
          <cell r="G208" t="str">
            <v>NO</v>
          </cell>
          <cell r="H208" t="str">
            <v>SALA DE ESPERA</v>
          </cell>
          <cell r="I208">
            <v>10</v>
          </cell>
          <cell r="J208" t="str">
            <v>C.3.4.3.1</v>
          </cell>
          <cell r="K208" t="str">
            <v>Administración y apoyo general</v>
          </cell>
          <cell r="L208">
            <v>7</v>
          </cell>
          <cell r="M208">
            <v>46050</v>
          </cell>
          <cell r="N208">
            <v>46051</v>
          </cell>
          <cell r="O208">
            <v>1</v>
          </cell>
          <cell r="P208">
            <v>46052</v>
          </cell>
          <cell r="Q208">
            <v>5</v>
          </cell>
          <cell r="R208" t="str">
            <v>NA</v>
          </cell>
          <cell r="S208">
            <v>5</v>
          </cell>
        </row>
        <row r="209">
          <cell r="B209" t="str">
            <v>MNC</v>
          </cell>
          <cell r="C209" t="str">
            <v>HSLB15055</v>
          </cell>
          <cell r="D209">
            <v>204015</v>
          </cell>
          <cell r="E209" t="str">
            <v>Sillón Bergere</v>
          </cell>
          <cell r="F209" t="str">
            <v>NO</v>
          </cell>
          <cell r="G209" t="str">
            <v>NO</v>
          </cell>
          <cell r="H209" t="str">
            <v>SALA 4 CAMAS</v>
          </cell>
          <cell r="I209">
            <v>4</v>
          </cell>
          <cell r="J209" t="str">
            <v>C.3.4.3.12.1</v>
          </cell>
          <cell r="K209" t="str">
            <v>Hospitalización</v>
          </cell>
          <cell r="L209">
            <v>7</v>
          </cell>
          <cell r="M209">
            <v>46050</v>
          </cell>
          <cell r="N209">
            <v>46051</v>
          </cell>
          <cell r="O209">
            <v>1</v>
          </cell>
          <cell r="P209">
            <v>46052</v>
          </cell>
          <cell r="Q209">
            <v>5</v>
          </cell>
          <cell r="R209" t="str">
            <v>NA</v>
          </cell>
          <cell r="S209">
            <v>5</v>
          </cell>
        </row>
        <row r="210">
          <cell r="B210" t="str">
            <v>MNC</v>
          </cell>
          <cell r="C210" t="str">
            <v>HSLB15056</v>
          </cell>
          <cell r="D210">
            <v>204015</v>
          </cell>
          <cell r="E210" t="str">
            <v>Sillón Bergere</v>
          </cell>
          <cell r="F210" t="str">
            <v>NO</v>
          </cell>
          <cell r="G210" t="str">
            <v>NO</v>
          </cell>
          <cell r="H210" t="str">
            <v>SALA 4 CAMAS</v>
          </cell>
          <cell r="I210">
            <v>4</v>
          </cell>
          <cell r="J210" t="str">
            <v>C.3.4.3.12.10</v>
          </cell>
          <cell r="K210" t="str">
            <v>Hospitalización</v>
          </cell>
          <cell r="L210">
            <v>7</v>
          </cell>
          <cell r="M210">
            <v>46050</v>
          </cell>
          <cell r="N210">
            <v>46051</v>
          </cell>
          <cell r="O210">
            <v>1</v>
          </cell>
          <cell r="P210">
            <v>46052</v>
          </cell>
          <cell r="Q210">
            <v>5</v>
          </cell>
          <cell r="R210" t="str">
            <v>NA</v>
          </cell>
          <cell r="S210">
            <v>5</v>
          </cell>
        </row>
        <row r="211">
          <cell r="B211" t="str">
            <v>MNC</v>
          </cell>
          <cell r="C211" t="str">
            <v>HSLB15057</v>
          </cell>
          <cell r="D211">
            <v>204015</v>
          </cell>
          <cell r="E211" t="str">
            <v>Sillón Bergere</v>
          </cell>
          <cell r="F211" t="str">
            <v>NO</v>
          </cell>
          <cell r="G211" t="str">
            <v>SI</v>
          </cell>
          <cell r="H211" t="str">
            <v>SALA 4 CAMAS</v>
          </cell>
          <cell r="I211">
            <v>4</v>
          </cell>
          <cell r="J211" t="str">
            <v>C.3.4.3.12.11</v>
          </cell>
          <cell r="K211" t="str">
            <v>Hospitalización</v>
          </cell>
          <cell r="L211">
            <v>7</v>
          </cell>
          <cell r="M211">
            <v>46003</v>
          </cell>
          <cell r="N211">
            <v>46006</v>
          </cell>
          <cell r="O211">
            <v>1</v>
          </cell>
          <cell r="P211">
            <v>46007</v>
          </cell>
          <cell r="Q211">
            <v>5</v>
          </cell>
          <cell r="R211" t="str">
            <v>NA</v>
          </cell>
          <cell r="S211">
            <v>5</v>
          </cell>
        </row>
        <row r="212">
          <cell r="B212" t="str">
            <v>MNC</v>
          </cell>
          <cell r="C212" t="str">
            <v>HSLB15058</v>
          </cell>
          <cell r="D212">
            <v>204015</v>
          </cell>
          <cell r="E212" t="str">
            <v>Sillón Bergere</v>
          </cell>
          <cell r="F212" t="str">
            <v>NO</v>
          </cell>
          <cell r="G212" t="str">
            <v>NO</v>
          </cell>
          <cell r="H212" t="str">
            <v>SALA 4 CAMAS</v>
          </cell>
          <cell r="I212">
            <v>4</v>
          </cell>
          <cell r="J212" t="str">
            <v>C.3.4.3.12.12</v>
          </cell>
          <cell r="K212" t="str">
            <v>Hospitalización</v>
          </cell>
          <cell r="L212">
            <v>7</v>
          </cell>
          <cell r="M212">
            <v>46050</v>
          </cell>
          <cell r="N212">
            <v>46051</v>
          </cell>
          <cell r="O212">
            <v>1</v>
          </cell>
          <cell r="P212">
            <v>46052</v>
          </cell>
          <cell r="Q212">
            <v>5</v>
          </cell>
          <cell r="R212" t="str">
            <v>NA</v>
          </cell>
          <cell r="S212">
            <v>5</v>
          </cell>
        </row>
        <row r="213">
          <cell r="B213" t="str">
            <v>MNC</v>
          </cell>
          <cell r="C213" t="str">
            <v>HSLB15059</v>
          </cell>
          <cell r="D213">
            <v>204015</v>
          </cell>
          <cell r="E213" t="str">
            <v>Sillón Bergere</v>
          </cell>
          <cell r="F213" t="str">
            <v>NO</v>
          </cell>
          <cell r="G213" t="str">
            <v>NO</v>
          </cell>
          <cell r="H213" t="str">
            <v>SALA 4 CAMAS</v>
          </cell>
          <cell r="I213">
            <v>4</v>
          </cell>
          <cell r="J213" t="str">
            <v>C.3.4.3.12.13</v>
          </cell>
          <cell r="K213" t="str">
            <v>Hospitalización</v>
          </cell>
          <cell r="L213">
            <v>7</v>
          </cell>
          <cell r="M213">
            <v>46050</v>
          </cell>
          <cell r="N213">
            <v>46051</v>
          </cell>
          <cell r="O213">
            <v>1</v>
          </cell>
          <cell r="P213">
            <v>46052</v>
          </cell>
          <cell r="Q213">
            <v>5</v>
          </cell>
          <cell r="R213" t="str">
            <v>NA</v>
          </cell>
          <cell r="S213">
            <v>5</v>
          </cell>
        </row>
        <row r="214">
          <cell r="B214" t="str">
            <v>MNC</v>
          </cell>
          <cell r="C214" t="str">
            <v>HSLB15060</v>
          </cell>
          <cell r="D214">
            <v>204015</v>
          </cell>
          <cell r="E214" t="str">
            <v>Sillón Bergere</v>
          </cell>
          <cell r="F214" t="str">
            <v>NO</v>
          </cell>
          <cell r="G214" t="str">
            <v>NO</v>
          </cell>
          <cell r="H214" t="str">
            <v>SALA 4 CAMAS</v>
          </cell>
          <cell r="I214">
            <v>4</v>
          </cell>
          <cell r="J214" t="str">
            <v>C.3.4.3.12.2</v>
          </cell>
          <cell r="K214" t="str">
            <v>Hospitalización</v>
          </cell>
          <cell r="L214">
            <v>7</v>
          </cell>
          <cell r="M214">
            <v>46050</v>
          </cell>
          <cell r="N214">
            <v>46051</v>
          </cell>
          <cell r="O214">
            <v>1</v>
          </cell>
          <cell r="P214">
            <v>46052</v>
          </cell>
          <cell r="Q214">
            <v>5</v>
          </cell>
          <cell r="R214" t="str">
            <v>NA</v>
          </cell>
          <cell r="S214">
            <v>5</v>
          </cell>
        </row>
        <row r="215">
          <cell r="B215" t="str">
            <v>MNC</v>
          </cell>
          <cell r="C215" t="str">
            <v>HSLB15061</v>
          </cell>
          <cell r="D215">
            <v>204015</v>
          </cell>
          <cell r="E215" t="str">
            <v>Sillón Bergere</v>
          </cell>
          <cell r="F215" t="str">
            <v>NO</v>
          </cell>
          <cell r="G215" t="str">
            <v>NO</v>
          </cell>
          <cell r="H215" t="str">
            <v>SALA 4 CAMAS</v>
          </cell>
          <cell r="I215">
            <v>4</v>
          </cell>
          <cell r="J215" t="str">
            <v>C.3.4.3.12.3</v>
          </cell>
          <cell r="K215" t="str">
            <v>Hospitalización</v>
          </cell>
          <cell r="L215">
            <v>7</v>
          </cell>
          <cell r="M215">
            <v>46050</v>
          </cell>
          <cell r="N215">
            <v>46051</v>
          </cell>
          <cell r="O215">
            <v>1</v>
          </cell>
          <cell r="P215">
            <v>46052</v>
          </cell>
          <cell r="Q215">
            <v>5</v>
          </cell>
          <cell r="R215" t="str">
            <v>NA</v>
          </cell>
          <cell r="S215">
            <v>5</v>
          </cell>
        </row>
        <row r="216">
          <cell r="B216" t="str">
            <v>MNC</v>
          </cell>
          <cell r="C216" t="str">
            <v>HSLB15062</v>
          </cell>
          <cell r="D216">
            <v>204015</v>
          </cell>
          <cell r="E216" t="str">
            <v>Sillón Bergere</v>
          </cell>
          <cell r="F216" t="str">
            <v>NO</v>
          </cell>
          <cell r="G216" t="str">
            <v>SI</v>
          </cell>
          <cell r="H216" t="str">
            <v>SALA 4 CAMAS</v>
          </cell>
          <cell r="I216">
            <v>4</v>
          </cell>
          <cell r="J216" t="str">
            <v>C.3.4.3.12.4</v>
          </cell>
          <cell r="K216" t="str">
            <v>Hospitalización</v>
          </cell>
          <cell r="L216">
            <v>7</v>
          </cell>
          <cell r="M216">
            <v>46003</v>
          </cell>
          <cell r="N216">
            <v>46006</v>
          </cell>
          <cell r="O216">
            <v>1</v>
          </cell>
          <cell r="P216">
            <v>46007</v>
          </cell>
          <cell r="Q216">
            <v>5</v>
          </cell>
          <cell r="R216" t="str">
            <v>NA</v>
          </cell>
          <cell r="S216">
            <v>5</v>
          </cell>
        </row>
        <row r="217">
          <cell r="B217" t="str">
            <v>MNC</v>
          </cell>
          <cell r="C217" t="str">
            <v>HSLB15063</v>
          </cell>
          <cell r="D217">
            <v>204015</v>
          </cell>
          <cell r="E217" t="str">
            <v>Sillón Bergere</v>
          </cell>
          <cell r="F217" t="str">
            <v>NO</v>
          </cell>
          <cell r="G217" t="str">
            <v>NO</v>
          </cell>
          <cell r="H217" t="str">
            <v>SALA 4 CAMAS</v>
          </cell>
          <cell r="I217">
            <v>4</v>
          </cell>
          <cell r="J217" t="str">
            <v>C.3.4.3.12.5</v>
          </cell>
          <cell r="K217" t="str">
            <v>Hospitalización</v>
          </cell>
          <cell r="L217">
            <v>7</v>
          </cell>
          <cell r="M217">
            <v>46050</v>
          </cell>
          <cell r="N217">
            <v>46051</v>
          </cell>
          <cell r="O217">
            <v>1</v>
          </cell>
          <cell r="P217">
            <v>46052</v>
          </cell>
          <cell r="Q217">
            <v>5</v>
          </cell>
          <cell r="R217" t="str">
            <v>NA</v>
          </cell>
          <cell r="S217">
            <v>5</v>
          </cell>
        </row>
        <row r="218">
          <cell r="B218" t="str">
            <v>MNC</v>
          </cell>
          <cell r="C218" t="str">
            <v>HSLB15064</v>
          </cell>
          <cell r="D218">
            <v>204015</v>
          </cell>
          <cell r="E218" t="str">
            <v>Sillón Bergere</v>
          </cell>
          <cell r="F218" t="str">
            <v>NO</v>
          </cell>
          <cell r="G218" t="str">
            <v>NO</v>
          </cell>
          <cell r="H218" t="str">
            <v>SALA 4 CAMAS</v>
          </cell>
          <cell r="I218">
            <v>4</v>
          </cell>
          <cell r="J218" t="str">
            <v>C.3.4.3.12.6</v>
          </cell>
          <cell r="K218" t="str">
            <v>Hospitalización</v>
          </cell>
          <cell r="L218">
            <v>7</v>
          </cell>
          <cell r="M218">
            <v>46050</v>
          </cell>
          <cell r="N218">
            <v>46051</v>
          </cell>
          <cell r="O218">
            <v>1</v>
          </cell>
          <cell r="P218">
            <v>46052</v>
          </cell>
          <cell r="Q218">
            <v>5</v>
          </cell>
          <cell r="R218" t="str">
            <v>NA</v>
          </cell>
          <cell r="S218">
            <v>5</v>
          </cell>
        </row>
        <row r="219">
          <cell r="B219" t="str">
            <v>MNC</v>
          </cell>
          <cell r="C219" t="str">
            <v>HSLB15065</v>
          </cell>
          <cell r="D219">
            <v>204015</v>
          </cell>
          <cell r="E219" t="str">
            <v>Sillón Bergere</v>
          </cell>
          <cell r="F219" t="str">
            <v>NO</v>
          </cell>
          <cell r="G219" t="str">
            <v>NO</v>
          </cell>
          <cell r="H219" t="str">
            <v>SALA 4 CAMAS</v>
          </cell>
          <cell r="I219">
            <v>4</v>
          </cell>
          <cell r="J219" t="str">
            <v>C.3.4.3.12.7</v>
          </cell>
          <cell r="K219" t="str">
            <v>Hospitalización</v>
          </cell>
          <cell r="L219">
            <v>7</v>
          </cell>
          <cell r="M219">
            <v>46050</v>
          </cell>
          <cell r="N219">
            <v>46051</v>
          </cell>
          <cell r="O219">
            <v>1</v>
          </cell>
          <cell r="P219">
            <v>46052</v>
          </cell>
          <cell r="Q219">
            <v>5</v>
          </cell>
          <cell r="R219" t="str">
            <v>NA</v>
          </cell>
          <cell r="S219">
            <v>5</v>
          </cell>
        </row>
        <row r="220">
          <cell r="B220" t="str">
            <v>MNC</v>
          </cell>
          <cell r="C220" t="str">
            <v>HSLB15066</v>
          </cell>
          <cell r="D220">
            <v>204015</v>
          </cell>
          <cell r="E220" t="str">
            <v>Sillón Bergere</v>
          </cell>
          <cell r="F220" t="str">
            <v>NO</v>
          </cell>
          <cell r="G220" t="str">
            <v>NO</v>
          </cell>
          <cell r="H220" t="str">
            <v>SALA 4 CAMAS</v>
          </cell>
          <cell r="I220">
            <v>4</v>
          </cell>
          <cell r="J220" t="str">
            <v>C.3.4.3.12.8</v>
          </cell>
          <cell r="K220" t="str">
            <v>Hospitalización</v>
          </cell>
          <cell r="L220">
            <v>7</v>
          </cell>
          <cell r="M220">
            <v>46050</v>
          </cell>
          <cell r="N220">
            <v>46051</v>
          </cell>
          <cell r="O220">
            <v>1</v>
          </cell>
          <cell r="P220">
            <v>46052</v>
          </cell>
          <cell r="Q220">
            <v>5</v>
          </cell>
          <cell r="R220" t="str">
            <v>NA</v>
          </cell>
          <cell r="S220">
            <v>5</v>
          </cell>
        </row>
        <row r="221">
          <cell r="B221" t="str">
            <v>MNC</v>
          </cell>
          <cell r="C221" t="str">
            <v>HSLB15067</v>
          </cell>
          <cell r="D221">
            <v>204015</v>
          </cell>
          <cell r="E221" t="str">
            <v>Sillón Bergere</v>
          </cell>
          <cell r="F221" t="str">
            <v>NO</v>
          </cell>
          <cell r="G221" t="str">
            <v>NO</v>
          </cell>
          <cell r="H221" t="str">
            <v>SALA 4 CAMAS</v>
          </cell>
          <cell r="I221">
            <v>4</v>
          </cell>
          <cell r="J221" t="str">
            <v>C.3.4.3.12.9</v>
          </cell>
          <cell r="K221" t="str">
            <v>Hospitalización</v>
          </cell>
          <cell r="L221">
            <v>7</v>
          </cell>
          <cell r="M221">
            <v>46050</v>
          </cell>
          <cell r="N221">
            <v>46051</v>
          </cell>
          <cell r="O221">
            <v>1</v>
          </cell>
          <cell r="P221">
            <v>46052</v>
          </cell>
          <cell r="Q221">
            <v>5</v>
          </cell>
          <cell r="R221" t="str">
            <v>NA</v>
          </cell>
          <cell r="S221">
            <v>5</v>
          </cell>
        </row>
        <row r="222">
          <cell r="B222" t="str">
            <v>MNC</v>
          </cell>
          <cell r="C222" t="str">
            <v>HSLB15068</v>
          </cell>
          <cell r="D222">
            <v>204015</v>
          </cell>
          <cell r="E222" t="str">
            <v>Sillón Bergere</v>
          </cell>
          <cell r="F222" t="str">
            <v>NO</v>
          </cell>
          <cell r="G222" t="str">
            <v>NO</v>
          </cell>
          <cell r="H222" t="str">
            <v>SALA 1 CAMA</v>
          </cell>
          <cell r="I222">
            <v>1</v>
          </cell>
          <cell r="J222" t="str">
            <v>C.3.4.3.13.1</v>
          </cell>
          <cell r="K222" t="str">
            <v>Hospitalización</v>
          </cell>
          <cell r="L222">
            <v>7</v>
          </cell>
          <cell r="M222">
            <v>46050</v>
          </cell>
          <cell r="N222">
            <v>46051</v>
          </cell>
          <cell r="O222">
            <v>1</v>
          </cell>
          <cell r="P222">
            <v>46052</v>
          </cell>
          <cell r="Q222">
            <v>5</v>
          </cell>
          <cell r="R222" t="str">
            <v>NA</v>
          </cell>
          <cell r="S222">
            <v>5</v>
          </cell>
        </row>
        <row r="223">
          <cell r="B223" t="str">
            <v>MNC</v>
          </cell>
          <cell r="C223" t="str">
            <v>HSLB15069</v>
          </cell>
          <cell r="D223">
            <v>204015</v>
          </cell>
          <cell r="E223" t="str">
            <v>Sillón Bergere</v>
          </cell>
          <cell r="F223" t="str">
            <v>NO</v>
          </cell>
          <cell r="G223" t="str">
            <v>NO</v>
          </cell>
          <cell r="H223" t="str">
            <v>SALA 1 CAMA</v>
          </cell>
          <cell r="I223">
            <v>1</v>
          </cell>
          <cell r="J223" t="str">
            <v>C.3.4.3.13.2</v>
          </cell>
          <cell r="K223" t="str">
            <v>Hospitalización</v>
          </cell>
          <cell r="L223">
            <v>7</v>
          </cell>
          <cell r="M223">
            <v>46050</v>
          </cell>
          <cell r="N223">
            <v>46051</v>
          </cell>
          <cell r="O223">
            <v>1</v>
          </cell>
          <cell r="P223">
            <v>46052</v>
          </cell>
          <cell r="Q223">
            <v>5</v>
          </cell>
          <cell r="R223" t="str">
            <v>NA</v>
          </cell>
          <cell r="S223">
            <v>5</v>
          </cell>
        </row>
        <row r="224">
          <cell r="B224" t="str">
            <v>MNC</v>
          </cell>
          <cell r="C224" t="str">
            <v>HSLB15070</v>
          </cell>
          <cell r="D224">
            <v>204015</v>
          </cell>
          <cell r="E224" t="str">
            <v>Sillón Bergere</v>
          </cell>
          <cell r="F224" t="str">
            <v>NO</v>
          </cell>
          <cell r="G224" t="str">
            <v>NO</v>
          </cell>
          <cell r="H224" t="str">
            <v>SALA 1 CAMA</v>
          </cell>
          <cell r="I224">
            <v>1</v>
          </cell>
          <cell r="J224" t="str">
            <v>C.3.4.3.13.3</v>
          </cell>
          <cell r="K224" t="str">
            <v>Hospitalización</v>
          </cell>
          <cell r="L224">
            <v>7</v>
          </cell>
          <cell r="M224">
            <v>46050</v>
          </cell>
          <cell r="N224">
            <v>46051</v>
          </cell>
          <cell r="O224">
            <v>1</v>
          </cell>
          <cell r="P224">
            <v>46052</v>
          </cell>
          <cell r="Q224">
            <v>5</v>
          </cell>
          <cell r="R224" t="str">
            <v>NA</v>
          </cell>
          <cell r="S224">
            <v>5</v>
          </cell>
        </row>
        <row r="225">
          <cell r="B225" t="str">
            <v>MNC</v>
          </cell>
          <cell r="C225" t="str">
            <v>HSLB15279</v>
          </cell>
          <cell r="D225">
            <v>204006</v>
          </cell>
          <cell r="E225" t="str">
            <v>Silla Ergonómica</v>
          </cell>
          <cell r="F225" t="str">
            <v>NO</v>
          </cell>
          <cell r="G225" t="str">
            <v>NO</v>
          </cell>
          <cell r="H225" t="str">
            <v>SALA DE PROCEDIMIENTOS</v>
          </cell>
          <cell r="I225">
            <v>1</v>
          </cell>
          <cell r="J225" t="str">
            <v>C.3.4.3.15</v>
          </cell>
          <cell r="K225" t="str">
            <v>Hospitalización</v>
          </cell>
          <cell r="L225">
            <v>7</v>
          </cell>
          <cell r="M225">
            <v>46050</v>
          </cell>
          <cell r="N225">
            <v>46051</v>
          </cell>
          <cell r="O225">
            <v>1</v>
          </cell>
          <cell r="P225">
            <v>46052</v>
          </cell>
          <cell r="Q225">
            <v>5</v>
          </cell>
          <cell r="R225" t="str">
            <v>NA</v>
          </cell>
          <cell r="S225">
            <v>5</v>
          </cell>
        </row>
        <row r="226">
          <cell r="B226" t="str">
            <v>MNC</v>
          </cell>
          <cell r="C226" t="str">
            <v>HSLB15280</v>
          </cell>
          <cell r="D226">
            <v>204012</v>
          </cell>
          <cell r="E226" t="str">
            <v>Silla Visita</v>
          </cell>
          <cell r="F226" t="str">
            <v>NO</v>
          </cell>
          <cell r="G226" t="str">
            <v>NO</v>
          </cell>
          <cell r="H226" t="str">
            <v>SALA DE PROCEDIMIENTOS</v>
          </cell>
          <cell r="I226">
            <v>1</v>
          </cell>
          <cell r="J226" t="str">
            <v>C.3.4.3.15</v>
          </cell>
          <cell r="K226" t="str">
            <v>Hospitalización</v>
          </cell>
          <cell r="L226">
            <v>7</v>
          </cell>
          <cell r="M226">
            <v>46050</v>
          </cell>
          <cell r="N226">
            <v>46051</v>
          </cell>
          <cell r="O226">
            <v>1</v>
          </cell>
          <cell r="P226">
            <v>46052</v>
          </cell>
          <cell r="Q226">
            <v>5</v>
          </cell>
          <cell r="R226" t="str">
            <v>NA</v>
          </cell>
          <cell r="S226">
            <v>5</v>
          </cell>
        </row>
        <row r="227">
          <cell r="B227" t="str">
            <v>MNC</v>
          </cell>
          <cell r="C227" t="str">
            <v>HSLB15281</v>
          </cell>
          <cell r="D227">
            <v>201001</v>
          </cell>
          <cell r="E227" t="str">
            <v>Estación de Trabajo</v>
          </cell>
          <cell r="F227" t="str">
            <v>NO</v>
          </cell>
          <cell r="G227" t="str">
            <v>NO</v>
          </cell>
          <cell r="H227" t="str">
            <v>SALA DE PROCEDIMIENTOS</v>
          </cell>
          <cell r="I227">
            <v>1</v>
          </cell>
          <cell r="J227" t="str">
            <v>C.3.4.3.15</v>
          </cell>
          <cell r="K227" t="str">
            <v>Hospitalización</v>
          </cell>
          <cell r="L227">
            <v>7</v>
          </cell>
          <cell r="M227">
            <v>46050</v>
          </cell>
          <cell r="N227">
            <v>46051</v>
          </cell>
          <cell r="O227">
            <v>2</v>
          </cell>
          <cell r="P227">
            <v>46055</v>
          </cell>
          <cell r="Q227">
            <v>5</v>
          </cell>
          <cell r="R227" t="str">
            <v>NA</v>
          </cell>
          <cell r="S227">
            <v>5</v>
          </cell>
        </row>
        <row r="228">
          <cell r="B228" t="str">
            <v>MNC</v>
          </cell>
          <cell r="C228" t="str">
            <v>HSLB14315</v>
          </cell>
          <cell r="D228">
            <v>204006</v>
          </cell>
          <cell r="E228" t="str">
            <v>Silla Ergonómica</v>
          </cell>
          <cell r="F228" t="str">
            <v>NO</v>
          </cell>
          <cell r="G228" t="str">
            <v>NO</v>
          </cell>
          <cell r="H228" t="str">
            <v>MESÓN DE RECEPCIÓN</v>
          </cell>
          <cell r="I228">
            <v>1</v>
          </cell>
          <cell r="J228" t="str">
            <v>C.3.4.3.2</v>
          </cell>
          <cell r="K228" t="str">
            <v>Administración y apoyo general</v>
          </cell>
          <cell r="L228">
            <v>7</v>
          </cell>
          <cell r="M228">
            <v>46050</v>
          </cell>
          <cell r="N228">
            <v>46051</v>
          </cell>
          <cell r="O228">
            <v>1</v>
          </cell>
          <cell r="P228">
            <v>46052</v>
          </cell>
          <cell r="Q228">
            <v>5</v>
          </cell>
          <cell r="R228" t="str">
            <v>NA</v>
          </cell>
          <cell r="S228">
            <v>5</v>
          </cell>
        </row>
        <row r="229">
          <cell r="B229" t="str">
            <v>MNC</v>
          </cell>
          <cell r="C229" t="str">
            <v>HSLB13403</v>
          </cell>
          <cell r="D229">
            <v>201011</v>
          </cell>
          <cell r="E229" t="str">
            <v>Mesa Tipo Casino</v>
          </cell>
          <cell r="F229" t="str">
            <v>NO</v>
          </cell>
          <cell r="G229" t="str">
            <v>NO</v>
          </cell>
          <cell r="H229" t="str">
            <v>ESTAR PERSONAL C/ KITCHENETTE</v>
          </cell>
          <cell r="I229">
            <v>1</v>
          </cell>
          <cell r="J229" t="str">
            <v>C.3.4.3.24.1</v>
          </cell>
          <cell r="K229" t="str">
            <v>Administración y apoyo general</v>
          </cell>
          <cell r="L229">
            <v>7</v>
          </cell>
          <cell r="M229">
            <v>46050</v>
          </cell>
          <cell r="N229">
            <v>46051</v>
          </cell>
          <cell r="O229">
            <v>2</v>
          </cell>
          <cell r="P229">
            <v>46055</v>
          </cell>
          <cell r="Q229">
            <v>5</v>
          </cell>
          <cell r="R229" t="str">
            <v>NA</v>
          </cell>
          <cell r="S229">
            <v>5</v>
          </cell>
        </row>
        <row r="230">
          <cell r="B230" t="str">
            <v>MNC</v>
          </cell>
          <cell r="C230" t="str">
            <v>HSLB14589</v>
          </cell>
          <cell r="D230">
            <v>204010</v>
          </cell>
          <cell r="E230" t="str">
            <v>Silla tipo Casino</v>
          </cell>
          <cell r="F230" t="str">
            <v>NO</v>
          </cell>
          <cell r="G230" t="str">
            <v>NO</v>
          </cell>
          <cell r="H230" t="str">
            <v>ESTAR PERSONAL C/ KITCHENETTE</v>
          </cell>
          <cell r="I230">
            <v>4</v>
          </cell>
          <cell r="J230" t="str">
            <v>C.3.4.3.24.1</v>
          </cell>
          <cell r="K230" t="str">
            <v>Administración y apoyo general</v>
          </cell>
          <cell r="L230">
            <v>7</v>
          </cell>
          <cell r="M230">
            <v>46050</v>
          </cell>
          <cell r="N230">
            <v>46051</v>
          </cell>
          <cell r="O230">
            <v>1</v>
          </cell>
          <cell r="P230">
            <v>46052</v>
          </cell>
          <cell r="Q230">
            <v>5</v>
          </cell>
          <cell r="R230" t="str">
            <v>NA</v>
          </cell>
          <cell r="S230">
            <v>5</v>
          </cell>
        </row>
        <row r="231">
          <cell r="B231" t="str">
            <v>MNC</v>
          </cell>
          <cell r="C231" t="str">
            <v>HSLB14997</v>
          </cell>
          <cell r="D231">
            <v>204014</v>
          </cell>
          <cell r="E231" t="str">
            <v>Sillón 2 Cuerpo</v>
          </cell>
          <cell r="F231" t="str">
            <v>NO</v>
          </cell>
          <cell r="G231" t="str">
            <v>NO</v>
          </cell>
          <cell r="H231" t="str">
            <v>ESTAR PERSONAL C/ KITCHENETTE</v>
          </cell>
          <cell r="I231">
            <v>1</v>
          </cell>
          <cell r="J231" t="str">
            <v>C.3.4.3.24.1</v>
          </cell>
          <cell r="K231" t="str">
            <v>Administración y apoyo general</v>
          </cell>
          <cell r="L231">
            <v>7</v>
          </cell>
          <cell r="M231">
            <v>46050</v>
          </cell>
          <cell r="N231">
            <v>46051</v>
          </cell>
          <cell r="O231">
            <v>1</v>
          </cell>
          <cell r="P231">
            <v>46052</v>
          </cell>
          <cell r="Q231">
            <v>5</v>
          </cell>
          <cell r="R231" t="str">
            <v>NA</v>
          </cell>
          <cell r="S231">
            <v>5</v>
          </cell>
        </row>
        <row r="232">
          <cell r="B232" t="str">
            <v>MNC</v>
          </cell>
          <cell r="C232" t="str">
            <v>HSLB13404</v>
          </cell>
          <cell r="D232">
            <v>201011</v>
          </cell>
          <cell r="E232" t="str">
            <v>Mesa Tipo Casino</v>
          </cell>
          <cell r="F232" t="str">
            <v>NO</v>
          </cell>
          <cell r="G232" t="str">
            <v>NO</v>
          </cell>
          <cell r="H232" t="str">
            <v>ESTAR PERSONAL C/ KITCHENETTE</v>
          </cell>
          <cell r="I232">
            <v>1</v>
          </cell>
          <cell r="J232" t="str">
            <v>C.3.4.3.24.2</v>
          </cell>
          <cell r="K232" t="str">
            <v>Administración y apoyo general</v>
          </cell>
          <cell r="L232">
            <v>7</v>
          </cell>
          <cell r="M232">
            <v>46050</v>
          </cell>
          <cell r="N232">
            <v>46051</v>
          </cell>
          <cell r="O232">
            <v>2</v>
          </cell>
          <cell r="P232">
            <v>46055</v>
          </cell>
          <cell r="Q232">
            <v>5</v>
          </cell>
          <cell r="R232" t="str">
            <v>NA</v>
          </cell>
          <cell r="S232">
            <v>5</v>
          </cell>
        </row>
        <row r="233">
          <cell r="B233" t="str">
            <v>MNC</v>
          </cell>
          <cell r="C233" t="str">
            <v>HSLB14590</v>
          </cell>
          <cell r="D233">
            <v>204010</v>
          </cell>
          <cell r="E233" t="str">
            <v>Silla tipo Casino</v>
          </cell>
          <cell r="F233" t="str">
            <v>NO</v>
          </cell>
          <cell r="G233" t="str">
            <v>NO</v>
          </cell>
          <cell r="H233" t="str">
            <v>ESTAR PERSONAL C/ KITCHENETTE</v>
          </cell>
          <cell r="I233">
            <v>4</v>
          </cell>
          <cell r="J233" t="str">
            <v>C.3.4.3.24.2</v>
          </cell>
          <cell r="K233" t="str">
            <v>Administración y apoyo general</v>
          </cell>
          <cell r="L233">
            <v>7</v>
          </cell>
          <cell r="M233">
            <v>46050</v>
          </cell>
          <cell r="N233">
            <v>46051</v>
          </cell>
          <cell r="O233">
            <v>1</v>
          </cell>
          <cell r="P233">
            <v>46052</v>
          </cell>
          <cell r="Q233">
            <v>5</v>
          </cell>
          <cell r="R233" t="str">
            <v>NA</v>
          </cell>
          <cell r="S233">
            <v>5</v>
          </cell>
        </row>
        <row r="234">
          <cell r="B234" t="str">
            <v>MNC</v>
          </cell>
          <cell r="C234" t="str">
            <v>HSLB14998</v>
          </cell>
          <cell r="D234">
            <v>204014</v>
          </cell>
          <cell r="E234" t="str">
            <v>Sillón 2 Cuerpo</v>
          </cell>
          <cell r="F234" t="str">
            <v>NO</v>
          </cell>
          <cell r="G234" t="str">
            <v>NO</v>
          </cell>
          <cell r="H234" t="str">
            <v>ESTAR PERSONAL C/ KITCHENETTE</v>
          </cell>
          <cell r="I234">
            <v>1</v>
          </cell>
          <cell r="J234" t="str">
            <v>C.3.4.3.24.2</v>
          </cell>
          <cell r="K234" t="str">
            <v>Administración y apoyo general</v>
          </cell>
          <cell r="L234">
            <v>7</v>
          </cell>
          <cell r="M234">
            <v>46050</v>
          </cell>
          <cell r="N234">
            <v>46051</v>
          </cell>
          <cell r="O234">
            <v>1</v>
          </cell>
          <cell r="P234">
            <v>46052</v>
          </cell>
          <cell r="Q234">
            <v>5</v>
          </cell>
          <cell r="R234" t="str">
            <v>NA</v>
          </cell>
          <cell r="S234">
            <v>5</v>
          </cell>
        </row>
        <row r="235">
          <cell r="B235" t="str">
            <v>MNC</v>
          </cell>
          <cell r="C235" t="str">
            <v>HSLB13291</v>
          </cell>
          <cell r="D235">
            <v>201002</v>
          </cell>
          <cell r="E235" t="str">
            <v>Mesa Lateral</v>
          </cell>
          <cell r="F235" t="str">
            <v>NO</v>
          </cell>
          <cell r="G235" t="str">
            <v>NO</v>
          </cell>
          <cell r="H235" t="str">
            <v>SALA DE ESTAR FAMILIARES Y ENTREVISTAS</v>
          </cell>
          <cell r="I235">
            <v>2</v>
          </cell>
          <cell r="J235" t="str">
            <v>C.3.4.3.4</v>
          </cell>
          <cell r="K235" t="str">
            <v>Administración y apoyo general</v>
          </cell>
          <cell r="L235">
            <v>7</v>
          </cell>
          <cell r="M235">
            <v>46050</v>
          </cell>
          <cell r="N235">
            <v>46051</v>
          </cell>
          <cell r="O235">
            <v>2</v>
          </cell>
          <cell r="P235">
            <v>46055</v>
          </cell>
          <cell r="Q235">
            <v>5</v>
          </cell>
          <cell r="R235" t="str">
            <v>NA</v>
          </cell>
          <cell r="S235">
            <v>5</v>
          </cell>
        </row>
        <row r="236">
          <cell r="B236" t="str">
            <v>MNC</v>
          </cell>
          <cell r="C236" t="str">
            <v>HSLB13405</v>
          </cell>
          <cell r="D236">
            <v>201011</v>
          </cell>
          <cell r="E236" t="str">
            <v>Mesa Tipo Casino</v>
          </cell>
          <cell r="F236" t="str">
            <v>NO</v>
          </cell>
          <cell r="G236" t="str">
            <v>NO</v>
          </cell>
          <cell r="H236" t="str">
            <v>SALA DE ESTAR FAMILIARES Y ENTREVISTAS</v>
          </cell>
          <cell r="I236">
            <v>1</v>
          </cell>
          <cell r="J236" t="str">
            <v>C.3.4.3.4</v>
          </cell>
          <cell r="K236" t="str">
            <v>Administración y apoyo general</v>
          </cell>
          <cell r="L236">
            <v>7</v>
          </cell>
          <cell r="M236">
            <v>46050</v>
          </cell>
          <cell r="N236">
            <v>46051</v>
          </cell>
          <cell r="O236">
            <v>2</v>
          </cell>
          <cell r="P236">
            <v>46055</v>
          </cell>
          <cell r="Q236">
            <v>5</v>
          </cell>
          <cell r="R236" t="str">
            <v>NA</v>
          </cell>
          <cell r="S236">
            <v>5</v>
          </cell>
        </row>
        <row r="237">
          <cell r="B237" t="str">
            <v>MNC</v>
          </cell>
          <cell r="C237" t="str">
            <v>HSLB14591</v>
          </cell>
          <cell r="D237">
            <v>204010</v>
          </cell>
          <cell r="E237" t="str">
            <v>Silla tipo Casino</v>
          </cell>
          <cell r="F237" t="str">
            <v>NO</v>
          </cell>
          <cell r="G237" t="str">
            <v>NO</v>
          </cell>
          <cell r="H237" t="str">
            <v>SALA DE ESTAR FAMILIARES Y ENTREVISTAS</v>
          </cell>
          <cell r="I237">
            <v>4</v>
          </cell>
          <cell r="J237" t="str">
            <v>C.3.4.3.4</v>
          </cell>
          <cell r="K237" t="str">
            <v>Administración y apoyo general</v>
          </cell>
          <cell r="L237">
            <v>7</v>
          </cell>
          <cell r="M237">
            <v>46050</v>
          </cell>
          <cell r="N237">
            <v>46051</v>
          </cell>
          <cell r="O237">
            <v>1</v>
          </cell>
          <cell r="P237">
            <v>46052</v>
          </cell>
          <cell r="Q237">
            <v>5</v>
          </cell>
          <cell r="R237" t="str">
            <v>NA</v>
          </cell>
          <cell r="S237">
            <v>5</v>
          </cell>
        </row>
        <row r="238">
          <cell r="B238" t="str">
            <v>MNC</v>
          </cell>
          <cell r="C238" t="str">
            <v>HSLB14999</v>
          </cell>
          <cell r="D238">
            <v>204014</v>
          </cell>
          <cell r="E238" t="str">
            <v>Sillón 2 Cuerpo</v>
          </cell>
          <cell r="F238" t="str">
            <v>NO</v>
          </cell>
          <cell r="G238" t="str">
            <v>NO</v>
          </cell>
          <cell r="H238" t="str">
            <v>SALA DE ESTAR FAMILIARES Y ENTREVISTAS</v>
          </cell>
          <cell r="I238">
            <v>2</v>
          </cell>
          <cell r="J238" t="str">
            <v>C.3.4.3.4</v>
          </cell>
          <cell r="K238" t="str">
            <v>Administración y apoyo general</v>
          </cell>
          <cell r="L238">
            <v>7</v>
          </cell>
          <cell r="M238">
            <v>46050</v>
          </cell>
          <cell r="N238">
            <v>46051</v>
          </cell>
          <cell r="O238">
            <v>1</v>
          </cell>
          <cell r="P238">
            <v>46052</v>
          </cell>
          <cell r="Q238">
            <v>5</v>
          </cell>
          <cell r="R238" t="str">
            <v>NA</v>
          </cell>
          <cell r="S238">
            <v>5</v>
          </cell>
        </row>
        <row r="239">
          <cell r="B239" t="str">
            <v>MNC</v>
          </cell>
          <cell r="C239" t="str">
            <v>HSLB15282</v>
          </cell>
          <cell r="D239">
            <v>204002</v>
          </cell>
          <cell r="E239" t="str">
            <v>Banca Madera</v>
          </cell>
          <cell r="F239" t="str">
            <v>NO</v>
          </cell>
          <cell r="G239" t="str">
            <v>NO</v>
          </cell>
          <cell r="H239" t="str">
            <v>CASILLEROS</v>
          </cell>
          <cell r="I239">
            <v>1</v>
          </cell>
          <cell r="J239" t="str">
            <v>C.3.4.3.5</v>
          </cell>
          <cell r="K239" t="str">
            <v>Administración y apoyo general</v>
          </cell>
          <cell r="L239">
            <v>7</v>
          </cell>
          <cell r="M239">
            <v>46050</v>
          </cell>
          <cell r="N239">
            <v>46051</v>
          </cell>
          <cell r="O239">
            <v>1</v>
          </cell>
          <cell r="P239">
            <v>46052</v>
          </cell>
          <cell r="Q239">
            <v>5</v>
          </cell>
          <cell r="R239" t="str">
            <v>NA</v>
          </cell>
          <cell r="S239">
            <v>5</v>
          </cell>
        </row>
        <row r="240">
          <cell r="B240" t="str">
            <v>MNC</v>
          </cell>
          <cell r="C240" t="str">
            <v>HSLB13136</v>
          </cell>
          <cell r="D240">
            <v>201001</v>
          </cell>
          <cell r="E240" t="str">
            <v>Estación de Trabajo</v>
          </cell>
          <cell r="F240" t="str">
            <v>NO</v>
          </cell>
          <cell r="G240" t="str">
            <v>NO</v>
          </cell>
          <cell r="H240" t="str">
            <v>MÓDULO TRABAJO SUPERVISOR</v>
          </cell>
          <cell r="I240">
            <v>1</v>
          </cell>
          <cell r="J240" t="str">
            <v>C.3.4.3.7.1</v>
          </cell>
          <cell r="K240" t="str">
            <v>Administración y apoyo general</v>
          </cell>
          <cell r="L240">
            <v>7</v>
          </cell>
          <cell r="M240">
            <v>46050</v>
          </cell>
          <cell r="N240">
            <v>46051</v>
          </cell>
          <cell r="O240">
            <v>2</v>
          </cell>
          <cell r="P240">
            <v>46055</v>
          </cell>
          <cell r="Q240">
            <v>5</v>
          </cell>
          <cell r="R240" t="str">
            <v>NA</v>
          </cell>
          <cell r="S240">
            <v>5</v>
          </cell>
        </row>
        <row r="241">
          <cell r="B241" t="str">
            <v>MNC</v>
          </cell>
          <cell r="C241" t="str">
            <v>HSLB15283</v>
          </cell>
          <cell r="D241">
            <v>203016</v>
          </cell>
          <cell r="E241" t="str">
            <v>Mueble Tipo Biblioteca</v>
          </cell>
          <cell r="F241" t="str">
            <v>NO</v>
          </cell>
          <cell r="G241" t="str">
            <v>NO</v>
          </cell>
          <cell r="H241" t="str">
            <v>MÓDULO TRABAJO SUPERVISOR</v>
          </cell>
          <cell r="I241">
            <v>1</v>
          </cell>
          <cell r="J241" t="str">
            <v>C.3.4.3.7.1</v>
          </cell>
          <cell r="K241" t="str">
            <v>Administración y apoyo general</v>
          </cell>
          <cell r="L241">
            <v>7</v>
          </cell>
          <cell r="M241">
            <v>46050</v>
          </cell>
          <cell r="N241">
            <v>46051</v>
          </cell>
          <cell r="O241">
            <v>2</v>
          </cell>
          <cell r="P241">
            <v>46055</v>
          </cell>
          <cell r="Q241">
            <v>5</v>
          </cell>
          <cell r="R241" t="str">
            <v>NA</v>
          </cell>
          <cell r="S241">
            <v>5</v>
          </cell>
        </row>
        <row r="242">
          <cell r="B242" t="str">
            <v>MNC</v>
          </cell>
          <cell r="C242" t="str">
            <v>HSLB15150</v>
          </cell>
          <cell r="D242">
            <v>204006</v>
          </cell>
          <cell r="E242" t="str">
            <v>Silla Ergonómica</v>
          </cell>
          <cell r="F242" t="str">
            <v>NO</v>
          </cell>
          <cell r="G242" t="str">
            <v>NO</v>
          </cell>
          <cell r="H242" t="str">
            <v>MÓDULO TRABAJO SUPERVISOR</v>
          </cell>
          <cell r="I242">
            <v>1</v>
          </cell>
          <cell r="J242" t="str">
            <v>C.3.4.3.7.1</v>
          </cell>
          <cell r="K242" t="str">
            <v>Administración y apoyo general</v>
          </cell>
          <cell r="L242">
            <v>7</v>
          </cell>
          <cell r="M242">
            <v>46050</v>
          </cell>
          <cell r="N242">
            <v>46051</v>
          </cell>
          <cell r="O242">
            <v>1</v>
          </cell>
          <cell r="P242">
            <v>46052</v>
          </cell>
          <cell r="Q242">
            <v>5</v>
          </cell>
          <cell r="R242" t="str">
            <v>NA</v>
          </cell>
          <cell r="S242">
            <v>5</v>
          </cell>
        </row>
        <row r="243">
          <cell r="B243" t="str">
            <v>MNC</v>
          </cell>
          <cell r="C243" t="str">
            <v>HSLB15284</v>
          </cell>
          <cell r="D243">
            <v>204012</v>
          </cell>
          <cell r="E243" t="str">
            <v>Silla Visita</v>
          </cell>
          <cell r="F243" t="str">
            <v>NO</v>
          </cell>
          <cell r="G243" t="str">
            <v>NO</v>
          </cell>
          <cell r="H243" t="str">
            <v>MÓDULO TRABAJO SUPERVISOR</v>
          </cell>
          <cell r="I243">
            <v>2</v>
          </cell>
          <cell r="J243" t="str">
            <v>C.3.4.3.7.1</v>
          </cell>
          <cell r="K243" t="str">
            <v>Administración y apoyo general</v>
          </cell>
          <cell r="L243">
            <v>7</v>
          </cell>
          <cell r="M243">
            <v>46050</v>
          </cell>
          <cell r="N243">
            <v>46051</v>
          </cell>
          <cell r="O243">
            <v>1</v>
          </cell>
          <cell r="P243">
            <v>46052</v>
          </cell>
          <cell r="Q243">
            <v>5</v>
          </cell>
          <cell r="R243" t="str">
            <v>NA</v>
          </cell>
          <cell r="S243">
            <v>5</v>
          </cell>
        </row>
        <row r="244">
          <cell r="B244" t="str">
            <v>MNC</v>
          </cell>
          <cell r="C244" t="str">
            <v>HSLB14317</v>
          </cell>
          <cell r="D244">
            <v>204006</v>
          </cell>
          <cell r="E244" t="str">
            <v>Silla Ergonómica</v>
          </cell>
          <cell r="F244" t="str">
            <v>NO</v>
          </cell>
          <cell r="G244" t="str">
            <v>NO</v>
          </cell>
          <cell r="H244" t="str">
            <v>ESTACIÓN DE ENFERMERÍA</v>
          </cell>
          <cell r="I244">
            <v>6</v>
          </cell>
          <cell r="J244" t="str">
            <v>C.3.4.3.8.1</v>
          </cell>
          <cell r="K244" t="str">
            <v>Hospitalización</v>
          </cell>
          <cell r="L244">
            <v>7</v>
          </cell>
          <cell r="M244">
            <v>46050</v>
          </cell>
          <cell r="N244">
            <v>46051</v>
          </cell>
          <cell r="O244">
            <v>1</v>
          </cell>
          <cell r="P244">
            <v>46052</v>
          </cell>
          <cell r="Q244">
            <v>5</v>
          </cell>
          <cell r="R244" t="str">
            <v>NA</v>
          </cell>
          <cell r="S244">
            <v>5</v>
          </cell>
        </row>
        <row r="245">
          <cell r="B245" t="str">
            <v>MNC</v>
          </cell>
          <cell r="C245" t="str">
            <v>HSLB14318</v>
          </cell>
          <cell r="D245">
            <v>204006</v>
          </cell>
          <cell r="E245" t="str">
            <v>Silla Ergonómica</v>
          </cell>
          <cell r="F245" t="str">
            <v>NO</v>
          </cell>
          <cell r="G245" t="str">
            <v>NO</v>
          </cell>
          <cell r="H245" t="str">
            <v>ESTACIÓN DE ENFERMERÍA</v>
          </cell>
          <cell r="I245">
            <v>6</v>
          </cell>
          <cell r="J245" t="str">
            <v>C.3.4.3.8.2</v>
          </cell>
          <cell r="K245" t="str">
            <v>Hospitalización</v>
          </cell>
          <cell r="L245">
            <v>7</v>
          </cell>
          <cell r="M245">
            <v>46050</v>
          </cell>
          <cell r="N245">
            <v>46051</v>
          </cell>
          <cell r="O245">
            <v>1</v>
          </cell>
          <cell r="P245">
            <v>46052</v>
          </cell>
          <cell r="Q245">
            <v>5</v>
          </cell>
          <cell r="R245" t="str">
            <v>NA</v>
          </cell>
          <cell r="S245">
            <v>5</v>
          </cell>
        </row>
        <row r="246">
          <cell r="B246" t="str">
            <v>MNC</v>
          </cell>
          <cell r="C246" t="str">
            <v>HSLB15471</v>
          </cell>
          <cell r="D246">
            <v>203031</v>
          </cell>
          <cell r="E246" t="str">
            <v>Mueble Tipo Biblioteca</v>
          </cell>
          <cell r="F246" t="str">
            <v>NO</v>
          </cell>
          <cell r="G246" t="str">
            <v>SI</v>
          </cell>
          <cell r="H246" t="str">
            <v xml:space="preserve">BODEGA DE INSUMOS </v>
          </cell>
          <cell r="I246">
            <v>0</v>
          </cell>
          <cell r="J246" t="str">
            <v>C.3.4.3.16.1</v>
          </cell>
          <cell r="K246" t="str">
            <v>Hospitalización</v>
          </cell>
          <cell r="L246">
            <v>7</v>
          </cell>
          <cell r="M246">
            <v>46003</v>
          </cell>
          <cell r="N246">
            <v>46006</v>
          </cell>
          <cell r="O246">
            <v>2</v>
          </cell>
          <cell r="P246">
            <v>46008</v>
          </cell>
          <cell r="Q246">
            <v>5</v>
          </cell>
          <cell r="R246" t="str">
            <v>NA</v>
          </cell>
          <cell r="S246">
            <v>5</v>
          </cell>
        </row>
        <row r="247">
          <cell r="B247" t="str">
            <v>MNC</v>
          </cell>
          <cell r="C247" t="str">
            <v>HSLB15472</v>
          </cell>
          <cell r="D247">
            <v>203032</v>
          </cell>
          <cell r="E247" t="str">
            <v>Mueble Tipo Biblioteca</v>
          </cell>
          <cell r="F247" t="str">
            <v>NO</v>
          </cell>
          <cell r="G247" t="str">
            <v>SI</v>
          </cell>
          <cell r="H247" t="str">
            <v xml:space="preserve">BODEGA DE INSUMOS </v>
          </cell>
          <cell r="I247">
            <v>0</v>
          </cell>
          <cell r="J247" t="str">
            <v>C.3.4.3.16.2</v>
          </cell>
          <cell r="K247" t="str">
            <v>Hospitalización</v>
          </cell>
          <cell r="L247">
            <v>7</v>
          </cell>
          <cell r="M247">
            <v>46003</v>
          </cell>
          <cell r="N247">
            <v>46006</v>
          </cell>
          <cell r="O247">
            <v>2</v>
          </cell>
          <cell r="P247">
            <v>46008</v>
          </cell>
          <cell r="Q247">
            <v>5</v>
          </cell>
          <cell r="R247" t="str">
            <v>NA</v>
          </cell>
          <cell r="S247">
            <v>5</v>
          </cell>
        </row>
        <row r="248">
          <cell r="B248" t="str">
            <v>MNC</v>
          </cell>
          <cell r="C248" t="str">
            <v>HSLB15473</v>
          </cell>
          <cell r="D248">
            <v>203033</v>
          </cell>
          <cell r="E248" t="str">
            <v>Mueble Tipo Biblioteca</v>
          </cell>
          <cell r="F248" t="str">
            <v>NO</v>
          </cell>
          <cell r="G248" t="str">
            <v>SI</v>
          </cell>
          <cell r="H248" t="str">
            <v xml:space="preserve">BODEGA ROPA LIMPIA </v>
          </cell>
          <cell r="I248">
            <v>0</v>
          </cell>
          <cell r="J248" t="str">
            <v>C.3.4.3.18.1</v>
          </cell>
          <cell r="K248" t="str">
            <v>Hospitalización</v>
          </cell>
          <cell r="L248">
            <v>7</v>
          </cell>
          <cell r="M248">
            <v>46003</v>
          </cell>
          <cell r="N248">
            <v>46006</v>
          </cell>
          <cell r="O248">
            <v>2</v>
          </cell>
          <cell r="P248">
            <v>46008</v>
          </cell>
          <cell r="Q248">
            <v>5</v>
          </cell>
          <cell r="R248" t="str">
            <v>NA</v>
          </cell>
          <cell r="S248">
            <v>5</v>
          </cell>
        </row>
        <row r="249">
          <cell r="B249" t="str">
            <v>MNC</v>
          </cell>
          <cell r="C249" t="str">
            <v>HSLB15474</v>
          </cell>
          <cell r="D249">
            <v>203034</v>
          </cell>
          <cell r="E249" t="str">
            <v>Mueble Tipo Biblioteca</v>
          </cell>
          <cell r="F249" t="str">
            <v>NO</v>
          </cell>
          <cell r="G249" t="str">
            <v>SI</v>
          </cell>
          <cell r="H249" t="str">
            <v xml:space="preserve">BODEGA ROPA LIMPIA </v>
          </cell>
          <cell r="I249">
            <v>0</v>
          </cell>
          <cell r="J249" t="str">
            <v>C.3.4.3.18.2</v>
          </cell>
          <cell r="K249" t="str">
            <v>Hospitalización</v>
          </cell>
          <cell r="L249">
            <v>7</v>
          </cell>
          <cell r="M249">
            <v>46003</v>
          </cell>
          <cell r="N249">
            <v>46006</v>
          </cell>
          <cell r="O249">
            <v>2</v>
          </cell>
          <cell r="P249">
            <v>46008</v>
          </cell>
          <cell r="Q249">
            <v>5</v>
          </cell>
          <cell r="R249" t="str">
            <v>NA</v>
          </cell>
          <cell r="S249">
            <v>5</v>
          </cell>
        </row>
      </sheetData>
      <sheetData sheetId="15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AppData\Roaming\Microsoft\Excel\Cronograma%20de%20Instalaci&#243;n%20de%20MNC_20260609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6182.703340740743" createdVersion="8" refreshedVersion="8" minRefreshableVersion="3" recordCount="1978" xr:uid="{30275A75-E255-4C43-8F18-278A99E334C6}">
  <cacheSource type="worksheet">
    <worksheetSource name="Tabla14343" r:id="rId2"/>
  </cacheSource>
  <cacheFields count="40">
    <cacheField name="Nº Ítem" numFmtId="0">
      <sharedItems/>
    </cacheField>
    <cacheField name="EMMC/MnC" numFmtId="0">
      <sharedItems count="1">
        <s v="MnC"/>
      </sharedItems>
    </cacheField>
    <cacheField name="Codigo de recinto referencial" numFmtId="0">
      <sharedItems count="815">
        <s v="D.3.3.3.34.2"/>
        <s v="D.3.3.3.34.1"/>
        <s v="D.3.3.3.10"/>
        <s v="D.3.3.3.1"/>
        <s v="D.3.3.3.11"/>
        <s v="D.3.3.3.22"/>
        <s v="D.3.3.3.2"/>
        <s v="D.3.3.3.3"/>
        <s v="D.3.3.3.23"/>
        <s v="D.3.3.3.25"/>
        <s v="D.3.3.3.27"/>
        <s v="C.3.5.8"/>
        <s v="C.3.4.2.1"/>
        <s v="C.3.5.4"/>
        <s v="C.3.5.7"/>
        <s v="C.3.6.1.3"/>
        <s v="C.3.6.1.6"/>
        <s v="C.3.5.34"/>
        <s v="B.1.3"/>
        <s v="B.2.2"/>
        <s v="B.2.3"/>
        <s v="B.3.2.1"/>
        <s v="B.3.6.1"/>
        <s v="C.2.1.3"/>
        <s v="C.2.2.1.9"/>
        <s v="C.3.6.1.1"/>
        <s v="C.5.1.2"/>
        <s v="D.2.1.2"/>
        <s v="D.3.1.2"/>
        <s v="D.4.1.2"/>
        <s v="C.3.5.1"/>
        <s v="D.1.1.2.1"/>
        <s v="C.3.4.2.9"/>
        <s v="B.5.1"/>
        <s v="C.5.10.1"/>
        <s v="D.4.5.3"/>
        <s v="D.4.6.1"/>
        <s v="C.3.4.4.5"/>
        <s v="C.3.4.3.5"/>
        <s v="C.3.4.3.1"/>
        <s v="C.3.4.3.4"/>
        <s v="C.3.4.4.1"/>
        <s v="C.3.4.4.4"/>
        <s v="C.3.8.1"/>
        <s v="C.3.4.2.4"/>
        <s v="B.1.1"/>
        <s v="B.2.1.1"/>
        <s v="B.2.1.2"/>
        <s v="B.3.2.2"/>
        <s v="B.3.2.3"/>
        <s v="B.3.2.4"/>
        <s v="B.3.3.1"/>
        <s v="B.3.3.2"/>
        <s v="B.3.3.3"/>
        <s v="B.3.5.1"/>
        <s v="B.3.7.2"/>
        <s v="B.4.1"/>
        <s v="B.4.2"/>
        <s v="C.1.1.1"/>
        <s v="C.2.1.2"/>
        <s v="C.2.2.1.8"/>
        <s v="C.3.5.10"/>
        <s v="C.3.6.1.12"/>
        <s v="C.3.6.1.2"/>
        <s v="C.5.1.5"/>
        <s v="D.1.1.2.2"/>
        <s v="D.1.1.3.1"/>
        <s v="D.1.1.3.3"/>
        <s v="D.2.1.1"/>
        <s v="D.2.1.3"/>
        <s v="D.3.1.1.1"/>
        <s v="D.3.2.1.1"/>
        <s v="D.3.2.1.2"/>
        <s v="D.3.2.1.3"/>
        <s v="D.3.2.1.4"/>
        <s v="D.3.2.2.2"/>
        <s v="D.3.2.2.3"/>
        <s v="D.3.2.3.1"/>
        <s v="D.3.2.3.2"/>
        <s v="D.4.1.1"/>
        <s v="D.4.2.1"/>
        <s v="D.4.2.2"/>
        <s v="D.4.2.3"/>
        <s v="D.4.3.1"/>
        <s v="D.4.4.3.1"/>
        <s v="D.4.4.3.2"/>
        <s v="D.4.5.1"/>
        <s v="D.4.5.2"/>
        <s v="B.3.4.1"/>
        <s v="C.3.6.1.31.3"/>
        <s v="D.4.5.4"/>
        <s v="A.1.2"/>
        <s v="C.3.2.2"/>
        <s v="C.3.2.3"/>
        <s v="C.3.4.1.1"/>
        <s v="C.3.4.3.7.1"/>
        <s v="C.3.4.4.7.1"/>
        <s v="D.1.1.3.6"/>
        <s v="C.2.1.1"/>
        <s v="C.2.2.1.7"/>
        <s v="D.3.2.2.1"/>
        <s v="K.1.3"/>
        <s v="B.3.7.1"/>
        <s v="C.3.4.2.2"/>
        <s v="C.3.5.5"/>
        <s v="C.3.6.1.4"/>
        <s v="D.1.1.3.2"/>
        <s v="D.1.1.3.5"/>
        <s v="D.1.1.3.4"/>
        <s v="C.3.4.2.19"/>
        <s v="C.3.5.31"/>
        <s v="C.3.6.1.41.2"/>
        <s v="C.3.6.1.41.1"/>
        <s v="C.3.6.1.17"/>
        <s v="B.1.2"/>
        <s v="C.3.2.1"/>
        <s v="C.3.4.1.2"/>
        <s v="C.3.4.3.2"/>
        <s v="C.3.4.4.2"/>
        <s v="C.3.4.3.24.1"/>
        <s v="C.3.4.3.24.2"/>
        <s v="C.3.4.4.24.1"/>
        <s v="C.3.4.4.24.2"/>
        <s v="E.1.9.1"/>
        <s v="E.1.9.2"/>
        <s v="E.1.3"/>
        <s v="E.1.4"/>
        <s v="E.1.5"/>
        <s v="K.1.3_B"/>
        <s v="E.1.2"/>
        <s v="E.2.4"/>
        <s v="E.2.3.1"/>
        <s v="E.2.3.2"/>
        <s v="C.2.6.2.2"/>
        <s v="E.2.1"/>
        <s v="E.2.5"/>
        <s v="A.1.7.2_B"/>
        <s v="A.1.7.1_B"/>
        <s v="A.1.7.1"/>
        <s v="K.1.2_U"/>
        <s v="A.1.7.2"/>
        <s v="C.5.8.2.6.1"/>
        <s v="C.5.8.2.6.2"/>
        <s v="E.5.1.1"/>
        <s v="C.5.8.2.7"/>
        <s v="C.5.8.1.1.1"/>
        <s v="C.5.8.1.1.2"/>
        <s v="C.5.8.1.1.5"/>
        <s v="C.5.8.2.1"/>
        <s v="C.5.8.2.2"/>
        <s v="C.5.8.2.24"/>
        <s v="C.5.8.2.10"/>
        <s v="C.5.8.2.14"/>
        <s v="C.5.8.2.33"/>
        <s v="C.3.6.1.10"/>
        <s v="K.1.1_AG"/>
        <s v="C.5.6.2.2_A"/>
        <s v="C.5.6.2.2_B"/>
        <s v="E.3.14.1"/>
        <s v="E.3.14.2"/>
        <s v="E.3.5"/>
        <s v="E.3.8"/>
        <s v="E.3.3"/>
        <s v="D.1.2.2"/>
        <s v="D.1.2.1"/>
        <s v="D.1.2.3"/>
        <s v="D.4.4.1.2"/>
        <s v="D.4.4.2.1"/>
        <s v="D.4.4.2.2"/>
        <s v="D.4.4.1.1"/>
        <s v="D.4.4.1.3.1"/>
        <s v="D.4.4.1.3.2"/>
        <s v="D.4.4.1.3.3"/>
        <s v="C.2.2.3.12"/>
        <s v="D.2.2.6.4.1"/>
        <s v="D.2.2.6.4.2"/>
        <s v="A.1.5"/>
        <s v="A.1.6"/>
        <s v="B.3.1.1"/>
        <s v="C.1.2.1"/>
        <s v="D.1.1.1.1"/>
        <s v="C.1.2.2"/>
        <s v="D.2.2.4.3"/>
        <s v="D.2.2.6.7"/>
        <s v="A.1.3"/>
        <s v="D.1.1.1.2"/>
        <s v="D.1.1.1.3"/>
        <s v="D.2.2.2.6"/>
        <s v="D.2.2.4.1"/>
        <s v="D.2.2.6.1"/>
        <s v="D.2.2.6.13"/>
        <s v="C.1.2.2.1"/>
        <s v="C.2.2.3.2.2"/>
        <s v="C.1.2.2.2"/>
        <s v="C.1.2.1.3"/>
        <s v="C.5.1.1"/>
        <s v="C.2.2.1.1"/>
        <s v="C.3.1.4"/>
        <s v="C.2.2.2.1"/>
        <s v="A.1.4"/>
        <s v="C.2.2.1.2"/>
        <s v="C.2.2.1.3"/>
        <s v="C.2.2.1.4"/>
        <s v="C.2.2.2.10"/>
        <s v="C.2.2.2.11.1"/>
        <s v="C.2.2.2.11.2"/>
        <s v="C.2.2.2.12"/>
        <s v="C.2.2.2.13"/>
        <s v="C.2.2.2.15"/>
        <s v="C.2.2.2.3"/>
        <s v="C.2.2.2.4"/>
        <s v="C.2.2.2.5"/>
        <s v="C.2.2.2.6.1"/>
        <s v="C.2.2.2.6.2"/>
        <s v="C.2.2.2.6.3"/>
        <s v="C.2.2.2.6.4"/>
        <s v="C.2.2.2.7.1"/>
        <s v="C.2.2.2.7.2"/>
        <s v="C.2.2.2.8.1"/>
        <s v="C.2.2.2.8.2"/>
        <s v="C.2.2.2.9"/>
        <s v="C.2.2.3.15"/>
        <s v="C.2.2.3.2.1"/>
        <s v="C.2.2.3.3"/>
        <s v="C.2.2.3.4"/>
        <s v="C.2.2.3.8"/>
        <s v="C.2.2.3.9"/>
        <s v="C.2.2.4.2"/>
        <s v="C.3.1.1"/>
        <s v="C.3.1.2"/>
        <s v="C.3.1.3"/>
        <s v="C.2.2.2.17.6"/>
        <s v="C.2.2.2.2.1"/>
        <s v="C.5.1.3"/>
        <s v="C.5.1.4"/>
        <s v="C.1.2.1.1"/>
        <s v="C.1.2.1.2"/>
        <s v="C.2.2.2.14"/>
        <s v="C.2.2.2.16"/>
        <s v="C.2.2.2.17.1"/>
        <s v="C.2.2.2.17.2"/>
        <s v="C.2.2.2.17.3"/>
        <s v="C.2.2.3.10"/>
        <s v="C.2.2.3.11"/>
        <s v="C.2.2.3.13"/>
        <s v="C.2.2.3.5"/>
        <s v="C.2.2.3.14.1"/>
        <s v="C.2.2.3.14.2"/>
        <s v="C.2.2.3.14.3"/>
        <s v="C.2.2.3.6"/>
        <s v="C.2.2.3.7"/>
        <s v="D.3.1.3"/>
        <s v="D.3.4.1"/>
        <s v="D.3.1.1.2"/>
        <s v="D.3.3.1.1"/>
        <s v="D.3.3.1.3"/>
        <s v="D.3.3.2.2"/>
        <s v="D.3.3.2.3"/>
        <s v="D.3.3.2.5"/>
        <s v="D.3.3.3.30"/>
        <s v="D.3.3.1.2"/>
        <s v="D.3.3.3.31"/>
        <s v="C.2.4.1"/>
        <s v="C.2.4.17"/>
        <s v="C.2.4.1.1"/>
        <s v="C.2.4.3"/>
        <s v="C.2.4.5"/>
        <s v="C.2.4.6.1"/>
        <s v="C.2.4.6.2"/>
        <s v="C.2.4.7"/>
        <s v="C.2.4.2"/>
        <s v="C.2.3.3.1"/>
        <s v="C.2.3.3.2"/>
        <s v="C.2.3.19"/>
        <s v="C.2.3.1"/>
        <s v="C.2.3.2"/>
        <s v="C.2.3.39"/>
        <s v="C.2.3.6"/>
        <s v="C.2.3.7"/>
        <s v="C.2.3.12"/>
        <s v="C.2.3.15.3"/>
        <s v="C.2.3.20"/>
        <s v="C.2.3.15.1"/>
        <s v="C.2.3.15.2"/>
        <s v="C.2.3.13.1"/>
        <s v="C.2.3.13.2"/>
        <s v="C.2.3.13.3"/>
        <s v="C.2.6.3"/>
        <s v="C.2.3.21"/>
        <s v="C.5.5.6.1"/>
        <s v="C.5.5.6.2"/>
        <s v="C.5.5.1"/>
        <s v="C.5.5.2"/>
        <s v="C.5.5.10"/>
        <s v="C.5.5.11"/>
        <s v="C.5.5.12"/>
        <s v="C.5.5.17"/>
        <s v="C.5.5.24"/>
        <s v="C.5.5.31"/>
        <s v="C.5.5.3"/>
        <s v="D.2.2.6.12.1"/>
        <s v="D.2.2.6.12.2"/>
        <s v="D.2.2.6.12.3"/>
        <s v="D.2.2.6.12.4"/>
        <s v="D.2.2.6.12.5"/>
        <s v="D.2.2.6.12.6"/>
        <s v="C.5.4.21.1"/>
        <s v="C.5.4.21.2"/>
        <s v="C.5.4_A"/>
        <s v="C.5.4.3"/>
        <s v="C.5.4.16"/>
        <s v="C.5.4.18"/>
        <s v="C.5.4.19"/>
        <s v="C.5.4.6"/>
        <s v="C.5.4.1"/>
        <s v="C.5.4.11"/>
        <s v="C.5.4.13"/>
        <s v="C.5.4.26"/>
        <s v="C.5.4.5"/>
        <s v="C.5.4.8"/>
        <s v="C.5.4.10"/>
        <s v="C.5.4.7"/>
        <s v="C.5.4.2"/>
        <s v="C.5.4.20"/>
        <s v="C.2.5.4.6"/>
        <s v="C.2.5.4.12"/>
        <s v="C.2.5.4.14"/>
        <s v="C.2.5.4.5"/>
        <s v="E.5.1.2"/>
        <s v="E.5.1.3"/>
        <s v="C.2.5.4.8"/>
        <s v="E.5.2.2"/>
        <s v="E.5.2.3"/>
        <s v="C.2.5.1.1"/>
        <s v="C.2.5.1.2"/>
        <s v="C.2.5.1.3"/>
        <s v="C.2.5.4.1"/>
        <s v="C.2.5.4.3"/>
        <s v="C.2.5.4.4"/>
        <s v="C.2.5.4.10"/>
        <s v="C.2.5.4.11.1"/>
        <s v="C.2.5.4.11.2"/>
        <s v="C.2.5.3.15"/>
        <s v="C.2.5.4.18"/>
        <s v="C.2.5.4.2"/>
        <s v="C.2.5.4.17"/>
        <s v="C.2.5.4.15.1"/>
        <s v="C.2.5.4.15.2"/>
        <s v="C.2.5.4.16"/>
        <s v="C.2.5.4.20"/>
        <s v="C.2.5.4.13"/>
        <s v="C.2.5.3.14"/>
        <s v="C.3.6.1.7"/>
        <s v="C.3.6.1.9"/>
        <s v="C.3.4.2.5"/>
        <s v="C.3.5.11"/>
        <s v="C.3.6.1.13.2"/>
        <s v="C.3.6.1.13.1"/>
        <s v="C.3.6.1.24"/>
        <s v="C.3.4.2.10"/>
        <s v="C.3.5.18"/>
        <s v="C.3.4.2.11.1"/>
        <s v="C.3.4.2.11.10"/>
        <s v="C.3.4.2.11.11"/>
        <s v="C.3.4.2.11.12"/>
        <s v="C.3.4.2.11.2"/>
        <s v="C.3.4.2.11.3"/>
        <s v="C.3.4.2.11.4"/>
        <s v="C.3.4.2.11.5"/>
        <s v="C.3.4.2.11.6"/>
        <s v="C.3.4.2.11.7"/>
        <s v="C.3.4.2.11.8"/>
        <s v="C.3.4.2.11.9"/>
        <s v="C.3.5.15.1"/>
        <s v="C.3.5.15.2"/>
        <s v="C.3.5.15.3"/>
        <s v="C.3.5.15.4"/>
        <s v="C.3.5.15.5"/>
        <s v="C.3.5.16.1"/>
        <s v="C.3.5.16.2"/>
        <s v="C.3.5.17.1"/>
        <s v="C.3.5.17.2"/>
        <s v="C.3.5.17.3"/>
        <s v="C.3.6.1.18.4"/>
        <s v="C.3.6.1.19"/>
        <s v="C.3.6.1.20.3"/>
        <s v="C.3.6.1.21.1"/>
        <s v="C.3.6.1.18.1"/>
        <s v="C.3.6.1.18.2"/>
        <s v="C.3.6.1.18.3"/>
        <s v="C.3.6.1.18.5"/>
        <s v="C.3.6.1.18.6"/>
        <s v="C.3.6.1.20.1"/>
        <s v="C.3.6.1.20.2"/>
        <s v="C.3.4.3.8.1"/>
        <s v="C.3.4.3.8.2"/>
        <s v="C.3.4.4.8.1"/>
        <s v="C.3.4.4.8.2"/>
        <s v="C.3.4.3.15"/>
        <s v="C.3.4.4.15"/>
        <s v="C.3.4.3.12.1"/>
        <s v="C.3.4.3.12.10"/>
        <s v="C.3.4.3.12.11"/>
        <s v="C.3.4.3.12.12"/>
        <s v="C.3.4.3.12.13"/>
        <s v="C.3.4.3.12.2"/>
        <s v="C.3.4.3.12.3"/>
        <s v="C.3.4.3.12.4"/>
        <s v="C.3.4.3.12.5"/>
        <s v="C.3.4.3.12.6"/>
        <s v="C.3.4.3.12.7"/>
        <s v="C.3.4.3.12.8"/>
        <s v="C.3.4.3.12.9"/>
        <s v="C.3.4.3.13.1"/>
        <s v="C.3.4.3.13.2"/>
        <s v="C.3.4.3.13.3"/>
        <s v="C.3.4.4.12.1"/>
        <s v="C.3.4.4.12.2"/>
        <s v="C.3.4.4.12.3"/>
        <s v="C.3.4.4.12.4"/>
        <s v="C.3.4.4.12.5"/>
        <s v="C.3.4.4.12.6"/>
        <s v="C.3.4.4.12.7"/>
        <s v="C.3.4.4.12.8"/>
        <s v="C.3.4.4.12.9"/>
        <s v="C.3.4.4.13.1"/>
        <s v="C.3.4.4.13.2"/>
        <s v="C.3.4.4.13.3"/>
        <s v="C.3.4.4.13.4"/>
        <s v="C.3.4.4.12.10"/>
        <s v="C.3.8.3.3"/>
        <s v="C.5.3.5.1"/>
        <s v="C.5.3.5.2"/>
        <s v="C.5.3.5.3"/>
        <s v="C.5.3.6"/>
        <s v="C.5.3.7"/>
        <s v="C.5.3.8"/>
        <s v="C.5.3.9.1"/>
        <s v="C.5.3.9.2"/>
        <s v="C.5.3.17"/>
        <s v="C.5.3.12"/>
        <s v="C.5.3.13"/>
        <s v="C.5.3.14"/>
        <s v="C.5.3.15"/>
        <s v="C.5.3.16"/>
        <s v="C.5.3.2"/>
        <s v="C.5.3.1"/>
        <s v="C.5.3.7_A"/>
        <s v="E.5.1.4"/>
        <s v="C.5.2.10"/>
        <s v="E.5.2.1"/>
        <s v="E.5.2.4"/>
        <s v="C.5.2.11"/>
        <s v="C.5.2.12"/>
        <s v="C.5.2.13"/>
        <s v="C.5.2.2"/>
        <s v="C.5.2.29"/>
        <s v="C.5.2.33.1"/>
        <s v="C.5.2.23"/>
        <s v="C.5.2.24"/>
        <s v="C.5.2.27"/>
        <s v="C.5.2.1"/>
        <s v="C.5.2.18"/>
        <s v="C.5.2.19"/>
        <s v="C.5.2.22"/>
        <s v="C.5.2.25"/>
        <s v="C.5.2.26"/>
        <s v="C.5.2.3"/>
        <s v="C.5.2.30"/>
        <s v="C.5.2.31"/>
        <s v="C.5.2.32"/>
        <s v="C.5.2.8"/>
        <s v="C.5.2.9"/>
        <s v="C.5.2.20"/>
        <s v="C.5.2.21"/>
        <s v="C.5.2.4.2"/>
        <s v="C.5.2.4.4"/>
        <s v="C.5.2.6"/>
        <s v="C.5.2.14"/>
        <s v="C.5.2.4.1"/>
        <s v="C.5.2.4.3"/>
        <s v="C.5.2.4.5"/>
        <s v="C.5.2.4.6"/>
        <s v="C.5.2.4.7"/>
        <s v="C.3.8.3.1"/>
        <s v="C.3.3.4"/>
        <s v="C.3.3.7"/>
        <s v="C.3.3.5"/>
        <s v="C.3.3.6"/>
        <s v="C.3.3.1"/>
        <s v="D.2.2.5.12"/>
        <s v="D.2.2.5.1"/>
        <s v="D.2.2.5.13"/>
        <s v="D.2.2.5.19"/>
        <s v="D.2.2.5.8"/>
        <s v="D.2.2.5.14"/>
        <s v="D.2.2.5.20"/>
        <s v="D.2.5.4.1"/>
        <s v="D.2.5.4.2"/>
        <s v="D.2.2.1.2"/>
        <s v="D.2.5.1"/>
        <s v="D.2.2.1.1"/>
        <s v="D.2.3.1"/>
        <s v="D.2.3.2"/>
        <s v="D.2.3.3"/>
        <s v="D.2.3.8"/>
        <s v="D.2.3.4"/>
        <s v="C.5.7.20"/>
        <s v="C.5.7.17.3"/>
        <s v="C.5.7.17.1"/>
        <s v="C.5.7.15"/>
        <s v="C.5.7.5.2.1"/>
        <s v="C.5.7.19"/>
        <s v="C.5.7.18"/>
        <s v="C.5.7.1"/>
        <s v="C.5.7.21"/>
        <s v="C.5.7.22"/>
        <s v="C.5.7.23"/>
        <s v="C.5.7.4.2"/>
        <s v="C.5.7.2"/>
        <s v="C.5.7.4.1"/>
        <s v="C.5.7.5.1"/>
        <s v="C.5.7.5.2"/>
        <s v="C.5.7.6"/>
        <s v="C.5.7.31"/>
        <s v="C.5.7.6.1"/>
        <s v="C.5.7.11"/>
        <s v="C.5.7.12"/>
        <s v="C.5.7.13"/>
        <s v="C.5.7.9"/>
        <s v="C.5.9.2"/>
        <s v="C.5.9.5"/>
        <s v="C.5.9.7"/>
        <s v="C.2.3.3.3"/>
        <s v="C.3.6.1.30.1"/>
        <s v="C.3.6.1.28"/>
        <s v="C.3.8.2.1"/>
        <s v="C.3.6.1.26"/>
        <s v="C.2.2.4.16"/>
        <s v="C.2.6.2.1"/>
        <s v="C.2.2.4.1"/>
        <s v="C.2.2.4.6"/>
        <s v="C.2.2.4.8"/>
        <s v="C.2.2.4.7.1"/>
        <s v="C.2.2.4.7.2"/>
        <s v="C.2.2.4.7.3"/>
        <s v="C.2.2.4.7.4"/>
        <s v="C.2.2.4.7.5"/>
        <s v="C.2.2.4.7.6"/>
        <s v="C.2.2.4.7.7"/>
        <s v="C.2.2.4.3"/>
        <s v="C.2.2.4.11"/>
        <s v="C.2.6.1.2"/>
        <s v="C.2.6.1.1"/>
        <s v="C.2.2.4_A"/>
        <s v="C.2.2.4.19"/>
        <s v="C.5.6.4.3.2"/>
        <s v="C.5.6.3.5"/>
        <s v="C.5.6.3.10.1"/>
        <s v="C.5.6.3.10.2"/>
        <s v="C.5.6.3.1"/>
        <s v="C.5.6.2.2.1"/>
        <s v="C.5.6.2.2.2"/>
        <s v="C.5.6.1.5"/>
        <s v="C.3.8.2.2"/>
        <s v="C.5.6.1.6"/>
        <s v="C.5.6.1.7"/>
        <s v="C.5.6.1.8"/>
        <s v="C.5.6.1.1"/>
        <s v="C.5.6.1.2"/>
        <s v="C.5.6.2.1"/>
        <s v="C.5.6.3.18.2"/>
        <s v="C.5.6.3.18.1"/>
        <s v="C.5.6.4.1"/>
        <s v="C.5.6.3.12"/>
        <s v="C.5.6.4.3.1"/>
        <s v="C.5.6.4.2"/>
        <s v="C.5.6.3.15.1"/>
        <s v="C.5.6.3.13_A"/>
        <s v="C.5.6.3.13"/>
        <s v="C.5.6.3.15.2"/>
        <s v="C.5.6.3.14.1"/>
        <s v="C.5.6.3.14.2"/>
        <s v="C.5.6.3.14.4"/>
        <s v="C.5.6.3.14.3"/>
        <s v="C.3.8.3.2"/>
        <s v="C.3.6.3.19.1"/>
        <s v="C.3.6.3.19.2"/>
        <s v="C.3.6.3.4.1"/>
        <s v="C.3.6.3.2.2"/>
        <s v="C.3.6.22.1"/>
        <s v="C.3.6.3.2.1"/>
        <s v="C.3.6.3.11"/>
        <s v="C.3.6.3.6.1"/>
        <s v="C.3.6.3.6.2"/>
        <s v="C.3.6.3.6.3"/>
        <s v="C.3.6.3.1"/>
        <s v="C.3.6.3.11.1"/>
        <s v="C.3.6.3.2"/>
        <s v="C.3.6.3.7"/>
        <s v="C.3.6.3.13"/>
        <s v="C.3.6.3.5"/>
        <s v="C.2.5.2.22"/>
        <s v="C.2.5.2.19.1"/>
        <s v="C.2.5.2.19.2"/>
        <s v="C.2.5.2.21"/>
        <s v="C.2.5.2.7"/>
        <s v="C.2.5.2.8"/>
        <s v="C.2.5.2.15"/>
        <s v="C.2.5.2.1"/>
        <s v="C.2.5.2.2"/>
        <s v="C.2.5.2.24"/>
        <s v="C.2.5.2.10"/>
        <s v="C.2.5.2.11.1"/>
        <s v="C.2.5.2.11.2"/>
        <s v="C.2.5.2.11.3"/>
        <s v="C.2.5.2.18"/>
        <s v="C.2.5.2.20"/>
        <s v="C.2.5.2.9.1"/>
        <s v="C.2.5.2.9.2"/>
        <s v="C.2.5.2.13"/>
        <s v="C.2.5.2.5.1"/>
        <s v="C.2.5.2.3"/>
        <s v="C.2.5.2.4"/>
        <s v="C.2.5.2.16"/>
        <s v="C.2.5.2.12"/>
        <s v="H.2.11.1"/>
        <s v="H.2.11.2"/>
        <s v="H.2.12"/>
        <s v="H.2.9"/>
        <s v="H.2.25"/>
        <s v="H.2.8.1"/>
        <s v="H.2.8.2"/>
        <s v="H.2.5"/>
        <s v="H.2.3"/>
        <s v="H.2.4"/>
        <s v="H.2.6"/>
        <s v="H.2.7"/>
        <s v="H.2.1"/>
        <s v="C.5.8.1.2.3.1"/>
        <s v="C.5.8.1.2.3.2"/>
        <s v="C.5.8.1.2.1"/>
        <s v="C.5.8.1.2.12"/>
        <s v="C.5.8.1.2.14"/>
        <s v="C.5.8.1.2.2"/>
        <s v="C.3.8.4.2"/>
        <s v="C.3.8.4.1"/>
        <s v="C.2.5.3.1"/>
        <s v="C.2.5.3.13"/>
        <s v="C.2.5.3.16"/>
        <s v="C.2.5.3.21"/>
        <s v="C.2.5.3.4"/>
        <s v="C.2.5.3.43"/>
        <s v="C.2.5.3.9"/>
        <s v="C.2.5.3.11.1"/>
        <s v="C.2.5.3.11.2"/>
        <s v="C.2.5.3.11.3"/>
        <s v="C.2.5.3.2"/>
        <s v="C.2.5.3.3"/>
        <s v="C.2.5.3.5"/>
        <s v="C.2.5.3.19"/>
        <s v="C.2.5.3.6"/>
        <s v="C.2.5.3.12.1"/>
        <s v="C.2.5.3.12.2"/>
        <s v="C.2.5.3.24"/>
        <s v="C.2.5.3.7"/>
        <s v="C.2.5.3.24.1"/>
        <s v="C.2.5.3.18"/>
        <s v="C.2.5.3.17.1"/>
        <s v="C.2.5.3.17.2"/>
        <s v="C.2.5.3.20"/>
        <s v="C.2.5.3.33"/>
        <s v="H.1.11.1"/>
        <s v="H.1.11.3"/>
        <s v="C.4.6.7.1"/>
        <s v="C.4.6.7.2"/>
        <s v="D.2.2.3.1.1"/>
        <s v="D.2.2.3.1.2"/>
        <s v="C.4.5.14"/>
        <s v="C.4.1.2"/>
        <s v="C.4.2.7"/>
        <s v="H.1.2"/>
        <s v="H.1.5"/>
        <s v="C.4.6.4"/>
        <s v="C.4.6.2.1"/>
        <s v="C.4.6.2.2"/>
        <s v="C.4.6.2.3"/>
        <s v="D.2.2.3.2"/>
        <s v="C.4.1.3"/>
        <s v="C.4.1.5"/>
        <s v="C.4.2.5"/>
        <s v="H.1.3.1"/>
        <s v="C.4.3.4"/>
        <s v="C.4.4.4"/>
        <s v="C.3.6.2.1"/>
        <s v="C.4.2.1.1"/>
        <s v="C.4.2.1.2"/>
        <s v="C.3.6.2.3"/>
        <s v="C.4.3.2"/>
        <s v="C.3.6.2.4"/>
        <s v="C.4.2.2"/>
        <s v="C.4.2.3"/>
        <s v="C.4.2.4"/>
        <s v="C.4.3.8"/>
        <s v="C.4.4.8"/>
        <s v="C.4.5.15"/>
        <s v="C.3.6.2.8.1"/>
        <s v="C.4.5.1.1"/>
        <s v="C.4.5.1.2"/>
        <s v="C.3.6.2.8"/>
        <s v="C.4.5.16"/>
        <s v="C.4.6.2.4"/>
        <s v="C.4.6.2.5"/>
        <s v="H.1.3"/>
        <s v="C.3.6.2.10"/>
        <s v="C.3.6.2.2"/>
        <s v="C.4.2.6"/>
        <s v="C.4.3.1"/>
        <s v="C.4.3.3.1"/>
        <s v="C.4.3.3.2"/>
        <s v="C.4.3.3.3"/>
        <s v="C.4.3.3.4"/>
        <s v="C.4.3.3.5"/>
        <s v="C.4.3.6"/>
        <s v="C.4.4.1"/>
        <s v="C.4.4.3.1"/>
        <s v="C.4.4.3.2"/>
        <s v="C.4.4.6"/>
        <s v="C.3.6.2.11"/>
        <s v="C.3.6.2.12"/>
        <s v="C.4.1.1"/>
        <s v="C.4.3.5.1"/>
        <s v="C.4.3.5.2"/>
        <s v="C.4.4.5"/>
        <s v="C.4.5.4"/>
        <s v="C.4.6.1.1"/>
        <s v="C.4.6.1.2"/>
        <s v="C.4.6.1.3"/>
        <s v="C.4.6.1.4"/>
        <s v="C.4.6.1.5"/>
        <s v="C.3.7.7"/>
        <s v="C.3.7.1"/>
        <s v="C.3.7.11"/>
        <s v="C.3.7.2"/>
        <s v="C.3.7.7.1"/>
        <s v="C.3.7.10.1"/>
        <s v="C.3.7.16.1"/>
        <s v="C.3.7.16.10"/>
        <s v="C.3.7.16.2"/>
        <s v="C.3.7.16.3"/>
        <s v="C.3.7.16.4"/>
        <s v="C.3.7.16.5"/>
        <s v="C.3.7.16.6"/>
        <s v="C.3.7.16.7"/>
        <s v="C.3.7.16.8"/>
        <s v="C.3.7.16.9"/>
        <s v="C.3.7.17.1"/>
        <s v="C.3.7.17.2"/>
        <s v="C.3.7.4"/>
        <s v="K.1.3_N"/>
        <s v="C.3.7.12.1"/>
        <s v="C.3.7.12.2"/>
        <s v="C.3.7.5"/>
        <s v="C.3.7.10.2"/>
        <s v="C.3.7.27.1"/>
        <s v="C.3.7.27.2"/>
        <s v="C.3.7.18"/>
        <s v="C.3.7.28"/>
        <s v="C.5.11.1"/>
        <s v="C.5.11.3"/>
        <s v="C.5.11.4"/>
        <s v="C.5.11.5"/>
        <s v="C.5.11.7"/>
        <s v="C.5.11.8"/>
        <s v="D.3.3.3.4"/>
        <s v="D.3.3.3.5"/>
        <s v="D.3.2.2.4"/>
        <s v="C.5.8.2.19"/>
        <s v="C.5.8.2.20"/>
        <s v="C.5.8.2.21"/>
        <s v="C.5.8.2.22"/>
        <s v="C.5.8.2.31"/>
        <s v="C.5.8.2.53"/>
        <s v="E.3.7.1"/>
        <s v="E.3.7.2"/>
        <s v="E.3.7.3"/>
        <s v="C.2.3.25"/>
        <s v="C.2.3.37"/>
        <s v="C.2.3.38"/>
        <s v="C.5.5.23"/>
        <s v="C.5.7.29"/>
        <s v="C.2.5.3.22"/>
        <s v="C.4.5.5.2"/>
        <s v="C.3.5.30"/>
        <s v="C.2.4.8"/>
        <s v="C.5.4.28"/>
        <s v="C.5.4.29"/>
        <s v="C.3.3.8"/>
        <s v="C.3.6.1.31.4"/>
        <s v="C.3.6.1.27"/>
        <s v="C.5.6.4.11"/>
        <s v="C.4.4.12"/>
        <s v="E.4.1"/>
        <s v="C.5.7.14"/>
        <s v="C.5.7.15.1"/>
        <s v="C.2.5.2.14"/>
        <s v="C.4.3.12.2"/>
        <s v="H.1.4.1"/>
        <s v="H.1.4.2"/>
        <s v="H.1.4.3"/>
        <s v="H.1.4.4"/>
        <s v="H.1.4.5"/>
        <s v="H.1.4.6"/>
        <s v="C.4.2.10"/>
        <s v="C.4.3.12.1"/>
      </sharedItems>
    </cacheField>
    <cacheField name="Nombre Recinto " numFmtId="0">
      <sharedItems count="477">
        <s v="VESTIDOR C/DUCHA Y LOCKERS"/>
        <s v="ESTAR PERSONAL C/ KITCHENETTE"/>
        <s v="COORDINADOR BODEGA"/>
        <s v="ÁREA REGISTRO BODEGA GENERAL"/>
        <s v="ÁREA REGISTRO BODEGA FARMACIA E INSUMOS"/>
        <s v="MESÓN DE RECEPCIÓN C/ARCHIVO Y FOTOCOPIADORA"/>
        <s v="ÁREA MESÓN"/>
        <s v="BODEGA MEDICAMENTOS"/>
        <s v="BODEGA DE SUEROS"/>
        <s v="BODEGA MATERIAL ESTERIL"/>
        <s v="CASILLEROS"/>
        <s v="SALA DE ESPERA"/>
        <s v="SALA DE ESTAR FAMILIARES Y ENTREVISTAS"/>
        <s v="AULA HOSPITALARIA"/>
        <s v="OFICINA DIRECTOR C/BAÑO"/>
        <s v="OFICINA SUBDIRECTOR ADMINISTRATIVO"/>
        <s v="OFICINA SUBDIRECTOR MÉDICO"/>
        <s v="OF. JEFE CONTROL DE GESTIÓN"/>
        <s v="OFICINA JEFE AUDITORIA"/>
        <s v="OFICINA JEFE CR ATENCIÓN ABIERTA"/>
        <s v="OFICINA JEFE CAE"/>
        <s v="OFICINA JEFE GINECOLOGÍA Y OBSTETRICIA"/>
        <s v="OF. JEFE CR APOYO CLÍNICO"/>
        <s v="OF. JEFE CR GESTIÓN LOGÍSTICA"/>
        <s v="OFICINA JEFE DE FINANZAS"/>
        <s v="OF. JEFE CR GESTIÓN DE LAS PERSONAS"/>
        <s v="OFICINA JEFE MQ INFANTIL"/>
        <s v="OF. COORDINADOR REGISTRO Y ESTADÍSTICA"/>
        <s v="SALA MULTIUSO"/>
        <s v="SALA DE REUNIONES (25pp)"/>
        <s v="SALA DE REUNIONES (20 pp)"/>
        <s v="SALA DE CAPACITACIÓN PERSONALIZADA"/>
        <s v="SALA DE REUNIONES"/>
        <s v="MÓDULO TRABAJO SUPERVISOR"/>
        <s v="SECRETARÍA C/ARCHIVO Y FOTOCOPIADORA"/>
        <s v="SECRETARÍA C/ARCHIVO Y FOTOCOP."/>
        <s v="SECRETARÍA C/ARCHIVO Y FOTOCO."/>
        <s v="MÓD. DE TRABAJO (GRD profesionales + administrativo)"/>
        <s v="MÓD. TRABAJO (Winsig)"/>
        <s v="SECRETARIA C/ARCHIVO, FOTOCOP."/>
        <s v="MÓD. TRABAJO (calidad)"/>
        <s v="MÓD. TRABAJO (IAAS)"/>
        <s v="OFICINA ASESOR JURÍDICO"/>
        <s v="MÓD. DE TRABAJO"/>
        <s v="COORDINADOR GESTIÓN DEL CUIDADO AT. ABIERTA"/>
        <s v="COORDINADOR GESTIÓN DEL CUIDADO AT. CERRADA"/>
        <s v="COORDINADOR GESTIÓN DE PACIENTES"/>
        <s v="OFICINA SECRETARÍA"/>
        <s v="SECRETARIA C/ARCH. Y FOTO"/>
        <s v="COORDINADOR GINECOLOGÍA Y OBSTETRICIA"/>
        <s v="MÓDULOS DE TRABAJO (sala de digitalización datos)"/>
        <s v="MÓDULO DE TRABAJO (encargado archivo)"/>
        <s v="OFICINA MEDIOAMBIENTAL"/>
        <s v="COORDINADOR CONTABILIDAD Y PRESUPUESTO"/>
        <s v="MÓDULOS DE TRABAJO (control activos y existencia)"/>
        <s v="MÓDULO DE TRABAJO (presupuesto)"/>
        <s v="MÓDULO DE TRABAJO (gestión financiera)"/>
        <s v="COORDINADOR TESORERÍA"/>
        <s v="MÓDULOS DE TRABAJO (Caja central)"/>
        <s v="COORDINADOR FACTURACIÓN Y COBRANZA"/>
        <s v="MÓD. DE TRABAJO (facturación y cobranza)"/>
        <s v="COORDINADOR ADMNISTRACIÓN DE PERSONAL"/>
        <s v="MÓD.TRABAJO EJECUT. DE PERSONAL Y REMUN.(5p)"/>
        <s v="MÓD. DE TRABAJO DESARROLLO ORGANIZACIONAL"/>
        <s v="COORDINADOR BIENESTAR Y DESARROLLO SOCIAL"/>
        <s v="MÓD. DE TRABAJO BIENESTAR"/>
        <s v="COORDINADOR CAPACITACIÓN Y FORMACIÓN"/>
        <s v="OFICINA COMUNICACIONES"/>
        <s v="COORDINADOR NEONATOLOGÍA"/>
        <s v="SALA DE CAPACITACIÓN MASIVA"/>
        <s v="SALA VOLUNTARIADO"/>
        <s v="OFICINA JEFE CR ATENCIÓN CERRADA"/>
        <s v="SECRETARIA"/>
        <s v="OFICINA JEFE MQ ADULTO"/>
        <s v="MÓDULO TRABAJO SUPERIOR"/>
        <s v="ÁREA DE CONSULTA FICHAS"/>
        <s v="HALL DE ESPERA"/>
        <s v="CIRCULACIONES NIVEL 3"/>
        <s v="MESÓN C/ARCHIVO Y FOTOCOPIADORA"/>
        <s v="MESÓN DE RECEPCIÓN"/>
        <s v="MESÓN RECEPCIÓN"/>
        <s v="ARCHIVO FICHAS PACIVAS"/>
        <s v="ARCHIVO FICHAS ACTIVAS"/>
        <s v="SALA EDUCACIÓN AMAMANTAMIENTO"/>
        <s v="AUDITORIO"/>
        <s v="SALA DE EQUIPO AUDIOVISUAL"/>
        <s v="SALA PREPARACIÓN CONFERENCISTA"/>
        <s v="CIRCULACIONES NIVEL3"/>
        <s v="SALA DE LECTURA"/>
        <s v="SALA TRABAJO GRUPAL"/>
        <s v="SALA BIBLIOTECA DIGITAL"/>
        <s v="VESTIDOR"/>
        <s v="CAFETERÍA VESTIDOR"/>
        <s v="CAFETERÍA"/>
        <s v="CIRCULACIONES NIVEL 2"/>
        <s v="SALA MULTIUSO (labores administrativas)"/>
        <s v="OFICINA JEFE NUTRICIONISTA"/>
        <s v="MÓDULO DE TRABAJO (INFORMES)"/>
        <s v="JEFE CENTRAL DE ALIMENTACIÓN"/>
        <s v="OFICINA SUPERVISORA"/>
        <s v="PESAJE, REGISTRO E INSPECCIÓN"/>
        <s v="BODEGA DIARIA ALIMENTOS NO PERECIBLES (ABARROTES)"/>
        <s v="PREP. DE BANDEJAS, MONTAJE DE CARROS Y DESP."/>
        <s v="SALA TALLER CHILE CRECE CONTIGO"/>
        <s v="CIRCULACIONES NIVEL 1"/>
        <s v="VESTIDOR PACIENTES"/>
        <s v="VESTIDORES FUNCIONARIOS (MUJERES)"/>
        <s v="COMEDORES PARA FUNCIONARIOS"/>
        <s v="OFICINA ADMINISTRADOR"/>
        <s v="CAJA Y VENTAS DE PRODUCTOS"/>
        <s v="OFICINA JEFE TIC"/>
        <s v="MÓDULOS DE TRABAJO DESARROLLO Y MANTENCIÓN"/>
        <s v="COORDINADOR SALUD DEL TRABAJADOR"/>
        <s v="COORD. SALUD OCUP. Y PREVEN. DE RIESGOS"/>
        <s v="MÓDULO DE TRABAJO"/>
        <s v="BOX DE ATENCIÓN"/>
        <s v="SALA TEST DE ESFUERZO Y ESPIROMETRÍA"/>
        <s v="OFICINA COMPIN"/>
        <s v="OFICINA FONASA"/>
        <s v="OFICINA JEFE OIRS"/>
        <s v="MÓD. DE TRABAJO PROFESIONALES (gestión de la demanda)"/>
        <s v="OFICINA JEFE SOME"/>
        <s v="MÓDULO DE TRABAJO ADMINISTRATIVOS GES"/>
        <s v="OFICINA INTERCULTURAL"/>
        <s v="MODULOS DE TRABAJO (OPERADOR TELEFONICO)"/>
        <s v="COORDINADOR GENERAL RS"/>
        <s v="MÓDULOS DE TRABAJO (operadores telefónicos)"/>
        <s v="COORDINADOR SERVICIOS EXTERNALIZADOS"/>
        <s v="MONITOREO VIGILANCIA"/>
        <s v="MÓDULO DE TRABAJO ADMINISTRATIVOS MANTENCIÓN DE AGENDA"/>
        <s v="OFICINA ENFERMERA COORDINADORA"/>
        <s v="MÓDULO DE TRABAJO ADMINISTRATIVOS LISTA DE ESPERA"/>
        <s v="SALA DE ESPERA "/>
        <s v="HALL DE ACCESO"/>
        <s v="MÓDULO DE TRABAJO OIRS"/>
        <s v="MÓDULO SOME ADMISIÓN"/>
        <s v="MÓDULO SOME RECAUDACIÓN"/>
        <s v="BOX MATRONA C/BAÑO"/>
        <s v="BOX ENFERMERA POLICLÍNICO"/>
        <s v="BOX MEDICINA COMPLEMENTARIA Y ALTERNATIVA"/>
        <s v="BOX MULTIPROPÓSITO"/>
        <s v="SALA PROCEDIMIENTOS GINECO-OBSTÉTRICO"/>
        <s v="SALA PREPARACIÓN DE PACIENTES ADULTO"/>
        <s v="SALA PREPARACIÓN DE PACIENTES INFANTIL"/>
        <s v="BOX INFANTIL"/>
        <s v="BOX MEDICINA ADULTOS"/>
        <s v="BOX CIRUGÍA ADULTOS"/>
        <s v="BOX GINECOLOGÍA C/BAÑO"/>
        <s v="BOX OBSTETRICIA C/BAÑO"/>
        <s v="SALA RECUPERACIÓN "/>
        <s v="BOX CARDIO OTORRINO"/>
        <s v="BOX OFTALMO URO NEFRO (INDIFERENCIDO)"/>
        <s v="SALA PROCEDIMIENTOS OTORRINO ESTUDIOS AUDITIVOS"/>
        <s v="SALA PROCEDIMIENTOS OTORRINO VIII PAR"/>
        <s v="RECAUDACIÓN ODONTOLOGÍA"/>
        <s v="MÓDULO DE TRABAJO SOME ADMISIÓN"/>
        <s v="MÓDULO DE TRABAJO SOME RECAUDACIÓN"/>
        <s v="BOX GERIATRÍA"/>
        <s v="MESON DE RECEPCIÓN"/>
        <s v="MÓDULO DE TRABAJO PROFESIONALES GES"/>
        <s v="MÓDULO DE TRABAJO PROFESIONALES LISTA DE ESPERA"/>
        <s v="SALA PROCEDIMIENTOS MONITOREO FETAL"/>
        <s v="SALA PROCEDIMIENTOS ENFERMERÍA INFANTIL"/>
        <s v="SALA DE PROCEDIMIENTOS ENFERMERÍA ADULTO"/>
        <s v="SALA PROCEDIMIENTOS TRAUMATOLOGÍA INFANTIL"/>
        <s v="SALA PROCEDIMIENTOS TRAUMATOLOGÍA ADULTO"/>
        <s v="SALA DE PROCEDIMIENTOS CARDIOLÓGICOS"/>
        <s v="BOX TRAUMATOLOGÍA"/>
        <s v="SALA PROCEDIMIENTOS ENDOSCOPÍA INDIFERENCIADO"/>
        <s v="SALA DE PROCEDIMIENTOS OFTALMO SIMPLE"/>
        <s v="SALA DE PROCEDIMIENTOS OFTALMO COMPLEJO"/>
        <s v="OF. JEFE ABASTECIMIENTO"/>
        <s v="SALA DE REUNIONES (15 pp)"/>
        <s v="OFICINA COORDINADOR DQUISICIONES"/>
        <s v="MÓDULO DE TRABAJO QUÍMICO FARMACEUTICO"/>
        <s v="MÓDULO DE TRABAJO EJECUTIVO LICITACIONES"/>
        <s v="OFICINA ADMINISTRADOR DE CONTRATOS"/>
        <s v="OFICINA COORDINADOR CENTRAL"/>
        <s v="MÓDULO DE TRABAJO EJECUTIVO DE COMPRA"/>
        <s v="OFICINA JEFE CUIDADOS PALIATIVOS"/>
        <s v="SALA MULTIPROPÓSITO"/>
        <s v="OFICINA ENFERMERA"/>
        <s v="BOX MÉDICO"/>
        <s v="BOX MULTIPROPÓSITO (1)"/>
        <s v="BOX MULTIPROPÓSITO (2)"/>
        <s v="SALA DE TRATAMIENTOS TRANSITORIOS"/>
        <s v="VESTIDOR DE PACIENTES C/DUCHA Y LOCKERS (1)/ Banca de madera (60x50x45)"/>
        <s v="VESTIDOR DE PACIENTES C/DUCHA Y LOCKERS (2)/ Banca de madera"/>
        <s v="SALA POST-DIALISADOS "/>
        <s v="OFICINA JEFE DIÁLISIS"/>
        <s v="OFICINA ENFERMERA COORDINADORA                    (PERITONEO)"/>
        <s v="OFICINA COORDINADORA (HEMODIALISIS)"/>
        <s v="MESÓN DE RECEPCIÓN C/ARCHIVO Y FOTOCOPIADORA "/>
        <s v="SALA DE ESPERA DIÁLISIS"/>
        <s v="BOX EVALUACIÓN"/>
        <s v="ESTACIÓN DE ENFERMERÍA"/>
        <s v="SALA EDUCACIÓN PERITONEODIÁLISIS C/ BAÑO"/>
        <s v="PUESTO DIALISADOS CRÓNICOS"/>
        <s v="KITCHENETTE"/>
        <s v="SALA PROCEDIMIENTOS "/>
        <s v="VESTIDOR C/DUCHA Y LOCKERS (1)"/>
        <s v="VESTIDOR C/DUCHA Y LOCKERS (2)"/>
        <s v="OFICINA COORDINADOR ESTERILIZACIÓN"/>
        <s v="MESÓN RECEPCIÓN MATERIAL"/>
        <s v="ÁREA CLASIFICACIÓN MATERIAL"/>
        <s v="ÁREA DESCONTAMINACIÓN "/>
        <s v="ÁREA EQUIPO AIRE COMPRIMIDO- OSMOSIS INVERSA"/>
        <s v="RECEPCIÓN ROPA PREPARADA"/>
        <s v="ÁREA MESÓN  DESPACHO"/>
        <s v="PORTERÍA c/BAÑO (1)"/>
        <s v="PORTERÍA c/BAÑO (2)"/>
        <s v="PORTERÍA c/BAÑO (3)"/>
        <s v="PORTERÍA c/BAÑO (4)"/>
        <s v="PORTERÍA c/BAÑO (5)"/>
        <s v="PORTERÍA c/BAÑO (6)"/>
        <s v="CAMBIO DE VESTUARIO CON LAVAMANOS"/>
        <s v="SALA DE TRABAJO GRUPAL"/>
        <s v="OFICINA JEFE (incl. bodega de estupefacientes)"/>
        <s v="MODULO DE TRABAJO QUIMICOS FARMACEUTICOS"/>
        <s v="ÁREA PREPARACIÓN DE RECETAS"/>
        <s v="SALA DE ESPERA FARMACIA AMBULATORIA"/>
        <s v="FRACCIONAMIENTO Y REENVASADO"/>
        <s v="LÍQUIDOS"/>
        <s v="RECEPCIÓN REGISTRO DESPACHO"/>
        <s v="RECEPCIÓN DESPACHO DIGITACIÓN (VENTANILLAS)"/>
        <s v="BODEGA ACTIVA"/>
        <s v="DESPACHO Y ESTACIONAMIENTO DE CARROS"/>
        <s v="MÓDULOS DE ENTREVISTA Y EDUCACIÓN"/>
        <s v="SALA DE ESTAR FAMILIARES"/>
        <s v="SALA DE ENTREVISTAS"/>
        <s v="SALA ESTIMULACIÓN COGNITIVA"/>
        <s v="MOD. DE TRABAJO (MONITORES)"/>
        <s v="SALA DE REUNIONES C/KITCHENETTE"/>
        <s v="OFICINA JEFE SALUD MENTAL"/>
        <s v="OF.COORDINADOR SALUD MENTAL"/>
        <s v="OF. JEFE HOSP.DIA"/>
        <s v="OF. COORDINADOR HOSP. DÍA"/>
        <s v="BOX ATENCIÓN "/>
        <s v="BOX 2 MULTIPROPOSITO "/>
        <s v="SALA DE SEGUIMIENTO ENTREVISTA (MONITOR)"/>
        <s v="ACT. DE LA VIDA DIARIA C/ KITCH Y REPOSTERO"/>
        <s v="SALA DE ESTAR /COMEDOR"/>
        <s v="TALLER DE COMPUTACIÓN"/>
        <s v="PATIO CUBIERTO"/>
        <s v="SALA DE PROCEDIMIENTO"/>
        <s v="SALA DE ENTREVISTA PACIENTES (CÁMARA)"/>
        <s v="VESTUARIO FAMILIARES"/>
        <s v="OFICINA CHILE CRECE CONTIGO"/>
        <s v="SALA DE PROCEDIMIENTOS"/>
        <s v="SALA 1 CAMA"/>
        <s v="SALA 4 CAMAS"/>
        <s v="SALA 1 CAMA AISLAMIENTO (1) PEDIATRIA"/>
        <s v="SALA 1 CAMA AISLAMIENTO (2) PEDIATRIA"/>
        <s v="SALA 1 CAMA AISLAMIENTO (3) PEDIATRIA"/>
        <s v="SALA 3 CAMAS"/>
        <s v="RESIDENCIA MÉDICA"/>
        <s v="RADIOLOGÍA DIGITAL OSTEOPULMONAR(RX) (SALA EQUIPO/COMANDO/2VESTIDOR)"/>
        <s v="RADIOLOGÍA DIGITAL OSTEOPULMONAR (RX) (SALA EQUIPO/COMANDO/2VESTIDOR)"/>
        <s v="SALA MAMÓGRAFO"/>
        <s v="SALA TOMOGRAFO AXIAL COMPUTARIZADO (PREPARACIÓN/EQUIPO/COMANDO/VESTIDOR)"/>
        <s v="SALA ECOTOMOGRAFO GINECO-OBSTETRICO (EQUIPO/VESTIDOR)"/>
        <s v="SALA ECOTOMOGRAFO INDIFERENCIADO (EQUIPO/VESTIDOR)"/>
        <s v="OFICINA JEFE IMAGENOLOGÍA"/>
        <s v="COORDINADOR IMAGENOLOGÍA"/>
        <s v="SALA DE INFORMES Y DIAGNÓSTICO A DISTANCIA + IMPRESIÓN"/>
        <s v="SALA DE ESPERA SECUNDARIA Y REUNIONES"/>
        <s v="OFICINA JEFE LABORATORIO"/>
        <s v="MÓDULO DE TRABAJO TECNÓLOGO MÉDICO"/>
        <s v="OFICINA TECNÓLOGO"/>
        <s v="SECCIÓN BACTERIOLOGÍA"/>
        <s v="SECCIÓN PARASITOLOGÍA"/>
        <s v="SECCIÓN BACILOSCOPÍA Y TBC"/>
        <s v="SALA DE ESPERA TOMA DE MUESTRA"/>
        <s v="SECCIÓN HEMATOLOGÍA Y COAGULACIÓN"/>
        <s v="SECCIÓN BIOQUÍMICA"/>
        <s v="SECCIÓN ORINA"/>
        <s v="SECCIÓN VDRL"/>
        <s v="INMUNOFLUORECENCIA Y VIROLOGÍA"/>
        <s v="RECEPCIÓN HEMOCOMPONENTES"/>
        <s v="SECCIÓN INMUNO HEMATOLOGÍA"/>
        <s v="PREPARACIÓN Y DESPACHO TRANSFUSIÓN"/>
        <s v="RECEPCIÓN DE MUESTRAS"/>
        <s v="SALA CENTRÍFUGA"/>
        <s v="SECCIÓN ENDOCRINOLOGÍA"/>
        <s v="SECCIÓN INMUNOLOGÍA"/>
        <s v="TOMA DE MUESTRA COMUN"/>
        <s v="SALA DE TRANSFUSION AMBULATORIA"/>
        <s v="TOMA DE MUESTRA PEDIÁTRICA (1CUPO)"/>
        <s v="TOMA DE MUESTRA URO GINE"/>
        <s v="RESIDENCIA MÉDICA C/BAÑO"/>
        <s v="OF. JEFE H. DOMICILIARIA"/>
        <s v="OFICINA ASISTENTE SOCIAL"/>
        <s v="OFICINA COORDINADOR ROPERÍA"/>
        <s v="RECEPCIÓN Y REGISTRO"/>
        <s v="ENTREGA DE ROPA"/>
        <s v="PUNTO DE RECEPCIÓN Y REGISTRO"/>
        <s v="ZONA DE COSTURA Y REMIENDO"/>
        <s v="PREPARACIÓN DE CARROS"/>
        <s v="OF. JEFE SERV. GENERALES"/>
        <s v="COORDINADOR EQUIPOS MÉDICOS"/>
        <s v="MÓDULO DE TRABAJO INGENIERO"/>
        <s v="ÁREA DE RECEP. Y ENTREGA EQUIP. MÉDICO"/>
        <s v="TALLER DE MANTENIMIENTO EQUIP. MÉDICOS"/>
        <s v="SALA DE ACTIVDAD DE LA VIDA DIARIA C/BAÑO DE INSTRUCCIÓN"/>
        <s v="VESTIDORES INFANTIL(3)"/>
        <s v="VESTIDOR ADULTOS"/>
        <s v="GIMNASIO PEDIATRICO"/>
        <s v="BOX FONOAUDIO PEDIATRICO"/>
        <s v="SALA TERÁPIA OCUP. ADULTO E INFANTIL"/>
        <s v="SALA DE TERAPIA GRUPAL (12 MAX)"/>
        <s v="OFICINA JEFE REHABILITACIÓN"/>
        <s v="OFICINA JEFE COORDINADOR"/>
        <s v="BOX PSICOLOGO / A. SOCIAL"/>
        <s v="BOX KINESIOLOGO(1)"/>
        <s v="BOX INDIFERENCIADO (FONOAUDIO Y TERAPIA OCU)(1)"/>
        <s v="BOX INDIFERENCIADO (FONOAUDIO Y TERAPIA OCU)(2)"/>
        <s v="SALA PREPARACIÓN DE PACIENTES"/>
        <s v="BODEGA DE EQUIPAMIENTO"/>
        <s v="SALA PROCEDIMIENTOS C/BAÑO"/>
        <s v="SALA KINESOTERÁPIA CUBICULO ONDA CORTA"/>
        <s v="SALA KINESOTERÁPIA CUBICULO ULTRASONIDO"/>
        <s v="SALA KINESOTERÁPIA ( CUBICULO ELECTRO-CRIOTERÁPIA)"/>
        <s v="SALA KINESOTERÁPIA CUBICULO BAÑO PARAFINA"/>
        <s v="ESPACIO PARA DEUDOS"/>
        <s v="MESÓN RECEPCIÓN DE REGISTRO DE INFORMES"/>
        <s v="VESTIDOR Y ENTREGA FAMILIARES"/>
        <s v="VESTIDOR DE PACIENTES C/DUCHA Y LOCKERS"/>
        <s v="SALA OBSERVACION NEONATOLOGIA"/>
        <s v="SALA MULTIUSO (TRABAJO GRUPAL, EDUCACION DE PACIENTES)"/>
        <s v="OF. JEFE ODONTOLOGÍA"/>
        <s v="SALA RAYOS INTRAORAL"/>
        <s v="BOX DENTAL POLIFUNCIONAL(1)"/>
        <s v="BOX DENTAL POLIFUNCIONAL(2)"/>
        <s v="BOX DENTAL POLIFUNCIONAL(3)"/>
        <s v="BOX DENTAL POLIFUNCIONAL(4)"/>
        <s v="BOX DENTAL POLIFUNCIONAL(5)"/>
        <s v="BOX DENTAL POLIFUNCIONAL(6)"/>
        <s v="BOX DENTAL POLIFUNCIONAL(7)"/>
        <s v="SALA INFORMES"/>
        <s v="SALA TELEMEDICINA"/>
        <s v="SALA DE COMANDO IMÁGENES DENTAL"/>
        <s v="ESTAC. SILLA DE RUEDAS"/>
        <s v="SALA PREANESTESIA ADULTO"/>
        <s v="VESTIDOR MUJER"/>
        <s v="VESTIDOR HOMBRE"/>
        <s v="SALA ENTREVISTAS FAMILIARES"/>
        <s v="OFICINA JEFE PABELLONES"/>
        <s v="OFICINA COORDINADOR PABELLONES"/>
        <s v="SALA INFORMES PROFESIONALES MÉDICOS"/>
        <s v="BOX INGRESO PREPARACIÓN DE PACIENTES"/>
        <s v="RECEPCIÓN PACIENTES HOSPITALIZADOS"/>
        <s v="SALA PREANESTESIA INFANTIL"/>
        <s v="SALA RECUPERACIÓN URGENCIA"/>
        <s v="SALA RECUPERACIÓN ELECTIVA"/>
        <s v="SALA RECUPERACIÓN CIRUGIA MAYOR AMBULATORIA"/>
        <s v="VESTUARIO PADRES C/BAÑO"/>
        <s v="SALA DE ENTREVISTAS LEY IVE"/>
        <s v="OFICINA SUPERVISOR PARTO Y LEY IVE"/>
        <s v="SALA TRANSICIÓN NEONATAL"/>
        <s v="SALA PARTO INTEGRAL"/>
        <s v="SALA PREPARACIÓN PACIENTES"/>
        <s v="BODEGA DE EQUIPOS"/>
        <s v="BOX PSICÓLOGO INFANTO JUVENIL"/>
        <s v="SALA DE REHABILITACIÓN INFANTIL"/>
        <s v="OFICINA ASISTENTE SOCIAL PSICOPEDAGOGÍA"/>
        <s v="BOX TERAPEUTA OCUPACIONAL"/>
        <s v="SALA TRABAJO GRUPAL ADULTO"/>
        <s v="OFICINA JEFE SALUD MENTAL AMBULATORIO"/>
        <s v="OFICINA COORDINADOR SALUD MENTAL AMBULATORIO"/>
        <s v="MÓDULO DE TRABAJO PROFESIONALES"/>
        <s v="BOX ENFERMERA SALUD MENTAL"/>
        <s v="BOX PSICÓLOGO ADULTO"/>
        <s v="BOX PSIQUIATRÍA INFANTO JUVENIL"/>
        <s v="BOX ENFERMERA INFANTO JUVENIL"/>
        <s v="BOX PSIQUIATRÍA ADULTO"/>
        <s v="SALA SEGUIMIENTO A ENTREVISTA "/>
        <s v="SALA ENTREVISTA A PACIENTES"/>
        <s v="NIVEL MEDIO MENOR"/>
        <s v="NIVEL MEDIO MAYOR"/>
        <s v="SALA DE EXPANSION NIVEL MEDIO"/>
        <s v="SALA DE EXPANSION SALA CUNA"/>
        <s v="BAÑO FUNCIONARIOS C/VESTIDOR"/>
        <s v="NIVEL SALA CUNA 1"/>
        <s v="NIVEL SALA CUNA 2"/>
        <s v="SALA AMAMANTAMIENTO"/>
        <s v="OFICINA DIRECTORA"/>
        <s v="OFICINA 2 EDUCADORAS"/>
        <s v="SALA CONTROL SALUD"/>
        <s v="SALA MULTIUSO 1"/>
        <s v="VESTUARIO FUNCIONARIOS"/>
        <s v="OFICINA NUTRICIONISTA"/>
        <s v="DISTRIBUCIÓN"/>
        <s v="RECEPCIÓN CARRO Y MATERIAL SUCIO"/>
        <s v="OFICINA JEFE UHCIP"/>
        <s v="SALA DE  ENTREVISTA PACIENTES"/>
        <s v="SALA TALLER"/>
        <s v="SALA DE ATENCIÓN"/>
        <s v="OF.ASISTENTE SOCIAL"/>
        <s v="TRABAJO OTROS PROFESIONALES"/>
        <s v="ACTIVIDADES DE LA VIDA DIARIA C/KITCHENETTE"/>
        <s v="SALA ESTAR COMEDOR"/>
        <s v="TALLER COMPUTACIÓN"/>
        <s v="SALA DE ESPERA ACOGIDA"/>
        <s v="OF. JEFE CR AT. URGENCIA"/>
        <s v="SALA ENTREVISTA FAMILIARES PACIENTES"/>
        <s v="SALA MULTIUSO CON KITCHENETTE"/>
        <s v="COORDINADOR CR AT. URGENCIA"/>
        <s v="SALA CARABINERO C/BAÑO"/>
        <s v="OFICINA MULTIUSO"/>
        <s v="SALA DE OBSERVACIONES (ADULTO)"/>
        <s v="SALA OBSERVACIÓN (INFANTIL)"/>
        <s v="SALA DE ESPERA (ADULTO)"/>
        <s v="SALA DE ESPERA SECUNDARIA (ADULTO)"/>
        <s v="MODULO DE TRABAJO OIRS"/>
        <s v="SOME ADMISIÓN"/>
        <s v="SOME RECAUDACIÓN"/>
        <s v="SALA ENTREVISTA ACOGIDA"/>
        <s v="BOX MATRONA"/>
        <s v="BOX ATENCIÓN MEDICO C/BAÑO Y ECO"/>
        <s v="BOX AT. ACOGIDA C/BAÑO Y DUCHA"/>
        <s v="ESTAR PERSONAL"/>
        <s v="SALA DE OBSERVACIONES"/>
        <s v="SELECTOR DE DEMANDA GINECOLOGÍA"/>
        <s v="SALA (FAST TRACK) MULTIPROPÓSITO"/>
        <s v="SELECTOR DEMANDA ADULTO"/>
        <s v="BOX URGENCIA(1)"/>
        <s v="BOX URGENCIA (2)"/>
        <s v="BOX URGENCIA(3)"/>
        <s v="BOX URGENCIA(4)"/>
        <s v="BOX URGENCIA(5)"/>
        <s v="SALA TRATAMIENTOS TRANSITORIO"/>
        <s v="SELECTOR DE DEMANDA (infantil)"/>
        <s v="BOX URGENCIA (infantil)"/>
        <s v="BOX MONITOREO FETAL C / BAÑO"/>
        <s v="SALA DE PROCEDIMIENTO "/>
        <s v="SALA DE PROCEDIMIENTO (infantil)"/>
        <s v="SALA YESO"/>
        <s v="OFICINA JEFE UTI"/>
        <s v="MÓDULO SUPERVISOR UTI"/>
        <s v="OFICINA COORDINADOR UTI"/>
        <s v="CENTRAL DE MONITOREO"/>
        <s v="SALA AISLAMIENTO"/>
        <s v="DUCHAS FUNCIONARIOS (mujeres)"/>
        <s v="SALA LOCKERS FUNCIONARIOS (mujeres)"/>
        <s v="SALA LOCKERS FUNCIONARIOS (hombres)"/>
        <s v="DUCHAS FUNCIONARIOS (hombres)"/>
        <s v="ÁREA DESPACHO (carros e insumos)"/>
        <s v="ÁREA DE RECEPCIÓN DE CARROS"/>
        <s v="CAJA FUERTE"/>
        <s v="ÁREA DE LAVADO"/>
        <s v="PREPARACIÓN FRUTAS Y VERDURAS"/>
        <s v="PREPARACIÓN TUBÉRCULOS Y PAPAS"/>
        <s v="PREPARACIÓN DE CARNES Y PESCADOS"/>
        <s v="ÁREA ARMADO DESAYUNOS, POSTRES Y COLACIONES"/>
        <s v="ESPACIO 1 CARRO TRANSPORTE INSUMOS"/>
        <s v="E. CARROS SUCIOS"/>
        <s v="BODEGA DE INSUMOS (SUEROS Y OTROS)"/>
        <s v="BODEGA DE INSUMOS Y SOLUCIONES"/>
        <s v="BODEGA DE SOLUCIONES TOXICAS"/>
        <s v="PREPARACIÓN Y EMPAQUE INSTRUMENTAL"/>
        <s v="TALLER DE ÓRTESIS (MUEBLE)"/>
        <s v="BODEGA DE INSUMOS CLÍNICOS"/>
        <s v="LACTARIO"/>
        <s v="BODEGA ACTIVA MEDICAMENTOS"/>
        <s v="BODEGA ACTIVA DE INSUMOS Y SOLUCIONES ANTISÉPTICAS"/>
        <s v="SALA DE PREPARACIÓN DE INSUMOS"/>
        <s v="SALA EXAMENES RECIÉN NACIDO"/>
        <s v="SALA REANIMACIÓN NEONATAL"/>
        <s v="BOX REANIMACIÓN INFANTIL"/>
        <s v="Oratorio Ecumenico"/>
        <s v="GIMNASIO ADULTO REHABILITACIÓN CARDIOVASCULAR"/>
        <s v="GIMNASIO TERAPIA OCUPACIONAL PEDIATRICO"/>
        <s v="TALLER DE COCINA"/>
        <s v="BOX REANIMACIÓN ADULTO"/>
        <s v="RESIDENCIA DOBLE"/>
        <s v="RESIDENCIA"/>
        <s v="BODEGA CATÁSTROFES ( Mesa Plegable Rectangular)"/>
      </sharedItems>
    </cacheField>
    <cacheField name="Recinto según Zonificación ( Anexo H)" numFmtId="0">
      <sharedItems/>
    </cacheField>
    <cacheField name="Servicio" numFmtId="0">
      <sharedItems count="39">
        <s v="Abastecimiento"/>
        <s v="Administración y apoyo general"/>
        <s v="Auditorio"/>
        <s v="Biblioteca"/>
        <s v="Cafetería"/>
        <s v="Central de Alimentación "/>
        <s v="Chile Crece Contigo"/>
        <s v="Circulación Rehabilitación"/>
        <s v="Cirugía menor"/>
        <s v="Comedor para funcionarios y público"/>
        <s v="Consultas Ambulatorias"/>
        <s v="Consultas medicas generales"/>
        <s v="Contabilidad"/>
        <s v="Cuidados Paliativos"/>
        <s v="Diálisis"/>
        <s v="Esterilización"/>
        <s v="Exterior portería"/>
        <s v="Farmacia"/>
        <s v="Hospital de día"/>
        <s v="Hospitalización"/>
        <s v="Imagenología"/>
        <s v="Laboratorio"/>
        <s v="Laboratorio UMT"/>
        <s v="Lavandería"/>
        <s v="Mantenimiento"/>
        <s v="Med física y rehabilitación"/>
        <s v="Morgue"/>
        <s v="Neonatología"/>
        <s v="Odontología"/>
        <s v="Pabellones"/>
        <s v="Parto Integral"/>
        <s v="Psiquiatría"/>
        <s v="Sala Cuna"/>
        <s v="SEDILE"/>
        <s v="Telemedicina"/>
        <s v="UHCIP"/>
        <s v="Urgencia"/>
        <s v="UTI"/>
        <s v="Vestuario"/>
      </sharedItems>
    </cacheField>
    <cacheField name="Piso" numFmtId="1">
      <sharedItems containsSemiMixedTypes="0" containsString="0" containsNumber="1" containsInteger="1" minValue="-1" maxValue="7" count="8">
        <n v="1"/>
        <n v="5"/>
        <n v="4"/>
        <n v="3"/>
        <n v="6"/>
        <n v="7"/>
        <n v="2"/>
        <n v="-1" u="1"/>
      </sharedItems>
    </cacheField>
    <cacheField name="Familia" numFmtId="0">
      <sharedItems count="4">
        <s v="Silla"/>
        <s v="Mesa"/>
        <s v="Otro"/>
        <s v="Mobiliario"/>
      </sharedItems>
    </cacheField>
    <cacheField name="Tipo Equipo/ Mobiliario" numFmtId="1">
      <sharedItems containsMixedTypes="1" containsNumber="1" containsInteger="1" minValue="201002" maxValue="204022" count="80">
        <s v="204002A"/>
        <s v="204002C"/>
        <s v="201011A"/>
        <s v="203016A"/>
        <n v="204020"/>
        <s v="204006C"/>
        <s v="204006A"/>
        <n v="204010"/>
        <n v="204012"/>
        <n v="204013"/>
        <s v="201001B"/>
        <s v="201001A"/>
        <s v="204002D"/>
        <n v="201002"/>
        <n v="201004"/>
        <n v="201008"/>
        <n v="201010"/>
        <n v="204009"/>
        <n v="204011"/>
        <n v="204014"/>
        <n v="201009"/>
        <s v="204002B"/>
        <s v="201001C"/>
        <s v="201001D"/>
        <s v="203016B"/>
        <n v="204015"/>
        <n v="202001"/>
        <n v="204001"/>
        <n v="203022"/>
        <n v="202008"/>
        <n v="202009"/>
        <n v="203014"/>
        <n v="201003"/>
        <n v="201005"/>
        <n v="203015"/>
        <n v="202012"/>
        <n v="203018"/>
        <n v="204003"/>
        <n v="204005"/>
        <n v="204019"/>
        <n v="204007"/>
        <n v="202006"/>
        <n v="203004"/>
        <n v="203005"/>
        <n v="203006"/>
        <n v="203007"/>
        <n v="203008"/>
        <n v="203009"/>
        <n v="202013"/>
        <n v="202002"/>
        <n v="202003"/>
        <n v="202007"/>
        <n v="203003"/>
        <n v="202010"/>
        <n v="203002"/>
        <n v="203020"/>
        <n v="203012"/>
        <n v="203013"/>
        <n v="203011"/>
        <n v="203001"/>
        <s v="203010A"/>
        <s v="203010B"/>
        <s v="201001E"/>
        <n v="204022"/>
        <n v="204021"/>
        <n v="204016"/>
        <n v="202014"/>
        <n v="201007"/>
        <n v="203021"/>
        <n v="203019"/>
        <n v="202004"/>
        <n v="201012"/>
        <n v="204004"/>
        <n v="204018"/>
        <n v="204008"/>
        <n v="202005"/>
        <n v="204017"/>
        <n v="201006"/>
        <s v="201011B"/>
        <s v="204006B"/>
      </sharedItems>
    </cacheField>
    <cacheField name="T E/M" numFmtId="1">
      <sharedItems containsString="0" containsBlank="1" containsNumber="1" containsInteger="1" minValue="1" maxValue="1"/>
    </cacheField>
    <cacheField name="019CD (SI/NO)" numFmtId="0">
      <sharedItems containsNonDate="0" containsString="0" containsBlank="1"/>
    </cacheField>
    <cacheField name="Nombre " numFmtId="0">
      <sharedItems count="80">
        <s v="Banca Madera_A"/>
        <s v="Banca Madera_C"/>
        <s v="Mesa Tipo Casino Circular"/>
        <s v="Mueble Tipo Biblioteca M45_A"/>
        <s v="Silla Butaca Espera 3 Cuerpos"/>
        <s v="Silla Ergonómica"/>
        <s v="Silla Ergonómica Reforzada"/>
        <s v="Silla tipo Casino"/>
        <s v="Silla Visita"/>
        <s v="Sillón 1 Cuerpo"/>
        <s v="Escritorio en L administrativo"/>
        <s v="Escritorio simple 120x70 cm"/>
        <s v="Banca Madera_D"/>
        <s v="Mesa Lateral"/>
        <s v="Mesa Párvulo Tipo I"/>
        <s v="Mesa Reuniones Tipo I"/>
        <s v="Mesa Reuniones Tipo III"/>
        <s v="Silla Párvulo"/>
        <s v="Silla Tipo Universitaria"/>
        <s v="Sillón 2 Cuerpo"/>
        <s v="Mesa Reuniones Tipo II"/>
        <s v="Banca Madera_B"/>
        <s v="Escritorio de Consultas"/>
        <s v="Escritorio simple 130x70 cm"/>
        <s v="Mueble Tipo Biblioteca M45_B"/>
        <s v="Sillón Bergere"/>
        <s v="Atril graduable"/>
        <s v="Banca "/>
        <s v="Contenedor"/>
        <s v="Cuna Alta"/>
        <s v="Cuna Baja"/>
        <s v="Librero"/>
        <s v="Mesa Párvulo Inclusión"/>
        <s v="Mesa Párvulo Tipo II"/>
        <s v="Mueble Arrimo"/>
        <s v="Mueble Locker"/>
        <s v="Perchero"/>
        <s v="Silla Adulto"/>
        <s v="Silla Bacinica"/>
        <s v="Silla de Apoyo Hora de Ingesta"/>
        <s v="Silla Lactante"/>
        <s v="Cama Apilable"/>
        <s v="Carro de transporte alto"/>
        <s v="Carro de Transporte cajas plásticas"/>
        <s v="Carro de transporte pallet"/>
        <s v="Carro dual dos ruedas"/>
        <s v="Carro metálico"/>
        <s v="Carro plataforma de carga"/>
        <s v="Pallet"/>
        <s v="Caja Fuerte Tipo I"/>
        <s v="Caja Fuerte Tipo II"/>
        <s v="Carro de Carga"/>
        <s v="Carro de Transporte"/>
        <s v="Escalera Tijera"/>
        <s v="Carro Bandejero"/>
        <s v="Soporte de rollo doble"/>
        <s v="Juego Taca - Taca"/>
        <s v="Juego Tenis de Mesa"/>
        <s v="Estación de órtesis metálica"/>
        <s v="Adaptador de llaves"/>
        <s v="Colchoneta Reposo A"/>
        <s v="Colchoneta Reposo B"/>
        <s v="Punto de registro clínico"/>
        <s v="Banca Ecuménica"/>
        <s v="Podio Ecuménico"/>
        <s v="Sillón Tipo Poltrona"/>
        <s v="Pódium"/>
        <s v="Mesa Reuniones Plegable"/>
        <s v="Velador"/>
        <s v="Pizarra Acrílica"/>
        <s v="Cama 1 1/2 Plaza"/>
        <s v="Mesa Trabajo Individual"/>
        <s v="Silla Apilable de Base Ancha"/>
        <s v="Silla Alta Cafetería"/>
        <s v="Silla Nido"/>
        <s v="Cama 1 Plaza"/>
        <s v="Tarima"/>
        <s v="Mesa Plegable"/>
        <s v="Mesa Tipo Casino Redonda 90 cm"/>
        <s v="Taburete con Ruedas sin Respaldo"/>
      </sharedItems>
    </cacheField>
    <cacheField name="Cantidad" numFmtId="0">
      <sharedItems containsSemiMixedTypes="0" containsString="0" containsNumber="1" containsInteger="1" minValue="1" maxValue="240" count="23">
        <n v="1"/>
        <n v="4"/>
        <n v="2"/>
        <n v="3"/>
        <n v="5"/>
        <n v="25"/>
        <n v="6"/>
        <n v="15"/>
        <n v="10"/>
        <n v="20"/>
        <n v="12"/>
        <n v="8"/>
        <n v="16"/>
        <n v="32"/>
        <n v="56"/>
        <n v="240"/>
        <n v="9"/>
        <n v="35"/>
        <n v="13"/>
        <n v="18"/>
        <n v="7"/>
        <n v="14"/>
        <n v="11"/>
      </sharedItems>
    </cacheField>
    <cacheField name="Plan de Adquisición" numFmtId="3">
      <sharedItems containsString="0" containsBlank="1" containsNumber="1" containsInteger="1" minValue="1" maxValue="3"/>
    </cacheField>
    <cacheField name="Plan de Instalación" numFmtId="3">
      <sharedItems containsString="0" containsBlank="1" containsNumber="1" containsInteger="1" minValue="1" maxValue="1"/>
    </cacheField>
    <cacheField name="Proveedor Adjudicado" numFmtId="0">
      <sharedItems count="4">
        <s v="MELMAN SPA"/>
        <s v="ALLMEDICA"/>
        <s v="COMERCIAL HAGELIN "/>
        <s v="SIN ADJUDICAR"/>
      </sharedItems>
    </cacheField>
    <cacheField name="N° CNO" numFmtId="0">
      <sharedItems containsBlank="1"/>
    </cacheField>
    <cacheField name="Nº ORDEN DE COMPRA" numFmtId="0">
      <sharedItems containsBlank="1"/>
    </cacheField>
    <cacheField name="Fecha Recinto Terminado V3" numFmtId="164">
      <sharedItems containsSemiMixedTypes="0" containsNonDate="0" containsDate="1" containsString="0" minDate="2026-04-30T00:00:00" maxDate="2026-08-01T00:00:00"/>
    </cacheField>
    <cacheField name="Fecha Instalacion Equipos (columna solo para formula)" numFmtId="164">
      <sharedItems containsNonDate="0" containsDate="1" containsString="0" containsBlank="1" minDate="2026-05-29T00:00:00" maxDate="2026-05-30T00:00:00"/>
    </cacheField>
    <cacheField name="INICIO" numFmtId="164">
      <sharedItems containsSemiMixedTypes="0" containsNonDate="0" containsDate="1" containsString="0" minDate="2026-05-04T00:00:00" maxDate="2026-08-04T00:00:00" count="5">
        <d v="2026-07-01T00:00:00"/>
        <d v="2026-07-17T00:00:00"/>
        <d v="2026-08-03T00:00:00"/>
        <d v="2026-06-01T00:00:00"/>
        <d v="2026-05-04T00:00:00"/>
      </sharedItems>
      <fieldGroup par="37"/>
    </cacheField>
    <cacheField name="Duración (días hábiles)" numFmtId="0">
      <sharedItems containsSemiMixedTypes="0" containsString="0" containsNumber="1" containsInteger="1" minValue="2" maxValue="30"/>
    </cacheField>
    <cacheField name="TERMINO" numFmtId="164">
      <sharedItems containsSemiMixedTypes="0" containsNonDate="0" containsDate="1" containsString="0" minDate="2026-06-03T00:00:00" maxDate="2026-09-15T00:00:00" count="18">
        <d v="2026-07-08T00:00:00"/>
        <d v="2026-07-09T00:00:00"/>
        <d v="2026-08-13T00:00:00"/>
        <d v="2026-07-24T00:00:00"/>
        <d v="2026-08-10T00:00:00"/>
        <d v="2026-07-27T00:00:00"/>
        <d v="2026-08-11T00:00:00"/>
        <d v="2026-08-28T00:00:00"/>
        <d v="2026-09-14T00:00:00"/>
        <d v="2026-07-14T00:00:00"/>
        <d v="2026-06-08T00:00:00"/>
        <d v="2026-06-16T00:00:00"/>
        <d v="2026-07-15T00:00:00"/>
        <d v="2026-07-23T00:00:00"/>
        <d v="2026-07-31T00:00:00"/>
        <d v="2026-07-03T00:00:00"/>
        <d v="2026-07-21T00:00:00"/>
        <d v="2026-06-03T00:00:00"/>
      </sharedItems>
      <fieldGroup par="39"/>
    </cacheField>
    <cacheField name="CERTIFICACIÓN DE REQUERIMIENTOS TÉCNICOS PARA EL RECINTO DE INSTALACIÓN" numFmtId="14">
      <sharedItems containsSemiMixedTypes="0" containsNonDate="0" containsDate="1" containsString="0" minDate="2026-04-30T00:00:00" maxDate="2026-08-01T00:00:00"/>
    </cacheField>
    <cacheField name="ACTUALIZACIÓN DE PLANOS DE ESPECIALIDADES" numFmtId="14">
      <sharedItems containsSemiMixedTypes="0" containsNonDate="0" containsDate="1" containsString="0" minDate="2027-01-07T00:00:00" maxDate="2027-01-08T00:00:00"/>
    </cacheField>
    <cacheField name="PRUEBAS DE ACEPTACIÓN" numFmtId="164">
      <sharedItems containsSemiMixedTypes="0" containsNonDate="0" containsDate="1" containsString="0" minDate="2026-06-04T00:00:00" maxDate="2026-09-16T00:00:00"/>
    </cacheField>
    <cacheField name="ENTREGA DE MANUALES TÉCNICOS Y DE OPERACIÓN" numFmtId="14">
      <sharedItems containsSemiMixedTypes="0" containsNonDate="0" containsDate="1" containsString="0" minDate="2026-06-03T00:00:00" maxDate="2026-09-15T00:00:00"/>
    </cacheField>
    <cacheField name="COORDINACIÓN CON OTROS SERVICIOS DE LA CONCESIÓN" numFmtId="14">
      <sharedItems containsSemiMixedTypes="0" containsNonDate="0" containsDate="1" containsString="0" minDate="2026-08-20T00:00:00" maxDate="2026-08-21T00:00:00"/>
    </cacheField>
    <cacheField name="SEREMI EMMC (días habiles)" numFmtId="14">
      <sharedItems/>
    </cacheField>
    <cacheField name="ANTECEDENTES PARA LA OBTENCIÓN DE OTROS PERMISOS" numFmtId="14">
      <sharedItems containsSemiMixedTypes="0" containsNonDate="0" containsDate="1" containsString="0" minDate="2026-07-31T00:00:00" maxDate="2026-08-01T00:00:00"/>
    </cacheField>
    <cacheField name="PLAN DE ENTRENAMIENTO APLICA (SI/IU)" numFmtId="0">
      <sharedItems/>
    </cacheField>
    <cacheField name="COTEJO DE CUMPLIMIENTO DE EETT" numFmtId="14">
      <sharedItems containsSemiMixedTypes="0" containsNonDate="0" containsDate="1" containsString="0" minDate="2026-06-04T00:00:00" maxDate="2026-09-16T00:00:00"/>
    </cacheField>
    <cacheField name="PRUEBAS IF (días habiles)" numFmtId="0">
      <sharedItems containsSemiMixedTypes="0" containsString="0" containsNumber="1" containsInteger="1" minValue="5" maxValue="5"/>
    </cacheField>
    <cacheField name="FECHA PRUEBAS IF " numFmtId="164">
      <sharedItems containsSemiMixedTypes="0" containsNonDate="0" containsDate="1" containsString="0" minDate="2026-06-11T00:00:00" maxDate="2026-09-24T00:00:00"/>
    </cacheField>
    <cacheField name="Recepción Conforme IF (días hábiles)" numFmtId="0">
      <sharedItems containsSemiMixedTypes="0" containsString="0" containsNumber="1" containsInteger="1" minValue="0" maxValue="5"/>
    </cacheField>
    <cacheField name="Fecha de Recepción Conforme" numFmtId="14">
      <sharedItems containsSemiMixedTypes="0" containsNonDate="0" containsDate="1" containsString="0" minDate="2026-06-18T00:00:00" maxDate="2026-10-01T00:00:00"/>
    </cacheField>
    <cacheField name="Días (INICIO)" numFmtId="0" databaseField="0">
      <fieldGroup base="20">
        <rangePr groupBy="days" startDate="2026-05-04T00:00:00" endDate="2026-08-04T00:00:00"/>
        <groupItems count="368">
          <s v="&lt;04/05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4/08/2026"/>
        </groupItems>
      </fieldGroup>
    </cacheField>
    <cacheField name="Meses (INICIO)" numFmtId="0" databaseField="0">
      <fieldGroup base="20">
        <rangePr groupBy="months" startDate="2026-05-04T00:00:00" endDate="2026-08-04T00:00:00"/>
        <groupItems count="14">
          <s v="&lt;04/05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4/08/2026"/>
        </groupItems>
      </fieldGroup>
    </cacheField>
    <cacheField name="Días (TERMINO)" numFmtId="0" databaseField="0">
      <fieldGroup base="22">
        <rangePr groupBy="days" startDate="2026-06-03T00:00:00" endDate="2026-09-15T00:00:00"/>
        <groupItems count="368">
          <s v="&lt;03/06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09/2026"/>
        </groupItems>
      </fieldGroup>
    </cacheField>
    <cacheField name="Meses (TERMINO)" numFmtId="0" databaseField="0">
      <fieldGroup base="22">
        <rangePr groupBy="months" startDate="2026-06-03T00:00:00" endDate="2026-09-15T00:00:00"/>
        <groupItems count="14">
          <s v="&lt;03/06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9/2026"/>
        </groupItems>
      </fieldGroup>
    </cacheField>
  </cacheFields>
  <extLst>
    <ext xmlns:x14="http://schemas.microsoft.com/office/spreadsheetml/2009/9/main" uri="{725AE2AE-9491-48be-B2B4-4EB974FC3084}">
      <x14:pivotCacheDefinition pivotCacheId="3797912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8">
  <r>
    <s v="HSLB15451"/>
    <x v="0"/>
    <x v="0"/>
    <x v="0"/>
    <s v="NC-Áreas de Servicios Generales"/>
    <x v="0"/>
    <x v="0"/>
    <x v="0"/>
    <x v="0"/>
    <m/>
    <m/>
    <x v="0"/>
    <x v="0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31"/>
    <x v="0"/>
    <x v="1"/>
    <x v="0"/>
    <s v="NC-Áreas de Servicios Generales"/>
    <x v="0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33"/>
    <x v="0"/>
    <x v="2"/>
    <x v="1"/>
    <s v="NC-Otros Servicios Adyacentes"/>
    <x v="0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88"/>
    <x v="0"/>
    <x v="3"/>
    <x v="2"/>
    <s v="NC-Áreas de Servicios Generales"/>
    <x v="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89"/>
    <x v="0"/>
    <x v="4"/>
    <x v="3"/>
    <s v="NC-Áreas de Servicios Generales"/>
    <x v="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90"/>
    <x v="0"/>
    <x v="5"/>
    <x v="4"/>
    <s v="NC-Áreas de Servicios Generales"/>
    <x v="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50"/>
    <x v="0"/>
    <x v="6"/>
    <x v="5"/>
    <s v="NC-Áreas de Servicios Generales"/>
    <x v="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516"/>
    <x v="0"/>
    <x v="6"/>
    <x v="5"/>
    <s v="NC-Áreas de Servicios Generales"/>
    <x v="0"/>
    <x v="0"/>
    <x v="0"/>
    <x v="4"/>
    <m/>
    <m/>
    <x v="4"/>
    <x v="0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9"/>
    <x v="0"/>
    <x v="4"/>
    <x v="3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10"/>
    <x v="0"/>
    <x v="6"/>
    <x v="5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11"/>
    <x v="0"/>
    <x v="5"/>
    <x v="4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12"/>
    <x v="0"/>
    <x v="7"/>
    <x v="6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3"/>
    <x v="0"/>
    <x v="8"/>
    <x v="7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4"/>
    <x v="0"/>
    <x v="9"/>
    <x v="8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5"/>
    <x v="0"/>
    <x v="10"/>
    <x v="9"/>
    <s v="NC-Áreas de Servicios Generales"/>
    <x v="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8"/>
    <x v="0"/>
    <x v="3"/>
    <x v="2"/>
    <s v="NC-Áreas de Servicios Generales"/>
    <x v="0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8"/>
    <x v="0"/>
    <x v="2"/>
    <x v="1"/>
    <s v="NC-Otros Servicios Adyacentes"/>
    <x v="0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7"/>
    <x v="0"/>
    <x v="3"/>
    <x v="2"/>
    <s v="NC-Áreas de Servicios Generales"/>
    <x v="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9"/>
    <x v="0"/>
    <x v="4"/>
    <x v="3"/>
    <s v="NC-Áreas de Servicios Generales"/>
    <x v="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00"/>
    <x v="0"/>
    <x v="5"/>
    <x v="4"/>
    <s v="NC-Áreas de Servicios Generales"/>
    <x v="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66"/>
    <x v="0"/>
    <x v="6"/>
    <x v="5"/>
    <s v="NC-Áreas de Servicios Generales"/>
    <x v="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5"/>
    <x v="0"/>
    <x v="2"/>
    <x v="1"/>
    <s v="NC-Otros Servicios Adyacentes"/>
    <x v="0"/>
    <x v="0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246"/>
    <x v="0"/>
    <x v="3"/>
    <x v="2"/>
    <s v="NC-Áreas de Servicios Generales"/>
    <x v="0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7"/>
    <x v="0"/>
    <x v="4"/>
    <x v="3"/>
    <s v="NC-Áreas de Servicios Generales"/>
    <x v="0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8"/>
    <x v="0"/>
    <x v="5"/>
    <x v="4"/>
    <s v="NC-Áreas de Servicios Generales"/>
    <x v="0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34"/>
    <x v="0"/>
    <x v="11"/>
    <x v="10"/>
    <s v="CN-Otros Servicios Adyacentes"/>
    <x v="1"/>
    <x v="1"/>
    <x v="0"/>
    <x v="12"/>
    <m/>
    <m/>
    <x v="12"/>
    <x v="0"/>
    <n v="1"/>
    <n v="1"/>
    <x v="0"/>
    <s v="HBP-MNC-115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289"/>
    <x v="0"/>
    <x v="12"/>
    <x v="11"/>
    <s v="CN-Otros Servicios Adyacentes"/>
    <x v="1"/>
    <x v="1"/>
    <x v="1"/>
    <x v="13"/>
    <m/>
    <m/>
    <x v="13"/>
    <x v="3"/>
    <n v="1"/>
    <n v="1"/>
    <x v="0"/>
    <s v="HBP-MNC-09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294"/>
    <x v="0"/>
    <x v="13"/>
    <x v="11"/>
    <s v="CN-Otros Servicios Adyacentes"/>
    <x v="1"/>
    <x v="1"/>
    <x v="1"/>
    <x v="13"/>
    <m/>
    <m/>
    <x v="13"/>
    <x v="2"/>
    <n v="1"/>
    <n v="1"/>
    <x v="0"/>
    <s v="HBP-MNC-09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295"/>
    <x v="0"/>
    <x v="14"/>
    <x v="12"/>
    <s v="CN-Otros Servicios Adyacentes"/>
    <x v="1"/>
    <x v="1"/>
    <x v="1"/>
    <x v="13"/>
    <m/>
    <m/>
    <x v="13"/>
    <x v="0"/>
    <n v="1"/>
    <n v="1"/>
    <x v="0"/>
    <s v="HBP-MNC-09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296"/>
    <x v="0"/>
    <x v="15"/>
    <x v="11"/>
    <s v="CN-Otros Servicios Adyacentes"/>
    <x v="1"/>
    <x v="2"/>
    <x v="1"/>
    <x v="13"/>
    <m/>
    <m/>
    <x v="13"/>
    <x v="4"/>
    <n v="1"/>
    <n v="1"/>
    <x v="0"/>
    <s v="HBP-MNC-09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297"/>
    <x v="0"/>
    <x v="16"/>
    <x v="12"/>
    <s v="CN-Otros Servicios Adyacentes"/>
    <x v="1"/>
    <x v="2"/>
    <x v="1"/>
    <x v="13"/>
    <m/>
    <m/>
    <x v="13"/>
    <x v="0"/>
    <n v="1"/>
    <n v="1"/>
    <x v="0"/>
    <s v="HBP-MNC-09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05"/>
    <x v="0"/>
    <x v="17"/>
    <x v="13"/>
    <s v="CN-Otros Servicios Adyacentes"/>
    <x v="1"/>
    <x v="1"/>
    <x v="1"/>
    <x v="14"/>
    <m/>
    <m/>
    <x v="14"/>
    <x v="0"/>
    <n v="1"/>
    <n v="1"/>
    <x v="0"/>
    <s v="HBP-MNC-09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0"/>
    <x v="0"/>
    <x v="18"/>
    <x v="14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1"/>
    <x v="0"/>
    <x v="19"/>
    <x v="15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2"/>
    <x v="0"/>
    <x v="20"/>
    <x v="16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4"/>
    <x v="0"/>
    <x v="21"/>
    <x v="17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5"/>
    <x v="0"/>
    <x v="22"/>
    <x v="18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7"/>
    <x v="0"/>
    <x v="23"/>
    <x v="19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28"/>
    <x v="0"/>
    <x v="24"/>
    <x v="20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43"/>
    <x v="0"/>
    <x v="17"/>
    <x v="13"/>
    <s v="CN-Otros Servicios Adyacentes"/>
    <x v="1"/>
    <x v="1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44"/>
    <x v="0"/>
    <x v="25"/>
    <x v="21"/>
    <s v="CN-Otros Servicios Adyacentes"/>
    <x v="1"/>
    <x v="2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51"/>
    <x v="0"/>
    <x v="26"/>
    <x v="22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59"/>
    <x v="0"/>
    <x v="27"/>
    <x v="23"/>
    <s v="NC-Áreas de Servicios Generales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61"/>
    <x v="0"/>
    <x v="28"/>
    <x v="24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63"/>
    <x v="0"/>
    <x v="29"/>
    <x v="25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213"/>
    <x v="0"/>
    <x v="30"/>
    <x v="26"/>
    <s v="CN-Otros Servicios Adyacentes"/>
    <x v="1"/>
    <x v="1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276"/>
    <x v="0"/>
    <x v="31"/>
    <x v="27"/>
    <s v="NC-Áreas Administrativas en General"/>
    <x v="1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42"/>
    <x v="0"/>
    <x v="32"/>
    <x v="28"/>
    <s v="CN-Pensionado"/>
    <x v="1"/>
    <x v="1"/>
    <x v="1"/>
    <x v="16"/>
    <n v="1"/>
    <m/>
    <x v="16"/>
    <x v="0"/>
    <n v="1"/>
    <n v="1"/>
    <x v="0"/>
    <s v="HBP-MNC-098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86"/>
    <x v="0"/>
    <x v="33"/>
    <x v="29"/>
    <s v="NC-Otros Servicios Adyacentes"/>
    <x v="1"/>
    <x v="3"/>
    <x v="1"/>
    <x v="16"/>
    <m/>
    <m/>
    <x v="16"/>
    <x v="0"/>
    <n v="1"/>
    <n v="1"/>
    <x v="0"/>
    <s v="HBP-MNC-098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90"/>
    <x v="0"/>
    <x v="34"/>
    <x v="30"/>
    <s v="NC-Otros Servicios Adyacentes"/>
    <x v="1"/>
    <x v="3"/>
    <x v="1"/>
    <x v="16"/>
    <m/>
    <m/>
    <x v="16"/>
    <x v="0"/>
    <n v="1"/>
    <n v="1"/>
    <x v="0"/>
    <s v="HBP-MNC-098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92"/>
    <x v="0"/>
    <x v="35"/>
    <x v="31"/>
    <s v="NC-Otros Servicios Adyacentes"/>
    <x v="1"/>
    <x v="3"/>
    <x v="1"/>
    <x v="16"/>
    <m/>
    <m/>
    <x v="16"/>
    <x v="0"/>
    <n v="1"/>
    <n v="1"/>
    <x v="0"/>
    <s v="HBP-MNC-098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93"/>
    <x v="0"/>
    <x v="36"/>
    <x v="32"/>
    <s v="NC-Otros Servicios Adyacentes"/>
    <x v="1"/>
    <x v="3"/>
    <x v="1"/>
    <x v="16"/>
    <m/>
    <m/>
    <x v="16"/>
    <x v="0"/>
    <n v="1"/>
    <n v="1"/>
    <x v="0"/>
    <s v="HBP-MNC-098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4576"/>
    <x v="0"/>
    <x v="17"/>
    <x v="13"/>
    <s v="CN-Otros Servicios Adyacentes"/>
    <x v="1"/>
    <x v="1"/>
    <x v="0"/>
    <x v="17"/>
    <m/>
    <m/>
    <x v="17"/>
    <x v="1"/>
    <n v="1"/>
    <n v="1"/>
    <x v="0"/>
    <s v="HBP-MNC-120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260"/>
    <x v="0"/>
    <x v="37"/>
    <x v="10"/>
    <s v="CN-Otros Servicios Adyacentes"/>
    <x v="1"/>
    <x v="4"/>
    <x v="0"/>
    <x v="0"/>
    <m/>
    <m/>
    <x v="0"/>
    <x v="0"/>
    <n v="1"/>
    <n v="1"/>
    <x v="0"/>
    <s v="HBP-MNC-112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5448"/>
    <x v="0"/>
    <x v="38"/>
    <x v="10"/>
    <s v="CN-Otros Servicios Adyacentes"/>
    <x v="1"/>
    <x v="5"/>
    <x v="0"/>
    <x v="0"/>
    <m/>
    <m/>
    <x v="0"/>
    <x v="0"/>
    <n v="1"/>
    <n v="1"/>
    <x v="0"/>
    <s v="HBP-MNC-112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290"/>
    <x v="0"/>
    <x v="39"/>
    <x v="11"/>
    <s v="CN-Otros Servicios Adyacentes"/>
    <x v="1"/>
    <x v="5"/>
    <x v="1"/>
    <x v="13"/>
    <m/>
    <m/>
    <x v="13"/>
    <x v="4"/>
    <n v="1"/>
    <n v="1"/>
    <x v="0"/>
    <s v="HBP-MNC-092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291"/>
    <x v="0"/>
    <x v="40"/>
    <x v="12"/>
    <s v="CN-Otros Servicios Adyacentes"/>
    <x v="1"/>
    <x v="5"/>
    <x v="1"/>
    <x v="13"/>
    <m/>
    <m/>
    <x v="13"/>
    <x v="2"/>
    <n v="1"/>
    <n v="1"/>
    <x v="0"/>
    <s v="HBP-MNC-092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292"/>
    <x v="0"/>
    <x v="41"/>
    <x v="11"/>
    <s v="CN-Otros Servicios Adyacentes"/>
    <x v="1"/>
    <x v="4"/>
    <x v="1"/>
    <x v="13"/>
    <m/>
    <m/>
    <x v="13"/>
    <x v="4"/>
    <n v="1"/>
    <n v="1"/>
    <x v="0"/>
    <s v="HBP-MNC-092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293"/>
    <x v="0"/>
    <x v="42"/>
    <x v="12"/>
    <s v="CN-Otros Servicios Adyacentes"/>
    <x v="1"/>
    <x v="4"/>
    <x v="1"/>
    <x v="13"/>
    <m/>
    <m/>
    <x v="13"/>
    <x v="2"/>
    <n v="1"/>
    <n v="1"/>
    <x v="0"/>
    <s v="HBP-MNC-092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389"/>
    <x v="0"/>
    <x v="43"/>
    <x v="30"/>
    <s v="CM-Otros Servicios Adyacentes"/>
    <x v="1"/>
    <x v="4"/>
    <x v="1"/>
    <x v="16"/>
    <m/>
    <m/>
    <x v="16"/>
    <x v="0"/>
    <n v="1"/>
    <n v="1"/>
    <x v="0"/>
    <s v="HBP-MNC-098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405"/>
    <x v="0"/>
    <x v="40"/>
    <x v="12"/>
    <s v="CN-Otros Servicios Adyacentes"/>
    <x v="1"/>
    <x v="5"/>
    <x v="1"/>
    <x v="2"/>
    <m/>
    <m/>
    <x v="2"/>
    <x v="0"/>
    <n v="1"/>
    <n v="1"/>
    <x v="0"/>
    <s v="HBP-MNC-099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408"/>
    <x v="0"/>
    <x v="42"/>
    <x v="12"/>
    <s v="CN-Otros Servicios Adyacentes"/>
    <x v="1"/>
    <x v="4"/>
    <x v="1"/>
    <x v="2"/>
    <m/>
    <m/>
    <x v="2"/>
    <x v="0"/>
    <n v="1"/>
    <n v="1"/>
    <x v="0"/>
    <s v="HBP-MNC-099"/>
    <s v="11105DSPA-93-2025"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5230"/>
    <x v="0"/>
    <x v="44"/>
    <x v="33"/>
    <s v="CN-Otros Servicios Adyacentes"/>
    <x v="1"/>
    <x v="1"/>
    <x v="1"/>
    <x v="3"/>
    <n v="1"/>
    <m/>
    <x v="3"/>
    <x v="3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4"/>
    <x v="0"/>
    <x v="45"/>
    <x v="3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5"/>
    <x v="0"/>
    <x v="18"/>
    <x v="1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6"/>
    <x v="0"/>
    <x v="46"/>
    <x v="35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7"/>
    <x v="0"/>
    <x v="47"/>
    <x v="35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8"/>
    <x v="0"/>
    <x v="19"/>
    <x v="15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9"/>
    <x v="0"/>
    <x v="20"/>
    <x v="16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1"/>
    <x v="0"/>
    <x v="21"/>
    <x v="17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2"/>
    <x v="0"/>
    <x v="48"/>
    <x v="36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3"/>
    <x v="0"/>
    <x v="49"/>
    <x v="37"/>
    <s v="NC-Áreas Administrativas en General"/>
    <x v="1"/>
    <x v="3"/>
    <x v="2"/>
    <x v="3"/>
    <m/>
    <m/>
    <x v="3"/>
    <x v="1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4"/>
    <x v="0"/>
    <x v="50"/>
    <x v="38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5"/>
    <x v="0"/>
    <x v="51"/>
    <x v="39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6"/>
    <x v="0"/>
    <x v="52"/>
    <x v="40"/>
    <s v="NC-Áreas Administrativas en General"/>
    <x v="1"/>
    <x v="3"/>
    <x v="2"/>
    <x v="3"/>
    <m/>
    <m/>
    <x v="3"/>
    <x v="3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7"/>
    <x v="0"/>
    <x v="53"/>
    <x v="41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8"/>
    <x v="0"/>
    <x v="54"/>
    <x v="42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29"/>
    <x v="0"/>
    <x v="22"/>
    <x v="18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0"/>
    <x v="0"/>
    <x v="55"/>
    <x v="43"/>
    <s v="NC-Otros Servicios Adyacentes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1"/>
    <x v="0"/>
    <x v="56"/>
    <x v="44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2"/>
    <x v="0"/>
    <x v="57"/>
    <x v="45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3"/>
    <x v="0"/>
    <x v="58"/>
    <x v="46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6"/>
    <x v="0"/>
    <x v="59"/>
    <x v="47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7"/>
    <x v="0"/>
    <x v="23"/>
    <x v="19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8"/>
    <x v="0"/>
    <x v="60"/>
    <x v="48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39"/>
    <x v="0"/>
    <x v="24"/>
    <x v="20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89"/>
    <x v="0"/>
    <x v="30"/>
    <x v="26"/>
    <s v="CN-Otros Servicios Adyacentes"/>
    <x v="1"/>
    <x v="1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0"/>
    <x v="0"/>
    <x v="61"/>
    <x v="33"/>
    <s v="CN-Otros Servicios Adyacentes"/>
    <x v="1"/>
    <x v="1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1"/>
    <x v="0"/>
    <x v="25"/>
    <x v="21"/>
    <s v="CN-Otros Servicios Adyacentes"/>
    <x v="1"/>
    <x v="2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2"/>
    <x v="0"/>
    <x v="62"/>
    <x v="33"/>
    <s v="CN-Otros Servicios Adyacentes"/>
    <x v="1"/>
    <x v="2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3"/>
    <x v="0"/>
    <x v="63"/>
    <x v="49"/>
    <s v="CN-Otros Servicios Adyacentes"/>
    <x v="1"/>
    <x v="2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07"/>
    <x v="0"/>
    <x v="26"/>
    <x v="22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08"/>
    <x v="0"/>
    <x v="64"/>
    <x v="3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09"/>
    <x v="0"/>
    <x v="34"/>
    <x v="30"/>
    <s v="NC-Otros Servicios Adyacentes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48"/>
    <x v="0"/>
    <x v="31"/>
    <x v="27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49"/>
    <x v="0"/>
    <x v="65"/>
    <x v="50"/>
    <s v="NC-Áreas Administrativas en General"/>
    <x v="1"/>
    <x v="3"/>
    <x v="2"/>
    <x v="3"/>
    <m/>
    <m/>
    <x v="3"/>
    <x v="1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50"/>
    <x v="0"/>
    <x v="66"/>
    <x v="51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51"/>
    <x v="0"/>
    <x v="67"/>
    <x v="43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55"/>
    <x v="0"/>
    <x v="68"/>
    <x v="39"/>
    <s v="NC-Áreas de Servicios Generales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56"/>
    <x v="0"/>
    <x v="27"/>
    <x v="23"/>
    <s v="NC-Áreas de Servicios Generales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57"/>
    <x v="0"/>
    <x v="69"/>
    <x v="52"/>
    <s v="NC-Áreas de Servicios Generales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1"/>
    <x v="0"/>
    <x v="70"/>
    <x v="3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3"/>
    <x v="0"/>
    <x v="28"/>
    <x v="2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5"/>
    <x v="0"/>
    <x v="71"/>
    <x v="53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6"/>
    <x v="0"/>
    <x v="72"/>
    <x v="54"/>
    <s v="NC-Áreas Administrativas en General"/>
    <x v="1"/>
    <x v="3"/>
    <x v="2"/>
    <x v="3"/>
    <m/>
    <m/>
    <x v="3"/>
    <x v="1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7"/>
    <x v="0"/>
    <x v="73"/>
    <x v="55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8"/>
    <x v="0"/>
    <x v="74"/>
    <x v="56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79"/>
    <x v="0"/>
    <x v="75"/>
    <x v="57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80"/>
    <x v="0"/>
    <x v="76"/>
    <x v="58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81"/>
    <x v="0"/>
    <x v="77"/>
    <x v="59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82"/>
    <x v="0"/>
    <x v="78"/>
    <x v="60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92"/>
    <x v="0"/>
    <x v="79"/>
    <x v="39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93"/>
    <x v="0"/>
    <x v="29"/>
    <x v="25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94"/>
    <x v="0"/>
    <x v="80"/>
    <x v="3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95"/>
    <x v="0"/>
    <x v="81"/>
    <x v="61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96"/>
    <x v="0"/>
    <x v="82"/>
    <x v="62"/>
    <s v="NC-Áreas Administrativas en General"/>
    <x v="1"/>
    <x v="3"/>
    <x v="2"/>
    <x v="3"/>
    <m/>
    <m/>
    <x v="3"/>
    <x v="4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97"/>
    <x v="0"/>
    <x v="83"/>
    <x v="63"/>
    <s v="NC-Áreas Administrativas en General"/>
    <x v="1"/>
    <x v="3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704"/>
    <x v="0"/>
    <x v="84"/>
    <x v="6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705"/>
    <x v="0"/>
    <x v="85"/>
    <x v="65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706"/>
    <x v="0"/>
    <x v="86"/>
    <x v="34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707"/>
    <x v="0"/>
    <x v="87"/>
    <x v="66"/>
    <s v="NC-Áreas Administrativas en General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5185"/>
    <x v="0"/>
    <x v="33"/>
    <x v="29"/>
    <s v="NC-Otros Servicios Adyacentes"/>
    <x v="1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5222"/>
    <x v="0"/>
    <x v="88"/>
    <x v="67"/>
    <s v="NC-Áreas Administrativas en General"/>
    <x v="1"/>
    <x v="3"/>
    <x v="2"/>
    <x v="3"/>
    <m/>
    <m/>
    <x v="3"/>
    <x v="3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5233"/>
    <x v="0"/>
    <x v="89"/>
    <x v="68"/>
    <s v="CN-Otros Servicios Adyacentes"/>
    <x v="1"/>
    <x v="2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4625"/>
    <x v="0"/>
    <x v="90"/>
    <x v="69"/>
    <s v="NC-Otros Servicios Adyacentes"/>
    <x v="1"/>
    <x v="3"/>
    <x v="0"/>
    <x v="18"/>
    <m/>
    <m/>
    <x v="18"/>
    <x v="5"/>
    <n v="1"/>
    <n v="1"/>
    <x v="0"/>
    <s v="HBP-MNC-122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12"/>
    <x v="0"/>
    <x v="91"/>
    <x v="70"/>
    <s v="NC-Otros Servicios Adyacentes"/>
    <x v="1"/>
    <x v="5"/>
    <x v="2"/>
    <x v="3"/>
    <m/>
    <m/>
    <x v="3"/>
    <x v="3"/>
    <n v="1"/>
    <n v="1"/>
    <x v="0"/>
    <s v="HBP-MNC-107"/>
    <s v="11105DSPA-93-2025"/>
    <d v="2026-07-31T00:00:00"/>
    <m/>
    <x v="2"/>
    <n v="6"/>
    <x v="6"/>
    <d v="2026-07-31T00:00:00"/>
    <d v="2027-01-07T00:00:00"/>
    <d v="2026-08-12T00:00:00"/>
    <d v="2026-08-11T00:00:00"/>
    <d v="2026-08-20T00:00:00"/>
    <s v="NA"/>
    <d v="2026-07-31T00:00:00"/>
    <s v="IU"/>
    <d v="2026-08-12T00:00:00"/>
    <n v="5"/>
    <d v="2026-08-19T00:00:00"/>
    <n v="5"/>
    <d v="2026-08-26T00:00:00"/>
  </r>
  <r>
    <s v="HSLB13583"/>
    <x v="0"/>
    <x v="92"/>
    <x v="71"/>
    <s v="CN-Otros Servicios Adyacentes"/>
    <x v="1"/>
    <x v="4"/>
    <x v="2"/>
    <x v="3"/>
    <m/>
    <m/>
    <x v="3"/>
    <x v="0"/>
    <n v="1"/>
    <n v="1"/>
    <x v="0"/>
    <s v="HBP-MNC-107"/>
    <s v="11105DSPA-93-2025"/>
    <d v="2026-07-31T00:00:00"/>
    <m/>
    <x v="2"/>
    <n v="6"/>
    <x v="6"/>
    <d v="2026-07-31T00:00:00"/>
    <d v="2027-01-07T00:00:00"/>
    <d v="2026-08-12T00:00:00"/>
    <d v="2026-08-11T00:00:00"/>
    <d v="2026-08-20T00:00:00"/>
    <s v="NA"/>
    <d v="2026-07-31T00:00:00"/>
    <s v="IU"/>
    <d v="2026-08-12T00:00:00"/>
    <n v="5"/>
    <d v="2026-08-19T00:00:00"/>
    <n v="5"/>
    <d v="2026-08-26T00:00:00"/>
  </r>
  <r>
    <s v="HSLB13584"/>
    <x v="0"/>
    <x v="93"/>
    <x v="72"/>
    <s v="CN-Otros Servicios Adyacentes"/>
    <x v="1"/>
    <x v="4"/>
    <x v="2"/>
    <x v="3"/>
    <m/>
    <m/>
    <x v="3"/>
    <x v="0"/>
    <n v="1"/>
    <n v="1"/>
    <x v="0"/>
    <s v="HBP-MNC-107"/>
    <s v="11105DSPA-93-2025"/>
    <d v="2026-07-31T00:00:00"/>
    <m/>
    <x v="2"/>
    <n v="6"/>
    <x v="6"/>
    <d v="2026-07-31T00:00:00"/>
    <d v="2027-01-07T00:00:00"/>
    <d v="2026-08-12T00:00:00"/>
    <d v="2026-08-11T00:00:00"/>
    <d v="2026-08-20T00:00:00"/>
    <s v="NA"/>
    <d v="2026-07-31T00:00:00"/>
    <s v="IU"/>
    <d v="2026-08-12T00:00:00"/>
    <n v="5"/>
    <d v="2026-08-19T00:00:00"/>
    <n v="5"/>
    <d v="2026-08-26T00:00:00"/>
  </r>
  <r>
    <s v="HSLB13588"/>
    <x v="0"/>
    <x v="94"/>
    <x v="73"/>
    <s v="CN-Otros Servicios Adyacentes"/>
    <x v="1"/>
    <x v="4"/>
    <x v="2"/>
    <x v="3"/>
    <m/>
    <m/>
    <x v="3"/>
    <x v="0"/>
    <n v="1"/>
    <n v="1"/>
    <x v="0"/>
    <s v="HBP-MNC-107"/>
    <s v="11105DSPA-93-2025"/>
    <d v="2026-07-31T00:00:00"/>
    <m/>
    <x v="2"/>
    <n v="6"/>
    <x v="6"/>
    <d v="2026-07-31T00:00:00"/>
    <d v="2027-01-07T00:00:00"/>
    <d v="2026-08-12T00:00:00"/>
    <d v="2026-08-11T00:00:00"/>
    <d v="2026-08-20T00:00:00"/>
    <s v="NA"/>
    <d v="2026-07-31T00:00:00"/>
    <s v="IU"/>
    <d v="2026-08-12T00:00:00"/>
    <n v="5"/>
    <d v="2026-08-19T00:00:00"/>
    <n v="5"/>
    <d v="2026-08-26T00:00:00"/>
  </r>
  <r>
    <s v="HSLB15231"/>
    <x v="0"/>
    <x v="95"/>
    <x v="33"/>
    <s v="CN-Salas y Habitaciones de Hospitalización"/>
    <x v="1"/>
    <x v="5"/>
    <x v="2"/>
    <x v="3"/>
    <m/>
    <m/>
    <x v="3"/>
    <x v="0"/>
    <n v="1"/>
    <n v="1"/>
    <x v="0"/>
    <s v="HBP-MNC-107"/>
    <s v="11105DSPA-93-2025"/>
    <d v="2026-07-31T00:00:00"/>
    <m/>
    <x v="2"/>
    <n v="6"/>
    <x v="6"/>
    <d v="2026-07-31T00:00:00"/>
    <d v="2027-01-07T00:00:00"/>
    <d v="2026-08-12T00:00:00"/>
    <d v="2026-08-11T00:00:00"/>
    <d v="2026-08-20T00:00:00"/>
    <s v="NA"/>
    <d v="2026-07-31T00:00:00"/>
    <s v="IU"/>
    <d v="2026-08-12T00:00:00"/>
    <n v="5"/>
    <d v="2026-08-19T00:00:00"/>
    <n v="5"/>
    <d v="2026-08-26T00:00:00"/>
  </r>
  <r>
    <s v="HSLB15232"/>
    <x v="0"/>
    <x v="96"/>
    <x v="74"/>
    <s v="CN-Otros Servicios Adyacentes"/>
    <x v="1"/>
    <x v="4"/>
    <x v="2"/>
    <x v="3"/>
    <m/>
    <m/>
    <x v="3"/>
    <x v="0"/>
    <n v="1"/>
    <n v="1"/>
    <x v="0"/>
    <s v="HBP-MNC-107"/>
    <s v="11105DSPA-93-2025"/>
    <d v="2026-07-31T00:00:00"/>
    <m/>
    <x v="2"/>
    <n v="6"/>
    <x v="6"/>
    <d v="2026-07-31T00:00:00"/>
    <d v="2027-01-07T00:00:00"/>
    <d v="2026-08-12T00:00:00"/>
    <d v="2026-08-11T00:00:00"/>
    <d v="2026-08-20T00:00:00"/>
    <s v="NA"/>
    <d v="2026-07-31T00:00:00"/>
    <s v="IU"/>
    <d v="2026-08-12T00:00:00"/>
    <n v="5"/>
    <d v="2026-08-19T00:00:00"/>
    <n v="5"/>
    <d v="2026-08-26T00:00:00"/>
  </r>
  <r>
    <s v="HSLB13004"/>
    <x v="0"/>
    <x v="45"/>
    <x v="3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05"/>
    <x v="0"/>
    <x v="18"/>
    <x v="1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08"/>
    <x v="0"/>
    <x v="19"/>
    <x v="15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09"/>
    <x v="0"/>
    <x v="20"/>
    <x v="16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1"/>
    <x v="0"/>
    <x v="21"/>
    <x v="17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2"/>
    <x v="0"/>
    <x v="48"/>
    <x v="36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3"/>
    <x v="0"/>
    <x v="49"/>
    <x v="37"/>
    <s v="NC-Áreas Administrativas en General"/>
    <x v="1"/>
    <x v="3"/>
    <x v="1"/>
    <x v="10"/>
    <m/>
    <m/>
    <x v="10"/>
    <x v="1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4"/>
    <x v="0"/>
    <x v="50"/>
    <x v="38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5"/>
    <x v="0"/>
    <x v="51"/>
    <x v="39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6"/>
    <x v="0"/>
    <x v="52"/>
    <x v="40"/>
    <s v="NC-Áreas Administrativas en General"/>
    <x v="1"/>
    <x v="3"/>
    <x v="1"/>
    <x v="10"/>
    <m/>
    <m/>
    <x v="10"/>
    <x v="3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7"/>
    <x v="0"/>
    <x v="53"/>
    <x v="41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8"/>
    <x v="0"/>
    <x v="88"/>
    <x v="67"/>
    <s v="NC-Áreas Administrativas en General"/>
    <x v="1"/>
    <x v="3"/>
    <x v="1"/>
    <x v="10"/>
    <m/>
    <m/>
    <x v="10"/>
    <x v="3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19"/>
    <x v="0"/>
    <x v="54"/>
    <x v="42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0"/>
    <x v="0"/>
    <x v="22"/>
    <x v="18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2"/>
    <x v="0"/>
    <x v="56"/>
    <x v="44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3"/>
    <x v="0"/>
    <x v="57"/>
    <x v="45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4"/>
    <x v="0"/>
    <x v="58"/>
    <x v="46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7"/>
    <x v="0"/>
    <x v="59"/>
    <x v="47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8"/>
    <x v="0"/>
    <x v="23"/>
    <x v="19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9"/>
    <x v="0"/>
    <x v="60"/>
    <x v="48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30"/>
    <x v="0"/>
    <x v="24"/>
    <x v="20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38"/>
    <x v="0"/>
    <x v="30"/>
    <x v="26"/>
    <s v="CN-Otros Servicios Adyacentes"/>
    <x v="1"/>
    <x v="1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41"/>
    <x v="0"/>
    <x v="25"/>
    <x v="21"/>
    <s v="CN-Otros Servicios Adyacentes"/>
    <x v="1"/>
    <x v="2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42"/>
    <x v="0"/>
    <x v="62"/>
    <x v="33"/>
    <s v="CN-Otros Servicios Adyacentes"/>
    <x v="1"/>
    <x v="2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43"/>
    <x v="0"/>
    <x v="63"/>
    <x v="49"/>
    <s v="CN-Otros Servicios Adyacentes"/>
    <x v="1"/>
    <x v="2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61"/>
    <x v="0"/>
    <x v="26"/>
    <x v="22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62"/>
    <x v="0"/>
    <x v="64"/>
    <x v="3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05"/>
    <x v="0"/>
    <x v="31"/>
    <x v="27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06"/>
    <x v="0"/>
    <x v="65"/>
    <x v="50"/>
    <s v="NC-Áreas Administrativas en General"/>
    <x v="1"/>
    <x v="3"/>
    <x v="1"/>
    <x v="10"/>
    <m/>
    <m/>
    <x v="10"/>
    <x v="1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07"/>
    <x v="0"/>
    <x v="66"/>
    <x v="51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08"/>
    <x v="0"/>
    <x v="67"/>
    <x v="43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12"/>
    <x v="0"/>
    <x v="68"/>
    <x v="39"/>
    <s v="NC-Áreas de Servicios Generales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13"/>
    <x v="0"/>
    <x v="27"/>
    <x v="23"/>
    <s v="NC-Áreas de Servicios Generales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14"/>
    <x v="0"/>
    <x v="69"/>
    <x v="52"/>
    <s v="NC-Áreas de Servicios Generales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28"/>
    <x v="0"/>
    <x v="70"/>
    <x v="3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0"/>
    <x v="0"/>
    <x v="28"/>
    <x v="2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2"/>
    <x v="0"/>
    <x v="71"/>
    <x v="53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4"/>
    <x v="0"/>
    <x v="73"/>
    <x v="55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5"/>
    <x v="0"/>
    <x v="74"/>
    <x v="56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6"/>
    <x v="0"/>
    <x v="75"/>
    <x v="57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8"/>
    <x v="0"/>
    <x v="77"/>
    <x v="59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9"/>
    <x v="0"/>
    <x v="78"/>
    <x v="60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51"/>
    <x v="0"/>
    <x v="79"/>
    <x v="39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52"/>
    <x v="0"/>
    <x v="29"/>
    <x v="25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53"/>
    <x v="0"/>
    <x v="80"/>
    <x v="3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54"/>
    <x v="0"/>
    <x v="81"/>
    <x v="61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55"/>
    <x v="0"/>
    <x v="82"/>
    <x v="62"/>
    <s v="NC-Áreas Administrativas en General"/>
    <x v="1"/>
    <x v="3"/>
    <x v="1"/>
    <x v="10"/>
    <m/>
    <m/>
    <x v="10"/>
    <x v="4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56"/>
    <x v="0"/>
    <x v="83"/>
    <x v="63"/>
    <s v="NC-Áreas Administrativas en General"/>
    <x v="1"/>
    <x v="3"/>
    <x v="1"/>
    <x v="10"/>
    <m/>
    <m/>
    <x v="10"/>
    <x v="2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63"/>
    <x v="0"/>
    <x v="84"/>
    <x v="6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64"/>
    <x v="0"/>
    <x v="85"/>
    <x v="65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65"/>
    <x v="0"/>
    <x v="86"/>
    <x v="34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66"/>
    <x v="0"/>
    <x v="87"/>
    <x v="66"/>
    <s v="NC-Áreas Administrativas en General"/>
    <x v="1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170"/>
    <x v="0"/>
    <x v="89"/>
    <x v="68"/>
    <s v="CN-Otros Servicios Adyacentes"/>
    <x v="1"/>
    <x v="2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021"/>
    <x v="0"/>
    <x v="55"/>
    <x v="43"/>
    <s v="NC-Otros Servicios Adyacentes"/>
    <x v="1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35"/>
    <x v="0"/>
    <x v="44"/>
    <x v="33"/>
    <s v="CN-Otros Servicios Adyacentes"/>
    <x v="1"/>
    <x v="1"/>
    <x v="1"/>
    <x v="11"/>
    <m/>
    <m/>
    <x v="11"/>
    <x v="3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39"/>
    <x v="0"/>
    <x v="61"/>
    <x v="33"/>
    <s v="CN-Otros Servicios Adyacentes"/>
    <x v="1"/>
    <x v="1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33"/>
    <x v="0"/>
    <x v="72"/>
    <x v="54"/>
    <s v="NC-Áreas Administrativas en General"/>
    <x v="1"/>
    <x v="3"/>
    <x v="1"/>
    <x v="11"/>
    <m/>
    <m/>
    <x v="11"/>
    <x v="6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67"/>
    <x v="0"/>
    <x v="90"/>
    <x v="69"/>
    <s v="NC-Otros Servicios Adyacentes"/>
    <x v="1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178"/>
    <x v="0"/>
    <x v="97"/>
    <x v="75"/>
    <s v="NC-Áreas Administrativas en General"/>
    <x v="1"/>
    <x v="3"/>
    <x v="1"/>
    <x v="11"/>
    <m/>
    <m/>
    <x v="11"/>
    <x v="2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390"/>
    <x v="0"/>
    <x v="98"/>
    <x v="11"/>
    <s v="NC-Áreas Administrativas en General"/>
    <x v="1"/>
    <x v="3"/>
    <x v="0"/>
    <x v="4"/>
    <m/>
    <m/>
    <x v="4"/>
    <x v="2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91"/>
    <x v="0"/>
    <x v="99"/>
    <x v="11"/>
    <s v="NC-Áreas Administrativas en General"/>
    <x v="1"/>
    <x v="3"/>
    <x v="0"/>
    <x v="4"/>
    <m/>
    <m/>
    <x v="4"/>
    <x v="2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92"/>
    <x v="0"/>
    <x v="100"/>
    <x v="76"/>
    <s v="NC-Áreas Administrativas en General"/>
    <x v="1"/>
    <x v="3"/>
    <x v="0"/>
    <x v="4"/>
    <m/>
    <m/>
    <x v="4"/>
    <x v="2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518"/>
    <x v="0"/>
    <x v="101"/>
    <x v="77"/>
    <s v="NC-Otros Servicios Adyacentes"/>
    <x v="1"/>
    <x v="3"/>
    <x v="0"/>
    <x v="4"/>
    <m/>
    <m/>
    <x v="4"/>
    <x v="2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0"/>
    <x v="0"/>
    <x v="45"/>
    <x v="34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1"/>
    <x v="0"/>
    <x v="18"/>
    <x v="14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2"/>
    <x v="0"/>
    <x v="46"/>
    <x v="35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3"/>
    <x v="0"/>
    <x v="47"/>
    <x v="35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4"/>
    <x v="0"/>
    <x v="19"/>
    <x v="15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5"/>
    <x v="0"/>
    <x v="20"/>
    <x v="16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7"/>
    <x v="0"/>
    <x v="21"/>
    <x v="17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8"/>
    <x v="0"/>
    <x v="48"/>
    <x v="36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79"/>
    <x v="0"/>
    <x v="49"/>
    <x v="37"/>
    <s v="NC-Áreas Administrativas en General"/>
    <x v="1"/>
    <x v="3"/>
    <x v="0"/>
    <x v="5"/>
    <m/>
    <m/>
    <x v="5"/>
    <x v="1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0"/>
    <x v="0"/>
    <x v="50"/>
    <x v="38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1"/>
    <x v="0"/>
    <x v="51"/>
    <x v="39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2"/>
    <x v="0"/>
    <x v="52"/>
    <x v="40"/>
    <s v="NC-Áreas Administrativas en General"/>
    <x v="1"/>
    <x v="3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3"/>
    <x v="0"/>
    <x v="53"/>
    <x v="41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4"/>
    <x v="0"/>
    <x v="88"/>
    <x v="67"/>
    <s v="NC-Áreas Administrativas en General"/>
    <x v="1"/>
    <x v="3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5"/>
    <x v="0"/>
    <x v="54"/>
    <x v="42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7"/>
    <x v="0"/>
    <x v="102"/>
    <x v="78"/>
    <s v="NC-Otros Servicios Adyacentes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8"/>
    <x v="0"/>
    <x v="55"/>
    <x v="43"/>
    <s v="NC-Otros Servicios Adyacentes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9"/>
    <x v="0"/>
    <x v="56"/>
    <x v="44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94"/>
    <x v="0"/>
    <x v="59"/>
    <x v="47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99"/>
    <x v="0"/>
    <x v="60"/>
    <x v="48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200"/>
    <x v="0"/>
    <x v="24"/>
    <x v="20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12"/>
    <x v="0"/>
    <x v="103"/>
    <x v="79"/>
    <s v="CN-Otros Servicios Adyacentes"/>
    <x v="1"/>
    <x v="1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13"/>
    <x v="0"/>
    <x v="44"/>
    <x v="33"/>
    <s v="CN-Otros Servicios Adyacentes"/>
    <x v="1"/>
    <x v="1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23"/>
    <x v="0"/>
    <x v="30"/>
    <x v="26"/>
    <s v="CN-Otros Servicios Adyacentes"/>
    <x v="1"/>
    <x v="1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27"/>
    <x v="0"/>
    <x v="104"/>
    <x v="79"/>
    <s v="CN-Otros Servicios Adyacentes"/>
    <x v="1"/>
    <x v="1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28"/>
    <x v="0"/>
    <x v="25"/>
    <x v="21"/>
    <s v="CN-Otros Servicios Adyacentes"/>
    <x v="1"/>
    <x v="2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34"/>
    <x v="0"/>
    <x v="105"/>
    <x v="80"/>
    <s v="CN-Otros Servicios Adyacentes"/>
    <x v="1"/>
    <x v="2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61"/>
    <x v="0"/>
    <x v="26"/>
    <x v="22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64"/>
    <x v="0"/>
    <x v="64"/>
    <x v="34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0"/>
    <x v="0"/>
    <x v="65"/>
    <x v="50"/>
    <s v="NC-Áreas Administrativas en General"/>
    <x v="1"/>
    <x v="3"/>
    <x v="0"/>
    <x v="5"/>
    <m/>
    <m/>
    <x v="5"/>
    <x v="1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2"/>
    <x v="0"/>
    <x v="106"/>
    <x v="79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3"/>
    <x v="0"/>
    <x v="67"/>
    <x v="43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4"/>
    <x v="0"/>
    <x v="97"/>
    <x v="75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8"/>
    <x v="0"/>
    <x v="68"/>
    <x v="39"/>
    <s v="NC-Áreas de Servicios Generales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9"/>
    <x v="0"/>
    <x v="27"/>
    <x v="23"/>
    <s v="NC-Áreas de Servicios Generales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60"/>
    <x v="0"/>
    <x v="69"/>
    <x v="52"/>
    <s v="NC-Áreas de Servicios Generales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0"/>
    <x v="0"/>
    <x v="70"/>
    <x v="34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4"/>
    <x v="0"/>
    <x v="71"/>
    <x v="53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5"/>
    <x v="0"/>
    <x v="72"/>
    <x v="54"/>
    <s v="NC-Áreas Administrativas en General"/>
    <x v="1"/>
    <x v="3"/>
    <x v="0"/>
    <x v="5"/>
    <m/>
    <m/>
    <x v="5"/>
    <x v="6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9"/>
    <x v="0"/>
    <x v="76"/>
    <x v="58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00"/>
    <x v="0"/>
    <x v="77"/>
    <x v="59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01"/>
    <x v="0"/>
    <x v="78"/>
    <x v="60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15"/>
    <x v="0"/>
    <x v="79"/>
    <x v="39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16"/>
    <x v="0"/>
    <x v="29"/>
    <x v="25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17"/>
    <x v="0"/>
    <x v="80"/>
    <x v="34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19"/>
    <x v="0"/>
    <x v="82"/>
    <x v="62"/>
    <s v="NC-Áreas Administrativas en General"/>
    <x v="1"/>
    <x v="3"/>
    <x v="0"/>
    <x v="5"/>
    <m/>
    <m/>
    <x v="5"/>
    <x v="4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20"/>
    <x v="0"/>
    <x v="83"/>
    <x v="63"/>
    <s v="NC-Áreas Administrativas en General"/>
    <x v="1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30"/>
    <x v="0"/>
    <x v="86"/>
    <x v="34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32"/>
    <x v="0"/>
    <x v="35"/>
    <x v="31"/>
    <s v="NC-Otros Servicios Adyacentes"/>
    <x v="1"/>
    <x v="3"/>
    <x v="0"/>
    <x v="5"/>
    <m/>
    <m/>
    <x v="5"/>
    <x v="7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504"/>
    <x v="0"/>
    <x v="107"/>
    <x v="81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505"/>
    <x v="0"/>
    <x v="108"/>
    <x v="82"/>
    <s v="NC-Áreas Administrativas en General"/>
    <x v="1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86"/>
    <x v="0"/>
    <x v="22"/>
    <x v="18"/>
    <s v="NC-Áreas Administrativas en General"/>
    <x v="1"/>
    <x v="3"/>
    <x v="0"/>
    <x v="6"/>
    <n v="1"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90"/>
    <x v="0"/>
    <x v="57"/>
    <x v="45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91"/>
    <x v="0"/>
    <x v="58"/>
    <x v="46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95"/>
    <x v="0"/>
    <x v="23"/>
    <x v="19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24"/>
    <x v="0"/>
    <x v="61"/>
    <x v="33"/>
    <s v="CN-Otros Servicios Adyacentes"/>
    <x v="1"/>
    <x v="1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29"/>
    <x v="0"/>
    <x v="62"/>
    <x v="33"/>
    <s v="CN-Otros Servicios Adyacentes"/>
    <x v="1"/>
    <x v="2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31"/>
    <x v="0"/>
    <x v="63"/>
    <x v="49"/>
    <s v="CN-Otros Servicios Adyacentes"/>
    <x v="1"/>
    <x v="2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49"/>
    <x v="0"/>
    <x v="31"/>
    <x v="27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51"/>
    <x v="0"/>
    <x v="66"/>
    <x v="51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2"/>
    <x v="0"/>
    <x v="28"/>
    <x v="24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6"/>
    <x v="0"/>
    <x v="73"/>
    <x v="55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7"/>
    <x v="0"/>
    <x v="74"/>
    <x v="56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98"/>
    <x v="0"/>
    <x v="75"/>
    <x v="57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18"/>
    <x v="0"/>
    <x v="81"/>
    <x v="61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28"/>
    <x v="0"/>
    <x v="84"/>
    <x v="64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29"/>
    <x v="0"/>
    <x v="85"/>
    <x v="65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31"/>
    <x v="0"/>
    <x v="87"/>
    <x v="66"/>
    <s v="NC-Áreas Administrativas en General"/>
    <x v="1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57"/>
    <x v="0"/>
    <x v="89"/>
    <x v="68"/>
    <s v="CN-Otros Servicios Adyacentes"/>
    <x v="1"/>
    <x v="2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88"/>
    <x v="0"/>
    <x v="109"/>
    <x v="1"/>
    <s v="CN-Otros Servicios Adyacentes"/>
    <x v="1"/>
    <x v="1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95"/>
    <x v="0"/>
    <x v="110"/>
    <x v="1"/>
    <s v="CN-Otros Servicios Adyacentes"/>
    <x v="1"/>
    <x v="1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96"/>
    <x v="0"/>
    <x v="14"/>
    <x v="12"/>
    <s v="CN-Otros Servicios Adyacentes"/>
    <x v="1"/>
    <x v="1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97"/>
    <x v="0"/>
    <x v="111"/>
    <x v="1"/>
    <s v="CN-Otros Servicios Adyacentes"/>
    <x v="1"/>
    <x v="2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98"/>
    <x v="0"/>
    <x v="16"/>
    <x v="12"/>
    <s v="CN-Otros Servicios Adyacentes"/>
    <x v="1"/>
    <x v="2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20"/>
    <x v="0"/>
    <x v="112"/>
    <x v="1"/>
    <s v="CN-Otros Servicios Adyacentes"/>
    <x v="1"/>
    <x v="2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0"/>
    <x v="0"/>
    <x v="18"/>
    <x v="14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1"/>
    <x v="0"/>
    <x v="46"/>
    <x v="35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2"/>
    <x v="0"/>
    <x v="47"/>
    <x v="35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3"/>
    <x v="0"/>
    <x v="19"/>
    <x v="15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4"/>
    <x v="0"/>
    <x v="20"/>
    <x v="16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6"/>
    <x v="0"/>
    <x v="21"/>
    <x v="17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7"/>
    <x v="0"/>
    <x v="48"/>
    <x v="36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38"/>
    <x v="0"/>
    <x v="49"/>
    <x v="37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0"/>
    <x v="0"/>
    <x v="51"/>
    <x v="39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1"/>
    <x v="0"/>
    <x v="52"/>
    <x v="40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2"/>
    <x v="0"/>
    <x v="53"/>
    <x v="41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3"/>
    <x v="0"/>
    <x v="88"/>
    <x v="67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4"/>
    <x v="0"/>
    <x v="54"/>
    <x v="42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5"/>
    <x v="0"/>
    <x v="22"/>
    <x v="18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6"/>
    <x v="0"/>
    <x v="55"/>
    <x v="43"/>
    <s v="NC-Otros Servicios Adyacentes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7"/>
    <x v="0"/>
    <x v="56"/>
    <x v="44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8"/>
    <x v="0"/>
    <x v="57"/>
    <x v="45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49"/>
    <x v="0"/>
    <x v="33"/>
    <x v="29"/>
    <s v="NC-Otros Servicios Adyacentes"/>
    <x v="1"/>
    <x v="3"/>
    <x v="0"/>
    <x v="8"/>
    <m/>
    <m/>
    <x v="8"/>
    <x v="8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50"/>
    <x v="0"/>
    <x v="58"/>
    <x v="46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53"/>
    <x v="0"/>
    <x v="59"/>
    <x v="47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54"/>
    <x v="0"/>
    <x v="23"/>
    <x v="19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55"/>
    <x v="0"/>
    <x v="60"/>
    <x v="48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56"/>
    <x v="0"/>
    <x v="24"/>
    <x v="20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2"/>
    <x v="0"/>
    <x v="32"/>
    <x v="28"/>
    <s v="CN-Pensionado"/>
    <x v="1"/>
    <x v="1"/>
    <x v="0"/>
    <x v="8"/>
    <m/>
    <m/>
    <x v="8"/>
    <x v="9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3"/>
    <x v="0"/>
    <x v="30"/>
    <x v="26"/>
    <s v="CN-Otros Servicios Adyacentes"/>
    <x v="1"/>
    <x v="1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4"/>
    <x v="0"/>
    <x v="61"/>
    <x v="33"/>
    <s v="CN-Otros Servicios Adyacentes"/>
    <x v="1"/>
    <x v="1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5"/>
    <x v="0"/>
    <x v="17"/>
    <x v="13"/>
    <s v="CN-Otros Servicios Adyacentes"/>
    <x v="1"/>
    <x v="1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6"/>
    <x v="0"/>
    <x v="25"/>
    <x v="21"/>
    <s v="CN-Otros Servicios Adyacentes"/>
    <x v="1"/>
    <x v="2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8"/>
    <x v="0"/>
    <x v="62"/>
    <x v="33"/>
    <s v="CN-Otros Servicios Adyacentes"/>
    <x v="1"/>
    <x v="2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69"/>
    <x v="0"/>
    <x v="63"/>
    <x v="49"/>
    <s v="CN-Otros Servicios Adyacentes"/>
    <x v="1"/>
    <x v="2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07"/>
    <x v="0"/>
    <x v="26"/>
    <x v="22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10"/>
    <x v="0"/>
    <x v="64"/>
    <x v="34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11"/>
    <x v="0"/>
    <x v="34"/>
    <x v="30"/>
    <s v="NC-Otros Servicios Adyacentes"/>
    <x v="1"/>
    <x v="3"/>
    <x v="0"/>
    <x v="8"/>
    <m/>
    <m/>
    <x v="8"/>
    <x v="9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59"/>
    <x v="0"/>
    <x v="66"/>
    <x v="51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64"/>
    <x v="0"/>
    <x v="68"/>
    <x v="39"/>
    <s v="NC-Áreas de Servicios Generales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65"/>
    <x v="0"/>
    <x v="27"/>
    <x v="23"/>
    <s v="NC-Áreas de Servicios Generales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66"/>
    <x v="0"/>
    <x v="69"/>
    <x v="52"/>
    <s v="NC-Áreas de Servicios Generales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0"/>
    <x v="0"/>
    <x v="70"/>
    <x v="34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2"/>
    <x v="0"/>
    <x v="28"/>
    <x v="24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4"/>
    <x v="0"/>
    <x v="71"/>
    <x v="53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5"/>
    <x v="0"/>
    <x v="72"/>
    <x v="54"/>
    <s v="NC-Áreas Administrativas en General"/>
    <x v="1"/>
    <x v="3"/>
    <x v="0"/>
    <x v="8"/>
    <m/>
    <m/>
    <x v="8"/>
    <x v="6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6"/>
    <x v="0"/>
    <x v="73"/>
    <x v="55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7"/>
    <x v="0"/>
    <x v="74"/>
    <x v="56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8"/>
    <x v="0"/>
    <x v="75"/>
    <x v="57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89"/>
    <x v="0"/>
    <x v="77"/>
    <x v="59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90"/>
    <x v="0"/>
    <x v="78"/>
    <x v="60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04"/>
    <x v="0"/>
    <x v="79"/>
    <x v="39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05"/>
    <x v="0"/>
    <x v="29"/>
    <x v="25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06"/>
    <x v="0"/>
    <x v="80"/>
    <x v="34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07"/>
    <x v="0"/>
    <x v="81"/>
    <x v="61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08"/>
    <x v="0"/>
    <x v="82"/>
    <x v="62"/>
    <s v="NC-Áreas Administrativas en General"/>
    <x v="1"/>
    <x v="3"/>
    <x v="0"/>
    <x v="8"/>
    <m/>
    <m/>
    <x v="8"/>
    <x v="8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09"/>
    <x v="0"/>
    <x v="83"/>
    <x v="63"/>
    <s v="NC-Áreas Administrativas en General"/>
    <x v="1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16"/>
    <x v="0"/>
    <x v="84"/>
    <x v="64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17"/>
    <x v="0"/>
    <x v="85"/>
    <x v="65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18"/>
    <x v="0"/>
    <x v="86"/>
    <x v="34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19"/>
    <x v="0"/>
    <x v="87"/>
    <x v="66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20"/>
    <x v="0"/>
    <x v="90"/>
    <x v="69"/>
    <s v="NC-Otros Servicios Adyacentes"/>
    <x v="1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21"/>
    <x v="0"/>
    <x v="36"/>
    <x v="32"/>
    <s v="NC-Otros Servicios Adyacentes"/>
    <x v="1"/>
    <x v="3"/>
    <x v="0"/>
    <x v="8"/>
    <m/>
    <m/>
    <x v="8"/>
    <x v="9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62"/>
    <x v="0"/>
    <x v="89"/>
    <x v="68"/>
    <s v="CN-Otros Servicios Adyacentes"/>
    <x v="1"/>
    <x v="2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63"/>
    <x v="0"/>
    <x v="45"/>
    <x v="34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65"/>
    <x v="0"/>
    <x v="31"/>
    <x v="27"/>
    <s v="NC-Áreas Administrativas en General"/>
    <x v="1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71"/>
    <x v="0"/>
    <x v="113"/>
    <x v="83"/>
    <s v="CN-Salas y Habitaciones de Hospitalización"/>
    <x v="1"/>
    <x v="2"/>
    <x v="0"/>
    <x v="9"/>
    <m/>
    <m/>
    <x v="9"/>
    <x v="2"/>
    <n v="1"/>
    <n v="1"/>
    <x v="0"/>
    <s v="HBP-MNC-124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79"/>
    <x v="0"/>
    <x v="114"/>
    <x v="11"/>
    <s v="NC-Áreas Administrativas en General"/>
    <x v="1"/>
    <x v="3"/>
    <x v="0"/>
    <x v="19"/>
    <n v="1"/>
    <m/>
    <x v="19"/>
    <x v="1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94"/>
    <x v="0"/>
    <x v="12"/>
    <x v="11"/>
    <s v="CN-Otros Servicios Adyacentes"/>
    <x v="1"/>
    <x v="1"/>
    <x v="0"/>
    <x v="19"/>
    <m/>
    <m/>
    <x v="19"/>
    <x v="6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95"/>
    <x v="0"/>
    <x v="109"/>
    <x v="1"/>
    <s v="CN-Otros Servicios Adyacentes"/>
    <x v="1"/>
    <x v="1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04"/>
    <x v="0"/>
    <x v="110"/>
    <x v="1"/>
    <s v="CN-Otros Servicios Adyacentes"/>
    <x v="1"/>
    <x v="1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05"/>
    <x v="0"/>
    <x v="13"/>
    <x v="11"/>
    <s v="CN-Otros Servicios Adyacentes"/>
    <x v="1"/>
    <x v="1"/>
    <x v="0"/>
    <x v="19"/>
    <m/>
    <m/>
    <x v="19"/>
    <x v="1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06"/>
    <x v="0"/>
    <x v="14"/>
    <x v="12"/>
    <s v="CN-Otros Servicios Adyacentes"/>
    <x v="1"/>
    <x v="1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07"/>
    <x v="0"/>
    <x v="15"/>
    <x v="11"/>
    <s v="CN-Otros Servicios Adyacentes"/>
    <x v="1"/>
    <x v="2"/>
    <x v="0"/>
    <x v="19"/>
    <m/>
    <m/>
    <x v="19"/>
    <x v="8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08"/>
    <x v="0"/>
    <x v="111"/>
    <x v="1"/>
    <s v="CN-Otros Servicios Adyacentes"/>
    <x v="1"/>
    <x v="2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09"/>
    <x v="0"/>
    <x v="16"/>
    <x v="12"/>
    <s v="CN-Otros Servicios Adyacentes"/>
    <x v="1"/>
    <x v="2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0"/>
    <x v="0"/>
    <x v="112"/>
    <x v="1"/>
    <s v="CN-Otros Servicios Adyacentes"/>
    <x v="1"/>
    <x v="2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98"/>
    <x v="0"/>
    <x v="115"/>
    <x v="11"/>
    <s v="CN-Otros Servicios Adyacentes"/>
    <x v="1"/>
    <x v="4"/>
    <x v="0"/>
    <x v="4"/>
    <m/>
    <m/>
    <x v="4"/>
    <x v="2"/>
    <n v="1"/>
    <n v="1"/>
    <x v="0"/>
    <s v="HBP-MNC-12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399"/>
    <x v="0"/>
    <x v="116"/>
    <x v="11"/>
    <s v="CN-Otros Servicios Adyacentes"/>
    <x v="1"/>
    <x v="4"/>
    <x v="0"/>
    <x v="4"/>
    <m/>
    <m/>
    <x v="4"/>
    <x v="2"/>
    <n v="1"/>
    <n v="1"/>
    <x v="0"/>
    <s v="HBP-MNC-12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165"/>
    <x v="0"/>
    <x v="91"/>
    <x v="70"/>
    <s v="NC-Otros Servicios Adyacentes"/>
    <x v="1"/>
    <x v="5"/>
    <x v="0"/>
    <x v="5"/>
    <n v="1"/>
    <m/>
    <x v="5"/>
    <x v="3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04"/>
    <x v="0"/>
    <x v="92"/>
    <x v="71"/>
    <s v="CN-Otros Servicios Adyacentes"/>
    <x v="1"/>
    <x v="4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05"/>
    <x v="0"/>
    <x v="93"/>
    <x v="72"/>
    <s v="CN-Otros Servicios Adyacentes"/>
    <x v="1"/>
    <x v="4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10"/>
    <x v="0"/>
    <x v="94"/>
    <x v="73"/>
    <s v="CN-Otros Servicios Adyacentes"/>
    <x v="1"/>
    <x v="4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15"/>
    <x v="0"/>
    <x v="117"/>
    <x v="80"/>
    <s v="CN-Otros Servicios Adyacentes"/>
    <x v="1"/>
    <x v="5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19"/>
    <x v="0"/>
    <x v="118"/>
    <x v="80"/>
    <s v="CN-Otros Servicios Adyacentes"/>
    <x v="1"/>
    <x v="4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20"/>
    <x v="0"/>
    <x v="96"/>
    <x v="74"/>
    <s v="CN-Otros Servicios Adyacentes"/>
    <x v="1"/>
    <x v="4"/>
    <x v="0"/>
    <x v="6"/>
    <m/>
    <m/>
    <x v="6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150"/>
    <x v="0"/>
    <x v="95"/>
    <x v="33"/>
    <s v="CN-Salas y Habitaciones de Hospitalización"/>
    <x v="1"/>
    <x v="5"/>
    <x v="0"/>
    <x v="6"/>
    <m/>
    <m/>
    <x v="6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89"/>
    <x v="0"/>
    <x v="119"/>
    <x v="1"/>
    <s v="CN-Otros Servicios Adyacentes"/>
    <x v="1"/>
    <x v="5"/>
    <x v="0"/>
    <x v="7"/>
    <m/>
    <m/>
    <x v="7"/>
    <x v="1"/>
    <n v="1"/>
    <n v="1"/>
    <x v="0"/>
    <s v="HBP-MNC-121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90"/>
    <x v="0"/>
    <x v="120"/>
    <x v="1"/>
    <s v="CN-Otros Servicios Adyacentes"/>
    <x v="1"/>
    <x v="5"/>
    <x v="0"/>
    <x v="7"/>
    <m/>
    <m/>
    <x v="7"/>
    <x v="1"/>
    <n v="1"/>
    <n v="1"/>
    <x v="0"/>
    <s v="HBP-MNC-121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91"/>
    <x v="0"/>
    <x v="40"/>
    <x v="12"/>
    <s v="CN-Otros Servicios Adyacentes"/>
    <x v="1"/>
    <x v="5"/>
    <x v="0"/>
    <x v="7"/>
    <m/>
    <m/>
    <x v="7"/>
    <x v="1"/>
    <n v="1"/>
    <n v="1"/>
    <x v="0"/>
    <s v="HBP-MNC-121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92"/>
    <x v="0"/>
    <x v="121"/>
    <x v="1"/>
    <s v="CN-Otros Servicios Adyacentes"/>
    <x v="1"/>
    <x v="4"/>
    <x v="0"/>
    <x v="7"/>
    <m/>
    <m/>
    <x v="7"/>
    <x v="1"/>
    <n v="1"/>
    <n v="1"/>
    <x v="0"/>
    <s v="HBP-MNC-121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93"/>
    <x v="0"/>
    <x v="122"/>
    <x v="1"/>
    <s v="CN-Otros Servicios Adyacentes"/>
    <x v="1"/>
    <x v="4"/>
    <x v="0"/>
    <x v="7"/>
    <m/>
    <m/>
    <x v="7"/>
    <x v="1"/>
    <n v="1"/>
    <n v="1"/>
    <x v="0"/>
    <s v="HBP-MNC-121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94"/>
    <x v="0"/>
    <x v="42"/>
    <x v="12"/>
    <s v="CN-Otros Servicios Adyacentes"/>
    <x v="1"/>
    <x v="4"/>
    <x v="0"/>
    <x v="7"/>
    <m/>
    <m/>
    <x v="7"/>
    <x v="1"/>
    <n v="1"/>
    <n v="1"/>
    <x v="0"/>
    <s v="HBP-MNC-121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626"/>
    <x v="0"/>
    <x v="91"/>
    <x v="70"/>
    <s v="NC-Otros Servicios Adyacentes"/>
    <x v="1"/>
    <x v="5"/>
    <x v="0"/>
    <x v="8"/>
    <m/>
    <m/>
    <x v="8"/>
    <x v="6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755"/>
    <x v="0"/>
    <x v="92"/>
    <x v="71"/>
    <s v="CN-Otros Servicios Adyacentes"/>
    <x v="1"/>
    <x v="4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756"/>
    <x v="0"/>
    <x v="93"/>
    <x v="72"/>
    <s v="CN-Otros Servicios Adyacentes"/>
    <x v="1"/>
    <x v="4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761"/>
    <x v="0"/>
    <x v="94"/>
    <x v="73"/>
    <s v="CN-Otros Servicios Adyacentes"/>
    <x v="1"/>
    <x v="4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780"/>
    <x v="0"/>
    <x v="43"/>
    <x v="30"/>
    <s v="CM-Otros Servicios Adyacentes"/>
    <x v="1"/>
    <x v="4"/>
    <x v="0"/>
    <x v="8"/>
    <m/>
    <m/>
    <x v="8"/>
    <x v="9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342"/>
    <x v="0"/>
    <x v="95"/>
    <x v="33"/>
    <s v="CN-Salas y Habitaciones de Hospitalización"/>
    <x v="1"/>
    <x v="5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344"/>
    <x v="0"/>
    <x v="96"/>
    <x v="74"/>
    <s v="CN-Otros Servicios Adyacentes"/>
    <x v="1"/>
    <x v="4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996"/>
    <x v="0"/>
    <x v="39"/>
    <x v="11"/>
    <s v="CN-Otros Servicios Adyacentes"/>
    <x v="1"/>
    <x v="5"/>
    <x v="0"/>
    <x v="19"/>
    <m/>
    <m/>
    <x v="19"/>
    <x v="8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997"/>
    <x v="0"/>
    <x v="119"/>
    <x v="1"/>
    <s v="CN-Otros Servicios Adyacentes"/>
    <x v="1"/>
    <x v="5"/>
    <x v="0"/>
    <x v="19"/>
    <m/>
    <m/>
    <x v="19"/>
    <x v="0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998"/>
    <x v="0"/>
    <x v="120"/>
    <x v="1"/>
    <s v="CN-Otros Servicios Adyacentes"/>
    <x v="1"/>
    <x v="5"/>
    <x v="0"/>
    <x v="19"/>
    <m/>
    <m/>
    <x v="19"/>
    <x v="0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999"/>
    <x v="0"/>
    <x v="40"/>
    <x v="12"/>
    <s v="CN-Otros Servicios Adyacentes"/>
    <x v="1"/>
    <x v="5"/>
    <x v="0"/>
    <x v="19"/>
    <m/>
    <m/>
    <x v="19"/>
    <x v="2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00"/>
    <x v="0"/>
    <x v="41"/>
    <x v="11"/>
    <s v="CN-Otros Servicios Adyacentes"/>
    <x v="1"/>
    <x v="4"/>
    <x v="0"/>
    <x v="19"/>
    <m/>
    <m/>
    <x v="19"/>
    <x v="8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01"/>
    <x v="0"/>
    <x v="121"/>
    <x v="1"/>
    <s v="CN-Otros Servicios Adyacentes"/>
    <x v="1"/>
    <x v="4"/>
    <x v="0"/>
    <x v="19"/>
    <m/>
    <m/>
    <x v="19"/>
    <x v="0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02"/>
    <x v="0"/>
    <x v="122"/>
    <x v="1"/>
    <s v="CN-Otros Servicios Adyacentes"/>
    <x v="1"/>
    <x v="4"/>
    <x v="0"/>
    <x v="19"/>
    <m/>
    <m/>
    <x v="19"/>
    <x v="0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03"/>
    <x v="0"/>
    <x v="42"/>
    <x v="12"/>
    <s v="CN-Otros Servicios Adyacentes"/>
    <x v="1"/>
    <x v="4"/>
    <x v="0"/>
    <x v="19"/>
    <m/>
    <m/>
    <x v="19"/>
    <x v="2"/>
    <n v="1"/>
    <n v="1"/>
    <x v="0"/>
    <s v="HBP-MNC- 125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3128"/>
    <x v="0"/>
    <x v="92"/>
    <x v="71"/>
    <s v="CN-Otros Servicios Adyacentes"/>
    <x v="1"/>
    <x v="4"/>
    <x v="1"/>
    <x v="10"/>
    <m/>
    <m/>
    <x v="10"/>
    <x v="0"/>
    <n v="1"/>
    <n v="1"/>
    <x v="0"/>
    <s v="HBP-MNC-089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129"/>
    <x v="0"/>
    <x v="93"/>
    <x v="72"/>
    <s v="CN-Otros Servicios Adyacentes"/>
    <x v="1"/>
    <x v="4"/>
    <x v="1"/>
    <x v="10"/>
    <m/>
    <m/>
    <x v="10"/>
    <x v="0"/>
    <n v="1"/>
    <n v="1"/>
    <x v="0"/>
    <s v="HBP-MNC-089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133"/>
    <x v="0"/>
    <x v="94"/>
    <x v="73"/>
    <s v="CN-Otros Servicios Adyacentes"/>
    <x v="1"/>
    <x v="4"/>
    <x v="1"/>
    <x v="10"/>
    <m/>
    <m/>
    <x v="10"/>
    <x v="0"/>
    <n v="1"/>
    <n v="1"/>
    <x v="0"/>
    <s v="HBP-MNC-089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137"/>
    <x v="0"/>
    <x v="96"/>
    <x v="74"/>
    <s v="CN-Otros Servicios Adyacentes"/>
    <x v="1"/>
    <x v="4"/>
    <x v="1"/>
    <x v="10"/>
    <m/>
    <m/>
    <x v="10"/>
    <x v="0"/>
    <n v="1"/>
    <n v="1"/>
    <x v="0"/>
    <s v="HBP-MNC-089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000"/>
    <x v="0"/>
    <x v="91"/>
    <x v="70"/>
    <s v="NC-Otros Servicios Adyacentes"/>
    <x v="1"/>
    <x v="5"/>
    <x v="1"/>
    <x v="11"/>
    <n v="1"/>
    <m/>
    <x v="11"/>
    <x v="3"/>
    <n v="1"/>
    <n v="1"/>
    <x v="0"/>
    <s v="HBP-MNC-08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136"/>
    <x v="0"/>
    <x v="95"/>
    <x v="33"/>
    <s v="CN-Salas y Habitaciones de Hospitalización"/>
    <x v="1"/>
    <x v="5"/>
    <x v="1"/>
    <x v="11"/>
    <m/>
    <m/>
    <x v="11"/>
    <x v="0"/>
    <n v="1"/>
    <n v="1"/>
    <x v="0"/>
    <s v="HBP-MNC-08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5413"/>
    <x v="0"/>
    <x v="123"/>
    <x v="0"/>
    <s v="NC-Otros Servicios Adyacentes"/>
    <x v="2"/>
    <x v="3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14"/>
    <x v="0"/>
    <x v="124"/>
    <x v="0"/>
    <s v="NC-Otros Servicios Adyacentes"/>
    <x v="2"/>
    <x v="3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77"/>
    <x v="0"/>
    <x v="125"/>
    <x v="84"/>
    <s v="NC-Otros Servicios Adyacentes"/>
    <x v="2"/>
    <x v="3"/>
    <x v="1"/>
    <x v="16"/>
    <m/>
    <m/>
    <x v="16"/>
    <x v="0"/>
    <n v="1"/>
    <n v="1"/>
    <x v="0"/>
    <s v="HBP-MNC-098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179"/>
    <x v="0"/>
    <x v="126"/>
    <x v="85"/>
    <s v="NC-Otros Servicios Adyacentes"/>
    <x v="2"/>
    <x v="3"/>
    <x v="1"/>
    <x v="11"/>
    <m/>
    <m/>
    <x v="11"/>
    <x v="2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180"/>
    <x v="0"/>
    <x v="127"/>
    <x v="86"/>
    <s v="NC-Otros Servicios Adyacentes"/>
    <x v="2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393"/>
    <x v="0"/>
    <x v="128"/>
    <x v="87"/>
    <s v="NC-Otros Servicios Adyacentes"/>
    <x v="2"/>
    <x v="3"/>
    <x v="0"/>
    <x v="4"/>
    <m/>
    <m/>
    <x v="4"/>
    <x v="10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33"/>
    <x v="0"/>
    <x v="126"/>
    <x v="85"/>
    <s v="NC-Otros Servicios Adyacentes"/>
    <x v="2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22"/>
    <x v="0"/>
    <x v="129"/>
    <x v="84"/>
    <s v="NC-Otros Servicios Adyacentes"/>
    <x v="2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23"/>
    <x v="0"/>
    <x v="125"/>
    <x v="84"/>
    <s v="NC-Otros Servicios Adyacentes"/>
    <x v="2"/>
    <x v="3"/>
    <x v="0"/>
    <x v="8"/>
    <m/>
    <m/>
    <x v="8"/>
    <x v="9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24"/>
    <x v="0"/>
    <x v="127"/>
    <x v="86"/>
    <s v="NC-Otros Servicios Adyacentes"/>
    <x v="2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364"/>
    <x v="0"/>
    <x v="130"/>
    <x v="88"/>
    <s v="NC-Otros Servicios Adyacentes"/>
    <x v="3"/>
    <x v="6"/>
    <x v="1"/>
    <x v="15"/>
    <m/>
    <m/>
    <x v="15"/>
    <x v="3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78"/>
    <x v="0"/>
    <x v="131"/>
    <x v="89"/>
    <s v="NC-Otros Servicios Adyacentes"/>
    <x v="3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79"/>
    <x v="0"/>
    <x v="132"/>
    <x v="89"/>
    <s v="NC-Otros Servicios Adyacentes"/>
    <x v="3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8"/>
    <x v="0"/>
    <x v="133"/>
    <x v="32"/>
    <s v="CM-Otros Servicios Adyacentes"/>
    <x v="3"/>
    <x v="6"/>
    <x v="1"/>
    <x v="16"/>
    <m/>
    <m/>
    <x v="16"/>
    <x v="0"/>
    <n v="1"/>
    <n v="1"/>
    <x v="0"/>
    <s v="HBP-MNC-098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34"/>
    <x v="0"/>
    <x v="134"/>
    <x v="79"/>
    <s v="NC-Otros Servicios Adyacentes"/>
    <x v="3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35"/>
    <x v="0"/>
    <x v="135"/>
    <x v="90"/>
    <s v="NC-Otros Servicios Adyacentes"/>
    <x v="3"/>
    <x v="6"/>
    <x v="0"/>
    <x v="5"/>
    <m/>
    <m/>
    <x v="5"/>
    <x v="6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2"/>
    <x v="0"/>
    <x v="133"/>
    <x v="32"/>
    <s v="CM-Otros Servicios Adyacentes"/>
    <x v="3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25"/>
    <x v="0"/>
    <x v="131"/>
    <x v="89"/>
    <s v="NC-Otros Servicios Adyacentes"/>
    <x v="3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26"/>
    <x v="0"/>
    <x v="132"/>
    <x v="89"/>
    <s v="NC-Otros Servicios Adyacentes"/>
    <x v="3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27"/>
    <x v="0"/>
    <x v="130"/>
    <x v="88"/>
    <s v="NC-Otros Servicios Adyacentes"/>
    <x v="3"/>
    <x v="6"/>
    <x v="0"/>
    <x v="8"/>
    <m/>
    <m/>
    <x v="8"/>
    <x v="1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6"/>
    <x v="0"/>
    <x v="130"/>
    <x v="88"/>
    <s v="NC-Otros Servicios Adyacentes"/>
    <x v="3"/>
    <x v="6"/>
    <x v="0"/>
    <x v="9"/>
    <m/>
    <m/>
    <x v="9"/>
    <x v="3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49"/>
    <x v="0"/>
    <x v="136"/>
    <x v="91"/>
    <s v="NC-Otros Servicios Adyacentes"/>
    <x v="4"/>
    <x v="6"/>
    <x v="0"/>
    <x v="0"/>
    <m/>
    <m/>
    <x v="0"/>
    <x v="0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50"/>
    <x v="0"/>
    <x v="137"/>
    <x v="92"/>
    <s v="NC-Otros Servicios Adyacentes"/>
    <x v="4"/>
    <x v="0"/>
    <x v="0"/>
    <x v="0"/>
    <m/>
    <m/>
    <x v="0"/>
    <x v="0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619"/>
    <x v="0"/>
    <x v="138"/>
    <x v="93"/>
    <s v="NC-Otros Servicios Adyacentes"/>
    <x v="4"/>
    <x v="0"/>
    <x v="0"/>
    <x v="7"/>
    <m/>
    <m/>
    <x v="7"/>
    <x v="12"/>
    <n v="1"/>
    <n v="1"/>
    <x v="0"/>
    <s v="HBP-MNC-121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82"/>
    <x v="0"/>
    <x v="139"/>
    <x v="94"/>
    <s v="NC-Otros Servicios Adyacentes"/>
    <x v="4"/>
    <x v="6"/>
    <x v="0"/>
    <x v="4"/>
    <m/>
    <m/>
    <x v="4"/>
    <x v="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82"/>
    <x v="0"/>
    <x v="140"/>
    <x v="93"/>
    <s v="NC-Otros Servicios Adyacentes"/>
    <x v="4"/>
    <x v="6"/>
    <x v="0"/>
    <x v="7"/>
    <n v="1"/>
    <m/>
    <x v="7"/>
    <x v="13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44"/>
    <x v="0"/>
    <x v="141"/>
    <x v="0"/>
    <s v="CA-Otros Servicios Adyacentes"/>
    <x v="5"/>
    <x v="6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45"/>
    <x v="0"/>
    <x v="142"/>
    <x v="0"/>
    <s v="CA-Otros Servicios Adyacentes"/>
    <x v="5"/>
    <x v="6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65"/>
    <x v="0"/>
    <x v="143"/>
    <x v="95"/>
    <s v="NC-Otros Servicios Adyacentes"/>
    <x v="5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28"/>
    <x v="0"/>
    <x v="144"/>
    <x v="1"/>
    <s v="CM-Otros Servicios Adyacentes"/>
    <x v="5"/>
    <x v="6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37"/>
    <x v="0"/>
    <x v="145"/>
    <x v="96"/>
    <s v="CM-Otros Servicios Adyacentes"/>
    <x v="5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38"/>
    <x v="0"/>
    <x v="146"/>
    <x v="97"/>
    <s v="CM-Otros Servicios Adyacentes"/>
    <x v="5"/>
    <x v="6"/>
    <x v="2"/>
    <x v="3"/>
    <m/>
    <m/>
    <x v="3"/>
    <x v="1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39"/>
    <x v="0"/>
    <x v="147"/>
    <x v="48"/>
    <s v="CM-Otros Servicios Adyacentes"/>
    <x v="5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41"/>
    <x v="0"/>
    <x v="148"/>
    <x v="98"/>
    <s v="CM-Otros Servicios Adyacentes"/>
    <x v="5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42"/>
    <x v="0"/>
    <x v="149"/>
    <x v="48"/>
    <s v="CM-Otros Servicios Adyacentes"/>
    <x v="5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43"/>
    <x v="0"/>
    <x v="150"/>
    <x v="99"/>
    <s v="CM-Otros Servicios Adyacentes"/>
    <x v="5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77"/>
    <x v="0"/>
    <x v="143"/>
    <x v="95"/>
    <s v="NC-Otros Servicios Adyacentes"/>
    <x v="5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436"/>
    <x v="0"/>
    <x v="145"/>
    <x v="96"/>
    <s v="CM-Otros Servicios Adyacentes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7"/>
    <x v="0"/>
    <x v="146"/>
    <x v="97"/>
    <s v="CM-Otros Servicios Adyacentes"/>
    <x v="5"/>
    <x v="6"/>
    <x v="0"/>
    <x v="5"/>
    <m/>
    <m/>
    <x v="5"/>
    <x v="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8"/>
    <x v="0"/>
    <x v="147"/>
    <x v="48"/>
    <s v="CM-Otros Servicios Adyacentes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0"/>
    <x v="0"/>
    <x v="148"/>
    <x v="98"/>
    <s v="CM-Otros Servicios Adyacentes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1"/>
    <x v="0"/>
    <x v="151"/>
    <x v="100"/>
    <s v="CM-Central de Alimentación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2"/>
    <x v="0"/>
    <x v="152"/>
    <x v="101"/>
    <s v="CM-Central de Alimentación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3"/>
    <x v="0"/>
    <x v="149"/>
    <x v="48"/>
    <s v="CM-Otros Servicios Adyacentes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38"/>
    <x v="0"/>
    <x v="143"/>
    <x v="95"/>
    <s v="NC-Otros Servicios Adyacentes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0"/>
    <x v="0"/>
    <x v="153"/>
    <x v="102"/>
    <s v="CM-Central de Alimentación"/>
    <x v="5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4"/>
    <x v="0"/>
    <x v="150"/>
    <x v="99"/>
    <s v="CM-Otros Servicios Adyacentes"/>
    <x v="5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13"/>
    <x v="0"/>
    <x v="144"/>
    <x v="1"/>
    <s v="CM-Otros Servicios Adyacentes"/>
    <x v="5"/>
    <x v="6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0"/>
    <x v="0"/>
    <x v="145"/>
    <x v="96"/>
    <s v="CM-Otros Servicios Adyacentes"/>
    <x v="5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1"/>
    <x v="0"/>
    <x v="147"/>
    <x v="48"/>
    <s v="CM-Otros Servicios Adyacentes"/>
    <x v="5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3"/>
    <x v="0"/>
    <x v="148"/>
    <x v="98"/>
    <s v="CM-Otros Servicios Adyacentes"/>
    <x v="5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4"/>
    <x v="0"/>
    <x v="149"/>
    <x v="48"/>
    <s v="CM-Otros Servicios Adyacentes"/>
    <x v="5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5"/>
    <x v="0"/>
    <x v="150"/>
    <x v="99"/>
    <s v="CM-Otros Servicios Adyacentes"/>
    <x v="5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29"/>
    <x v="0"/>
    <x v="143"/>
    <x v="95"/>
    <s v="NC-Otros Servicios Adyacentes"/>
    <x v="5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1"/>
    <x v="0"/>
    <x v="144"/>
    <x v="1"/>
    <s v="CM-Otros Servicios Adyacentes"/>
    <x v="5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95"/>
    <x v="0"/>
    <x v="145"/>
    <x v="96"/>
    <s v="CM-Otros Servicios Adyacentes"/>
    <x v="5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6"/>
    <x v="0"/>
    <x v="146"/>
    <x v="97"/>
    <s v="CM-Otros Servicios Adyacentes"/>
    <x v="5"/>
    <x v="6"/>
    <x v="1"/>
    <x v="10"/>
    <m/>
    <m/>
    <x v="10"/>
    <x v="1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7"/>
    <x v="0"/>
    <x v="147"/>
    <x v="48"/>
    <s v="CM-Otros Servicios Adyacentes"/>
    <x v="5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9"/>
    <x v="0"/>
    <x v="148"/>
    <x v="98"/>
    <s v="CM-Otros Servicios Adyacentes"/>
    <x v="5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00"/>
    <x v="0"/>
    <x v="149"/>
    <x v="48"/>
    <s v="CM-Otros Servicios Adyacentes"/>
    <x v="5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01"/>
    <x v="0"/>
    <x v="150"/>
    <x v="99"/>
    <s v="CM-Otros Servicios Adyacentes"/>
    <x v="5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69"/>
    <x v="0"/>
    <x v="143"/>
    <x v="95"/>
    <s v="NC-Otros Servicios Adyacentes"/>
    <x v="5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345"/>
    <x v="0"/>
    <x v="154"/>
    <x v="103"/>
    <s v="CN-Otros Servicios Adyacentes"/>
    <x v="6"/>
    <x v="2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4767"/>
    <x v="0"/>
    <x v="154"/>
    <x v="103"/>
    <s v="CN-Otros Servicios Adyacentes"/>
    <x v="6"/>
    <x v="2"/>
    <x v="0"/>
    <x v="8"/>
    <m/>
    <m/>
    <x v="8"/>
    <x v="5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81"/>
    <x v="0"/>
    <x v="155"/>
    <x v="104"/>
    <s v="NC-Otros Servicios Adyacentes"/>
    <x v="7"/>
    <x v="0"/>
    <x v="0"/>
    <x v="4"/>
    <m/>
    <m/>
    <x v="4"/>
    <x v="1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32"/>
    <x v="0"/>
    <x v="156"/>
    <x v="105"/>
    <s v="CA-Otros Servicios Adyacentes"/>
    <x v="8"/>
    <x v="6"/>
    <x v="0"/>
    <x v="12"/>
    <m/>
    <m/>
    <x v="12"/>
    <x v="0"/>
    <n v="1"/>
    <n v="1"/>
    <x v="0"/>
    <s v="HBP-MNC-11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33"/>
    <x v="0"/>
    <x v="157"/>
    <x v="105"/>
    <s v="CA-Otros Servicios Adyacentes"/>
    <x v="8"/>
    <x v="6"/>
    <x v="0"/>
    <x v="12"/>
    <m/>
    <m/>
    <x v="12"/>
    <x v="0"/>
    <n v="1"/>
    <n v="1"/>
    <x v="0"/>
    <s v="HBP-MNC-11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46"/>
    <x v="0"/>
    <x v="158"/>
    <x v="0"/>
    <s v="NC-Áreas Administrativas en General"/>
    <x v="9"/>
    <x v="6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47"/>
    <x v="0"/>
    <x v="159"/>
    <x v="106"/>
    <s v="NC-Áreas Administrativas en General"/>
    <x v="9"/>
    <x v="6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34"/>
    <x v="0"/>
    <x v="160"/>
    <x v="107"/>
    <s v="NC-Casino"/>
    <x v="9"/>
    <x v="6"/>
    <x v="1"/>
    <x v="2"/>
    <m/>
    <m/>
    <x v="2"/>
    <x v="14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708"/>
    <x v="0"/>
    <x v="161"/>
    <x v="108"/>
    <s v="NC-Áreas Administrativas en General"/>
    <x v="9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536"/>
    <x v="0"/>
    <x v="162"/>
    <x v="109"/>
    <s v="NC-Casino"/>
    <x v="9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37"/>
    <x v="0"/>
    <x v="161"/>
    <x v="108"/>
    <s v="NC-Áreas Administrativas en General"/>
    <x v="9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18"/>
    <x v="0"/>
    <x v="160"/>
    <x v="107"/>
    <s v="NC-Casino"/>
    <x v="9"/>
    <x v="6"/>
    <x v="0"/>
    <x v="7"/>
    <m/>
    <m/>
    <x v="7"/>
    <x v="15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28"/>
    <x v="0"/>
    <x v="161"/>
    <x v="108"/>
    <s v="NC-Áreas Administrativas en General"/>
    <x v="9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268"/>
    <x v="0"/>
    <x v="161"/>
    <x v="108"/>
    <s v="NC-Áreas Administrativas en General"/>
    <x v="9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358"/>
    <x v="0"/>
    <x v="163"/>
    <x v="110"/>
    <s v="NC-Áreas de Servicios Generales"/>
    <x v="10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52"/>
    <x v="0"/>
    <x v="164"/>
    <x v="39"/>
    <s v="NC-Áreas de Servicios Generales"/>
    <x v="10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53"/>
    <x v="0"/>
    <x v="163"/>
    <x v="110"/>
    <s v="NC-Áreas de Servicios Generales"/>
    <x v="10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54"/>
    <x v="0"/>
    <x v="165"/>
    <x v="111"/>
    <s v="NC-Áreas de Servicios Generales"/>
    <x v="10"/>
    <x v="6"/>
    <x v="2"/>
    <x v="3"/>
    <m/>
    <m/>
    <x v="3"/>
    <x v="3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98"/>
    <x v="0"/>
    <x v="166"/>
    <x v="112"/>
    <s v="NC-Áreas Administrativas en General"/>
    <x v="10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02"/>
    <x v="0"/>
    <x v="167"/>
    <x v="113"/>
    <s v="NC-Áreas Administrativas en General"/>
    <x v="10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03"/>
    <x v="0"/>
    <x v="168"/>
    <x v="114"/>
    <s v="NC-Áreas Administrativas en General"/>
    <x v="10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389"/>
    <x v="0"/>
    <x v="169"/>
    <x v="5"/>
    <s v="NC-Áreas Administrativas en General"/>
    <x v="10"/>
    <x v="6"/>
    <x v="0"/>
    <x v="4"/>
    <m/>
    <m/>
    <x v="4"/>
    <x v="3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55"/>
    <x v="0"/>
    <x v="164"/>
    <x v="39"/>
    <s v="NC-Áreas de Servicios Generales"/>
    <x v="10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56"/>
    <x v="0"/>
    <x v="163"/>
    <x v="110"/>
    <s v="NC-Áreas de Servicios Generales"/>
    <x v="10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57"/>
    <x v="0"/>
    <x v="165"/>
    <x v="111"/>
    <s v="NC-Áreas de Servicios Generales"/>
    <x v="10"/>
    <x v="6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1"/>
    <x v="0"/>
    <x v="169"/>
    <x v="5"/>
    <s v="NC-Áreas Administrativas en General"/>
    <x v="10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3"/>
    <x v="0"/>
    <x v="170"/>
    <x v="115"/>
    <s v="CM-Consultas Ambulatorias"/>
    <x v="10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4"/>
    <x v="0"/>
    <x v="171"/>
    <x v="115"/>
    <s v="CM-Consultas Ambulatorias"/>
    <x v="10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5"/>
    <x v="0"/>
    <x v="172"/>
    <x v="115"/>
    <s v="CM-Consultas Ambulatorias"/>
    <x v="10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2"/>
    <x v="0"/>
    <x v="166"/>
    <x v="112"/>
    <s v="NC-Áreas Administrativas en General"/>
    <x v="10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6"/>
    <x v="0"/>
    <x v="167"/>
    <x v="113"/>
    <s v="NC-Áreas Administrativas en General"/>
    <x v="10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27"/>
    <x v="0"/>
    <x v="168"/>
    <x v="114"/>
    <s v="NC-Áreas Administrativas en General"/>
    <x v="10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60"/>
    <x v="0"/>
    <x v="164"/>
    <x v="39"/>
    <s v="NC-Áreas de Servicios Generales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62"/>
    <x v="0"/>
    <x v="163"/>
    <x v="110"/>
    <s v="NC-Áreas de Servicios Generales"/>
    <x v="10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63"/>
    <x v="0"/>
    <x v="165"/>
    <x v="111"/>
    <s v="NC-Áreas de Servicios Generales"/>
    <x v="10"/>
    <x v="6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10"/>
    <x v="0"/>
    <x v="166"/>
    <x v="112"/>
    <s v="NC-Áreas Administrativas en General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11"/>
    <x v="0"/>
    <x v="170"/>
    <x v="115"/>
    <s v="CM-Consultas Ambulatorias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12"/>
    <x v="0"/>
    <x v="171"/>
    <x v="115"/>
    <s v="CM-Consultas Ambulatorias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13"/>
    <x v="0"/>
    <x v="172"/>
    <x v="115"/>
    <s v="CM-Consultas Ambulatorias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14"/>
    <x v="0"/>
    <x v="167"/>
    <x v="113"/>
    <s v="NC-Áreas Administrativas en General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15"/>
    <x v="0"/>
    <x v="168"/>
    <x v="114"/>
    <s v="NC-Áreas Administrativas en General"/>
    <x v="10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258"/>
    <x v="0"/>
    <x v="170"/>
    <x v="115"/>
    <s v="CM-Consultas Ambulatorias"/>
    <x v="10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59"/>
    <x v="0"/>
    <x v="171"/>
    <x v="115"/>
    <s v="CM-Consultas Ambulatorias"/>
    <x v="10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60"/>
    <x v="0"/>
    <x v="172"/>
    <x v="115"/>
    <s v="CM-Consultas Ambulatorias"/>
    <x v="10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09"/>
    <x v="0"/>
    <x v="164"/>
    <x v="39"/>
    <s v="NC-Áreas de Servicios Generales"/>
    <x v="10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10"/>
    <x v="0"/>
    <x v="163"/>
    <x v="110"/>
    <s v="NC-Áreas de Servicios Generales"/>
    <x v="10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11"/>
    <x v="0"/>
    <x v="165"/>
    <x v="111"/>
    <s v="NC-Áreas de Servicios Generales"/>
    <x v="10"/>
    <x v="6"/>
    <x v="1"/>
    <x v="10"/>
    <m/>
    <m/>
    <x v="10"/>
    <x v="3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57"/>
    <x v="0"/>
    <x v="166"/>
    <x v="112"/>
    <s v="NC-Áreas Administrativas en General"/>
    <x v="10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61"/>
    <x v="0"/>
    <x v="167"/>
    <x v="113"/>
    <s v="NC-Áreas Administrativas en General"/>
    <x v="10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62"/>
    <x v="0"/>
    <x v="168"/>
    <x v="114"/>
    <s v="NC-Áreas Administrativas en General"/>
    <x v="10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03"/>
    <x v="0"/>
    <x v="173"/>
    <x v="116"/>
    <s v="CA-Otros Servicios Adyacentes"/>
    <x v="11"/>
    <x v="6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2"/>
    <x v="0"/>
    <x v="174"/>
    <x v="10"/>
    <s v="NC-Otros Servicios Adyacentes"/>
    <x v="11"/>
    <x v="0"/>
    <x v="0"/>
    <x v="12"/>
    <m/>
    <m/>
    <x v="12"/>
    <x v="0"/>
    <n v="1"/>
    <n v="1"/>
    <x v="0"/>
    <s v="HBP-MNC-11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3"/>
    <x v="0"/>
    <x v="175"/>
    <x v="10"/>
    <s v="NC-Otros Servicios Adyacentes"/>
    <x v="11"/>
    <x v="0"/>
    <x v="0"/>
    <x v="12"/>
    <m/>
    <m/>
    <x v="12"/>
    <x v="0"/>
    <n v="1"/>
    <n v="1"/>
    <x v="0"/>
    <s v="HBP-MNC-11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18"/>
    <x v="0"/>
    <x v="176"/>
    <x v="117"/>
    <s v="NC-Otros Servicios Adyacentes"/>
    <x v="11"/>
    <x v="0"/>
    <x v="1"/>
    <x v="15"/>
    <n v="1"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19"/>
    <x v="0"/>
    <x v="177"/>
    <x v="118"/>
    <s v="NC-Otros Servicios Adyacentes"/>
    <x v="11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23"/>
    <x v="0"/>
    <x v="178"/>
    <x v="119"/>
    <s v="NC-Áreas Administrativas en General"/>
    <x v="11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26"/>
    <x v="0"/>
    <x v="179"/>
    <x v="120"/>
    <s v="NC-Áreas Administrativas en General"/>
    <x v="11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57"/>
    <x v="0"/>
    <x v="180"/>
    <x v="121"/>
    <s v="NC-Áreas Administrativas en General"/>
    <x v="11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69"/>
    <x v="0"/>
    <x v="181"/>
    <x v="122"/>
    <s v="NC-Áreas Administrativas en General"/>
    <x v="11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30"/>
    <x v="0"/>
    <x v="182"/>
    <x v="1"/>
    <s v="NC-Otros Servicios Adyacentes"/>
    <x v="11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31"/>
    <x v="0"/>
    <x v="183"/>
    <x v="1"/>
    <s v="NC-Otros Servicios Adyacentes"/>
    <x v="11"/>
    <x v="0"/>
    <x v="1"/>
    <x v="2"/>
    <m/>
    <m/>
    <x v="2"/>
    <x v="2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13"/>
    <x v="0"/>
    <x v="184"/>
    <x v="123"/>
    <s v="NC-Otros Servicios Adyacentes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20"/>
    <x v="0"/>
    <x v="178"/>
    <x v="119"/>
    <s v="NC-Áreas Administrativas en General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34"/>
    <x v="0"/>
    <x v="179"/>
    <x v="120"/>
    <s v="NC-Áreas Administrativas en General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35"/>
    <x v="0"/>
    <x v="181"/>
    <x v="122"/>
    <s v="NC-Áreas Administrativas en General"/>
    <x v="11"/>
    <x v="0"/>
    <x v="2"/>
    <x v="3"/>
    <m/>
    <m/>
    <x v="3"/>
    <x v="3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45"/>
    <x v="0"/>
    <x v="180"/>
    <x v="121"/>
    <s v="NC-Áreas Administrativas en General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46"/>
    <x v="0"/>
    <x v="185"/>
    <x v="48"/>
    <s v="NC-Áreas Administrativas en General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47"/>
    <x v="0"/>
    <x v="186"/>
    <x v="124"/>
    <s v="NC-Áreas Administrativas en General"/>
    <x v="11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60"/>
    <x v="0"/>
    <x v="187"/>
    <x v="125"/>
    <s v="NC-Áreas de Servicios Generales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61"/>
    <x v="0"/>
    <x v="188"/>
    <x v="126"/>
    <s v="NC-Áreas de Servicios Generales"/>
    <x v="11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63"/>
    <x v="0"/>
    <x v="189"/>
    <x v="127"/>
    <s v="NC-Áreas de Servicios Generales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64"/>
    <x v="0"/>
    <x v="190"/>
    <x v="128"/>
    <s v="NC-Áreas de Servicios Generales"/>
    <x v="11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13"/>
    <x v="0"/>
    <x v="191"/>
    <x v="129"/>
    <s v="NC-Áreas Administrativas en General"/>
    <x v="11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16"/>
    <x v="0"/>
    <x v="192"/>
    <x v="130"/>
    <s v="CM-Otros Servicios Adyacentes"/>
    <x v="1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17"/>
    <x v="0"/>
    <x v="193"/>
    <x v="131"/>
    <s v="NC-Áreas Administrativas en General"/>
    <x v="11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10"/>
    <x v="0"/>
    <x v="176"/>
    <x v="117"/>
    <s v="NC-Otros Servicios Adyacentes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11"/>
    <x v="0"/>
    <x v="177"/>
    <x v="118"/>
    <s v="NC-Otros Servicios Adyacentes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3"/>
    <x v="0"/>
    <x v="194"/>
    <x v="120"/>
    <s v="NC-Áreas Administrativas en General"/>
    <x v="11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369"/>
    <x v="0"/>
    <x v="195"/>
    <x v="132"/>
    <s v="NC-Áreas Administrativas en General"/>
    <x v="11"/>
    <x v="0"/>
    <x v="0"/>
    <x v="4"/>
    <n v="1"/>
    <m/>
    <x v="4"/>
    <x v="16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71"/>
    <x v="0"/>
    <x v="196"/>
    <x v="133"/>
    <s v="CM-Otros Servicios Adyacentes"/>
    <x v="11"/>
    <x v="0"/>
    <x v="0"/>
    <x v="4"/>
    <m/>
    <m/>
    <x v="4"/>
    <x v="16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80"/>
    <x v="0"/>
    <x v="197"/>
    <x v="132"/>
    <s v="NC-Otros Servicios Adyacentes"/>
    <x v="11"/>
    <x v="0"/>
    <x v="0"/>
    <x v="4"/>
    <m/>
    <m/>
    <x v="4"/>
    <x v="8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88"/>
    <x v="0"/>
    <x v="198"/>
    <x v="132"/>
    <s v="NC-Áreas Administrativas en General"/>
    <x v="11"/>
    <x v="6"/>
    <x v="0"/>
    <x v="4"/>
    <m/>
    <m/>
    <x v="4"/>
    <x v="17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66"/>
    <x v="0"/>
    <x v="184"/>
    <x v="123"/>
    <s v="NC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67"/>
    <x v="0"/>
    <x v="199"/>
    <x v="134"/>
    <s v="NC-Otros Servicios Adyacentes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68"/>
    <x v="0"/>
    <x v="176"/>
    <x v="117"/>
    <s v="NC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69"/>
    <x v="0"/>
    <x v="177"/>
    <x v="118"/>
    <s v="NC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76"/>
    <x v="0"/>
    <x v="178"/>
    <x v="119"/>
    <s v="NC-Áreas Administrativas en General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92"/>
    <x v="0"/>
    <x v="179"/>
    <x v="120"/>
    <s v="NC-Áreas Administrativas en General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93"/>
    <x v="0"/>
    <x v="181"/>
    <x v="122"/>
    <s v="NC-Áreas Administrativas en General"/>
    <x v="11"/>
    <x v="0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96"/>
    <x v="0"/>
    <x v="200"/>
    <x v="135"/>
    <s v="CM-Otros Servicios Adyacentes"/>
    <x v="11"/>
    <x v="0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97"/>
    <x v="0"/>
    <x v="201"/>
    <x v="136"/>
    <s v="CM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98"/>
    <x v="0"/>
    <x v="202"/>
    <x v="134"/>
    <s v="CM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01"/>
    <x v="0"/>
    <x v="203"/>
    <x v="137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02"/>
    <x v="0"/>
    <x v="204"/>
    <x v="138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03"/>
    <x v="0"/>
    <x v="205"/>
    <x v="138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04"/>
    <x v="0"/>
    <x v="206"/>
    <x v="139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05"/>
    <x v="0"/>
    <x v="207"/>
    <x v="140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07"/>
    <x v="0"/>
    <x v="208"/>
    <x v="141"/>
    <s v="CM-Salas de Procedimientos no Invasivo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2"/>
    <x v="0"/>
    <x v="209"/>
    <x v="142"/>
    <s v="CM-Otros Servicios Adyacente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3"/>
    <x v="0"/>
    <x v="210"/>
    <x v="143"/>
    <s v="CM-Otros Servicios Adyacente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4"/>
    <x v="0"/>
    <x v="211"/>
    <x v="144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5"/>
    <x v="0"/>
    <x v="212"/>
    <x v="145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6"/>
    <x v="0"/>
    <x v="213"/>
    <x v="145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7"/>
    <x v="0"/>
    <x v="214"/>
    <x v="145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8"/>
    <x v="0"/>
    <x v="215"/>
    <x v="145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19"/>
    <x v="0"/>
    <x v="216"/>
    <x v="146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20"/>
    <x v="0"/>
    <x v="217"/>
    <x v="146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21"/>
    <x v="0"/>
    <x v="218"/>
    <x v="147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22"/>
    <x v="0"/>
    <x v="219"/>
    <x v="147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23"/>
    <x v="0"/>
    <x v="220"/>
    <x v="148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1"/>
    <x v="0"/>
    <x v="221"/>
    <x v="149"/>
    <s v="CM-Salas de Procedimientos no Invasivos"/>
    <x v="1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2"/>
    <x v="0"/>
    <x v="222"/>
    <x v="80"/>
    <s v="CM-Otros Servicios Adyacente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3"/>
    <x v="0"/>
    <x v="223"/>
    <x v="150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4"/>
    <x v="0"/>
    <x v="224"/>
    <x v="151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8"/>
    <x v="0"/>
    <x v="225"/>
    <x v="152"/>
    <s v="CM-Salas de Procedimientos no Invasivo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9"/>
    <x v="0"/>
    <x v="226"/>
    <x v="153"/>
    <s v="CM-Salas de Procedimientos no Invasivo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2"/>
    <x v="0"/>
    <x v="227"/>
    <x v="154"/>
    <s v="CM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1"/>
    <x v="0"/>
    <x v="228"/>
    <x v="155"/>
    <s v="NC-Otros Servicios Adyacentes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2"/>
    <x v="0"/>
    <x v="229"/>
    <x v="156"/>
    <s v="NC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3"/>
    <x v="0"/>
    <x v="230"/>
    <x v="134"/>
    <s v="NC-Otros Servicios Adyacentes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7"/>
    <x v="0"/>
    <x v="185"/>
    <x v="48"/>
    <s v="NC-Áreas Administrativas en General"/>
    <x v="11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8"/>
    <x v="0"/>
    <x v="186"/>
    <x v="124"/>
    <s v="NC-Áreas Administrativas en General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64"/>
    <x v="0"/>
    <x v="188"/>
    <x v="126"/>
    <s v="NC-Áreas de Servicios Generales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76"/>
    <x v="0"/>
    <x v="190"/>
    <x v="128"/>
    <s v="NC-Áreas de Servicios Generales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5"/>
    <x v="0"/>
    <x v="191"/>
    <x v="129"/>
    <s v="NC-Áreas Administrativas en General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2"/>
    <x v="0"/>
    <x v="231"/>
    <x v="157"/>
    <s v="CM-Consultas Ambulatoria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9"/>
    <x v="0"/>
    <x v="193"/>
    <x v="131"/>
    <s v="NC-Áreas Administrativas en General"/>
    <x v="11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85"/>
    <x v="0"/>
    <x v="232"/>
    <x v="158"/>
    <s v="CM-Salas de Procedimientos no Invasivos"/>
    <x v="1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2"/>
    <x v="0"/>
    <x v="233"/>
    <x v="155"/>
    <s v="NC-Áreas Administrativas en General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3"/>
    <x v="0"/>
    <x v="234"/>
    <x v="156"/>
    <s v="NC-Áreas Administrativas en General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46"/>
    <x v="0"/>
    <x v="180"/>
    <x v="121"/>
    <s v="NC-Áreas Administrativas en General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63"/>
    <x v="0"/>
    <x v="187"/>
    <x v="125"/>
    <s v="NC-Áreas de Servicios Generales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69"/>
    <x v="0"/>
    <x v="189"/>
    <x v="127"/>
    <s v="NC-Áreas de Servicios Generales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3"/>
    <x v="0"/>
    <x v="192"/>
    <x v="130"/>
    <s v="CM-Otros Servicios Adyacentes"/>
    <x v="11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6"/>
    <x v="0"/>
    <x v="235"/>
    <x v="159"/>
    <s v="NC-Áreas Administrativas en General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7"/>
    <x v="0"/>
    <x v="236"/>
    <x v="160"/>
    <s v="NC-Áreas Administrativas en General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8"/>
    <x v="0"/>
    <x v="194"/>
    <x v="120"/>
    <s v="NC-Áreas Administrativas en General"/>
    <x v="11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15"/>
    <x v="0"/>
    <x v="182"/>
    <x v="1"/>
    <s v="NC-Otros Servicios Adyacentes"/>
    <x v="11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16"/>
    <x v="0"/>
    <x v="183"/>
    <x v="1"/>
    <s v="NC-Otros Servicios Adyacentes"/>
    <x v="11"/>
    <x v="0"/>
    <x v="0"/>
    <x v="7"/>
    <m/>
    <m/>
    <x v="7"/>
    <x v="1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27"/>
    <x v="0"/>
    <x v="184"/>
    <x v="123"/>
    <s v="NC-Otros Servicios Adyacentes"/>
    <x v="11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28"/>
    <x v="0"/>
    <x v="176"/>
    <x v="117"/>
    <s v="NC-Otros Servicios Adyacentes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29"/>
    <x v="0"/>
    <x v="177"/>
    <x v="118"/>
    <s v="NC-Otros Servicios Adyacentes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35"/>
    <x v="0"/>
    <x v="178"/>
    <x v="119"/>
    <s v="NC-Áreas Administrativas en General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51"/>
    <x v="0"/>
    <x v="179"/>
    <x v="120"/>
    <s v="NC-Áreas Administrativas en General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52"/>
    <x v="0"/>
    <x v="181"/>
    <x v="122"/>
    <s v="NC-Áreas Administrativas en General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57"/>
    <x v="0"/>
    <x v="203"/>
    <x v="137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58"/>
    <x v="0"/>
    <x v="204"/>
    <x v="138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59"/>
    <x v="0"/>
    <x v="205"/>
    <x v="138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0"/>
    <x v="0"/>
    <x v="206"/>
    <x v="139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1"/>
    <x v="0"/>
    <x v="207"/>
    <x v="140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2"/>
    <x v="0"/>
    <x v="237"/>
    <x v="161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3"/>
    <x v="0"/>
    <x v="208"/>
    <x v="141"/>
    <s v="CM-Salas de Procedimientos no Invasivo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4"/>
    <x v="0"/>
    <x v="238"/>
    <x v="162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5"/>
    <x v="0"/>
    <x v="239"/>
    <x v="163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6"/>
    <x v="0"/>
    <x v="240"/>
    <x v="163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7"/>
    <x v="0"/>
    <x v="241"/>
    <x v="163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8"/>
    <x v="0"/>
    <x v="209"/>
    <x v="142"/>
    <s v="CM-Otros Servicios Adyacente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69"/>
    <x v="0"/>
    <x v="210"/>
    <x v="143"/>
    <s v="CM-Otros Servicios Adyacente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0"/>
    <x v="0"/>
    <x v="211"/>
    <x v="144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1"/>
    <x v="0"/>
    <x v="212"/>
    <x v="145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2"/>
    <x v="0"/>
    <x v="213"/>
    <x v="145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3"/>
    <x v="0"/>
    <x v="214"/>
    <x v="145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4"/>
    <x v="0"/>
    <x v="215"/>
    <x v="145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5"/>
    <x v="0"/>
    <x v="216"/>
    <x v="146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6"/>
    <x v="0"/>
    <x v="217"/>
    <x v="146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7"/>
    <x v="0"/>
    <x v="218"/>
    <x v="147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8"/>
    <x v="0"/>
    <x v="219"/>
    <x v="147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79"/>
    <x v="0"/>
    <x v="220"/>
    <x v="148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0"/>
    <x v="0"/>
    <x v="242"/>
    <x v="164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1"/>
    <x v="0"/>
    <x v="243"/>
    <x v="165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2"/>
    <x v="0"/>
    <x v="173"/>
    <x v="116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3"/>
    <x v="0"/>
    <x v="244"/>
    <x v="166"/>
    <s v="CM-Salas de Procedimientos no Invasivos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4"/>
    <x v="0"/>
    <x v="223"/>
    <x v="150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5"/>
    <x v="0"/>
    <x v="224"/>
    <x v="151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6"/>
    <x v="0"/>
    <x v="245"/>
    <x v="167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7"/>
    <x v="0"/>
    <x v="225"/>
    <x v="152"/>
    <s v="CM-Salas de Procedimientos no Invasivos"/>
    <x v="11"/>
    <x v="6"/>
    <x v="0"/>
    <x v="8"/>
    <m/>
    <m/>
    <x v="8"/>
    <x v="3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3"/>
    <x v="0"/>
    <x v="228"/>
    <x v="155"/>
    <s v="NC-Otros Servicios Adyacentes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4"/>
    <x v="0"/>
    <x v="230"/>
    <x v="134"/>
    <s v="NC-Otros Servicios Adyacentes"/>
    <x v="11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9"/>
    <x v="0"/>
    <x v="234"/>
    <x v="156"/>
    <s v="NC-Áreas Administrativas en General"/>
    <x v="11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7"/>
    <x v="0"/>
    <x v="180"/>
    <x v="121"/>
    <s v="NC-Áreas Administrativas en General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8"/>
    <x v="0"/>
    <x v="185"/>
    <x v="48"/>
    <s v="NC-Áreas Administrativas en General"/>
    <x v="11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69"/>
    <x v="0"/>
    <x v="187"/>
    <x v="125"/>
    <s v="NC-Áreas de Servicios Generales"/>
    <x v="11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72"/>
    <x v="0"/>
    <x v="189"/>
    <x v="127"/>
    <s v="NC-Áreas de Servicios Generales"/>
    <x v="11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4"/>
    <x v="0"/>
    <x v="191"/>
    <x v="129"/>
    <s v="NC-Áreas Administrativas en General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9"/>
    <x v="0"/>
    <x v="231"/>
    <x v="157"/>
    <s v="CM-Consultas Ambulatoria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0"/>
    <x v="0"/>
    <x v="192"/>
    <x v="130"/>
    <s v="CM-Otros Servicios Adyacente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1"/>
    <x v="0"/>
    <x v="193"/>
    <x v="131"/>
    <s v="NC-Áreas Administrativas en General"/>
    <x v="11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9"/>
    <x v="0"/>
    <x v="246"/>
    <x v="168"/>
    <s v="CN-Salas de Procedimientos Invasivos y/o de Mayor Complejidad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20"/>
    <x v="0"/>
    <x v="247"/>
    <x v="168"/>
    <s v="CN-Salas de Procedimientos Invasivos y/o de Mayor Complejidad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21"/>
    <x v="0"/>
    <x v="248"/>
    <x v="168"/>
    <s v="CN-Salas de Procedimientos Invasivos y/o de Mayor Complejidad"/>
    <x v="1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22"/>
    <x v="0"/>
    <x v="221"/>
    <x v="149"/>
    <s v="CM-Salas de Procedimientos no Invasivos"/>
    <x v="11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23"/>
    <x v="0"/>
    <x v="249"/>
    <x v="169"/>
    <s v="CM-Salas de Procedimientos no Invasivo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24"/>
    <x v="0"/>
    <x v="250"/>
    <x v="170"/>
    <s v="CM-Salas de Procedimientos no Invasivo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25"/>
    <x v="0"/>
    <x v="226"/>
    <x v="153"/>
    <s v="CM-Salas de Procedimientos no Invasivos"/>
    <x v="1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4"/>
    <x v="0"/>
    <x v="182"/>
    <x v="1"/>
    <s v="NC-Otros Servicios Adyacentes"/>
    <x v="11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5"/>
    <x v="0"/>
    <x v="183"/>
    <x v="1"/>
    <s v="NC-Otros Servicios Adyacentes"/>
    <x v="11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031"/>
    <x v="0"/>
    <x v="203"/>
    <x v="137"/>
    <s v="CM-Consultas Ambulatorias"/>
    <x v="11"/>
    <x v="6"/>
    <x v="1"/>
    <x v="22"/>
    <n v="1"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32"/>
    <x v="0"/>
    <x v="204"/>
    <x v="138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33"/>
    <x v="0"/>
    <x v="205"/>
    <x v="138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34"/>
    <x v="0"/>
    <x v="206"/>
    <x v="139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35"/>
    <x v="0"/>
    <x v="207"/>
    <x v="140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37"/>
    <x v="0"/>
    <x v="208"/>
    <x v="141"/>
    <s v="CM-Salas de Procedimientos no Invasivo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3"/>
    <x v="0"/>
    <x v="211"/>
    <x v="144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4"/>
    <x v="0"/>
    <x v="212"/>
    <x v="145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5"/>
    <x v="0"/>
    <x v="213"/>
    <x v="145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6"/>
    <x v="0"/>
    <x v="214"/>
    <x v="145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7"/>
    <x v="0"/>
    <x v="215"/>
    <x v="145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8"/>
    <x v="0"/>
    <x v="216"/>
    <x v="146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9"/>
    <x v="0"/>
    <x v="217"/>
    <x v="146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50"/>
    <x v="0"/>
    <x v="218"/>
    <x v="147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51"/>
    <x v="0"/>
    <x v="219"/>
    <x v="147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52"/>
    <x v="0"/>
    <x v="220"/>
    <x v="148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60"/>
    <x v="0"/>
    <x v="223"/>
    <x v="150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61"/>
    <x v="0"/>
    <x v="224"/>
    <x v="151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65"/>
    <x v="0"/>
    <x v="225"/>
    <x v="152"/>
    <s v="CM-Salas de Procedimientos no Invasivo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66"/>
    <x v="0"/>
    <x v="226"/>
    <x v="153"/>
    <s v="CM-Salas de Procedimientos no Invasivo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9"/>
    <x v="0"/>
    <x v="231"/>
    <x v="157"/>
    <s v="CM-Consultas Ambulatorias"/>
    <x v="1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01"/>
    <x v="0"/>
    <x v="184"/>
    <x v="123"/>
    <s v="NC-Otros Servicios Adyacentes"/>
    <x v="11"/>
    <x v="0"/>
    <x v="1"/>
    <x v="10"/>
    <n v="1"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02"/>
    <x v="0"/>
    <x v="176"/>
    <x v="117"/>
    <s v="NC-Otros Servicios Adyacentes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03"/>
    <x v="0"/>
    <x v="177"/>
    <x v="118"/>
    <s v="NC-Otros Servicios Adyacentes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10"/>
    <x v="0"/>
    <x v="178"/>
    <x v="119"/>
    <s v="NC-Áreas Administrativas en General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25"/>
    <x v="0"/>
    <x v="179"/>
    <x v="120"/>
    <s v="NC-Áreas Administrativas en General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02"/>
    <x v="0"/>
    <x v="180"/>
    <x v="121"/>
    <s v="NC-Áreas Administrativas en General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03"/>
    <x v="0"/>
    <x v="185"/>
    <x v="48"/>
    <s v="NC-Áreas Administrativas en General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17"/>
    <x v="0"/>
    <x v="187"/>
    <x v="125"/>
    <s v="NC-Áreas de Servicios Generales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18"/>
    <x v="0"/>
    <x v="188"/>
    <x v="126"/>
    <s v="NC-Áreas de Servicios Generales"/>
    <x v="11"/>
    <x v="0"/>
    <x v="1"/>
    <x v="10"/>
    <m/>
    <m/>
    <x v="10"/>
    <x v="2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20"/>
    <x v="0"/>
    <x v="189"/>
    <x v="127"/>
    <s v="NC-Áreas de Servicios Generales"/>
    <x v="11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6"/>
    <x v="0"/>
    <x v="191"/>
    <x v="129"/>
    <s v="NC-Áreas Administrativas en General"/>
    <x v="11"/>
    <x v="0"/>
    <x v="1"/>
    <x v="10"/>
    <m/>
    <m/>
    <x v="10"/>
    <x v="2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80"/>
    <x v="0"/>
    <x v="192"/>
    <x v="130"/>
    <s v="CM-Otros Servicios Adyacentes"/>
    <x v="1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81"/>
    <x v="0"/>
    <x v="193"/>
    <x v="131"/>
    <s v="NC-Áreas Administrativas en General"/>
    <x v="11"/>
    <x v="0"/>
    <x v="1"/>
    <x v="10"/>
    <m/>
    <m/>
    <x v="10"/>
    <x v="2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26"/>
    <x v="0"/>
    <x v="181"/>
    <x v="122"/>
    <s v="NC-Áreas Administrativas en General"/>
    <x v="11"/>
    <x v="0"/>
    <x v="1"/>
    <x v="11"/>
    <m/>
    <m/>
    <x v="11"/>
    <x v="3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1"/>
    <x v="0"/>
    <x v="209"/>
    <x v="142"/>
    <s v="CM-Otros Servicios Adyacentes"/>
    <x v="1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42"/>
    <x v="0"/>
    <x v="210"/>
    <x v="143"/>
    <s v="CM-Otros Servicios Adyacentes"/>
    <x v="1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55"/>
    <x v="0"/>
    <x v="173"/>
    <x v="116"/>
    <s v="CM-Salas de Procedimientos no Invasivos"/>
    <x v="1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56"/>
    <x v="0"/>
    <x v="244"/>
    <x v="166"/>
    <s v="CM-Salas de Procedimientos no Invasivos"/>
    <x v="1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63"/>
    <x v="0"/>
    <x v="249"/>
    <x v="169"/>
    <s v="CM-Salas de Procedimientos no Invasivos"/>
    <x v="1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64"/>
    <x v="0"/>
    <x v="250"/>
    <x v="170"/>
    <s v="CM-Salas de Procedimientos no Invasivos"/>
    <x v="1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04"/>
    <x v="0"/>
    <x v="186"/>
    <x v="124"/>
    <s v="NC-Áreas Administrativas en General"/>
    <x v="11"/>
    <x v="0"/>
    <x v="1"/>
    <x v="11"/>
    <m/>
    <m/>
    <x v="11"/>
    <x v="2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21"/>
    <x v="0"/>
    <x v="190"/>
    <x v="128"/>
    <s v="NC-Áreas de Servicios Generales"/>
    <x v="11"/>
    <x v="0"/>
    <x v="1"/>
    <x v="11"/>
    <m/>
    <m/>
    <x v="11"/>
    <x v="2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3"/>
    <x v="0"/>
    <x v="235"/>
    <x v="159"/>
    <s v="NC-Áreas Administrativas en General"/>
    <x v="11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4"/>
    <x v="0"/>
    <x v="236"/>
    <x v="160"/>
    <s v="NC-Áreas Administrativas en General"/>
    <x v="11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5"/>
    <x v="0"/>
    <x v="194"/>
    <x v="120"/>
    <s v="NC-Áreas Administrativas en General"/>
    <x v="11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362"/>
    <x v="0"/>
    <x v="251"/>
    <x v="171"/>
    <s v="NC-Áreas Administrativas en General"/>
    <x v="12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91"/>
    <x v="0"/>
    <x v="252"/>
    <x v="172"/>
    <s v="NC-Otros Servicios Adyacentes"/>
    <x v="12"/>
    <x v="6"/>
    <x v="1"/>
    <x v="16"/>
    <m/>
    <m/>
    <x v="16"/>
    <x v="0"/>
    <n v="1"/>
    <n v="1"/>
    <x v="0"/>
    <s v="HBP-MNC-098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72"/>
    <x v="0"/>
    <x v="253"/>
    <x v="34"/>
    <s v="NC-Áreas Administrativas en General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74"/>
    <x v="0"/>
    <x v="251"/>
    <x v="171"/>
    <s v="NC-Áreas Administrativas en General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83"/>
    <x v="0"/>
    <x v="254"/>
    <x v="173"/>
    <s v="NC-Áreas de Servicios Generales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84"/>
    <x v="0"/>
    <x v="255"/>
    <x v="174"/>
    <s v="NC-Áreas de Servicios Generales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85"/>
    <x v="0"/>
    <x v="256"/>
    <x v="34"/>
    <s v="NC-Áreas de Servicios Generales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86"/>
    <x v="0"/>
    <x v="257"/>
    <x v="175"/>
    <s v="NC-Áreas de Servicios Generales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87"/>
    <x v="0"/>
    <x v="258"/>
    <x v="176"/>
    <s v="NC-Áreas de Servicios Generales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91"/>
    <x v="0"/>
    <x v="259"/>
    <x v="177"/>
    <s v="NC-Áreas de Servicios Generales"/>
    <x v="1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36"/>
    <x v="0"/>
    <x v="260"/>
    <x v="178"/>
    <s v="NC-Áreas de Servicios Generales"/>
    <x v="12"/>
    <x v="6"/>
    <x v="2"/>
    <x v="3"/>
    <m/>
    <m/>
    <x v="3"/>
    <x v="1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491"/>
    <x v="0"/>
    <x v="253"/>
    <x v="34"/>
    <s v="NC-Áreas Administrativas en General"/>
    <x v="1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3"/>
    <x v="0"/>
    <x v="260"/>
    <x v="178"/>
    <s v="NC-Áreas de Servicios Generales"/>
    <x v="12"/>
    <x v="6"/>
    <x v="0"/>
    <x v="5"/>
    <m/>
    <m/>
    <x v="5"/>
    <x v="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5"/>
    <x v="0"/>
    <x v="256"/>
    <x v="34"/>
    <s v="NC-Áreas de Servicios Generales"/>
    <x v="1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7"/>
    <x v="0"/>
    <x v="258"/>
    <x v="176"/>
    <s v="NC-Áreas de Servicios Generales"/>
    <x v="1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14"/>
    <x v="0"/>
    <x v="261"/>
    <x v="34"/>
    <s v="NC-Áreas de Servicios Generales"/>
    <x v="1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93"/>
    <x v="0"/>
    <x v="251"/>
    <x v="171"/>
    <s v="NC-Áreas Administrativas en General"/>
    <x v="12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2"/>
    <x v="0"/>
    <x v="254"/>
    <x v="173"/>
    <s v="NC-Áreas de Servicios Generales"/>
    <x v="12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4"/>
    <x v="0"/>
    <x v="255"/>
    <x v="174"/>
    <s v="NC-Áreas de Servicios Generales"/>
    <x v="12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06"/>
    <x v="0"/>
    <x v="257"/>
    <x v="175"/>
    <s v="NC-Áreas de Servicios Generales"/>
    <x v="12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13"/>
    <x v="0"/>
    <x v="259"/>
    <x v="177"/>
    <s v="NC-Áreas de Servicios Generales"/>
    <x v="12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81"/>
    <x v="0"/>
    <x v="253"/>
    <x v="34"/>
    <s v="NC-Áreas Administrativas en General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83"/>
    <x v="0"/>
    <x v="251"/>
    <x v="171"/>
    <s v="NC-Áreas Administrativas en General"/>
    <x v="12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1"/>
    <x v="0"/>
    <x v="254"/>
    <x v="173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2"/>
    <x v="0"/>
    <x v="260"/>
    <x v="178"/>
    <s v="NC-Áreas de Servicios Generales"/>
    <x v="12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3"/>
    <x v="0"/>
    <x v="255"/>
    <x v="174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4"/>
    <x v="0"/>
    <x v="256"/>
    <x v="34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5"/>
    <x v="0"/>
    <x v="257"/>
    <x v="175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96"/>
    <x v="0"/>
    <x v="258"/>
    <x v="176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01"/>
    <x v="0"/>
    <x v="259"/>
    <x v="177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02"/>
    <x v="0"/>
    <x v="261"/>
    <x v="34"/>
    <s v="NC-Áreas de Servicios Generales"/>
    <x v="1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03"/>
    <x v="0"/>
    <x v="252"/>
    <x v="172"/>
    <s v="NC-Otros Servicios Adyacentes"/>
    <x v="12"/>
    <x v="6"/>
    <x v="0"/>
    <x v="8"/>
    <m/>
    <m/>
    <x v="8"/>
    <x v="7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229"/>
    <x v="0"/>
    <x v="253"/>
    <x v="34"/>
    <s v="NC-Áreas Administrativas en General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31"/>
    <x v="0"/>
    <x v="251"/>
    <x v="171"/>
    <s v="NC-Áreas Administrativas en General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0"/>
    <x v="0"/>
    <x v="254"/>
    <x v="173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2"/>
    <x v="0"/>
    <x v="255"/>
    <x v="174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3"/>
    <x v="0"/>
    <x v="256"/>
    <x v="34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4"/>
    <x v="0"/>
    <x v="257"/>
    <x v="175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5"/>
    <x v="0"/>
    <x v="258"/>
    <x v="176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9"/>
    <x v="0"/>
    <x v="259"/>
    <x v="177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50"/>
    <x v="0"/>
    <x v="261"/>
    <x v="34"/>
    <s v="NC-Áreas de Servicios Generales"/>
    <x v="1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41"/>
    <x v="0"/>
    <x v="260"/>
    <x v="178"/>
    <s v="NC-Áreas de Servicios Generales"/>
    <x v="12"/>
    <x v="6"/>
    <x v="1"/>
    <x v="11"/>
    <m/>
    <m/>
    <x v="11"/>
    <x v="1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330"/>
    <x v="0"/>
    <x v="262"/>
    <x v="179"/>
    <s v="CM-Otros Servicios Adyacentes"/>
    <x v="13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1"/>
    <x v="0"/>
    <x v="263"/>
    <x v="180"/>
    <s v="CM-Otros Servicios Adyacentes"/>
    <x v="13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48"/>
    <x v="0"/>
    <x v="263"/>
    <x v="180"/>
    <s v="CM-Otros Servicios Adyacentes"/>
    <x v="13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6"/>
    <x v="0"/>
    <x v="262"/>
    <x v="179"/>
    <s v="CA-Otros Servicios Adyacentes"/>
    <x v="13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7"/>
    <x v="0"/>
    <x v="264"/>
    <x v="181"/>
    <s v="CA-Otros Servicios Adyacentes"/>
    <x v="13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250"/>
    <x v="0"/>
    <x v="262"/>
    <x v="179"/>
    <s v="CM-Otros Servicios Adyacente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1"/>
    <x v="0"/>
    <x v="264"/>
    <x v="181"/>
    <s v="CM-Otros Servicios Adyacente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2"/>
    <x v="0"/>
    <x v="263"/>
    <x v="180"/>
    <s v="CM-Otros Servicios Adyacente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3"/>
    <x v="0"/>
    <x v="265"/>
    <x v="5"/>
    <s v="CM-Otros Servicios Adyacente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4"/>
    <x v="0"/>
    <x v="266"/>
    <x v="182"/>
    <s v="CM-Consultas Ambulatoria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5"/>
    <x v="0"/>
    <x v="267"/>
    <x v="183"/>
    <s v="CM-Consultas Ambulatoria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6"/>
    <x v="0"/>
    <x v="268"/>
    <x v="184"/>
    <s v="CM-Consultas Ambulatoria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7"/>
    <x v="0"/>
    <x v="269"/>
    <x v="185"/>
    <s v="CM-Salas de Procedimientos no Invasivos"/>
    <x v="1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7"/>
    <x v="0"/>
    <x v="262"/>
    <x v="179"/>
    <s v="CM-Otros Servicios Adyacentes"/>
    <x v="13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8"/>
    <x v="0"/>
    <x v="264"/>
    <x v="181"/>
    <s v="CM-Otros Servicios Adyacentes"/>
    <x v="13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9"/>
    <x v="0"/>
    <x v="263"/>
    <x v="180"/>
    <s v="CM-Otros Servicios Adyacentes"/>
    <x v="13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0"/>
    <x v="0"/>
    <x v="266"/>
    <x v="182"/>
    <s v="CM-Consultas Ambulatorias"/>
    <x v="13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1"/>
    <x v="0"/>
    <x v="267"/>
    <x v="183"/>
    <s v="CM-Consultas Ambulatorias"/>
    <x v="13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2"/>
    <x v="0"/>
    <x v="268"/>
    <x v="184"/>
    <s v="CM-Consultas Ambulatorias"/>
    <x v="13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12"/>
    <x v="0"/>
    <x v="269"/>
    <x v="185"/>
    <s v="CM-Otros Servicios Adyacentes"/>
    <x v="13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8"/>
    <x v="0"/>
    <x v="267"/>
    <x v="183"/>
    <s v="CM-Consultas Ambulatorias"/>
    <x v="13"/>
    <x v="0"/>
    <x v="0"/>
    <x v="9"/>
    <n v="1"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0"/>
    <x v="0"/>
    <x v="270"/>
    <x v="11"/>
    <s v="CM-Otros Servicios Adyacentes"/>
    <x v="13"/>
    <x v="0"/>
    <x v="0"/>
    <x v="19"/>
    <m/>
    <m/>
    <x v="19"/>
    <x v="2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1"/>
    <x v="0"/>
    <x v="267"/>
    <x v="183"/>
    <s v="CM-Consultas Ambulatorias"/>
    <x v="13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082"/>
    <x v="0"/>
    <x v="266"/>
    <x v="182"/>
    <s v="CM-Consultas Ambulatorias"/>
    <x v="13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3"/>
    <x v="0"/>
    <x v="267"/>
    <x v="183"/>
    <s v="CM-Consultas Ambulatorias"/>
    <x v="13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4"/>
    <x v="0"/>
    <x v="268"/>
    <x v="184"/>
    <s v="CM-Consultas Ambulatorias"/>
    <x v="13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79"/>
    <x v="0"/>
    <x v="262"/>
    <x v="179"/>
    <s v="CM-Otros Servicios Adyacentes"/>
    <x v="13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0"/>
    <x v="0"/>
    <x v="264"/>
    <x v="181"/>
    <s v="CM-Otros Servicios Adyacentes"/>
    <x v="13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1"/>
    <x v="0"/>
    <x v="263"/>
    <x v="180"/>
    <s v="CM-Otros Servicios Adyacentes"/>
    <x v="13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04"/>
    <x v="0"/>
    <x v="271"/>
    <x v="186"/>
    <s v="CA-Otros Servicios Adyacentes"/>
    <x v="14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05"/>
    <x v="0"/>
    <x v="272"/>
    <x v="187"/>
    <s v="CA-Otros Servicios Adyacentes"/>
    <x v="14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29"/>
    <x v="0"/>
    <x v="273"/>
    <x v="188"/>
    <s v="CA-Áreas de Tratamiento Especial"/>
    <x v="14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44"/>
    <x v="0"/>
    <x v="274"/>
    <x v="189"/>
    <s v="CA-Otros Servicios Adyacentes"/>
    <x v="14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46"/>
    <x v="0"/>
    <x v="275"/>
    <x v="190"/>
    <s v="CA-Otros Servicios Adyacentes"/>
    <x v="14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4"/>
    <x v="0"/>
    <x v="276"/>
    <x v="191"/>
    <s v="CA-Otros Servicios Adyacentes"/>
    <x v="14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5"/>
    <x v="0"/>
    <x v="277"/>
    <x v="192"/>
    <s v="CA-Otros Servicios Adyacentes"/>
    <x v="14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374"/>
    <x v="0"/>
    <x v="278"/>
    <x v="193"/>
    <s v="CA-Otros Servicios Adyacentes"/>
    <x v="14"/>
    <x v="0"/>
    <x v="0"/>
    <x v="4"/>
    <m/>
    <m/>
    <x v="4"/>
    <x v="1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4"/>
    <x v="0"/>
    <x v="274"/>
    <x v="189"/>
    <s v="CA-Otros Servicios Adyacentes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5"/>
    <x v="0"/>
    <x v="279"/>
    <x v="194"/>
    <s v="CA-Áreas de Tratamiento Especial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6"/>
    <x v="0"/>
    <x v="280"/>
    <x v="195"/>
    <s v="CA-Otros Servicios Adyacentes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8"/>
    <x v="0"/>
    <x v="281"/>
    <x v="196"/>
    <s v="CA-Áreas de Tratamiento Especial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9"/>
    <x v="0"/>
    <x v="277"/>
    <x v="192"/>
    <s v="CA-Otros Servicios Adyacentes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6"/>
    <x v="0"/>
    <x v="282"/>
    <x v="195"/>
    <s v="CA-Otros Servicios Adyacentes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7"/>
    <x v="0"/>
    <x v="283"/>
    <x v="195"/>
    <s v="CA-Otros Servicios Adyacentes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86"/>
    <x v="0"/>
    <x v="284"/>
    <x v="197"/>
    <s v="CA-Áreas de Tratamiento Especial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87"/>
    <x v="0"/>
    <x v="285"/>
    <x v="197"/>
    <s v="CA-Áreas de Tratamiento Especial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88"/>
    <x v="0"/>
    <x v="286"/>
    <x v="197"/>
    <s v="CA-Áreas de Tratamiento Especial"/>
    <x v="14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7"/>
    <x v="0"/>
    <x v="275"/>
    <x v="190"/>
    <s v="CA-Otros Servicios Adyacentes"/>
    <x v="14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89"/>
    <x v="0"/>
    <x v="276"/>
    <x v="191"/>
    <s v="CA-Otros Servicios Adyacentes"/>
    <x v="14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20"/>
    <x v="0"/>
    <x v="287"/>
    <x v="198"/>
    <s v="CA-Áreas de Tratamiento Especial"/>
    <x v="14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2"/>
    <x v="0"/>
    <x v="274"/>
    <x v="189"/>
    <s v="CA-Otros Servicios Adyacentes"/>
    <x v="14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3"/>
    <x v="0"/>
    <x v="279"/>
    <x v="194"/>
    <s v="CA-Áreas de Tratamiento Especial"/>
    <x v="14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4"/>
    <x v="0"/>
    <x v="273"/>
    <x v="188"/>
    <s v="CA-Áreas de Tratamiento Especial"/>
    <x v="14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5"/>
    <x v="0"/>
    <x v="275"/>
    <x v="190"/>
    <s v="CA-Otros Servicios Adyacentes"/>
    <x v="14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6"/>
    <x v="0"/>
    <x v="281"/>
    <x v="196"/>
    <s v="CA-Áreas de Tratamiento Especial"/>
    <x v="14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3"/>
    <x v="0"/>
    <x v="284"/>
    <x v="197"/>
    <s v="CA-Áreas de Tratamiento Especial"/>
    <x v="14"/>
    <x v="0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4"/>
    <x v="0"/>
    <x v="285"/>
    <x v="197"/>
    <s v="CA-Áreas de Tratamiento Especial"/>
    <x v="14"/>
    <x v="0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5"/>
    <x v="0"/>
    <x v="286"/>
    <x v="197"/>
    <s v="CA-Áreas de Tratamiento Especial"/>
    <x v="14"/>
    <x v="0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6"/>
    <x v="0"/>
    <x v="288"/>
    <x v="199"/>
    <s v="CA-Áreas de Tratamiento Especial"/>
    <x v="14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7"/>
    <x v="0"/>
    <x v="276"/>
    <x v="191"/>
    <s v="CA-Otros Servicios Adyacentes"/>
    <x v="14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076"/>
    <x v="0"/>
    <x v="279"/>
    <x v="194"/>
    <s v="CA-Áreas de Tratamiento Especial"/>
    <x v="14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75"/>
    <x v="0"/>
    <x v="274"/>
    <x v="189"/>
    <s v="CA-Otros Servicios Adyacentes"/>
    <x v="14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9"/>
    <x v="0"/>
    <x v="276"/>
    <x v="191"/>
    <s v="CA-Otros Servicios Adyacentes"/>
    <x v="14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77"/>
    <x v="0"/>
    <x v="275"/>
    <x v="190"/>
    <s v="CA-Otros Servicios Adyacentes"/>
    <x v="14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6"/>
    <x v="0"/>
    <x v="284"/>
    <x v="197"/>
    <s v="CA-Áreas de Tratamiento Especial"/>
    <x v="14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7"/>
    <x v="0"/>
    <x v="285"/>
    <x v="197"/>
    <s v="CA-Áreas de Tratamiento Especial"/>
    <x v="14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68"/>
    <x v="0"/>
    <x v="286"/>
    <x v="197"/>
    <s v="CA-Áreas de Tratamiento Especial"/>
    <x v="14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37"/>
    <x v="0"/>
    <x v="289"/>
    <x v="200"/>
    <s v="CA-Áreas de Tratamiento Especial"/>
    <x v="15"/>
    <x v="3"/>
    <x v="0"/>
    <x v="21"/>
    <m/>
    <m/>
    <x v="21"/>
    <x v="0"/>
    <n v="1"/>
    <n v="1"/>
    <x v="0"/>
    <s v="HBP-MNC-113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38"/>
    <x v="0"/>
    <x v="290"/>
    <x v="201"/>
    <s v="CA-Áreas de Tratamiento Especial"/>
    <x v="15"/>
    <x v="3"/>
    <x v="0"/>
    <x v="21"/>
    <m/>
    <m/>
    <x v="21"/>
    <x v="0"/>
    <n v="1"/>
    <n v="1"/>
    <x v="0"/>
    <s v="HBP-MNC-113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622"/>
    <x v="0"/>
    <x v="291"/>
    <x v="202"/>
    <s v="CA-Otros Servicios Adyacentes"/>
    <x v="15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23"/>
    <x v="0"/>
    <x v="292"/>
    <x v="48"/>
    <s v="CA-Otros Servicios Adyacentes"/>
    <x v="15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181"/>
    <x v="0"/>
    <x v="291"/>
    <x v="202"/>
    <s v="CA-Otros Servicios Adyacentes"/>
    <x v="15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82"/>
    <x v="0"/>
    <x v="292"/>
    <x v="48"/>
    <s v="CA-Otros Servicios Adyacentes"/>
    <x v="15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4411"/>
    <x v="0"/>
    <x v="293"/>
    <x v="203"/>
    <s v="CA-Central de Esterilización"/>
    <x v="15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2"/>
    <x v="0"/>
    <x v="294"/>
    <x v="204"/>
    <s v="CA-Central de Esterilización"/>
    <x v="15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3"/>
    <x v="0"/>
    <x v="295"/>
    <x v="205"/>
    <s v="CA-Central de Esterilización"/>
    <x v="15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4"/>
    <x v="0"/>
    <x v="292"/>
    <x v="48"/>
    <s v="CA-Otros Servicios Adyacentes"/>
    <x v="15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05"/>
    <x v="0"/>
    <x v="296"/>
    <x v="206"/>
    <s v="CA-Central de Esterilización"/>
    <x v="15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06"/>
    <x v="0"/>
    <x v="297"/>
    <x v="207"/>
    <s v="CA-Central de Esterilización"/>
    <x v="15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07"/>
    <x v="0"/>
    <x v="298"/>
    <x v="208"/>
    <s v="CA-Central de Esterilización"/>
    <x v="15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0"/>
    <x v="0"/>
    <x v="291"/>
    <x v="202"/>
    <s v="CA-Otros Servicios Adyacentes"/>
    <x v="15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08"/>
    <x v="0"/>
    <x v="299"/>
    <x v="1"/>
    <s v="CA-Otros Servicios Adyacentes"/>
    <x v="15"/>
    <x v="3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32"/>
    <x v="0"/>
    <x v="291"/>
    <x v="202"/>
    <s v="CA-Otros Servicios Adyacentes"/>
    <x v="15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33"/>
    <x v="0"/>
    <x v="292"/>
    <x v="48"/>
    <s v="CA-Otros Servicios Adyacentes"/>
    <x v="15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24"/>
    <x v="0"/>
    <x v="299"/>
    <x v="1"/>
    <s v="CA-Otros Servicios Adyacentes"/>
    <x v="15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70"/>
    <x v="0"/>
    <x v="300"/>
    <x v="209"/>
    <s v="NC-Locales Externos"/>
    <x v="1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71"/>
    <x v="0"/>
    <x v="301"/>
    <x v="210"/>
    <s v="NC-Locales Externos"/>
    <x v="1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72"/>
    <x v="0"/>
    <x v="302"/>
    <x v="211"/>
    <s v="NC-Locales Externos"/>
    <x v="1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73"/>
    <x v="0"/>
    <x v="303"/>
    <x v="212"/>
    <s v="NC-Locales Externos"/>
    <x v="1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74"/>
    <x v="0"/>
    <x v="304"/>
    <x v="213"/>
    <s v="NC-Locales Externos"/>
    <x v="1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75"/>
    <x v="0"/>
    <x v="305"/>
    <x v="214"/>
    <s v="NC-Locales Externos"/>
    <x v="1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42"/>
    <x v="0"/>
    <x v="306"/>
    <x v="200"/>
    <s v="CA-Otros Servicios Adyacentes"/>
    <x v="17"/>
    <x v="6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43"/>
    <x v="0"/>
    <x v="307"/>
    <x v="201"/>
    <s v="CA-Otros Servicios Adyacentes"/>
    <x v="17"/>
    <x v="6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08"/>
    <x v="0"/>
    <x v="308"/>
    <x v="215"/>
    <s v="CA-Otros Servicios Adyacentes"/>
    <x v="17"/>
    <x v="6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52"/>
    <x v="0"/>
    <x v="309"/>
    <x v="216"/>
    <s v="CM-Farmacia General"/>
    <x v="17"/>
    <x v="6"/>
    <x v="1"/>
    <x v="20"/>
    <n v="1"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21"/>
    <x v="0"/>
    <x v="310"/>
    <x v="217"/>
    <s v="CM-Otros Servicios Adyacentes"/>
    <x v="17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18"/>
    <x v="0"/>
    <x v="311"/>
    <x v="39"/>
    <s v="CM-Otros Servicios Adyacentes"/>
    <x v="17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19"/>
    <x v="0"/>
    <x v="312"/>
    <x v="218"/>
    <s v="CM-Farmacia General"/>
    <x v="17"/>
    <x v="6"/>
    <x v="2"/>
    <x v="3"/>
    <m/>
    <m/>
    <x v="3"/>
    <x v="1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407"/>
    <x v="0"/>
    <x v="313"/>
    <x v="219"/>
    <s v="CM-Farmacia General"/>
    <x v="17"/>
    <x v="6"/>
    <x v="0"/>
    <x v="5"/>
    <m/>
    <m/>
    <x v="5"/>
    <x v="2"/>
    <n v="1"/>
    <n v="1"/>
    <x v="0"/>
    <s v="HBP-MNC-118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84"/>
    <x v="0"/>
    <x v="314"/>
    <x v="220"/>
    <s v="CM-Farmacia General"/>
    <x v="17"/>
    <x v="6"/>
    <x v="0"/>
    <x v="4"/>
    <m/>
    <m/>
    <x v="4"/>
    <x v="18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98"/>
    <x v="0"/>
    <x v="315"/>
    <x v="221"/>
    <s v="CM-Farmacia General"/>
    <x v="17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0"/>
    <x v="0"/>
    <x v="316"/>
    <x v="222"/>
    <s v="CM-Farmacia General"/>
    <x v="17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1"/>
    <x v="0"/>
    <x v="310"/>
    <x v="217"/>
    <s v="CM-Otros Servicios Adyacentes"/>
    <x v="17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2"/>
    <x v="0"/>
    <x v="311"/>
    <x v="39"/>
    <s v="CM-Otros Servicios Adyacentes"/>
    <x v="17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3"/>
    <x v="0"/>
    <x v="312"/>
    <x v="218"/>
    <s v="CM-Farmacia General"/>
    <x v="17"/>
    <x v="6"/>
    <x v="0"/>
    <x v="5"/>
    <m/>
    <m/>
    <x v="5"/>
    <x v="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5"/>
    <x v="0"/>
    <x v="317"/>
    <x v="223"/>
    <s v="CM-Farmacia General"/>
    <x v="17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6"/>
    <x v="0"/>
    <x v="318"/>
    <x v="224"/>
    <s v="CM-Farmacia General"/>
    <x v="17"/>
    <x v="6"/>
    <x v="0"/>
    <x v="5"/>
    <m/>
    <m/>
    <x v="5"/>
    <x v="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8"/>
    <x v="0"/>
    <x v="319"/>
    <x v="225"/>
    <s v="CM-Farmacia General"/>
    <x v="17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9"/>
    <x v="0"/>
    <x v="320"/>
    <x v="226"/>
    <s v="CM-Farmacia General"/>
    <x v="17"/>
    <x v="6"/>
    <x v="0"/>
    <x v="5"/>
    <m/>
    <m/>
    <x v="5"/>
    <x v="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04"/>
    <x v="0"/>
    <x v="321"/>
    <x v="225"/>
    <s v="CM-Farmacia General"/>
    <x v="17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04"/>
    <x v="0"/>
    <x v="322"/>
    <x v="227"/>
    <s v="CM-Farmacia General"/>
    <x v="17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07"/>
    <x v="0"/>
    <x v="323"/>
    <x v="1"/>
    <s v="CM-Otros Servicios Adyacentes"/>
    <x v="17"/>
    <x v="6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8"/>
    <x v="0"/>
    <x v="310"/>
    <x v="217"/>
    <s v="CM-Otros Servicios Adyacentes"/>
    <x v="17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9"/>
    <x v="0"/>
    <x v="311"/>
    <x v="39"/>
    <s v="CM-Otros Servicios Adyacentes"/>
    <x v="17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30"/>
    <x v="0"/>
    <x v="322"/>
    <x v="227"/>
    <s v="CM-Farmacia General"/>
    <x v="17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31"/>
    <x v="0"/>
    <x v="309"/>
    <x v="216"/>
    <s v="CM-Farmacia General"/>
    <x v="17"/>
    <x v="6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23"/>
    <x v="0"/>
    <x v="323"/>
    <x v="1"/>
    <s v="CM-Otros Servicios Adyacentes"/>
    <x v="17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77"/>
    <x v="0"/>
    <x v="310"/>
    <x v="217"/>
    <s v="CM-Otros Servicios Adyacentes"/>
    <x v="17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8"/>
    <x v="0"/>
    <x v="311"/>
    <x v="39"/>
    <s v="CM-Otros Servicios Adyacentes"/>
    <x v="17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80"/>
    <x v="0"/>
    <x v="322"/>
    <x v="227"/>
    <s v="CM-Farmacia General"/>
    <x v="17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9"/>
    <x v="0"/>
    <x v="312"/>
    <x v="218"/>
    <s v="CM-Farmacia General"/>
    <x v="17"/>
    <x v="6"/>
    <x v="1"/>
    <x v="23"/>
    <n v="1"/>
    <m/>
    <x v="23"/>
    <x v="1"/>
    <n v="1"/>
    <n v="1"/>
    <x v="0"/>
    <s v="HBP-MNC-09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88"/>
    <x v="0"/>
    <x v="324"/>
    <x v="228"/>
    <s v="CM-Otros Servicios Adyacentes"/>
    <x v="18"/>
    <x v="6"/>
    <x v="1"/>
    <x v="13"/>
    <n v="1"/>
    <m/>
    <x v="13"/>
    <x v="2"/>
    <n v="1"/>
    <n v="1"/>
    <x v="0"/>
    <s v="HBP-MNC-09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7"/>
    <x v="0"/>
    <x v="325"/>
    <x v="229"/>
    <s v="CM-Consultas Ambulatorias"/>
    <x v="18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8"/>
    <x v="0"/>
    <x v="326"/>
    <x v="230"/>
    <s v="CM-Consultas Ambulatorias"/>
    <x v="18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9"/>
    <x v="0"/>
    <x v="327"/>
    <x v="231"/>
    <s v="CM-Consultas Ambulatorias"/>
    <x v="18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66"/>
    <x v="0"/>
    <x v="328"/>
    <x v="95"/>
    <s v="NC-Otros Servicios Adyacentes"/>
    <x v="18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67"/>
    <x v="0"/>
    <x v="329"/>
    <x v="95"/>
    <s v="NC-Otros Servicios Adyacentes"/>
    <x v="18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74"/>
    <x v="0"/>
    <x v="330"/>
    <x v="32"/>
    <s v="CM-Consultas Ambulatorias"/>
    <x v="18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1"/>
    <x v="0"/>
    <x v="331"/>
    <x v="232"/>
    <s v="NC-Otros Servicios Adyacentes"/>
    <x v="18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2"/>
    <x v="0"/>
    <x v="332"/>
    <x v="232"/>
    <s v="NC-Otros Servicios Adyacentes"/>
    <x v="18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50"/>
    <x v="0"/>
    <x v="333"/>
    <x v="39"/>
    <s v="CM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1"/>
    <x v="0"/>
    <x v="334"/>
    <x v="233"/>
    <s v="CM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2"/>
    <x v="0"/>
    <x v="335"/>
    <x v="234"/>
    <s v="CM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5"/>
    <x v="0"/>
    <x v="336"/>
    <x v="39"/>
    <s v="CM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80"/>
    <x v="0"/>
    <x v="337"/>
    <x v="235"/>
    <s v="CM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81"/>
    <x v="0"/>
    <x v="338"/>
    <x v="236"/>
    <s v="CM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82"/>
    <x v="0"/>
    <x v="327"/>
    <x v="231"/>
    <s v="CM-Consultas Ambulatorias"/>
    <x v="18"/>
    <x v="6"/>
    <x v="2"/>
    <x v="3"/>
    <m/>
    <m/>
    <x v="3"/>
    <x v="1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78"/>
    <x v="0"/>
    <x v="328"/>
    <x v="95"/>
    <s v="NC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79"/>
    <x v="0"/>
    <x v="329"/>
    <x v="95"/>
    <s v="NC-Otros Servicios Adyacentes"/>
    <x v="1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6"/>
    <x v="0"/>
    <x v="339"/>
    <x v="237"/>
    <s v="CM-Consultas Ambulatorias"/>
    <x v="18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7"/>
    <x v="0"/>
    <x v="340"/>
    <x v="238"/>
    <s v="CM-Consultas Ambulatorias"/>
    <x v="18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8"/>
    <x v="0"/>
    <x v="341"/>
    <x v="238"/>
    <s v="CM-Consultas Ambulatorias"/>
    <x v="18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9"/>
    <x v="0"/>
    <x v="326"/>
    <x v="230"/>
    <s v="CM-Consultas Ambulatorias"/>
    <x v="18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624"/>
    <x v="0"/>
    <x v="342"/>
    <x v="239"/>
    <s v="CN-Salas y Habitaciones de Hospitalización"/>
    <x v="18"/>
    <x v="6"/>
    <x v="0"/>
    <x v="18"/>
    <m/>
    <m/>
    <x v="18"/>
    <x v="1"/>
    <n v="1"/>
    <n v="1"/>
    <x v="0"/>
    <s v="HBP-MNC-122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318"/>
    <x v="0"/>
    <x v="343"/>
    <x v="240"/>
    <s v="CM-Consultas Ambulatorias"/>
    <x v="18"/>
    <x v="6"/>
    <x v="0"/>
    <x v="7"/>
    <m/>
    <m/>
    <x v="7"/>
    <x v="1"/>
    <n v="1"/>
    <n v="1"/>
    <x v="0"/>
    <s v="HBP-MNC-121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86"/>
    <x v="0"/>
    <x v="344"/>
    <x v="11"/>
    <s v="CM-Otros Servicios Adyacentes"/>
    <x v="18"/>
    <x v="6"/>
    <x v="0"/>
    <x v="4"/>
    <m/>
    <m/>
    <x v="4"/>
    <x v="1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9"/>
    <x v="0"/>
    <x v="333"/>
    <x v="39"/>
    <s v="CM-Otros Servicios Adyacente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4"/>
    <x v="0"/>
    <x v="342"/>
    <x v="239"/>
    <s v="CN-Salas y Habitaciones de Hospitalización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1"/>
    <x v="0"/>
    <x v="336"/>
    <x v="39"/>
    <s v="CM-Otros Servicios Adyacente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2"/>
    <x v="0"/>
    <x v="339"/>
    <x v="237"/>
    <s v="CM-Consultas Ambulatoria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3"/>
    <x v="0"/>
    <x v="340"/>
    <x v="238"/>
    <s v="CM-Consultas Ambulatoria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4"/>
    <x v="0"/>
    <x v="341"/>
    <x v="238"/>
    <s v="CM-Consultas Ambulatoria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5"/>
    <x v="0"/>
    <x v="325"/>
    <x v="229"/>
    <s v="CM-Consultas Ambulatoria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6"/>
    <x v="0"/>
    <x v="326"/>
    <x v="230"/>
    <s v="CM-Consultas Ambulatoria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7"/>
    <x v="0"/>
    <x v="337"/>
    <x v="235"/>
    <s v="CM-Otros Servicios Adyacente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9"/>
    <x v="0"/>
    <x v="327"/>
    <x v="231"/>
    <s v="CM-Consultas Ambulatorias"/>
    <x v="18"/>
    <x v="6"/>
    <x v="0"/>
    <x v="5"/>
    <m/>
    <m/>
    <x v="5"/>
    <x v="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39"/>
    <x v="0"/>
    <x v="328"/>
    <x v="95"/>
    <s v="NC-Otros Servicios Adyacente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0"/>
    <x v="0"/>
    <x v="329"/>
    <x v="95"/>
    <s v="NC-Otros Servicios Adyacentes"/>
    <x v="1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0"/>
    <x v="0"/>
    <x v="334"/>
    <x v="233"/>
    <s v="CM-Otros Servicios Adyacentes"/>
    <x v="18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1"/>
    <x v="0"/>
    <x v="335"/>
    <x v="234"/>
    <s v="CM-Otros Servicios Adyacentes"/>
    <x v="18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8"/>
    <x v="0"/>
    <x v="338"/>
    <x v="236"/>
    <s v="CM-Otros Servicios Adyacentes"/>
    <x v="18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86"/>
    <x v="0"/>
    <x v="345"/>
    <x v="241"/>
    <s v="CM-Consultas Ambulatorias"/>
    <x v="18"/>
    <x v="6"/>
    <x v="0"/>
    <x v="7"/>
    <m/>
    <m/>
    <x v="7"/>
    <x v="1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87"/>
    <x v="0"/>
    <x v="324"/>
    <x v="228"/>
    <s v="CM-Otros Servicios Adyacentes"/>
    <x v="18"/>
    <x v="6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3"/>
    <x v="0"/>
    <x v="333"/>
    <x v="39"/>
    <s v="CM-Otros Servicios Adyacente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4"/>
    <x v="0"/>
    <x v="334"/>
    <x v="233"/>
    <s v="CM-Otros Servicios Adyacente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5"/>
    <x v="0"/>
    <x v="335"/>
    <x v="234"/>
    <s v="CM-Otros Servicios Adyacente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8"/>
    <x v="0"/>
    <x v="339"/>
    <x v="237"/>
    <s v="CM-Consultas Ambulatoria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9"/>
    <x v="0"/>
    <x v="340"/>
    <x v="238"/>
    <s v="CM-Consultas Ambulatoria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0"/>
    <x v="0"/>
    <x v="341"/>
    <x v="238"/>
    <s v="CM-Consultas Ambulatoria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1"/>
    <x v="0"/>
    <x v="325"/>
    <x v="229"/>
    <s v="CM-Consultas Ambulatorias"/>
    <x v="18"/>
    <x v="6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2"/>
    <x v="0"/>
    <x v="326"/>
    <x v="230"/>
    <s v="CM-Consultas Ambulatoria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3"/>
    <x v="0"/>
    <x v="346"/>
    <x v="28"/>
    <s v="CM-Consultas Ambulatoria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4"/>
    <x v="0"/>
    <x v="347"/>
    <x v="28"/>
    <s v="CM-Consultas Ambulatoria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5"/>
    <x v="0"/>
    <x v="348"/>
    <x v="242"/>
    <s v="CM-Consultas Ambulatorias"/>
    <x v="18"/>
    <x v="6"/>
    <x v="0"/>
    <x v="8"/>
    <m/>
    <m/>
    <x v="8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6"/>
    <x v="0"/>
    <x v="349"/>
    <x v="243"/>
    <s v="CM-Consultas Ambulatoria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7"/>
    <x v="0"/>
    <x v="337"/>
    <x v="235"/>
    <s v="CM-Otros Servicios Adyacente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8"/>
    <x v="0"/>
    <x v="338"/>
    <x v="236"/>
    <s v="CM-Otros Servicios Adyacentes"/>
    <x v="1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49"/>
    <x v="0"/>
    <x v="327"/>
    <x v="231"/>
    <s v="CM-Consultas Ambulatoria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0"/>
    <x v="0"/>
    <x v="330"/>
    <x v="32"/>
    <s v="CM-Consultas Ambulatorias"/>
    <x v="18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0"/>
    <x v="0"/>
    <x v="328"/>
    <x v="95"/>
    <s v="NC-Otros Servicios Adyacente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1"/>
    <x v="0"/>
    <x v="329"/>
    <x v="95"/>
    <s v="NC-Otros Servicios Adyacentes"/>
    <x v="18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4"/>
    <x v="0"/>
    <x v="331"/>
    <x v="232"/>
    <s v="NC-Otros Servicios Adyacentes"/>
    <x v="18"/>
    <x v="6"/>
    <x v="0"/>
    <x v="8"/>
    <m/>
    <m/>
    <x v="8"/>
    <x v="19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5"/>
    <x v="0"/>
    <x v="332"/>
    <x v="232"/>
    <s v="NC-Otros Servicios Adyacentes"/>
    <x v="18"/>
    <x v="6"/>
    <x v="0"/>
    <x v="8"/>
    <m/>
    <m/>
    <x v="8"/>
    <x v="19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9"/>
    <x v="0"/>
    <x v="350"/>
    <x v="244"/>
    <s v="CM-Consultas Ambulatorias"/>
    <x v="18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7"/>
    <x v="0"/>
    <x v="351"/>
    <x v="245"/>
    <s v="CN-Salas y Habitaciones de Hospitalización"/>
    <x v="18"/>
    <x v="6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9"/>
    <x v="0"/>
    <x v="345"/>
    <x v="241"/>
    <s v="CM-Consultas Ambulatorias"/>
    <x v="18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0"/>
    <x v="0"/>
    <x v="324"/>
    <x v="228"/>
    <s v="CM-Otros Servicios Adyacentes"/>
    <x v="18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8"/>
    <x v="0"/>
    <x v="351"/>
    <x v="245"/>
    <s v="CN-Salas y Habitaciones de Hospitalización"/>
    <x v="18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92"/>
    <x v="0"/>
    <x v="345"/>
    <x v="241"/>
    <s v="CM-Consultas Ambulatorias"/>
    <x v="18"/>
    <x v="6"/>
    <x v="0"/>
    <x v="19"/>
    <m/>
    <m/>
    <x v="19"/>
    <x v="2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93"/>
    <x v="0"/>
    <x v="324"/>
    <x v="228"/>
    <s v="CM-Otros Servicios Adyacentes"/>
    <x v="18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19"/>
    <x v="0"/>
    <x v="339"/>
    <x v="237"/>
    <s v="CM-Consultas Ambulatorias"/>
    <x v="18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0"/>
    <x v="0"/>
    <x v="340"/>
    <x v="238"/>
    <s v="CM-Consultas Ambulatorias"/>
    <x v="18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1"/>
    <x v="0"/>
    <x v="341"/>
    <x v="238"/>
    <s v="CM-Consultas Ambulatorias"/>
    <x v="18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3"/>
    <x v="0"/>
    <x v="326"/>
    <x v="230"/>
    <s v="CM-Consultas Ambulatorias"/>
    <x v="18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6"/>
    <x v="0"/>
    <x v="333"/>
    <x v="39"/>
    <s v="CM-Otros Servicios Adyacentes"/>
    <x v="1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7"/>
    <x v="0"/>
    <x v="334"/>
    <x v="233"/>
    <s v="CM-Otros Servicios Adyacentes"/>
    <x v="1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8"/>
    <x v="0"/>
    <x v="335"/>
    <x v="234"/>
    <s v="CM-Otros Servicios Adyacentes"/>
    <x v="1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2"/>
    <x v="0"/>
    <x v="325"/>
    <x v="229"/>
    <s v="CM-Consultas Ambulatorias"/>
    <x v="1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4"/>
    <x v="0"/>
    <x v="337"/>
    <x v="235"/>
    <s v="CM-Otros Servicios Adyacentes"/>
    <x v="1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5"/>
    <x v="0"/>
    <x v="338"/>
    <x v="236"/>
    <s v="CM-Otros Servicios Adyacentes"/>
    <x v="1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3"/>
    <x v="0"/>
    <x v="342"/>
    <x v="239"/>
    <s v="CN-Salas y Habitaciones de Hospitalización"/>
    <x v="18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6"/>
    <x v="0"/>
    <x v="327"/>
    <x v="231"/>
    <s v="CM-Consultas Ambulatorias"/>
    <x v="18"/>
    <x v="6"/>
    <x v="1"/>
    <x v="11"/>
    <m/>
    <m/>
    <x v="11"/>
    <x v="1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0"/>
    <x v="0"/>
    <x v="328"/>
    <x v="95"/>
    <s v="NC-Otros Servicios Adyacentes"/>
    <x v="18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1"/>
    <x v="0"/>
    <x v="329"/>
    <x v="95"/>
    <s v="NC-Otros Servicios Adyacentes"/>
    <x v="18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49"/>
    <x v="0"/>
    <x v="348"/>
    <x v="242"/>
    <s v="CM-Salas de Procedimientos no Invasivos"/>
    <x v="18"/>
    <x v="6"/>
    <x v="1"/>
    <x v="11"/>
    <m/>
    <m/>
    <x v="11"/>
    <x v="6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217"/>
    <x v="0"/>
    <x v="352"/>
    <x v="246"/>
    <s v="CN-Otros Servicios Adyacentes"/>
    <x v="19"/>
    <x v="2"/>
    <x v="0"/>
    <x v="12"/>
    <n v="1"/>
    <m/>
    <x v="12"/>
    <x v="0"/>
    <n v="1"/>
    <n v="1"/>
    <x v="0"/>
    <s v="HBP-MNC-115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594"/>
    <x v="0"/>
    <x v="353"/>
    <x v="247"/>
    <s v="CN-Otros Servicios Adyacentes"/>
    <x v="19"/>
    <x v="2"/>
    <x v="2"/>
    <x v="3"/>
    <m/>
    <m/>
    <x v="3"/>
    <x v="2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145"/>
    <x v="0"/>
    <x v="353"/>
    <x v="247"/>
    <s v="CN-Otros Servicios Adyacentes"/>
    <x v="19"/>
    <x v="2"/>
    <x v="1"/>
    <x v="11"/>
    <m/>
    <m/>
    <x v="11"/>
    <x v="2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4314"/>
    <x v="0"/>
    <x v="354"/>
    <x v="195"/>
    <s v="CN-Otros Servicios Adyacentes"/>
    <x v="19"/>
    <x v="1"/>
    <x v="0"/>
    <x v="5"/>
    <m/>
    <m/>
    <x v="5"/>
    <x v="6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25"/>
    <x v="0"/>
    <x v="355"/>
    <x v="195"/>
    <s v="CN-Otros Servicios Adyacentes"/>
    <x v="19"/>
    <x v="1"/>
    <x v="0"/>
    <x v="5"/>
    <m/>
    <m/>
    <x v="5"/>
    <x v="6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30"/>
    <x v="0"/>
    <x v="356"/>
    <x v="195"/>
    <s v="CN-Otros Servicios Adyacentes"/>
    <x v="19"/>
    <x v="2"/>
    <x v="0"/>
    <x v="5"/>
    <m/>
    <m/>
    <x v="5"/>
    <x v="6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35"/>
    <x v="0"/>
    <x v="353"/>
    <x v="247"/>
    <s v="CN-Otros Servicios Adyacentes"/>
    <x v="19"/>
    <x v="2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49"/>
    <x v="0"/>
    <x v="357"/>
    <x v="195"/>
    <s v="CN-Otros Servicios Adyacentes"/>
    <x v="19"/>
    <x v="2"/>
    <x v="0"/>
    <x v="5"/>
    <m/>
    <m/>
    <x v="5"/>
    <x v="6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0"/>
    <x v="0"/>
    <x v="353"/>
    <x v="247"/>
    <s v="CN-Otros Servicios Adyacentes"/>
    <x v="19"/>
    <x v="2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61"/>
    <x v="0"/>
    <x v="358"/>
    <x v="248"/>
    <s v="CN-Salas y Habitaciones de Hospitalización"/>
    <x v="19"/>
    <x v="2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40"/>
    <x v="0"/>
    <x v="359"/>
    <x v="248"/>
    <s v="CN-Pensionado"/>
    <x v="19"/>
    <x v="1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45"/>
    <x v="0"/>
    <x v="360"/>
    <x v="248"/>
    <s v="CN-Salas y Habitaciones de Hospitalización"/>
    <x v="19"/>
    <x v="1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3"/>
    <x v="0"/>
    <x v="361"/>
    <x v="249"/>
    <s v="CN-Pensionado"/>
    <x v="19"/>
    <x v="1"/>
    <x v="0"/>
    <x v="25"/>
    <n v="1"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4"/>
    <x v="0"/>
    <x v="362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5"/>
    <x v="0"/>
    <x v="363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6"/>
    <x v="0"/>
    <x v="364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7"/>
    <x v="0"/>
    <x v="365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8"/>
    <x v="0"/>
    <x v="366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49"/>
    <x v="0"/>
    <x v="367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50"/>
    <x v="0"/>
    <x v="368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51"/>
    <x v="0"/>
    <x v="369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52"/>
    <x v="0"/>
    <x v="370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53"/>
    <x v="0"/>
    <x v="371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54"/>
    <x v="0"/>
    <x v="372"/>
    <x v="249"/>
    <s v="CN-Pensionado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2"/>
    <x v="0"/>
    <x v="373"/>
    <x v="249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3"/>
    <x v="0"/>
    <x v="374"/>
    <x v="249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4"/>
    <x v="0"/>
    <x v="375"/>
    <x v="249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5"/>
    <x v="0"/>
    <x v="376"/>
    <x v="249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6"/>
    <x v="0"/>
    <x v="377"/>
    <x v="249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7"/>
    <x v="0"/>
    <x v="378"/>
    <x v="250"/>
    <s v="CN-Salas y Habitaciones de Hospitalización"/>
    <x v="19"/>
    <x v="1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8"/>
    <x v="0"/>
    <x v="379"/>
    <x v="250"/>
    <s v="CN-Salas y Habitaciones de Hospitalización"/>
    <x v="19"/>
    <x v="1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99"/>
    <x v="0"/>
    <x v="380"/>
    <x v="251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0"/>
    <x v="0"/>
    <x v="381"/>
    <x v="252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1"/>
    <x v="0"/>
    <x v="382"/>
    <x v="253"/>
    <s v="CN-Salas y Habitaciones de Hospitalización"/>
    <x v="19"/>
    <x v="1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2"/>
    <x v="0"/>
    <x v="383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3"/>
    <x v="0"/>
    <x v="384"/>
    <x v="250"/>
    <s v="CN-Salas y Habitaciones de Hospitalización"/>
    <x v="19"/>
    <x v="2"/>
    <x v="0"/>
    <x v="25"/>
    <m/>
    <m/>
    <x v="25"/>
    <x v="2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4"/>
    <x v="0"/>
    <x v="385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5"/>
    <x v="0"/>
    <x v="386"/>
    <x v="250"/>
    <s v="CN-Salas y Habitaciones de Hospitalización"/>
    <x v="19"/>
    <x v="2"/>
    <x v="0"/>
    <x v="25"/>
    <m/>
    <m/>
    <x v="25"/>
    <x v="2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34"/>
    <x v="0"/>
    <x v="387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35"/>
    <x v="0"/>
    <x v="388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36"/>
    <x v="0"/>
    <x v="389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37"/>
    <x v="0"/>
    <x v="390"/>
    <x v="249"/>
    <s v="CN-Salas y Habitaciones de Hospitalización"/>
    <x v="19"/>
    <x v="2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38"/>
    <x v="0"/>
    <x v="391"/>
    <x v="249"/>
    <s v="CN-Salas y Habitaciones de Hospitalización"/>
    <x v="19"/>
    <x v="2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39"/>
    <x v="0"/>
    <x v="392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40"/>
    <x v="0"/>
    <x v="393"/>
    <x v="250"/>
    <s v="CN-Salas y Habitaciones de Hospitalización"/>
    <x v="19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17"/>
    <x v="0"/>
    <x v="394"/>
    <x v="195"/>
    <s v="CN-Otros Servicios Adyacentes"/>
    <x v="19"/>
    <x v="5"/>
    <x v="0"/>
    <x v="5"/>
    <m/>
    <m/>
    <x v="5"/>
    <x v="6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18"/>
    <x v="0"/>
    <x v="395"/>
    <x v="195"/>
    <s v="CN-Otros Servicios Adyacentes"/>
    <x v="19"/>
    <x v="5"/>
    <x v="0"/>
    <x v="5"/>
    <m/>
    <m/>
    <x v="5"/>
    <x v="6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21"/>
    <x v="0"/>
    <x v="396"/>
    <x v="195"/>
    <s v="CN-Otros Servicios Adyacentes"/>
    <x v="19"/>
    <x v="4"/>
    <x v="0"/>
    <x v="5"/>
    <m/>
    <m/>
    <x v="5"/>
    <x v="6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322"/>
    <x v="0"/>
    <x v="397"/>
    <x v="195"/>
    <s v="CN-Otros Servicios Adyacentes"/>
    <x v="19"/>
    <x v="4"/>
    <x v="0"/>
    <x v="5"/>
    <m/>
    <m/>
    <x v="5"/>
    <x v="6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341"/>
    <x v="0"/>
    <x v="398"/>
    <x v="248"/>
    <s v="CN-Salas y Habitaciones de Hospitalización"/>
    <x v="19"/>
    <x v="5"/>
    <x v="0"/>
    <x v="8"/>
    <m/>
    <m/>
    <x v="8"/>
    <x v="0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343"/>
    <x v="0"/>
    <x v="399"/>
    <x v="248"/>
    <s v="CN-Salas y Habitaciones de Hospitalización"/>
    <x v="19"/>
    <x v="4"/>
    <x v="0"/>
    <x v="8"/>
    <m/>
    <m/>
    <x v="8"/>
    <x v="0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55"/>
    <x v="0"/>
    <x v="400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56"/>
    <x v="0"/>
    <x v="401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57"/>
    <x v="0"/>
    <x v="402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58"/>
    <x v="0"/>
    <x v="403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59"/>
    <x v="0"/>
    <x v="404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0"/>
    <x v="0"/>
    <x v="405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1"/>
    <x v="0"/>
    <x v="406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2"/>
    <x v="0"/>
    <x v="407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3"/>
    <x v="0"/>
    <x v="408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4"/>
    <x v="0"/>
    <x v="409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5"/>
    <x v="0"/>
    <x v="410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6"/>
    <x v="0"/>
    <x v="411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7"/>
    <x v="0"/>
    <x v="412"/>
    <x v="250"/>
    <s v="CN-Salas y Habitaciones de Hospitalización"/>
    <x v="19"/>
    <x v="5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8"/>
    <x v="0"/>
    <x v="413"/>
    <x v="249"/>
    <s v="CN-Salas y Habitaciones de Hospitalización"/>
    <x v="19"/>
    <x v="5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69"/>
    <x v="0"/>
    <x v="414"/>
    <x v="249"/>
    <s v="CN-Salas y Habitaciones de Hospitalización"/>
    <x v="19"/>
    <x v="5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0"/>
    <x v="0"/>
    <x v="415"/>
    <x v="249"/>
    <s v="CN-Salas y Habitaciones de Hospitalización"/>
    <x v="19"/>
    <x v="5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4"/>
    <x v="0"/>
    <x v="416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5"/>
    <x v="0"/>
    <x v="417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6"/>
    <x v="0"/>
    <x v="418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7"/>
    <x v="0"/>
    <x v="419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8"/>
    <x v="0"/>
    <x v="420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79"/>
    <x v="0"/>
    <x v="421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0"/>
    <x v="0"/>
    <x v="422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1"/>
    <x v="0"/>
    <x v="423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2"/>
    <x v="0"/>
    <x v="424"/>
    <x v="250"/>
    <s v="CN-Salas y Habitaciones de Hospitalización"/>
    <x v="19"/>
    <x v="4"/>
    <x v="0"/>
    <x v="25"/>
    <m/>
    <m/>
    <x v="25"/>
    <x v="1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3"/>
    <x v="0"/>
    <x v="425"/>
    <x v="249"/>
    <s v="CN-Salas y Habitaciones de Hospitalización"/>
    <x v="19"/>
    <x v="4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4"/>
    <x v="0"/>
    <x v="426"/>
    <x v="249"/>
    <s v="CN-Salas y Habitaciones de Hospitalización"/>
    <x v="19"/>
    <x v="4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5"/>
    <x v="0"/>
    <x v="427"/>
    <x v="249"/>
    <s v="CN-Salas y Habitaciones de Hospitalización"/>
    <x v="19"/>
    <x v="4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86"/>
    <x v="0"/>
    <x v="428"/>
    <x v="249"/>
    <s v="CN-Salas y Habitaciones de Hospitalización"/>
    <x v="19"/>
    <x v="4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091"/>
    <x v="0"/>
    <x v="429"/>
    <x v="254"/>
    <s v="CN-Salas y Habitaciones de Hospitalización"/>
    <x v="19"/>
    <x v="4"/>
    <x v="0"/>
    <x v="25"/>
    <m/>
    <m/>
    <x v="25"/>
    <x v="3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5122"/>
    <x v="0"/>
    <x v="430"/>
    <x v="255"/>
    <s v="CM-Residencias Médicas"/>
    <x v="19"/>
    <x v="4"/>
    <x v="0"/>
    <x v="25"/>
    <m/>
    <m/>
    <x v="25"/>
    <x v="0"/>
    <n v="1"/>
    <n v="1"/>
    <x v="0"/>
    <s v="HBP-MNC-126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148"/>
    <x v="0"/>
    <x v="431"/>
    <x v="256"/>
    <s v="CN-Imagenología"/>
    <x v="20"/>
    <x v="0"/>
    <x v="0"/>
    <x v="0"/>
    <n v="1"/>
    <m/>
    <x v="0"/>
    <x v="2"/>
    <n v="1"/>
    <n v="1"/>
    <x v="0"/>
    <s v="HBP-MNC-112"/>
    <s v="11105DSPA-93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4149"/>
    <x v="0"/>
    <x v="432"/>
    <x v="257"/>
    <s v="CN-Imagenología"/>
    <x v="20"/>
    <x v="0"/>
    <x v="0"/>
    <x v="0"/>
    <m/>
    <m/>
    <x v="0"/>
    <x v="2"/>
    <n v="1"/>
    <n v="1"/>
    <x v="0"/>
    <s v="HBP-MNC-112"/>
    <s v="11105DSPA-93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4150"/>
    <x v="0"/>
    <x v="433"/>
    <x v="256"/>
    <s v="CN-Imagenología"/>
    <x v="20"/>
    <x v="0"/>
    <x v="0"/>
    <x v="0"/>
    <m/>
    <m/>
    <x v="0"/>
    <x v="2"/>
    <n v="1"/>
    <n v="1"/>
    <x v="0"/>
    <s v="HBP-MNC-112"/>
    <s v="11105DSPA-93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4151"/>
    <x v="0"/>
    <x v="434"/>
    <x v="258"/>
    <s v="CN-Imagenología"/>
    <x v="20"/>
    <x v="0"/>
    <x v="0"/>
    <x v="0"/>
    <m/>
    <m/>
    <x v="0"/>
    <x v="2"/>
    <n v="1"/>
    <n v="1"/>
    <x v="0"/>
    <s v="HBP-MNC-112"/>
    <s v="11105DSPA-93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4152"/>
    <x v="0"/>
    <x v="435"/>
    <x v="259"/>
    <s v="CN-Imagenología"/>
    <x v="20"/>
    <x v="0"/>
    <x v="0"/>
    <x v="0"/>
    <m/>
    <m/>
    <x v="0"/>
    <x v="2"/>
    <n v="1"/>
    <n v="1"/>
    <x v="0"/>
    <s v="HBP-MNC-112"/>
    <s v="11105DSPA-93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4153"/>
    <x v="0"/>
    <x v="436"/>
    <x v="260"/>
    <s v="CN-Imagenología"/>
    <x v="20"/>
    <x v="0"/>
    <x v="0"/>
    <x v="0"/>
    <m/>
    <m/>
    <x v="0"/>
    <x v="2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54"/>
    <x v="0"/>
    <x v="437"/>
    <x v="261"/>
    <s v="CN-Imagenología"/>
    <x v="20"/>
    <x v="0"/>
    <x v="0"/>
    <x v="0"/>
    <m/>
    <m/>
    <x v="0"/>
    <x v="2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55"/>
    <x v="0"/>
    <x v="438"/>
    <x v="261"/>
    <s v="CN-Imagenología"/>
    <x v="20"/>
    <x v="0"/>
    <x v="0"/>
    <x v="0"/>
    <m/>
    <m/>
    <x v="0"/>
    <x v="2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21"/>
    <x v="0"/>
    <x v="439"/>
    <x v="1"/>
    <s v="CN-Otros Servicios Adyacentes"/>
    <x v="20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16"/>
    <x v="0"/>
    <x v="440"/>
    <x v="39"/>
    <s v="CN-Otros Servicios Adyacentes"/>
    <x v="2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7"/>
    <x v="0"/>
    <x v="441"/>
    <x v="262"/>
    <s v="CN-Otros Servicios Adyacentes"/>
    <x v="2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8"/>
    <x v="0"/>
    <x v="442"/>
    <x v="263"/>
    <s v="CN-Otros Servicios Adyacentes"/>
    <x v="20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9"/>
    <x v="0"/>
    <x v="443"/>
    <x v="97"/>
    <s v="CN-Imagenología"/>
    <x v="20"/>
    <x v="0"/>
    <x v="2"/>
    <x v="3"/>
    <m/>
    <m/>
    <x v="3"/>
    <x v="1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20"/>
    <x v="0"/>
    <x v="444"/>
    <x v="264"/>
    <s v="CN-Imagenología"/>
    <x v="20"/>
    <x v="0"/>
    <x v="2"/>
    <x v="3"/>
    <m/>
    <m/>
    <x v="3"/>
    <x v="3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391"/>
    <x v="0"/>
    <x v="431"/>
    <x v="256"/>
    <s v="CN-Imagenología"/>
    <x v="20"/>
    <x v="0"/>
    <x v="0"/>
    <x v="5"/>
    <m/>
    <m/>
    <x v="5"/>
    <x v="0"/>
    <n v="1"/>
    <n v="1"/>
    <x v="0"/>
    <s v="HBP-MNC-118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4392"/>
    <x v="0"/>
    <x v="432"/>
    <x v="257"/>
    <s v="CN-Imagenología"/>
    <x v="20"/>
    <x v="0"/>
    <x v="0"/>
    <x v="5"/>
    <m/>
    <m/>
    <x v="5"/>
    <x v="0"/>
    <n v="1"/>
    <n v="1"/>
    <x v="0"/>
    <s v="HBP-MNC-118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4393"/>
    <x v="0"/>
    <x v="433"/>
    <x v="256"/>
    <s v="CN-Imagenología"/>
    <x v="20"/>
    <x v="0"/>
    <x v="0"/>
    <x v="5"/>
    <m/>
    <m/>
    <x v="5"/>
    <x v="0"/>
    <n v="1"/>
    <n v="1"/>
    <x v="0"/>
    <s v="HBP-MNC-118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76"/>
    <x v="0"/>
    <x v="445"/>
    <x v="11"/>
    <s v="CN-Otros Servicios Adyacentes"/>
    <x v="20"/>
    <x v="0"/>
    <x v="0"/>
    <x v="4"/>
    <m/>
    <m/>
    <x v="4"/>
    <x v="18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5"/>
    <x v="0"/>
    <x v="446"/>
    <x v="78"/>
    <s v="CN-Otros Servicios Adyacentes"/>
    <x v="2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6"/>
    <x v="0"/>
    <x v="440"/>
    <x v="39"/>
    <s v="CN-Otros Servicios Adyacentes"/>
    <x v="2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7"/>
    <x v="0"/>
    <x v="441"/>
    <x v="262"/>
    <s v="CN-Otros Servicios Adyacentes"/>
    <x v="2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9"/>
    <x v="0"/>
    <x v="443"/>
    <x v="97"/>
    <s v="CN-Imagenología"/>
    <x v="20"/>
    <x v="0"/>
    <x v="0"/>
    <x v="5"/>
    <m/>
    <m/>
    <x v="5"/>
    <x v="6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90"/>
    <x v="0"/>
    <x v="444"/>
    <x v="264"/>
    <s v="CN-Imagenología"/>
    <x v="20"/>
    <x v="0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94"/>
    <x v="0"/>
    <x v="447"/>
    <x v="259"/>
    <s v="CN-Imagenología"/>
    <x v="20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95"/>
    <x v="0"/>
    <x v="436"/>
    <x v="260"/>
    <s v="CN-Imagenología"/>
    <x v="2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96"/>
    <x v="0"/>
    <x v="437"/>
    <x v="261"/>
    <s v="CN-Imagenología"/>
    <x v="2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97"/>
    <x v="0"/>
    <x v="438"/>
    <x v="261"/>
    <s v="CN-Imagenología"/>
    <x v="20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8"/>
    <x v="0"/>
    <x v="442"/>
    <x v="263"/>
    <s v="CN-Otros Servicios Adyacentes"/>
    <x v="20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06"/>
    <x v="0"/>
    <x v="439"/>
    <x v="1"/>
    <s v="CN-Otros Servicios Adyacentes"/>
    <x v="20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4"/>
    <x v="0"/>
    <x v="440"/>
    <x v="39"/>
    <s v="CN-Otros Servicios Adyacentes"/>
    <x v="2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5"/>
    <x v="0"/>
    <x v="441"/>
    <x v="262"/>
    <s v="CN-Otros Servicios Adyacentes"/>
    <x v="2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6"/>
    <x v="0"/>
    <x v="442"/>
    <x v="263"/>
    <s v="CN-Otros Servicios Adyacentes"/>
    <x v="20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7"/>
    <x v="0"/>
    <x v="436"/>
    <x v="260"/>
    <s v="CN-Imagenología"/>
    <x v="20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8"/>
    <x v="0"/>
    <x v="437"/>
    <x v="261"/>
    <s v="CN-Imagenología"/>
    <x v="20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9"/>
    <x v="0"/>
    <x v="438"/>
    <x v="261"/>
    <s v="CN-Imagenología"/>
    <x v="20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22"/>
    <x v="0"/>
    <x v="439"/>
    <x v="1"/>
    <s v="CN-Otros Servicios Adyacentes"/>
    <x v="20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69"/>
    <x v="0"/>
    <x v="440"/>
    <x v="39"/>
    <s v="CN-Otros Servicios Adyacentes"/>
    <x v="20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0"/>
    <x v="0"/>
    <x v="441"/>
    <x v="262"/>
    <s v="CN-Otros Servicios Adyacentes"/>
    <x v="20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1"/>
    <x v="0"/>
    <x v="442"/>
    <x v="263"/>
    <s v="CN-Otros Servicios Adyacentes"/>
    <x v="20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2"/>
    <x v="0"/>
    <x v="443"/>
    <x v="97"/>
    <s v="CN-Imagenología"/>
    <x v="20"/>
    <x v="0"/>
    <x v="1"/>
    <x v="11"/>
    <m/>
    <m/>
    <x v="11"/>
    <x v="6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3"/>
    <x v="0"/>
    <x v="444"/>
    <x v="264"/>
    <s v="CN-Imagenología"/>
    <x v="20"/>
    <x v="0"/>
    <x v="1"/>
    <x v="11"/>
    <m/>
    <m/>
    <x v="11"/>
    <x v="3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4"/>
    <x v="0"/>
    <x v="436"/>
    <x v="260"/>
    <s v="CN-Imagenología"/>
    <x v="20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5"/>
    <x v="0"/>
    <x v="437"/>
    <x v="261"/>
    <s v="CN-Imagenología"/>
    <x v="20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76"/>
    <x v="0"/>
    <x v="438"/>
    <x v="261"/>
    <s v="CN-Imagenología"/>
    <x v="20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368"/>
    <x v="0"/>
    <x v="448"/>
    <x v="95"/>
    <s v="NC-Otros Servicios Adyacentes"/>
    <x v="21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75"/>
    <x v="0"/>
    <x v="449"/>
    <x v="265"/>
    <s v="CN-Otros Servicios Adyacentes"/>
    <x v="21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0"/>
    <x v="0"/>
    <x v="450"/>
    <x v="232"/>
    <s v="NC-Otros Servicios Adyacentes"/>
    <x v="21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3"/>
    <x v="0"/>
    <x v="451"/>
    <x v="232"/>
    <s v="NC-Otros Servicios Adyacentes"/>
    <x v="21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10"/>
    <x v="0"/>
    <x v="452"/>
    <x v="47"/>
    <s v="CN-Otros Servicios Adyacentes"/>
    <x v="2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1"/>
    <x v="0"/>
    <x v="453"/>
    <x v="266"/>
    <s v="CN-Otros Servicios Adyacentes"/>
    <x v="2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2"/>
    <x v="0"/>
    <x v="454"/>
    <x v="267"/>
    <s v="CN-Laboratorios"/>
    <x v="21"/>
    <x v="6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3"/>
    <x v="0"/>
    <x v="455"/>
    <x v="229"/>
    <s v="CN-Laboratorios"/>
    <x v="2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4"/>
    <x v="0"/>
    <x v="456"/>
    <x v="34"/>
    <s v="CN-Otros Servicios Adyacentes"/>
    <x v="2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15"/>
    <x v="0"/>
    <x v="457"/>
    <x v="268"/>
    <s v="CN-Laboratorios"/>
    <x v="2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80"/>
    <x v="0"/>
    <x v="448"/>
    <x v="95"/>
    <s v="NC-Otros Servicios Adyacentes"/>
    <x v="2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372"/>
    <x v="0"/>
    <x v="458"/>
    <x v="269"/>
    <s v="CN-Laboratorios"/>
    <x v="21"/>
    <x v="6"/>
    <x v="0"/>
    <x v="5"/>
    <m/>
    <m/>
    <x v="5"/>
    <x v="3"/>
    <n v="1"/>
    <n v="1"/>
    <x v="0"/>
    <s v="HBP-MNC-118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4373"/>
    <x v="0"/>
    <x v="459"/>
    <x v="270"/>
    <s v="CN-Laboratorios"/>
    <x v="21"/>
    <x v="6"/>
    <x v="0"/>
    <x v="5"/>
    <m/>
    <m/>
    <x v="5"/>
    <x v="0"/>
    <n v="1"/>
    <n v="1"/>
    <x v="0"/>
    <s v="HBP-MNC-118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4376"/>
    <x v="0"/>
    <x v="460"/>
    <x v="271"/>
    <s v="CN-Laboratorios"/>
    <x v="21"/>
    <x v="6"/>
    <x v="0"/>
    <x v="5"/>
    <m/>
    <m/>
    <x v="5"/>
    <x v="2"/>
    <n v="1"/>
    <n v="1"/>
    <x v="0"/>
    <s v="HBP-MNC-118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87"/>
    <x v="0"/>
    <x v="461"/>
    <x v="272"/>
    <s v="CN-Laboratorios"/>
    <x v="21"/>
    <x v="6"/>
    <x v="0"/>
    <x v="4"/>
    <m/>
    <m/>
    <x v="4"/>
    <x v="10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5"/>
    <x v="0"/>
    <x v="452"/>
    <x v="47"/>
    <s v="CN-Otros Servicios Adyacente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6"/>
    <x v="0"/>
    <x v="453"/>
    <x v="266"/>
    <s v="CN-Otros Servicios Adyacente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7"/>
    <x v="0"/>
    <x v="454"/>
    <x v="267"/>
    <s v="CN-Laboratorios"/>
    <x v="21"/>
    <x v="6"/>
    <x v="0"/>
    <x v="5"/>
    <m/>
    <m/>
    <x v="5"/>
    <x v="6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8"/>
    <x v="0"/>
    <x v="462"/>
    <x v="273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9"/>
    <x v="0"/>
    <x v="463"/>
    <x v="274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0"/>
    <x v="0"/>
    <x v="455"/>
    <x v="229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1"/>
    <x v="0"/>
    <x v="464"/>
    <x v="275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4"/>
    <x v="0"/>
    <x v="465"/>
    <x v="276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5"/>
    <x v="0"/>
    <x v="466"/>
    <x v="277"/>
    <s v="CN-Laboratorios"/>
    <x v="2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7"/>
    <x v="0"/>
    <x v="456"/>
    <x v="34"/>
    <s v="CN-Otros Servicios Adyacente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8"/>
    <x v="0"/>
    <x v="467"/>
    <x v="80"/>
    <s v="CN-Otros Servicios Adyacentes"/>
    <x v="2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79"/>
    <x v="0"/>
    <x v="468"/>
    <x v="278"/>
    <s v="CN-Laboratorios"/>
    <x v="2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0"/>
    <x v="0"/>
    <x v="469"/>
    <x v="279"/>
    <s v="CN-Laboratorios"/>
    <x v="2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1"/>
    <x v="0"/>
    <x v="470"/>
    <x v="280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2"/>
    <x v="0"/>
    <x v="457"/>
    <x v="268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3"/>
    <x v="0"/>
    <x v="471"/>
    <x v="281"/>
    <s v="CN-Laboratorios"/>
    <x v="2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84"/>
    <x v="0"/>
    <x v="472"/>
    <x v="282"/>
    <s v="CN-Laboratorios"/>
    <x v="2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1"/>
    <x v="0"/>
    <x v="448"/>
    <x v="95"/>
    <s v="NC-Otros Servicios Adyacente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4"/>
    <x v="0"/>
    <x v="473"/>
    <x v="283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55"/>
    <x v="0"/>
    <x v="474"/>
    <x v="284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02"/>
    <x v="0"/>
    <x v="475"/>
    <x v="285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03"/>
    <x v="0"/>
    <x v="476"/>
    <x v="285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91"/>
    <x v="0"/>
    <x v="477"/>
    <x v="286"/>
    <s v="CN-Laboratorios"/>
    <x v="2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05"/>
    <x v="0"/>
    <x v="478"/>
    <x v="1"/>
    <s v="CN-Otros Servicios Adyacentes"/>
    <x v="21"/>
    <x v="6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2"/>
    <x v="0"/>
    <x v="452"/>
    <x v="47"/>
    <s v="CN-Otros Servicios Adyacentes"/>
    <x v="21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3"/>
    <x v="0"/>
    <x v="453"/>
    <x v="266"/>
    <s v="CN-Otros Servicios Adyacente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4"/>
    <x v="0"/>
    <x v="449"/>
    <x v="265"/>
    <s v="CN-Otros Servicios Adyacentes"/>
    <x v="21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5"/>
    <x v="0"/>
    <x v="455"/>
    <x v="229"/>
    <s v="CN-Laboratorio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6"/>
    <x v="0"/>
    <x v="456"/>
    <x v="34"/>
    <s v="CN-Otros Servicios Adyacente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7"/>
    <x v="0"/>
    <x v="457"/>
    <x v="268"/>
    <s v="CN-Laboratorio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8"/>
    <x v="0"/>
    <x v="479"/>
    <x v="285"/>
    <s v="CN-Laboratorios"/>
    <x v="2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19"/>
    <x v="0"/>
    <x v="475"/>
    <x v="285"/>
    <s v="CN-Laboratorio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0"/>
    <x v="0"/>
    <x v="480"/>
    <x v="285"/>
    <s v="CN-Laboratorios"/>
    <x v="2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1"/>
    <x v="0"/>
    <x v="476"/>
    <x v="285"/>
    <s v="CN-Laboratorio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2"/>
    <x v="0"/>
    <x v="481"/>
    <x v="287"/>
    <s v="CN-Laboratorios"/>
    <x v="2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23"/>
    <x v="0"/>
    <x v="482"/>
    <x v="287"/>
    <s v="CN-Laboratorios"/>
    <x v="2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2"/>
    <x v="0"/>
    <x v="448"/>
    <x v="95"/>
    <s v="NC-Otros Servicios Adyacentes"/>
    <x v="21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3"/>
    <x v="0"/>
    <x v="450"/>
    <x v="232"/>
    <s v="NC-Otros Servicios Adyacentes"/>
    <x v="21"/>
    <x v="6"/>
    <x v="0"/>
    <x v="8"/>
    <m/>
    <m/>
    <x v="8"/>
    <x v="19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6"/>
    <x v="0"/>
    <x v="451"/>
    <x v="232"/>
    <s v="NC-Otros Servicios Adyacentes"/>
    <x v="21"/>
    <x v="6"/>
    <x v="0"/>
    <x v="8"/>
    <m/>
    <m/>
    <x v="8"/>
    <x v="19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55"/>
    <x v="0"/>
    <x v="477"/>
    <x v="286"/>
    <s v="CN-Laboratorios"/>
    <x v="2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56"/>
    <x v="0"/>
    <x v="483"/>
    <x v="288"/>
    <s v="CN-Laboratorios"/>
    <x v="2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21"/>
    <x v="0"/>
    <x v="478"/>
    <x v="1"/>
    <s v="CN-Otros Servicios Adyacentes"/>
    <x v="2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41"/>
    <x v="0"/>
    <x v="484"/>
    <x v="289"/>
    <s v="CM-Residencias Médicas"/>
    <x v="21"/>
    <x v="6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63"/>
    <x v="0"/>
    <x v="452"/>
    <x v="47"/>
    <s v="CN-Otros Servicios Adyacentes"/>
    <x v="2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64"/>
    <x v="0"/>
    <x v="453"/>
    <x v="266"/>
    <s v="CN-Otros Servicios Adyacentes"/>
    <x v="2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66"/>
    <x v="0"/>
    <x v="455"/>
    <x v="229"/>
    <s v="CN-Laboratorios"/>
    <x v="2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67"/>
    <x v="0"/>
    <x v="456"/>
    <x v="34"/>
    <s v="CN-Otros Servicios Adyacentes"/>
    <x v="2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68"/>
    <x v="0"/>
    <x v="457"/>
    <x v="268"/>
    <s v="CN-Laboratorios"/>
    <x v="2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65"/>
    <x v="0"/>
    <x v="454"/>
    <x v="267"/>
    <s v="CN-Laboratorios"/>
    <x v="21"/>
    <x v="6"/>
    <x v="1"/>
    <x v="11"/>
    <m/>
    <m/>
    <x v="11"/>
    <x v="6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2"/>
    <x v="0"/>
    <x v="448"/>
    <x v="95"/>
    <s v="NC-Otros Servicios Adyacentes"/>
    <x v="2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72"/>
    <x v="0"/>
    <x v="475"/>
    <x v="285"/>
    <s v="CN-Laboratorios"/>
    <x v="2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73"/>
    <x v="0"/>
    <x v="476"/>
    <x v="285"/>
    <s v="CN-Laboratorios"/>
    <x v="2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340"/>
    <x v="0"/>
    <x v="485"/>
    <x v="290"/>
    <s v="CM-Otros Servicios Adyacentes"/>
    <x v="22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41"/>
    <x v="0"/>
    <x v="486"/>
    <x v="28"/>
    <s v="CM-Consultas Ambulatorias"/>
    <x v="22"/>
    <x v="6"/>
    <x v="1"/>
    <x v="20"/>
    <m/>
    <m/>
    <x v="20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85"/>
    <x v="0"/>
    <x v="485"/>
    <x v="290"/>
    <s v="CM-Otros Servicios Adyacentes"/>
    <x v="2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86"/>
    <x v="0"/>
    <x v="487"/>
    <x v="114"/>
    <s v="CM-Consultas Ambulatorias"/>
    <x v="22"/>
    <x v="6"/>
    <x v="2"/>
    <x v="3"/>
    <m/>
    <m/>
    <x v="3"/>
    <x v="6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87"/>
    <x v="0"/>
    <x v="488"/>
    <x v="291"/>
    <s v="CM-Consultas Ambulatorias"/>
    <x v="22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306"/>
    <x v="0"/>
    <x v="489"/>
    <x v="79"/>
    <s v="CM-Otros Servicios Adyacentes"/>
    <x v="2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7"/>
    <x v="0"/>
    <x v="485"/>
    <x v="290"/>
    <s v="CM-Otros Servicios Adyacentes"/>
    <x v="2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8"/>
    <x v="0"/>
    <x v="487"/>
    <x v="114"/>
    <s v="CM-Consultas Ambulatorias"/>
    <x v="22"/>
    <x v="6"/>
    <x v="0"/>
    <x v="5"/>
    <m/>
    <m/>
    <x v="5"/>
    <x v="6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9"/>
    <x v="0"/>
    <x v="488"/>
    <x v="291"/>
    <s v="CM-Consultas Ambulatorias"/>
    <x v="22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7"/>
    <x v="0"/>
    <x v="485"/>
    <x v="290"/>
    <s v="CM-Otros Servicios Adyacentes"/>
    <x v="22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8"/>
    <x v="0"/>
    <x v="487"/>
    <x v="114"/>
    <s v="CM-Consultas Ambulatorias"/>
    <x v="22"/>
    <x v="6"/>
    <x v="0"/>
    <x v="8"/>
    <m/>
    <m/>
    <x v="8"/>
    <x v="3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9"/>
    <x v="0"/>
    <x v="488"/>
    <x v="291"/>
    <s v="CM-Consultas Ambulatorias"/>
    <x v="22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60"/>
    <x v="0"/>
    <x v="486"/>
    <x v="28"/>
    <s v="CM-Consultas Ambulatorias"/>
    <x v="22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30"/>
    <x v="0"/>
    <x v="485"/>
    <x v="290"/>
    <s v="CM-Otros Servicios Adyacentes"/>
    <x v="2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32"/>
    <x v="0"/>
    <x v="488"/>
    <x v="291"/>
    <s v="CM-Consultas Ambulatorias"/>
    <x v="22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31"/>
    <x v="0"/>
    <x v="487"/>
    <x v="114"/>
    <s v="CM-Consultas Ambulatorias"/>
    <x v="22"/>
    <x v="6"/>
    <x v="1"/>
    <x v="11"/>
    <m/>
    <m/>
    <x v="11"/>
    <x v="6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21"/>
    <x v="0"/>
    <x v="490"/>
    <x v="205"/>
    <s v="NC-Otros Servicios Adyacentes"/>
    <x v="23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62"/>
    <x v="0"/>
    <x v="491"/>
    <x v="292"/>
    <s v="NC-Áreas de Servicios Generales"/>
    <x v="23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466"/>
    <x v="0"/>
    <x v="492"/>
    <x v="293"/>
    <s v="NC-Áreas de Servicios Generales"/>
    <x v="2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67"/>
    <x v="0"/>
    <x v="493"/>
    <x v="294"/>
    <s v="NC-Áreas de Servicios Generales"/>
    <x v="2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68"/>
    <x v="0"/>
    <x v="494"/>
    <x v="295"/>
    <s v="NC-Áreas de Servicios Generales"/>
    <x v="23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71"/>
    <x v="0"/>
    <x v="495"/>
    <x v="296"/>
    <s v="NC-Áreas de Servicios Generales"/>
    <x v="2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2"/>
    <x v="0"/>
    <x v="496"/>
    <x v="297"/>
    <s v="NC-Áreas de Servicios Generales"/>
    <x v="23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65"/>
    <x v="0"/>
    <x v="491"/>
    <x v="292"/>
    <s v="NC-Áreas de Servicios Generales"/>
    <x v="23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70"/>
    <x v="0"/>
    <x v="491"/>
    <x v="292"/>
    <s v="NC-Áreas de Servicios Generales"/>
    <x v="23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219"/>
    <x v="0"/>
    <x v="491"/>
    <x v="292"/>
    <s v="NC-Áreas de Servicios Generales"/>
    <x v="23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35"/>
    <x v="0"/>
    <x v="497"/>
    <x v="0"/>
    <s v="CA-Otros Servicios Adyacentes"/>
    <x v="24"/>
    <x v="3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36"/>
    <x v="0"/>
    <x v="498"/>
    <x v="0"/>
    <s v="NC-Otros Servicios Adyacentes"/>
    <x v="24"/>
    <x v="3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60"/>
    <x v="0"/>
    <x v="499"/>
    <x v="298"/>
    <s v="NC-Áreas de Servicios Generales"/>
    <x v="24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76"/>
    <x v="0"/>
    <x v="500"/>
    <x v="30"/>
    <s v="NC-Otros Servicios Adyacentes"/>
    <x v="24"/>
    <x v="3"/>
    <x v="1"/>
    <x v="20"/>
    <m/>
    <m/>
    <x v="20"/>
    <x v="0"/>
    <n v="1"/>
    <n v="1"/>
    <x v="0"/>
    <s v="HBP-MNC-097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658"/>
    <x v="0"/>
    <x v="501"/>
    <x v="39"/>
    <s v="NC-Áreas de Servicios Generales"/>
    <x v="24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59"/>
    <x v="0"/>
    <x v="499"/>
    <x v="298"/>
    <s v="NC-Áreas de Servicios Generales"/>
    <x v="24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65"/>
    <x v="0"/>
    <x v="502"/>
    <x v="299"/>
    <s v="NC-Áreas de Servicios Generales"/>
    <x v="24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66"/>
    <x v="0"/>
    <x v="503"/>
    <x v="300"/>
    <s v="NC-Áreas de Servicios Generales"/>
    <x v="24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67"/>
    <x v="0"/>
    <x v="504"/>
    <x v="39"/>
    <s v="NC-Áreas de Servicios Generales"/>
    <x v="24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5235"/>
    <x v="0"/>
    <x v="505"/>
    <x v="301"/>
    <s v="NC-Áreas Administrativas en General"/>
    <x v="24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215"/>
    <x v="0"/>
    <x v="501"/>
    <x v="39"/>
    <s v="NC-Áreas de Servicios Generales"/>
    <x v="24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16"/>
    <x v="0"/>
    <x v="499"/>
    <x v="298"/>
    <s v="NC-Áreas de Servicios Generales"/>
    <x v="24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22"/>
    <x v="0"/>
    <x v="502"/>
    <x v="299"/>
    <s v="NC-Áreas de Servicios Generales"/>
    <x v="24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23"/>
    <x v="0"/>
    <x v="503"/>
    <x v="300"/>
    <s v="NC-Áreas de Servicios Generales"/>
    <x v="24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24"/>
    <x v="0"/>
    <x v="504"/>
    <x v="39"/>
    <s v="NC-Áreas de Servicios Generales"/>
    <x v="24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4461"/>
    <x v="0"/>
    <x v="501"/>
    <x v="39"/>
    <s v="NC-Áreas de Servicios Generales"/>
    <x v="24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62"/>
    <x v="0"/>
    <x v="499"/>
    <x v="298"/>
    <s v="NC-Áreas de Servicios Generales"/>
    <x v="24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79"/>
    <x v="0"/>
    <x v="504"/>
    <x v="39"/>
    <s v="NC-Áreas de Servicios Generales"/>
    <x v="24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80"/>
    <x v="0"/>
    <x v="506"/>
    <x v="302"/>
    <s v="NC-Áreas de Servicios Generales"/>
    <x v="24"/>
    <x v="3"/>
    <x v="0"/>
    <x v="5"/>
    <m/>
    <m/>
    <x v="5"/>
    <x v="1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81"/>
    <x v="0"/>
    <x v="505"/>
    <x v="301"/>
    <s v="NC-Áreas de Servicios Generales"/>
    <x v="24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77"/>
    <x v="0"/>
    <x v="502"/>
    <x v="299"/>
    <s v="NC-Áreas de Servicios Generales"/>
    <x v="24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78"/>
    <x v="0"/>
    <x v="503"/>
    <x v="300"/>
    <s v="NC-Áreas de Servicios Generales"/>
    <x v="24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67"/>
    <x v="0"/>
    <x v="501"/>
    <x v="39"/>
    <s v="NC-Áreas de Servicios Generales"/>
    <x v="24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68"/>
    <x v="0"/>
    <x v="499"/>
    <x v="298"/>
    <s v="NC-Áreas de Servicios Generales"/>
    <x v="24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73"/>
    <x v="0"/>
    <x v="502"/>
    <x v="299"/>
    <s v="NC-Áreas de Servicios Generales"/>
    <x v="24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74"/>
    <x v="0"/>
    <x v="503"/>
    <x v="300"/>
    <s v="NC-Áreas de Servicios Generales"/>
    <x v="24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75"/>
    <x v="0"/>
    <x v="504"/>
    <x v="39"/>
    <s v="NC-Áreas de Servicios Generales"/>
    <x v="24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79"/>
    <x v="0"/>
    <x v="500"/>
    <x v="30"/>
    <s v="NC-Otros Servicios Adyacentes"/>
    <x v="24"/>
    <x v="3"/>
    <x v="0"/>
    <x v="8"/>
    <m/>
    <m/>
    <x v="8"/>
    <x v="7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426"/>
    <x v="0"/>
    <x v="507"/>
    <x v="303"/>
    <s v="CM-Áreas de Rehabilitación"/>
    <x v="25"/>
    <x v="0"/>
    <x v="1"/>
    <x v="2"/>
    <m/>
    <m/>
    <x v="2"/>
    <x v="0"/>
    <n v="1"/>
    <n v="1"/>
    <x v="0"/>
    <s v="HBP-MNC-099"/>
    <s v="11105DSPA-93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5418"/>
    <x v="0"/>
    <x v="508"/>
    <x v="304"/>
    <s v="CM-Áreas de Rehabilitación"/>
    <x v="25"/>
    <x v="0"/>
    <x v="0"/>
    <x v="0"/>
    <m/>
    <m/>
    <x v="0"/>
    <x v="0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17"/>
    <x v="0"/>
    <x v="509"/>
    <x v="305"/>
    <s v="CM-Áreas de Rehabilitación"/>
    <x v="25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7"/>
    <x v="0"/>
    <x v="510"/>
    <x v="306"/>
    <s v="CM-Áreas de Rehabilitación"/>
    <x v="25"/>
    <x v="0"/>
    <x v="1"/>
    <x v="14"/>
    <m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8"/>
    <x v="0"/>
    <x v="511"/>
    <x v="307"/>
    <s v="CM-Áreas de Rehabilitación"/>
    <x v="25"/>
    <x v="0"/>
    <x v="1"/>
    <x v="14"/>
    <m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55"/>
    <x v="0"/>
    <x v="512"/>
    <x v="308"/>
    <s v="CM-Áreas de Rehabilitación"/>
    <x v="25"/>
    <x v="0"/>
    <x v="1"/>
    <x v="15"/>
    <m/>
    <m/>
    <x v="15"/>
    <x v="3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54"/>
    <x v="0"/>
    <x v="513"/>
    <x v="309"/>
    <s v="CM-Áreas de Rehabilitación"/>
    <x v="25"/>
    <x v="0"/>
    <x v="1"/>
    <x v="16"/>
    <m/>
    <m/>
    <x v="16"/>
    <x v="0"/>
    <n v="1"/>
    <n v="1"/>
    <x v="0"/>
    <s v="HBP-MNC-098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8"/>
    <x v="0"/>
    <x v="510"/>
    <x v="306"/>
    <s v="CM-Áreas de Rehabilitación"/>
    <x v="25"/>
    <x v="0"/>
    <x v="0"/>
    <x v="17"/>
    <m/>
    <m/>
    <x v="17"/>
    <x v="0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9"/>
    <x v="0"/>
    <x v="511"/>
    <x v="307"/>
    <s v="CM-Áreas de Rehabilitación"/>
    <x v="25"/>
    <x v="0"/>
    <x v="0"/>
    <x v="17"/>
    <m/>
    <m/>
    <x v="17"/>
    <x v="2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27"/>
    <x v="0"/>
    <x v="514"/>
    <x v="78"/>
    <s v="CM-Otros Servicios Adyacentes"/>
    <x v="2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28"/>
    <x v="0"/>
    <x v="512"/>
    <x v="308"/>
    <s v="CM-Áreas de Rehabilitación"/>
    <x v="2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29"/>
    <x v="0"/>
    <x v="515"/>
    <x v="310"/>
    <s v="CM-Otros Servicios Adyacentes"/>
    <x v="2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30"/>
    <x v="0"/>
    <x v="516"/>
    <x v="311"/>
    <s v="CM-Otros Servicios Adyacentes"/>
    <x v="2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31"/>
    <x v="0"/>
    <x v="517"/>
    <x v="28"/>
    <s v="CM-Otros Servicios Adyacentes"/>
    <x v="2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33"/>
    <x v="0"/>
    <x v="518"/>
    <x v="312"/>
    <s v="CM-Áreas de Rehabilitación"/>
    <x v="2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611"/>
    <x v="0"/>
    <x v="507"/>
    <x v="303"/>
    <s v="CM-Áreas de Rehabilitación"/>
    <x v="25"/>
    <x v="0"/>
    <x v="0"/>
    <x v="7"/>
    <m/>
    <m/>
    <x v="7"/>
    <x v="6"/>
    <n v="1"/>
    <n v="1"/>
    <x v="0"/>
    <s v="HBP-MNC-121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027"/>
    <x v="0"/>
    <x v="507"/>
    <x v="303"/>
    <s v="CM-Áreas de Rehabilitación"/>
    <x v="25"/>
    <x v="0"/>
    <x v="0"/>
    <x v="19"/>
    <m/>
    <m/>
    <x v="19"/>
    <x v="0"/>
    <n v="1"/>
    <n v="1"/>
    <x v="0"/>
    <s v="HBP-MNC- 125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75"/>
    <x v="0"/>
    <x v="519"/>
    <x v="11"/>
    <s v="CM-Otros Servicios Adyacentes"/>
    <x v="25"/>
    <x v="0"/>
    <x v="0"/>
    <x v="4"/>
    <m/>
    <m/>
    <x v="4"/>
    <x v="1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24"/>
    <x v="0"/>
    <x v="514"/>
    <x v="78"/>
    <s v="CM-Otros Servicios Adyacentes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25"/>
    <x v="0"/>
    <x v="513"/>
    <x v="309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26"/>
    <x v="0"/>
    <x v="512"/>
    <x v="308"/>
    <s v="CM-Áreas de Rehabilitación"/>
    <x v="25"/>
    <x v="0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29"/>
    <x v="0"/>
    <x v="520"/>
    <x v="313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0"/>
    <x v="0"/>
    <x v="518"/>
    <x v="312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1"/>
    <x v="0"/>
    <x v="521"/>
    <x v="314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2"/>
    <x v="0"/>
    <x v="522"/>
    <x v="315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3"/>
    <x v="0"/>
    <x v="511"/>
    <x v="307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4"/>
    <x v="0"/>
    <x v="523"/>
    <x v="316"/>
    <s v="CM-Áreas de Rehabilitación"/>
    <x v="2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27"/>
    <x v="0"/>
    <x v="515"/>
    <x v="310"/>
    <s v="CM-Otros Servicios Adyacentes"/>
    <x v="25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28"/>
    <x v="0"/>
    <x v="516"/>
    <x v="311"/>
    <s v="CM-Otros Servicios Adyacentes"/>
    <x v="25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1"/>
    <x v="0"/>
    <x v="517"/>
    <x v="28"/>
    <s v="CM-Otros Servicios Adyacentes"/>
    <x v="25"/>
    <x v="0"/>
    <x v="0"/>
    <x v="7"/>
    <m/>
    <m/>
    <x v="7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37"/>
    <x v="0"/>
    <x v="513"/>
    <x v="309"/>
    <s v="CM-Áreas de Rehabilitación"/>
    <x v="25"/>
    <x v="0"/>
    <x v="0"/>
    <x v="8"/>
    <m/>
    <m/>
    <x v="8"/>
    <x v="8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38"/>
    <x v="0"/>
    <x v="512"/>
    <x v="308"/>
    <s v="CM-Áreas de Rehabilitación"/>
    <x v="25"/>
    <x v="0"/>
    <x v="0"/>
    <x v="8"/>
    <m/>
    <m/>
    <x v="8"/>
    <x v="1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39"/>
    <x v="0"/>
    <x v="515"/>
    <x v="310"/>
    <s v="CM-Otros Servicios Adyacentes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0"/>
    <x v="0"/>
    <x v="516"/>
    <x v="311"/>
    <s v="CM-Otros Servicios Adyacentes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2"/>
    <x v="0"/>
    <x v="524"/>
    <x v="317"/>
    <s v="CM-Otros Servicios Adyacentes"/>
    <x v="25"/>
    <x v="0"/>
    <x v="0"/>
    <x v="8"/>
    <m/>
    <m/>
    <x v="8"/>
    <x v="7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3"/>
    <x v="0"/>
    <x v="520"/>
    <x v="313"/>
    <s v="CM-Áreas de Rehabilitación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4"/>
    <x v="0"/>
    <x v="518"/>
    <x v="312"/>
    <s v="CM-Áreas de Rehabilitación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5"/>
    <x v="0"/>
    <x v="521"/>
    <x v="314"/>
    <s v="CM-Áreas de Rehabilitación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6"/>
    <x v="0"/>
    <x v="522"/>
    <x v="315"/>
    <s v="CM-Áreas de Rehabilitación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7"/>
    <x v="0"/>
    <x v="511"/>
    <x v="307"/>
    <s v="CM-Áreas de Rehabilitación"/>
    <x v="2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8"/>
    <x v="0"/>
    <x v="523"/>
    <x v="316"/>
    <s v="CM-Áreas de Rehabilitación"/>
    <x v="2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49"/>
    <x v="0"/>
    <x v="525"/>
    <x v="318"/>
    <s v="CM-Áreas de Rehabilitación"/>
    <x v="2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61"/>
    <x v="0"/>
    <x v="526"/>
    <x v="319"/>
    <s v="CM-Otros Servicios Adyacentes"/>
    <x v="2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62"/>
    <x v="0"/>
    <x v="527"/>
    <x v="320"/>
    <s v="CM-Otros Servicios Adyacentes"/>
    <x v="2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63"/>
    <x v="0"/>
    <x v="528"/>
    <x v="321"/>
    <s v="CM-Otros Servicios Adyacentes"/>
    <x v="2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64"/>
    <x v="0"/>
    <x v="529"/>
    <x v="322"/>
    <s v="CM-Otros Servicios Adyacentes"/>
    <x v="2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3"/>
    <x v="0"/>
    <x v="518"/>
    <x v="312"/>
    <s v="CM-Áreas de Rehabilitación"/>
    <x v="25"/>
    <x v="0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28"/>
    <x v="0"/>
    <x v="517"/>
    <x v="28"/>
    <s v="CM-Otros Servicios Adyacentes"/>
    <x v="25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29"/>
    <x v="0"/>
    <x v="518"/>
    <x v="312"/>
    <s v="CM-Áreas de Rehabilitación"/>
    <x v="25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89"/>
    <x v="0"/>
    <x v="520"/>
    <x v="313"/>
    <s v="CM-Áreas de Rehabilitación"/>
    <x v="2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0"/>
    <x v="0"/>
    <x v="518"/>
    <x v="312"/>
    <s v="CM-Áreas de Rehabilitación"/>
    <x v="2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1"/>
    <x v="0"/>
    <x v="521"/>
    <x v="314"/>
    <s v="CM-Áreas de Rehabilitación"/>
    <x v="2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2"/>
    <x v="0"/>
    <x v="522"/>
    <x v="315"/>
    <s v="CM-Áreas de Rehabilitación"/>
    <x v="2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93"/>
    <x v="0"/>
    <x v="511"/>
    <x v="307"/>
    <s v="CM-Áreas de Rehabilitación"/>
    <x v="2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87"/>
    <x v="0"/>
    <x v="515"/>
    <x v="310"/>
    <s v="CM-Otros Servicios Adyacentes"/>
    <x v="25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88"/>
    <x v="0"/>
    <x v="516"/>
    <x v="311"/>
    <s v="CM-Otros Servicios Adyacentes"/>
    <x v="25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86"/>
    <x v="0"/>
    <x v="513"/>
    <x v="309"/>
    <s v="CM-Áreas de Rehabilitación"/>
    <x v="25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99"/>
    <x v="0"/>
    <x v="530"/>
    <x v="323"/>
    <s v="CM-Sala Mortuoria"/>
    <x v="26"/>
    <x v="0"/>
    <x v="1"/>
    <x v="13"/>
    <m/>
    <m/>
    <x v="13"/>
    <x v="0"/>
    <n v="1"/>
    <n v="1"/>
    <x v="0"/>
    <s v="HBP-MNC-09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44"/>
    <x v="0"/>
    <x v="531"/>
    <x v="324"/>
    <s v="CM-Sala Mortuoria"/>
    <x v="2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311"/>
    <x v="0"/>
    <x v="532"/>
    <x v="325"/>
    <s v="CM-Sala Mortuoria"/>
    <x v="26"/>
    <x v="0"/>
    <x v="0"/>
    <x v="5"/>
    <m/>
    <m/>
    <x v="5"/>
    <x v="0"/>
    <n v="1"/>
    <n v="1"/>
    <x v="0"/>
    <s v="HBP-MNC-118"/>
    <s v="11105DSPA-93-2025"/>
    <d v="2026-04-30T00:00:00"/>
    <m/>
    <x v="4"/>
    <n v="30"/>
    <x v="11"/>
    <d v="2026-04-30T00:00:00"/>
    <d v="2027-01-07T00:00:00"/>
    <d v="2026-06-17T00:00:00"/>
    <d v="2026-06-16T00:00:00"/>
    <d v="2026-08-20T00:00:00"/>
    <s v="NA"/>
    <d v="2026-07-31T00:00:00"/>
    <s v="IU"/>
    <d v="2026-06-17T00:00:00"/>
    <n v="5"/>
    <d v="2026-06-24T00:00:00"/>
    <n v="5"/>
    <d v="2026-07-02T00:00:00"/>
  </r>
  <r>
    <s v="HSLB14445"/>
    <x v="0"/>
    <x v="531"/>
    <x v="324"/>
    <s v="CM-Sala Mortuoria"/>
    <x v="2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56"/>
    <x v="0"/>
    <x v="531"/>
    <x v="324"/>
    <s v="CM-Sala Mortuoria"/>
    <x v="2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4"/>
    <x v="0"/>
    <x v="530"/>
    <x v="323"/>
    <s v="CM-Sala Mortuoria"/>
    <x v="26"/>
    <x v="0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2"/>
    <x v="0"/>
    <x v="530"/>
    <x v="323"/>
    <s v="CM-Sala Mortuoria"/>
    <x v="2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77"/>
    <x v="0"/>
    <x v="532"/>
    <x v="325"/>
    <s v="CM-Sala Mortuoria"/>
    <x v="26"/>
    <x v="0"/>
    <x v="1"/>
    <x v="11"/>
    <m/>
    <m/>
    <x v="11"/>
    <x v="0"/>
    <n v="1"/>
    <n v="1"/>
    <x v="0"/>
    <s v="HBP-MNC-088"/>
    <s v="11105DSPA-93-2025"/>
    <d v="2026-04-30T00:00:00"/>
    <m/>
    <x v="4"/>
    <n v="30"/>
    <x v="11"/>
    <d v="2026-04-30T00:00:00"/>
    <d v="2027-01-07T00:00:00"/>
    <d v="2026-06-17T00:00:00"/>
    <d v="2026-06-16T00:00:00"/>
    <d v="2026-08-20T00:00:00"/>
    <s v="NA"/>
    <d v="2026-07-31T00:00:00"/>
    <s v="IU"/>
    <d v="2026-06-17T00:00:00"/>
    <n v="5"/>
    <d v="2026-06-24T00:00:00"/>
    <n v="0"/>
    <d v="2026-06-24T00:00:00"/>
  </r>
  <r>
    <s v="HSLB15176"/>
    <x v="0"/>
    <x v="531"/>
    <x v="324"/>
    <s v="CM-Sala Mortuoria"/>
    <x v="26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214"/>
    <x v="0"/>
    <x v="533"/>
    <x v="326"/>
    <s v="CA-Otros Servicios Adyacentes"/>
    <x v="27"/>
    <x v="2"/>
    <x v="0"/>
    <x v="1"/>
    <n v="1"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718"/>
    <x v="0"/>
    <x v="534"/>
    <x v="229"/>
    <s v="CN-Otros Servicios Adyacentes"/>
    <x v="27"/>
    <x v="2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282"/>
    <x v="0"/>
    <x v="534"/>
    <x v="229"/>
    <s v="CN-Otros Servicios Adyacentes"/>
    <x v="27"/>
    <x v="2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4332"/>
    <x v="0"/>
    <x v="535"/>
    <x v="195"/>
    <s v="CN-Otros Servicios Adyacentes"/>
    <x v="27"/>
    <x v="2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60"/>
    <x v="0"/>
    <x v="534"/>
    <x v="229"/>
    <s v="CN-Otros Servicios Adyacentes"/>
    <x v="27"/>
    <x v="2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47"/>
    <x v="0"/>
    <x v="536"/>
    <x v="1"/>
    <s v="CM-Otros Servicios Adyacentes"/>
    <x v="27"/>
    <x v="2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52"/>
    <x v="0"/>
    <x v="534"/>
    <x v="229"/>
    <s v="CN-Otros Servicios Adyacentes"/>
    <x v="27"/>
    <x v="2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08"/>
    <x v="0"/>
    <x v="537"/>
    <x v="327"/>
    <s v="CN-Salas y Habitaciones de Hospitalización"/>
    <x v="27"/>
    <x v="2"/>
    <x v="0"/>
    <x v="25"/>
    <m/>
    <m/>
    <x v="25"/>
    <x v="1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370"/>
    <x v="0"/>
    <x v="538"/>
    <x v="328"/>
    <s v="CM-Otros Servicios Adyacentes"/>
    <x v="28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7"/>
    <x v="0"/>
    <x v="539"/>
    <x v="32"/>
    <s v="CM-Otros Servicios Adyacentes"/>
    <x v="28"/>
    <x v="6"/>
    <x v="1"/>
    <x v="16"/>
    <m/>
    <m/>
    <x v="16"/>
    <x v="0"/>
    <n v="1"/>
    <n v="1"/>
    <x v="0"/>
    <s v="HBP-MNC-098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41"/>
    <x v="0"/>
    <x v="540"/>
    <x v="80"/>
    <s v="CM-Otros Servicios Adyacentes"/>
    <x v="2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42"/>
    <x v="0"/>
    <x v="538"/>
    <x v="328"/>
    <s v="CM-Otros Servicios Adyacentes"/>
    <x v="2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43"/>
    <x v="0"/>
    <x v="541"/>
    <x v="329"/>
    <s v="CM-Otros Servicios Adyacentes"/>
    <x v="28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691"/>
    <x v="0"/>
    <x v="542"/>
    <x v="330"/>
    <s v="CM-Servicio Dental"/>
    <x v="28"/>
    <x v="6"/>
    <x v="0"/>
    <x v="8"/>
    <m/>
    <m/>
    <x v="8"/>
    <x v="0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26"/>
    <x v="0"/>
    <x v="543"/>
    <x v="331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27"/>
    <x v="0"/>
    <x v="544"/>
    <x v="332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28"/>
    <x v="0"/>
    <x v="545"/>
    <x v="333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29"/>
    <x v="0"/>
    <x v="546"/>
    <x v="334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30"/>
    <x v="0"/>
    <x v="547"/>
    <x v="335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31"/>
    <x v="0"/>
    <x v="548"/>
    <x v="336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32"/>
    <x v="0"/>
    <x v="549"/>
    <x v="337"/>
    <s v="CM-Servicio Dental"/>
    <x v="28"/>
    <x v="6"/>
    <x v="0"/>
    <x v="8"/>
    <m/>
    <m/>
    <x v="8"/>
    <x v="2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85"/>
    <x v="0"/>
    <x v="550"/>
    <x v="11"/>
    <s v="CM-Otros Servicios Adyacentes"/>
    <x v="28"/>
    <x v="6"/>
    <x v="0"/>
    <x v="4"/>
    <m/>
    <m/>
    <x v="4"/>
    <x v="1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0"/>
    <x v="0"/>
    <x v="540"/>
    <x v="80"/>
    <s v="CM-Otros Servicios Adyacentes"/>
    <x v="2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1"/>
    <x v="0"/>
    <x v="551"/>
    <x v="338"/>
    <s v="CM-Servicio Dental"/>
    <x v="28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43"/>
    <x v="0"/>
    <x v="541"/>
    <x v="329"/>
    <s v="CM-Otros Servicios Adyacentes"/>
    <x v="2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00"/>
    <x v="0"/>
    <x v="552"/>
    <x v="339"/>
    <s v="CM-Otros Servicios Adyacentes"/>
    <x v="2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8"/>
    <x v="0"/>
    <x v="553"/>
    <x v="339"/>
    <s v="CM-Otros Servicios Adyacentes"/>
    <x v="28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37"/>
    <x v="0"/>
    <x v="554"/>
    <x v="340"/>
    <s v="CM-Servicio Dental"/>
    <x v="28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89"/>
    <x v="0"/>
    <x v="538"/>
    <x v="328"/>
    <s v="CM-Otros Servicios Adyacentes"/>
    <x v="28"/>
    <x v="6"/>
    <x v="0"/>
    <x v="8"/>
    <m/>
    <m/>
    <x v="8"/>
    <x v="8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90"/>
    <x v="0"/>
    <x v="541"/>
    <x v="329"/>
    <s v="CM-Otros Servicios Adyacentes"/>
    <x v="2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51"/>
    <x v="0"/>
    <x v="552"/>
    <x v="339"/>
    <s v="CM-Otros Servicios Adyacentes"/>
    <x v="2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5"/>
    <x v="0"/>
    <x v="553"/>
    <x v="339"/>
    <s v="CM-Otros Servicios Adyacentes"/>
    <x v="28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6"/>
    <x v="0"/>
    <x v="539"/>
    <x v="32"/>
    <s v="CM-Otros Servicios Adyacentes"/>
    <x v="28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51"/>
    <x v="0"/>
    <x v="555"/>
    <x v="341"/>
    <s v="CM-Otros Servicios Adyacentes"/>
    <x v="28"/>
    <x v="6"/>
    <x v="0"/>
    <x v="8"/>
    <m/>
    <m/>
    <x v="8"/>
    <x v="3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41"/>
    <x v="0"/>
    <x v="556"/>
    <x v="342"/>
    <s v="CA-Otros Servicios Adyacentes"/>
    <x v="28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067"/>
    <x v="0"/>
    <x v="541"/>
    <x v="329"/>
    <s v="CM-Otros Servicios Adyacentes"/>
    <x v="28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27"/>
    <x v="0"/>
    <x v="552"/>
    <x v="339"/>
    <s v="CM-Otros Servicios Adyacentes"/>
    <x v="28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7"/>
    <x v="0"/>
    <x v="553"/>
    <x v="339"/>
    <s v="CM-Otros Servicios Adyacentes"/>
    <x v="28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238"/>
    <x v="0"/>
    <x v="551"/>
    <x v="338"/>
    <s v="CM-Servicio Dental"/>
    <x v="28"/>
    <x v="6"/>
    <x v="1"/>
    <x v="11"/>
    <m/>
    <m/>
    <x v="11"/>
    <x v="2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10"/>
    <x v="0"/>
    <x v="557"/>
    <x v="343"/>
    <s v="CA-Otros Servicios Adyacentes"/>
    <x v="29"/>
    <x v="3"/>
    <x v="0"/>
    <x v="0"/>
    <m/>
    <m/>
    <x v="0"/>
    <x v="4"/>
    <n v="1"/>
    <n v="1"/>
    <x v="0"/>
    <s v="HBP-MNC-11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11"/>
    <x v="0"/>
    <x v="558"/>
    <x v="246"/>
    <s v="CA-Otros Servicios Adyacentes"/>
    <x v="29"/>
    <x v="3"/>
    <x v="0"/>
    <x v="0"/>
    <m/>
    <m/>
    <x v="0"/>
    <x v="0"/>
    <n v="1"/>
    <n v="1"/>
    <x v="0"/>
    <s v="HBP-MNC-11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12"/>
    <x v="0"/>
    <x v="559"/>
    <x v="246"/>
    <s v="CA-Otros Servicios Adyacentes"/>
    <x v="29"/>
    <x v="3"/>
    <x v="0"/>
    <x v="0"/>
    <m/>
    <m/>
    <x v="0"/>
    <x v="0"/>
    <n v="1"/>
    <n v="1"/>
    <x v="0"/>
    <s v="HBP-MNC-11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09"/>
    <x v="0"/>
    <x v="560"/>
    <x v="344"/>
    <s v="CA-Otros Servicios Adyacentes"/>
    <x v="29"/>
    <x v="3"/>
    <x v="0"/>
    <x v="21"/>
    <m/>
    <m/>
    <x v="21"/>
    <x v="4"/>
    <n v="1"/>
    <n v="1"/>
    <x v="0"/>
    <s v="HBP-MNC-113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15"/>
    <x v="0"/>
    <x v="561"/>
    <x v="105"/>
    <s v="CA-Otros Servicios Adyacentes"/>
    <x v="29"/>
    <x v="3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16"/>
    <x v="0"/>
    <x v="562"/>
    <x v="105"/>
    <s v="CA-Otros Servicios Adyacentes"/>
    <x v="29"/>
    <x v="3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53"/>
    <x v="0"/>
    <x v="563"/>
    <x v="345"/>
    <s v="CA-Otros Servicios Adyacentes"/>
    <x v="29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16"/>
    <x v="0"/>
    <x v="564"/>
    <x v="1"/>
    <s v="CM-Otros Servicios Adyacentes"/>
    <x v="29"/>
    <x v="3"/>
    <x v="1"/>
    <x v="2"/>
    <m/>
    <m/>
    <x v="2"/>
    <x v="0"/>
    <n v="1"/>
    <n v="1"/>
    <x v="0"/>
    <s v="HBP-MNC-099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624"/>
    <x v="0"/>
    <x v="563"/>
    <x v="345"/>
    <s v="CA-Otros Servicios Adyacentes"/>
    <x v="29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25"/>
    <x v="0"/>
    <x v="565"/>
    <x v="346"/>
    <s v="CA-Otros Servicios Adyacentes"/>
    <x v="29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626"/>
    <x v="0"/>
    <x v="566"/>
    <x v="347"/>
    <s v="CA-Otros Servicios Adyacentes"/>
    <x v="29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5234"/>
    <x v="0"/>
    <x v="567"/>
    <x v="348"/>
    <s v="CA-Otros Servicios Adyacentes"/>
    <x v="29"/>
    <x v="3"/>
    <x v="2"/>
    <x v="3"/>
    <m/>
    <m/>
    <x v="3"/>
    <x v="3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183"/>
    <x v="0"/>
    <x v="565"/>
    <x v="346"/>
    <s v="CA-Otros Servicios Adyacentes"/>
    <x v="29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84"/>
    <x v="0"/>
    <x v="566"/>
    <x v="347"/>
    <s v="CA-Otros Servicios Adyacentes"/>
    <x v="29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175"/>
    <x v="0"/>
    <x v="567"/>
    <x v="348"/>
    <s v="CA-Otros Servicios Adyacentes"/>
    <x v="29"/>
    <x v="3"/>
    <x v="1"/>
    <x v="11"/>
    <m/>
    <m/>
    <x v="11"/>
    <x v="3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397"/>
    <x v="0"/>
    <x v="568"/>
    <x v="11"/>
    <s v="CA-Otros Servicios Adyacentes"/>
    <x v="29"/>
    <x v="3"/>
    <x v="0"/>
    <x v="4"/>
    <m/>
    <m/>
    <x v="4"/>
    <x v="4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6"/>
    <x v="0"/>
    <x v="569"/>
    <x v="80"/>
    <s v="CA-Otros Servicios Adyacentes"/>
    <x v="29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7"/>
    <x v="0"/>
    <x v="565"/>
    <x v="346"/>
    <s v="CA-Otros Servicios Adyacentes"/>
    <x v="29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9"/>
    <x v="0"/>
    <x v="567"/>
    <x v="348"/>
    <s v="CA-Otros Servicios Adyacentes"/>
    <x v="29"/>
    <x v="3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20"/>
    <x v="0"/>
    <x v="570"/>
    <x v="349"/>
    <s v="CA-Otros Servicios Adyacentes"/>
    <x v="29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21"/>
    <x v="0"/>
    <x v="571"/>
    <x v="195"/>
    <s v="CA-Otros Servicios Adyacentes"/>
    <x v="29"/>
    <x v="3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51"/>
    <x v="0"/>
    <x v="572"/>
    <x v="195"/>
    <s v="CA-Otros Servicios Adyacentes"/>
    <x v="29"/>
    <x v="3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08"/>
    <x v="0"/>
    <x v="573"/>
    <x v="350"/>
    <s v="CA-Otros Servicios Adyacentes"/>
    <x v="29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18"/>
    <x v="0"/>
    <x v="566"/>
    <x v="347"/>
    <s v="CA-Otros Servicios Adyacentes"/>
    <x v="29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10"/>
    <x v="0"/>
    <x v="574"/>
    <x v="1"/>
    <s v="CA-Otros Servicios Adyacentes"/>
    <x v="29"/>
    <x v="3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81"/>
    <x v="0"/>
    <x v="564"/>
    <x v="1"/>
    <s v="CM-Otros Servicios Adyacentes"/>
    <x v="29"/>
    <x v="3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423"/>
    <x v="0"/>
    <x v="575"/>
    <x v="342"/>
    <s v="CA-Otros Servicios Adyacentes"/>
    <x v="29"/>
    <x v="3"/>
    <x v="0"/>
    <x v="8"/>
    <n v="1"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34"/>
    <x v="0"/>
    <x v="563"/>
    <x v="345"/>
    <s v="CA-Otros Servicios Adyacentes"/>
    <x v="29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35"/>
    <x v="0"/>
    <x v="565"/>
    <x v="346"/>
    <s v="CA-Otros Servicios Adyacentes"/>
    <x v="29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36"/>
    <x v="0"/>
    <x v="566"/>
    <x v="347"/>
    <s v="CA-Otros Servicios Adyacentes"/>
    <x v="29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0"/>
    <x v="0"/>
    <x v="576"/>
    <x v="351"/>
    <s v="CA-Otros Servicios Adyacentes"/>
    <x v="29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2"/>
    <x v="0"/>
    <x v="577"/>
    <x v="352"/>
    <s v="CA-Otros Servicios Adyacentes"/>
    <x v="29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3"/>
    <x v="0"/>
    <x v="578"/>
    <x v="353"/>
    <s v="CA-Otros Servicios Adyacentes"/>
    <x v="29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4"/>
    <x v="0"/>
    <x v="579"/>
    <x v="353"/>
    <s v="CA-Otros Servicios Adyacentes"/>
    <x v="29"/>
    <x v="3"/>
    <x v="0"/>
    <x v="8"/>
    <m/>
    <m/>
    <x v="8"/>
    <x v="3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5"/>
    <x v="0"/>
    <x v="580"/>
    <x v="352"/>
    <s v="CA-Otros Servicios Adyacentes"/>
    <x v="29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6"/>
    <x v="0"/>
    <x v="581"/>
    <x v="354"/>
    <s v="CA-Otros Servicios Adyacentes"/>
    <x v="29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7"/>
    <x v="0"/>
    <x v="582"/>
    <x v="354"/>
    <s v="CA-Otros Servicios Adyacentes"/>
    <x v="29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8"/>
    <x v="0"/>
    <x v="583"/>
    <x v="354"/>
    <s v="CA-Otros Servicios Adyacentes"/>
    <x v="29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49"/>
    <x v="0"/>
    <x v="584"/>
    <x v="354"/>
    <s v="CA-Otros Servicios Adyacentes"/>
    <x v="29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26"/>
    <x v="0"/>
    <x v="574"/>
    <x v="1"/>
    <s v="CA-Otros Servicios Adyacentes"/>
    <x v="29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68"/>
    <x v="0"/>
    <x v="564"/>
    <x v="1"/>
    <s v="CA-Otros Servicios Adyacentes"/>
    <x v="29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42"/>
    <x v="0"/>
    <x v="585"/>
    <x v="289"/>
    <s v="CM-Residencias Médicas"/>
    <x v="29"/>
    <x v="3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439"/>
    <x v="0"/>
    <x v="586"/>
    <x v="0"/>
    <s v="CA-Otros Servicios Adyacentes"/>
    <x v="30"/>
    <x v="3"/>
    <x v="0"/>
    <x v="21"/>
    <m/>
    <m/>
    <x v="21"/>
    <x v="0"/>
    <n v="1"/>
    <n v="1"/>
    <x v="0"/>
    <s v="HBP-MNC-113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40"/>
    <x v="0"/>
    <x v="587"/>
    <x v="0"/>
    <s v="CA-Otros Servicios Adyacentes"/>
    <x v="30"/>
    <x v="3"/>
    <x v="0"/>
    <x v="21"/>
    <m/>
    <m/>
    <x v="21"/>
    <x v="0"/>
    <n v="1"/>
    <n v="1"/>
    <x v="0"/>
    <s v="HBP-MNC-113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441"/>
    <x v="0"/>
    <x v="588"/>
    <x v="355"/>
    <s v="CA-Otros Servicios Adyacentes"/>
    <x v="30"/>
    <x v="3"/>
    <x v="0"/>
    <x v="21"/>
    <m/>
    <m/>
    <x v="21"/>
    <x v="0"/>
    <n v="1"/>
    <n v="1"/>
    <x v="0"/>
    <s v="HBP-MNC-113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46"/>
    <x v="0"/>
    <x v="589"/>
    <x v="356"/>
    <s v="CA-Otros Servicios Adyacentes"/>
    <x v="30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13"/>
    <x v="0"/>
    <x v="590"/>
    <x v="1"/>
    <s v="CA-Otros Servicios Adyacentes"/>
    <x v="30"/>
    <x v="3"/>
    <x v="1"/>
    <x v="2"/>
    <m/>
    <m/>
    <x v="2"/>
    <x v="0"/>
    <n v="1"/>
    <n v="1"/>
    <x v="0"/>
    <s v="HBP-MNC-099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595"/>
    <x v="0"/>
    <x v="591"/>
    <x v="357"/>
    <s v="CA-Otros Servicios Adyacentes"/>
    <x v="30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6"/>
    <x v="0"/>
    <x v="589"/>
    <x v="356"/>
    <s v="CA-Otros Servicios Adyacentes"/>
    <x v="30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149"/>
    <x v="0"/>
    <x v="591"/>
    <x v="357"/>
    <s v="CA-Otros Servicios Adyacentes"/>
    <x v="30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50"/>
    <x v="0"/>
    <x v="589"/>
    <x v="356"/>
    <s v="CA-Otros Servicios Adyacentes"/>
    <x v="30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284"/>
    <x v="0"/>
    <x v="592"/>
    <x v="358"/>
    <s v="CA-Otros Servicios Adyacentes"/>
    <x v="30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011"/>
    <x v="0"/>
    <x v="593"/>
    <x v="359"/>
    <s v="CA-Sala Parto o Pabellón de Parto"/>
    <x v="30"/>
    <x v="3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12"/>
    <x v="0"/>
    <x v="594"/>
    <x v="359"/>
    <s v="CA-Sala Parto o Pabellón de Parto"/>
    <x v="30"/>
    <x v="3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13"/>
    <x v="0"/>
    <x v="595"/>
    <x v="359"/>
    <s v="CA-Sala Parto o Pabellón de Parto"/>
    <x v="30"/>
    <x v="3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95"/>
    <x v="0"/>
    <x v="596"/>
    <x v="11"/>
    <s v="CA-Otros Servicios Adyacentes"/>
    <x v="30"/>
    <x v="3"/>
    <x v="0"/>
    <x v="4"/>
    <m/>
    <m/>
    <x v="4"/>
    <x v="3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38"/>
    <x v="0"/>
    <x v="597"/>
    <x v="360"/>
    <s v="CA-Otros Servicios Adyacentes"/>
    <x v="30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39"/>
    <x v="0"/>
    <x v="598"/>
    <x v="80"/>
    <s v="CA-Otros Servicios Adyacentes"/>
    <x v="30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1"/>
    <x v="0"/>
    <x v="589"/>
    <x v="356"/>
    <s v="CA-Otros Servicios Adyacentes"/>
    <x v="30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2"/>
    <x v="0"/>
    <x v="599"/>
    <x v="195"/>
    <s v="CA-Otros Servicios Adyacentes"/>
    <x v="30"/>
    <x v="3"/>
    <x v="0"/>
    <x v="5"/>
    <m/>
    <m/>
    <x v="5"/>
    <x v="3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62"/>
    <x v="0"/>
    <x v="592"/>
    <x v="358"/>
    <s v="CA-Otros Servicios Adyacentes"/>
    <x v="30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0"/>
    <x v="0"/>
    <x v="591"/>
    <x v="357"/>
    <s v="CA-Otros Servicios Adyacentes"/>
    <x v="30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99"/>
    <x v="0"/>
    <x v="590"/>
    <x v="1"/>
    <s v="CA-Otros Servicios Adyacentes"/>
    <x v="30"/>
    <x v="3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4"/>
    <x v="0"/>
    <x v="600"/>
    <x v="361"/>
    <s v="CA-Otros Servicios Adyacentes"/>
    <x v="30"/>
    <x v="3"/>
    <x v="0"/>
    <x v="8"/>
    <m/>
    <m/>
    <x v="8"/>
    <x v="6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5"/>
    <x v="0"/>
    <x v="591"/>
    <x v="357"/>
    <s v="CA-Otros Servicios Adyacentes"/>
    <x v="30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6"/>
    <x v="0"/>
    <x v="589"/>
    <x v="356"/>
    <s v="CA-Otros Servicios Adyacentes"/>
    <x v="30"/>
    <x v="3"/>
    <x v="0"/>
    <x v="8"/>
    <m/>
    <m/>
    <x v="8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7"/>
    <x v="0"/>
    <x v="601"/>
    <x v="28"/>
    <s v="CA-Sala Parto o Pabellón de Parto"/>
    <x v="30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10"/>
    <x v="0"/>
    <x v="590"/>
    <x v="1"/>
    <s v="CA-Otros Servicios Adyacentes"/>
    <x v="30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372"/>
    <x v="0"/>
    <x v="602"/>
    <x v="89"/>
    <s v="CM-Consultas Ambulatorias"/>
    <x v="31"/>
    <x v="6"/>
    <x v="1"/>
    <x v="20"/>
    <m/>
    <m/>
    <x v="20"/>
    <x v="0"/>
    <n v="1"/>
    <n v="1"/>
    <x v="0"/>
    <s v="HBP-MNC-097"/>
    <s v="11105DSPA-93-2025"/>
    <d v="2026-05-29T00:00:00"/>
    <m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4574"/>
    <x v="0"/>
    <x v="602"/>
    <x v="89"/>
    <s v="CM-Consultas Ambulatorias"/>
    <x v="31"/>
    <x v="6"/>
    <x v="0"/>
    <x v="17"/>
    <m/>
    <m/>
    <x v="17"/>
    <x v="2"/>
    <n v="1"/>
    <n v="1"/>
    <x v="0"/>
    <s v="HBP-MNC-120"/>
    <s v="11105DSPA-93-2025"/>
    <d v="2026-05-29T00:00:00"/>
    <m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3301"/>
    <x v="0"/>
    <x v="603"/>
    <x v="362"/>
    <s v="CM-Consultas Ambulatorias"/>
    <x v="31"/>
    <x v="6"/>
    <x v="1"/>
    <x v="14"/>
    <n v="1"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2"/>
    <x v="0"/>
    <x v="604"/>
    <x v="362"/>
    <s v="CM-Consultas Ambulatorias"/>
    <x v="31"/>
    <x v="6"/>
    <x v="1"/>
    <x v="14"/>
    <m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3"/>
    <x v="0"/>
    <x v="605"/>
    <x v="363"/>
    <s v="CM-Consultas Ambulatorias"/>
    <x v="31"/>
    <x v="6"/>
    <x v="1"/>
    <x v="14"/>
    <m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4"/>
    <x v="0"/>
    <x v="606"/>
    <x v="364"/>
    <s v="CM-Consultas Ambulatorias"/>
    <x v="31"/>
    <x v="6"/>
    <x v="1"/>
    <x v="14"/>
    <m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2"/>
    <x v="0"/>
    <x v="607"/>
    <x v="365"/>
    <s v="CM-Consultas Ambulatorias"/>
    <x v="31"/>
    <x v="6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71"/>
    <x v="0"/>
    <x v="608"/>
    <x v="366"/>
    <s v="CM-Consultas Ambulatorias"/>
    <x v="31"/>
    <x v="6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1"/>
    <x v="0"/>
    <x v="603"/>
    <x v="362"/>
    <s v="CM-Consultas Ambulatorias"/>
    <x v="31"/>
    <x v="6"/>
    <x v="0"/>
    <x v="17"/>
    <n v="1"/>
    <m/>
    <x v="17"/>
    <x v="1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2"/>
    <x v="0"/>
    <x v="604"/>
    <x v="362"/>
    <s v="CM-Consultas Ambulatorias"/>
    <x v="31"/>
    <x v="6"/>
    <x v="0"/>
    <x v="17"/>
    <m/>
    <m/>
    <x v="17"/>
    <x v="1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3"/>
    <x v="0"/>
    <x v="605"/>
    <x v="363"/>
    <s v="CM-Consultas Ambulatorias"/>
    <x v="31"/>
    <x v="6"/>
    <x v="0"/>
    <x v="17"/>
    <m/>
    <m/>
    <x v="17"/>
    <x v="1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5"/>
    <x v="0"/>
    <x v="606"/>
    <x v="364"/>
    <s v="CM-Consultas Ambulatorias"/>
    <x v="31"/>
    <x v="6"/>
    <x v="0"/>
    <x v="17"/>
    <m/>
    <m/>
    <x v="17"/>
    <x v="0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53"/>
    <x v="0"/>
    <x v="609"/>
    <x v="367"/>
    <s v="CM-Otros Servicios Adyacentes"/>
    <x v="3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9"/>
    <x v="0"/>
    <x v="610"/>
    <x v="368"/>
    <s v="CM-Otros Servicios Adyacentes"/>
    <x v="31"/>
    <x v="6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1"/>
    <x v="0"/>
    <x v="611"/>
    <x v="369"/>
    <s v="CM-Consultas Ambulatorias"/>
    <x v="31"/>
    <x v="6"/>
    <x v="2"/>
    <x v="3"/>
    <m/>
    <m/>
    <x v="3"/>
    <x v="4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4"/>
    <x v="0"/>
    <x v="612"/>
    <x v="370"/>
    <s v="CM-Consultas Ambulatorias"/>
    <x v="31"/>
    <x v="6"/>
    <x v="2"/>
    <x v="24"/>
    <n v="1"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5"/>
    <x v="0"/>
    <x v="613"/>
    <x v="371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6"/>
    <x v="0"/>
    <x v="614"/>
    <x v="371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7"/>
    <x v="0"/>
    <x v="615"/>
    <x v="371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58"/>
    <x v="0"/>
    <x v="616"/>
    <x v="372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0"/>
    <x v="0"/>
    <x v="617"/>
    <x v="373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2"/>
    <x v="0"/>
    <x v="606"/>
    <x v="364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3"/>
    <x v="0"/>
    <x v="607"/>
    <x v="365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4"/>
    <x v="0"/>
    <x v="618"/>
    <x v="374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5"/>
    <x v="0"/>
    <x v="619"/>
    <x v="374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8"/>
    <x v="0"/>
    <x v="603"/>
    <x v="362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29"/>
    <x v="0"/>
    <x v="604"/>
    <x v="362"/>
    <s v="CM-Consultas Ambulatorias"/>
    <x v="31"/>
    <x v="6"/>
    <x v="2"/>
    <x v="24"/>
    <m/>
    <m/>
    <x v="24"/>
    <x v="0"/>
    <n v="1"/>
    <n v="1"/>
    <x v="0"/>
    <s v="HBP-MNC-108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623"/>
    <x v="0"/>
    <x v="620"/>
    <x v="375"/>
    <s v="CM-Otros Servicios Adyacentes"/>
    <x v="31"/>
    <x v="6"/>
    <x v="0"/>
    <x v="18"/>
    <n v="1"/>
    <m/>
    <x v="18"/>
    <x v="1"/>
    <n v="1"/>
    <n v="1"/>
    <x v="0"/>
    <s v="HBP-MNC-122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718"/>
    <x v="0"/>
    <x v="602"/>
    <x v="89"/>
    <s v="CM-Consultas Ambulatorias"/>
    <x v="31"/>
    <x v="6"/>
    <x v="0"/>
    <x v="8"/>
    <m/>
    <m/>
    <x v="8"/>
    <x v="11"/>
    <n v="1"/>
    <n v="1"/>
    <x v="0"/>
    <s v="HBP-MNC-123"/>
    <s v="11105DSPA-93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83"/>
    <x v="0"/>
    <x v="621"/>
    <x v="11"/>
    <s v="CM-Consultas Ambulatorias"/>
    <x v="31"/>
    <x v="6"/>
    <x v="0"/>
    <x v="4"/>
    <m/>
    <m/>
    <x v="4"/>
    <x v="18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3"/>
    <x v="0"/>
    <x v="612"/>
    <x v="370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4"/>
    <x v="0"/>
    <x v="613"/>
    <x v="371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5"/>
    <x v="0"/>
    <x v="614"/>
    <x v="371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6"/>
    <x v="0"/>
    <x v="615"/>
    <x v="371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7"/>
    <x v="0"/>
    <x v="620"/>
    <x v="375"/>
    <s v="CM-Otros Servicios Adyacente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8"/>
    <x v="0"/>
    <x v="616"/>
    <x v="372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9"/>
    <x v="0"/>
    <x v="603"/>
    <x v="362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0"/>
    <x v="0"/>
    <x v="604"/>
    <x v="362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2"/>
    <x v="0"/>
    <x v="617"/>
    <x v="373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3"/>
    <x v="0"/>
    <x v="611"/>
    <x v="369"/>
    <s v="CM-Consultas Ambulatorias"/>
    <x v="31"/>
    <x v="6"/>
    <x v="0"/>
    <x v="5"/>
    <m/>
    <m/>
    <x v="5"/>
    <x v="11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4"/>
    <x v="0"/>
    <x v="622"/>
    <x v="135"/>
    <s v="CM-Otros Servicios Adyacentes"/>
    <x v="31"/>
    <x v="6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5"/>
    <x v="0"/>
    <x v="623"/>
    <x v="136"/>
    <s v="CM-Otros Servicios Adyacente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6"/>
    <x v="0"/>
    <x v="606"/>
    <x v="364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7"/>
    <x v="0"/>
    <x v="607"/>
    <x v="365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8"/>
    <x v="0"/>
    <x v="618"/>
    <x v="374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9"/>
    <x v="0"/>
    <x v="619"/>
    <x v="374"/>
    <s v="CM-Consultas Ambulatorias"/>
    <x v="31"/>
    <x v="6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62"/>
    <x v="0"/>
    <x v="609"/>
    <x v="367"/>
    <s v="CM-Otros Servicios Adyacentes"/>
    <x v="31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71"/>
    <x v="0"/>
    <x v="610"/>
    <x v="368"/>
    <s v="CM-Otros Servicios Adyacentes"/>
    <x v="31"/>
    <x v="6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6"/>
    <x v="0"/>
    <x v="609"/>
    <x v="367"/>
    <s v="CM-Otros Servicios Adyacente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7"/>
    <x v="0"/>
    <x v="612"/>
    <x v="370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8"/>
    <x v="0"/>
    <x v="613"/>
    <x v="371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09"/>
    <x v="0"/>
    <x v="614"/>
    <x v="371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0"/>
    <x v="0"/>
    <x v="615"/>
    <x v="371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1"/>
    <x v="0"/>
    <x v="608"/>
    <x v="366"/>
    <s v="CM-Consultas Ambulatorias"/>
    <x v="31"/>
    <x v="6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2"/>
    <x v="0"/>
    <x v="616"/>
    <x v="372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3"/>
    <x v="0"/>
    <x v="603"/>
    <x v="362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4"/>
    <x v="0"/>
    <x v="604"/>
    <x v="362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5"/>
    <x v="0"/>
    <x v="610"/>
    <x v="368"/>
    <s v="CM-Otros Servicios Adyacente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6"/>
    <x v="0"/>
    <x v="617"/>
    <x v="373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7"/>
    <x v="0"/>
    <x v="605"/>
    <x v="363"/>
    <s v="CM-Consultas Ambulatorias"/>
    <x v="31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19"/>
    <x v="0"/>
    <x v="606"/>
    <x v="364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0"/>
    <x v="0"/>
    <x v="607"/>
    <x v="365"/>
    <s v="CM-Consultas Ambulatorias"/>
    <x v="31"/>
    <x v="6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1"/>
    <x v="0"/>
    <x v="618"/>
    <x v="374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2"/>
    <x v="0"/>
    <x v="619"/>
    <x v="374"/>
    <s v="CM-Consultas Ambulatorias"/>
    <x v="31"/>
    <x v="6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64"/>
    <x v="0"/>
    <x v="624"/>
    <x v="366"/>
    <s v="CM-Consultas Ambulatorias"/>
    <x v="31"/>
    <x v="6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9"/>
    <x v="0"/>
    <x v="613"/>
    <x v="371"/>
    <s v="CM-Consultas Ambulatorias"/>
    <x v="31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0"/>
    <x v="0"/>
    <x v="614"/>
    <x v="371"/>
    <s v="CM-Consultas Ambulatorias"/>
    <x v="31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1"/>
    <x v="0"/>
    <x v="615"/>
    <x v="371"/>
    <s v="CM-Consultas Ambulatorias"/>
    <x v="31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2"/>
    <x v="0"/>
    <x v="603"/>
    <x v="362"/>
    <s v="CM-Consultas Ambulatorias"/>
    <x v="31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3"/>
    <x v="0"/>
    <x v="604"/>
    <x v="362"/>
    <s v="CM-Consultas Ambulatorias"/>
    <x v="31"/>
    <x v="6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2"/>
    <x v="0"/>
    <x v="613"/>
    <x v="371"/>
    <s v="CM-Consultas Ambulatorias"/>
    <x v="3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3"/>
    <x v="0"/>
    <x v="614"/>
    <x v="371"/>
    <s v="CM-Consultas Ambulatorias"/>
    <x v="3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4"/>
    <x v="0"/>
    <x v="615"/>
    <x v="371"/>
    <s v="CM-Consultas Ambulatorias"/>
    <x v="3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5"/>
    <x v="0"/>
    <x v="625"/>
    <x v="376"/>
    <s v="CM-Otros Servicios Adyacentes"/>
    <x v="3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6"/>
    <x v="0"/>
    <x v="603"/>
    <x v="362"/>
    <s v="CM-Consultas Ambulatorias"/>
    <x v="3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7"/>
    <x v="0"/>
    <x v="604"/>
    <x v="362"/>
    <s v="CM-Consultas Ambulatorias"/>
    <x v="31"/>
    <x v="6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090"/>
    <x v="0"/>
    <x v="612"/>
    <x v="370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1"/>
    <x v="0"/>
    <x v="613"/>
    <x v="371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2"/>
    <x v="0"/>
    <x v="614"/>
    <x v="371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3"/>
    <x v="0"/>
    <x v="615"/>
    <x v="371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6"/>
    <x v="0"/>
    <x v="616"/>
    <x v="372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7"/>
    <x v="0"/>
    <x v="603"/>
    <x v="362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8"/>
    <x v="0"/>
    <x v="604"/>
    <x v="362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0"/>
    <x v="0"/>
    <x v="617"/>
    <x v="373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2"/>
    <x v="0"/>
    <x v="606"/>
    <x v="364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3"/>
    <x v="0"/>
    <x v="607"/>
    <x v="365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4"/>
    <x v="0"/>
    <x v="618"/>
    <x v="374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5"/>
    <x v="0"/>
    <x v="619"/>
    <x v="374"/>
    <s v="CM-Consultas Ambulatorias"/>
    <x v="31"/>
    <x v="6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89"/>
    <x v="0"/>
    <x v="609"/>
    <x v="367"/>
    <s v="CM-Otros Servicios Adyacentes"/>
    <x v="3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9"/>
    <x v="0"/>
    <x v="610"/>
    <x v="368"/>
    <s v="CM-Otros Servicios Adyacentes"/>
    <x v="31"/>
    <x v="6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094"/>
    <x v="0"/>
    <x v="620"/>
    <x v="375"/>
    <s v="CM-Otros Servicios Adyacentes"/>
    <x v="31"/>
    <x v="6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1"/>
    <x v="0"/>
    <x v="611"/>
    <x v="369"/>
    <s v="CM-Consultas Ambulatorias"/>
    <x v="31"/>
    <x v="6"/>
    <x v="1"/>
    <x v="11"/>
    <m/>
    <m/>
    <x v="11"/>
    <x v="11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445"/>
    <x v="0"/>
    <x v="626"/>
    <x v="377"/>
    <s v="CM-Sala Cuna y Jardín Infantil"/>
    <x v="32"/>
    <x v="0"/>
    <x v="3"/>
    <x v="26"/>
    <n v="1"/>
    <m/>
    <x v="26"/>
    <x v="1"/>
    <n v="1"/>
    <n v="1"/>
    <x v="0"/>
    <s v="HBP-MNC- 10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46"/>
    <x v="0"/>
    <x v="627"/>
    <x v="378"/>
    <s v="CM-Sala Cuna y Jardín Infantil"/>
    <x v="32"/>
    <x v="0"/>
    <x v="3"/>
    <x v="26"/>
    <m/>
    <m/>
    <x v="26"/>
    <x v="1"/>
    <n v="1"/>
    <n v="1"/>
    <x v="0"/>
    <s v="HBP-MNC- 10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46"/>
    <x v="0"/>
    <x v="628"/>
    <x v="379"/>
    <s v="CM-Sala Cuna y Jardín Infantil"/>
    <x v="32"/>
    <x v="0"/>
    <x v="0"/>
    <x v="27"/>
    <n v="1"/>
    <m/>
    <x v="27"/>
    <x v="2"/>
    <n v="1"/>
    <n v="1"/>
    <x v="0"/>
    <s v="HBP-MNC-111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47"/>
    <x v="0"/>
    <x v="629"/>
    <x v="380"/>
    <s v="CM-Sala Cuna y Jardín Infantil"/>
    <x v="32"/>
    <x v="0"/>
    <x v="0"/>
    <x v="27"/>
    <m/>
    <m/>
    <x v="27"/>
    <x v="2"/>
    <n v="1"/>
    <n v="1"/>
    <x v="0"/>
    <s v="HBP-MNC-111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02"/>
    <x v="0"/>
    <x v="630"/>
    <x v="381"/>
    <s v="CM-Sala Cuna y Jardín Infantil"/>
    <x v="32"/>
    <x v="0"/>
    <x v="0"/>
    <x v="0"/>
    <m/>
    <m/>
    <x v="0"/>
    <x v="0"/>
    <n v="1"/>
    <n v="1"/>
    <x v="0"/>
    <s v="HBP-MNC-11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71"/>
    <x v="0"/>
    <x v="626"/>
    <x v="377"/>
    <s v="CM-Sala Cuna y Jardín Infantil"/>
    <x v="32"/>
    <x v="0"/>
    <x v="2"/>
    <x v="28"/>
    <n v="1"/>
    <m/>
    <x v="28"/>
    <x v="0"/>
    <n v="1"/>
    <n v="1"/>
    <x v="0"/>
    <s v="HBP-MNC-11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72"/>
    <x v="0"/>
    <x v="627"/>
    <x v="378"/>
    <s v="CM-Sala Cuna y Jardín Infantil"/>
    <x v="32"/>
    <x v="0"/>
    <x v="2"/>
    <x v="28"/>
    <m/>
    <m/>
    <x v="28"/>
    <x v="0"/>
    <n v="1"/>
    <n v="1"/>
    <x v="0"/>
    <s v="HBP-MNC-11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73"/>
    <x v="0"/>
    <x v="631"/>
    <x v="382"/>
    <s v="CM-Sala Cuna y Jardín Infantil"/>
    <x v="32"/>
    <x v="0"/>
    <x v="2"/>
    <x v="28"/>
    <m/>
    <m/>
    <x v="28"/>
    <x v="0"/>
    <n v="1"/>
    <n v="1"/>
    <x v="0"/>
    <s v="HBP-MNC-11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74"/>
    <x v="0"/>
    <x v="632"/>
    <x v="383"/>
    <s v="CM-Sala Cuna y Jardín Infantil"/>
    <x v="32"/>
    <x v="0"/>
    <x v="2"/>
    <x v="28"/>
    <m/>
    <m/>
    <x v="28"/>
    <x v="0"/>
    <n v="1"/>
    <n v="1"/>
    <x v="0"/>
    <s v="HBP-MNC-11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61"/>
    <x v="0"/>
    <x v="631"/>
    <x v="382"/>
    <s v="CM-Sala Cuna y Jardín Infantil"/>
    <x v="32"/>
    <x v="0"/>
    <x v="3"/>
    <x v="29"/>
    <n v="1"/>
    <m/>
    <x v="29"/>
    <x v="20"/>
    <n v="1"/>
    <n v="1"/>
    <x v="0"/>
    <s v="HBP-MNC-10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62"/>
    <x v="0"/>
    <x v="632"/>
    <x v="383"/>
    <s v="CM-Sala Cuna y Jardín Infantil"/>
    <x v="32"/>
    <x v="0"/>
    <x v="3"/>
    <x v="29"/>
    <m/>
    <m/>
    <x v="29"/>
    <x v="20"/>
    <n v="1"/>
    <n v="1"/>
    <x v="0"/>
    <s v="HBP-MNC-102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63"/>
    <x v="0"/>
    <x v="631"/>
    <x v="382"/>
    <s v="CM-Sala Cuna y Jardín Infantil"/>
    <x v="32"/>
    <x v="0"/>
    <x v="3"/>
    <x v="30"/>
    <n v="1"/>
    <m/>
    <x v="30"/>
    <x v="20"/>
    <n v="1"/>
    <n v="1"/>
    <x v="0"/>
    <s v="HBP-MNC-10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64"/>
    <x v="0"/>
    <x v="632"/>
    <x v="383"/>
    <s v="CM-Sala Cuna y Jardín Infantil"/>
    <x v="32"/>
    <x v="0"/>
    <x v="3"/>
    <x v="30"/>
    <m/>
    <m/>
    <x v="30"/>
    <x v="20"/>
    <n v="1"/>
    <n v="1"/>
    <x v="0"/>
    <s v="HBP-MNC-10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07"/>
    <x v="0"/>
    <x v="626"/>
    <x v="377"/>
    <s v="CM-Sala Cuna y Jardín Infantil"/>
    <x v="32"/>
    <x v="0"/>
    <x v="2"/>
    <x v="31"/>
    <n v="1"/>
    <m/>
    <x v="31"/>
    <x v="0"/>
    <n v="1"/>
    <n v="1"/>
    <x v="0"/>
    <s v="HBP-MNC-10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08"/>
    <x v="0"/>
    <x v="627"/>
    <x v="378"/>
    <s v="CM-Sala Cuna y Jardín Infantil"/>
    <x v="32"/>
    <x v="0"/>
    <x v="2"/>
    <x v="31"/>
    <m/>
    <m/>
    <x v="31"/>
    <x v="0"/>
    <n v="1"/>
    <n v="1"/>
    <x v="0"/>
    <s v="HBP-MNC-10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09"/>
    <x v="0"/>
    <x v="631"/>
    <x v="382"/>
    <s v="CM-Sala Cuna y Jardín Infantil"/>
    <x v="32"/>
    <x v="0"/>
    <x v="2"/>
    <x v="31"/>
    <m/>
    <m/>
    <x v="31"/>
    <x v="0"/>
    <n v="1"/>
    <n v="1"/>
    <x v="0"/>
    <s v="HBP-MNC-10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10"/>
    <x v="0"/>
    <x v="632"/>
    <x v="383"/>
    <s v="CM-Sala Cuna y Jardín Infantil"/>
    <x v="32"/>
    <x v="0"/>
    <x v="2"/>
    <x v="31"/>
    <m/>
    <m/>
    <x v="31"/>
    <x v="0"/>
    <n v="1"/>
    <n v="1"/>
    <x v="0"/>
    <s v="HBP-MNC-10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0"/>
    <x v="0"/>
    <x v="631"/>
    <x v="382"/>
    <s v="CM-Sala Cuna y Jardín Infantil"/>
    <x v="32"/>
    <x v="0"/>
    <x v="1"/>
    <x v="32"/>
    <n v="1"/>
    <m/>
    <x v="32"/>
    <x v="0"/>
    <n v="1"/>
    <n v="1"/>
    <x v="0"/>
    <s v="HBP-MNC-09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75"/>
    <x v="0"/>
    <x v="632"/>
    <x v="383"/>
    <s v="CM-Sala Cuna y Jardín Infantil"/>
    <x v="32"/>
    <x v="0"/>
    <x v="1"/>
    <x v="32"/>
    <m/>
    <m/>
    <x v="32"/>
    <x v="0"/>
    <n v="1"/>
    <n v="1"/>
    <x v="0"/>
    <s v="HBP-MNC-09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9"/>
    <x v="0"/>
    <x v="626"/>
    <x v="377"/>
    <s v="CM-Sala Cuna y Jardín Infantil"/>
    <x v="32"/>
    <x v="0"/>
    <x v="1"/>
    <x v="33"/>
    <n v="1"/>
    <m/>
    <x v="33"/>
    <x v="1"/>
    <n v="1"/>
    <n v="1"/>
    <x v="0"/>
    <s v="HBP-MNC-09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10"/>
    <x v="0"/>
    <x v="627"/>
    <x v="378"/>
    <s v="CM-Sala Cuna y Jardín Infantil"/>
    <x v="32"/>
    <x v="0"/>
    <x v="1"/>
    <x v="33"/>
    <m/>
    <m/>
    <x v="33"/>
    <x v="1"/>
    <n v="1"/>
    <n v="1"/>
    <x v="0"/>
    <s v="HBP-MNC-09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11"/>
    <x v="0"/>
    <x v="631"/>
    <x v="382"/>
    <s v="CM-Sala Cuna y Jardín Infantil"/>
    <x v="32"/>
    <x v="0"/>
    <x v="1"/>
    <x v="33"/>
    <m/>
    <m/>
    <x v="33"/>
    <x v="2"/>
    <n v="1"/>
    <n v="1"/>
    <x v="0"/>
    <s v="HBP-MNC-09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12"/>
    <x v="0"/>
    <x v="632"/>
    <x v="383"/>
    <s v="CM-Sala Cuna y Jardín Infantil"/>
    <x v="32"/>
    <x v="0"/>
    <x v="1"/>
    <x v="33"/>
    <m/>
    <m/>
    <x v="33"/>
    <x v="2"/>
    <n v="1"/>
    <n v="1"/>
    <x v="0"/>
    <s v="HBP-MNC-095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11"/>
    <x v="0"/>
    <x v="633"/>
    <x v="384"/>
    <s v="CM-Otros Servicios Adyacentes"/>
    <x v="32"/>
    <x v="0"/>
    <x v="2"/>
    <x v="34"/>
    <n v="1"/>
    <m/>
    <x v="34"/>
    <x v="0"/>
    <n v="1"/>
    <n v="1"/>
    <x v="0"/>
    <s v="HBP-MNC-10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74"/>
    <x v="0"/>
    <x v="626"/>
    <x v="377"/>
    <s v="CM-Sala Cuna y Jardín Infantil"/>
    <x v="32"/>
    <x v="0"/>
    <x v="3"/>
    <x v="35"/>
    <n v="1"/>
    <m/>
    <x v="35"/>
    <x v="2"/>
    <n v="1"/>
    <n v="1"/>
    <x v="0"/>
    <s v="HBP-MNC-10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75"/>
    <x v="0"/>
    <x v="627"/>
    <x v="378"/>
    <s v="CM-Sala Cuna y Jardín Infantil"/>
    <x v="32"/>
    <x v="0"/>
    <x v="3"/>
    <x v="35"/>
    <m/>
    <m/>
    <x v="35"/>
    <x v="2"/>
    <n v="1"/>
    <n v="1"/>
    <x v="0"/>
    <s v="HBP-MNC-10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76"/>
    <x v="0"/>
    <x v="631"/>
    <x v="382"/>
    <s v="CM-Sala Cuna y Jardín Infantil"/>
    <x v="32"/>
    <x v="0"/>
    <x v="3"/>
    <x v="35"/>
    <m/>
    <m/>
    <x v="35"/>
    <x v="2"/>
    <n v="1"/>
    <n v="1"/>
    <x v="0"/>
    <s v="HBP-MNC-10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77"/>
    <x v="0"/>
    <x v="632"/>
    <x v="383"/>
    <s v="CM-Sala Cuna y Jardín Infantil"/>
    <x v="32"/>
    <x v="0"/>
    <x v="3"/>
    <x v="35"/>
    <m/>
    <m/>
    <x v="35"/>
    <x v="2"/>
    <n v="1"/>
    <n v="1"/>
    <x v="0"/>
    <s v="HBP-MNC-10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21"/>
    <x v="0"/>
    <x v="626"/>
    <x v="377"/>
    <s v="CM-Sala Cuna y Jardín Infantil"/>
    <x v="32"/>
    <x v="0"/>
    <x v="2"/>
    <x v="36"/>
    <n v="1"/>
    <m/>
    <x v="36"/>
    <x v="1"/>
    <n v="1"/>
    <n v="1"/>
    <x v="0"/>
    <s v="HBP-MNC-10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22"/>
    <x v="0"/>
    <x v="627"/>
    <x v="378"/>
    <s v="CM-Sala Cuna y Jardín Infantil"/>
    <x v="32"/>
    <x v="0"/>
    <x v="2"/>
    <x v="36"/>
    <m/>
    <m/>
    <x v="36"/>
    <x v="1"/>
    <n v="1"/>
    <n v="1"/>
    <x v="0"/>
    <s v="HBP-MNC-10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23"/>
    <x v="0"/>
    <x v="631"/>
    <x v="382"/>
    <s v="CM-Sala Cuna y Jardín Infantil"/>
    <x v="32"/>
    <x v="0"/>
    <x v="2"/>
    <x v="36"/>
    <m/>
    <m/>
    <x v="36"/>
    <x v="1"/>
    <n v="1"/>
    <n v="1"/>
    <x v="0"/>
    <s v="HBP-MNC-10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24"/>
    <x v="0"/>
    <x v="632"/>
    <x v="383"/>
    <s v="CM-Sala Cuna y Jardín Infantil"/>
    <x v="32"/>
    <x v="0"/>
    <x v="2"/>
    <x v="36"/>
    <m/>
    <m/>
    <x v="36"/>
    <x v="1"/>
    <n v="1"/>
    <n v="1"/>
    <x v="0"/>
    <s v="HBP-MNC-10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08"/>
    <x v="0"/>
    <x v="628"/>
    <x v="379"/>
    <s v="CM-Sala Cuna y Jardín Infantil"/>
    <x v="32"/>
    <x v="0"/>
    <x v="2"/>
    <x v="36"/>
    <m/>
    <m/>
    <x v="36"/>
    <x v="2"/>
    <n v="1"/>
    <n v="1"/>
    <x v="0"/>
    <s v="HBP-MNC-10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09"/>
    <x v="0"/>
    <x v="629"/>
    <x v="380"/>
    <s v="CM-Sala Cuna y Jardín Infantil"/>
    <x v="32"/>
    <x v="0"/>
    <x v="2"/>
    <x v="36"/>
    <m/>
    <m/>
    <x v="36"/>
    <x v="2"/>
    <n v="1"/>
    <n v="1"/>
    <x v="0"/>
    <s v="HBP-MNC-10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56"/>
    <x v="0"/>
    <x v="626"/>
    <x v="377"/>
    <s v="CM-Sala Cuna y Jardín Infantil"/>
    <x v="32"/>
    <x v="0"/>
    <x v="0"/>
    <x v="37"/>
    <n v="1"/>
    <m/>
    <x v="37"/>
    <x v="2"/>
    <n v="1"/>
    <n v="1"/>
    <x v="0"/>
    <s v="HBP-MNC-11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57"/>
    <x v="0"/>
    <x v="627"/>
    <x v="378"/>
    <s v="CM-Sala Cuna y Jardín Infantil"/>
    <x v="32"/>
    <x v="0"/>
    <x v="0"/>
    <x v="37"/>
    <m/>
    <m/>
    <x v="37"/>
    <x v="2"/>
    <n v="1"/>
    <n v="1"/>
    <x v="0"/>
    <s v="HBP-MNC-11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58"/>
    <x v="0"/>
    <x v="628"/>
    <x v="379"/>
    <s v="CM-Sala Cuna y Jardín Infantil"/>
    <x v="32"/>
    <x v="0"/>
    <x v="0"/>
    <x v="37"/>
    <m/>
    <m/>
    <x v="37"/>
    <x v="4"/>
    <n v="1"/>
    <n v="1"/>
    <x v="0"/>
    <s v="HBP-MNC-11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59"/>
    <x v="0"/>
    <x v="631"/>
    <x v="382"/>
    <s v="CM-Sala Cuna y Jardín Infantil"/>
    <x v="32"/>
    <x v="0"/>
    <x v="0"/>
    <x v="37"/>
    <m/>
    <m/>
    <x v="37"/>
    <x v="2"/>
    <n v="1"/>
    <n v="1"/>
    <x v="0"/>
    <s v="HBP-MNC-11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60"/>
    <x v="0"/>
    <x v="632"/>
    <x v="383"/>
    <s v="CM-Sala Cuna y Jardín Infantil"/>
    <x v="32"/>
    <x v="0"/>
    <x v="0"/>
    <x v="37"/>
    <m/>
    <m/>
    <x v="37"/>
    <x v="2"/>
    <n v="1"/>
    <n v="1"/>
    <x v="0"/>
    <s v="HBP-MNC-11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61"/>
    <x v="0"/>
    <x v="629"/>
    <x v="380"/>
    <s v="CM-Sala Cuna y Jardín Infantil"/>
    <x v="32"/>
    <x v="0"/>
    <x v="0"/>
    <x v="37"/>
    <m/>
    <m/>
    <x v="37"/>
    <x v="4"/>
    <n v="1"/>
    <n v="1"/>
    <x v="0"/>
    <s v="HBP-MNC-11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63"/>
    <x v="0"/>
    <x v="631"/>
    <x v="382"/>
    <s v="CM-Sala Cuna y Jardín Infantil"/>
    <x v="32"/>
    <x v="0"/>
    <x v="0"/>
    <x v="38"/>
    <n v="1"/>
    <m/>
    <x v="38"/>
    <x v="2"/>
    <n v="1"/>
    <n v="1"/>
    <x v="0"/>
    <s v="HBP-MNC-11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164"/>
    <x v="0"/>
    <x v="632"/>
    <x v="383"/>
    <s v="CM-Sala Cuna y Jardín Infantil"/>
    <x v="32"/>
    <x v="0"/>
    <x v="0"/>
    <x v="38"/>
    <m/>
    <m/>
    <x v="38"/>
    <x v="2"/>
    <n v="1"/>
    <n v="1"/>
    <x v="0"/>
    <s v="HBP-MNC-11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84"/>
    <x v="0"/>
    <x v="631"/>
    <x v="382"/>
    <s v="CM-Sala Cuna y Jardín Infantil"/>
    <x v="32"/>
    <x v="0"/>
    <x v="0"/>
    <x v="39"/>
    <n v="1"/>
    <m/>
    <x v="39"/>
    <x v="4"/>
    <n v="1"/>
    <n v="1"/>
    <x v="0"/>
    <s v="HBP-MNC-12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66"/>
    <x v="0"/>
    <x v="631"/>
    <x v="382"/>
    <s v="CM-Sala Cuna y Jardín Infantil"/>
    <x v="32"/>
    <x v="0"/>
    <x v="0"/>
    <x v="40"/>
    <n v="1"/>
    <m/>
    <x v="40"/>
    <x v="16"/>
    <n v="1"/>
    <n v="1"/>
    <x v="0"/>
    <s v="HBP-MNC-11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67"/>
    <x v="0"/>
    <x v="632"/>
    <x v="383"/>
    <s v="CM-Sala Cuna y Jardín Infantil"/>
    <x v="32"/>
    <x v="0"/>
    <x v="0"/>
    <x v="40"/>
    <m/>
    <m/>
    <x v="40"/>
    <x v="16"/>
    <n v="1"/>
    <n v="1"/>
    <x v="0"/>
    <s v="HBP-MNC-11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80"/>
    <x v="0"/>
    <x v="626"/>
    <x v="377"/>
    <s v="CM-Sala Cuna y Jardín Infantil"/>
    <x v="32"/>
    <x v="0"/>
    <x v="0"/>
    <x v="17"/>
    <m/>
    <m/>
    <x v="17"/>
    <x v="21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81"/>
    <x v="0"/>
    <x v="627"/>
    <x v="378"/>
    <s v="CM-Sala Cuna y Jardín Infantil"/>
    <x v="32"/>
    <x v="0"/>
    <x v="0"/>
    <x v="17"/>
    <m/>
    <m/>
    <x v="17"/>
    <x v="21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709"/>
    <x v="0"/>
    <x v="634"/>
    <x v="385"/>
    <s v="CM-Otros Servicios Adyacentes"/>
    <x v="32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10"/>
    <x v="0"/>
    <x v="635"/>
    <x v="386"/>
    <s v="CM-Otros Servicios Adyacentes"/>
    <x v="32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11"/>
    <x v="0"/>
    <x v="636"/>
    <x v="387"/>
    <s v="CM-Otros Servicios Adyacentes"/>
    <x v="32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712"/>
    <x v="0"/>
    <x v="637"/>
    <x v="388"/>
    <s v="CM-Otros Servicios Adyacentes"/>
    <x v="32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458"/>
    <x v="0"/>
    <x v="626"/>
    <x v="377"/>
    <s v="CM-Sala Cuna y Jardín Infantil"/>
    <x v="32"/>
    <x v="0"/>
    <x v="3"/>
    <x v="41"/>
    <n v="1"/>
    <m/>
    <x v="41"/>
    <x v="21"/>
    <n v="1"/>
    <n v="1"/>
    <x v="0"/>
    <s v="HBP-MNC-101"/>
    <s v="11105DSPA-93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59"/>
    <x v="0"/>
    <x v="627"/>
    <x v="378"/>
    <s v="CM-Sala Cuna y Jardín Infantil"/>
    <x v="32"/>
    <x v="0"/>
    <x v="3"/>
    <x v="41"/>
    <m/>
    <m/>
    <x v="41"/>
    <x v="21"/>
    <n v="1"/>
    <n v="1"/>
    <x v="0"/>
    <s v="HBP-MNC-101"/>
    <s v="11105DSPA-93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5515"/>
    <x v="0"/>
    <x v="638"/>
    <x v="133"/>
    <s v="CM-Sala Cuna y Jardín Infantil"/>
    <x v="32"/>
    <x v="0"/>
    <x v="0"/>
    <x v="4"/>
    <m/>
    <m/>
    <x v="4"/>
    <x v="2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2"/>
    <x v="0"/>
    <x v="634"/>
    <x v="385"/>
    <s v="CM-Otros Servicios Adyacentes"/>
    <x v="32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3"/>
    <x v="0"/>
    <x v="635"/>
    <x v="386"/>
    <s v="CM-Otros Servicios Adyacentes"/>
    <x v="32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44"/>
    <x v="0"/>
    <x v="636"/>
    <x v="387"/>
    <s v="CM-Otros Servicios Adyacentes"/>
    <x v="32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3"/>
    <x v="0"/>
    <x v="637"/>
    <x v="388"/>
    <s v="CM-Otros Servicios Adyacentes"/>
    <x v="32"/>
    <x v="0"/>
    <x v="0"/>
    <x v="7"/>
    <m/>
    <m/>
    <x v="7"/>
    <x v="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0"/>
    <x v="0"/>
    <x v="634"/>
    <x v="385"/>
    <s v="CM-Otros Servicios Adyacentes"/>
    <x v="32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1"/>
    <x v="0"/>
    <x v="635"/>
    <x v="386"/>
    <s v="CM-Otros Servicios Adyacentes"/>
    <x v="32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42"/>
    <x v="0"/>
    <x v="636"/>
    <x v="387"/>
    <s v="CM-Otros Servicios Adyacentes"/>
    <x v="32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7"/>
    <x v="0"/>
    <x v="633"/>
    <x v="384"/>
    <s v="CM-Otros Servicios Adyacentes"/>
    <x v="32"/>
    <x v="0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8"/>
    <x v="0"/>
    <x v="637"/>
    <x v="388"/>
    <s v="CM-Otros Servicios Adyacentes"/>
    <x v="32"/>
    <x v="0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9"/>
    <x v="0"/>
    <x v="637"/>
    <x v="388"/>
    <s v="CM-Otros Servicios Adyacentes"/>
    <x v="32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275"/>
    <x v="0"/>
    <x v="636"/>
    <x v="387"/>
    <s v="CM-Otros Servicios Adyacentes"/>
    <x v="32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4"/>
    <x v="0"/>
    <x v="635"/>
    <x v="386"/>
    <s v="CM-Otros Servicios Adyacentes"/>
    <x v="32"/>
    <x v="0"/>
    <x v="1"/>
    <x v="10"/>
    <m/>
    <m/>
    <x v="10"/>
    <x v="2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73"/>
    <x v="0"/>
    <x v="634"/>
    <x v="385"/>
    <s v="CM-Otros Servicios Adyacentes"/>
    <x v="32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215"/>
    <x v="0"/>
    <x v="639"/>
    <x v="389"/>
    <s v="CA-Otros Servicios Adyacentes"/>
    <x v="33"/>
    <x v="2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216"/>
    <x v="0"/>
    <x v="640"/>
    <x v="389"/>
    <s v="CA-Otros Servicios Adyacentes"/>
    <x v="33"/>
    <x v="2"/>
    <x v="0"/>
    <x v="1"/>
    <m/>
    <m/>
    <x v="1"/>
    <x v="0"/>
    <n v="1"/>
    <n v="1"/>
    <x v="0"/>
    <s v="HBP-MNC-114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640"/>
    <x v="0"/>
    <x v="641"/>
    <x v="390"/>
    <s v="CA-Otros Servicios Adyacentes"/>
    <x v="33"/>
    <x v="2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198"/>
    <x v="0"/>
    <x v="641"/>
    <x v="390"/>
    <s v="CA-Otros Servicios Adyacentes"/>
    <x v="33"/>
    <x v="2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4439"/>
    <x v="0"/>
    <x v="641"/>
    <x v="390"/>
    <s v="CA-Otros Servicios Adyacentes"/>
    <x v="33"/>
    <x v="2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58"/>
    <x v="0"/>
    <x v="642"/>
    <x v="391"/>
    <s v="CA-Otros Servicios Adyacentes"/>
    <x v="33"/>
    <x v="2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59"/>
    <x v="0"/>
    <x v="643"/>
    <x v="392"/>
    <s v="CA-Otros Servicios Adyacentes"/>
    <x v="33"/>
    <x v="2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12"/>
    <x v="0"/>
    <x v="644"/>
    <x v="1"/>
    <s v="CA-Otros Servicios Adyacentes"/>
    <x v="33"/>
    <x v="2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852"/>
    <x v="0"/>
    <x v="641"/>
    <x v="390"/>
    <s v="CA-Otros Servicios Adyacentes"/>
    <x v="33"/>
    <x v="2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9"/>
    <x v="0"/>
    <x v="645"/>
    <x v="339"/>
    <s v="CN-Otros Servicios Adyacentes"/>
    <x v="34"/>
    <x v="4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550"/>
    <x v="0"/>
    <x v="646"/>
    <x v="339"/>
    <s v="CN-Otros Servicios Adyacentes"/>
    <x v="34"/>
    <x v="4"/>
    <x v="0"/>
    <x v="5"/>
    <m/>
    <m/>
    <x v="5"/>
    <x v="0"/>
    <n v="1"/>
    <n v="1"/>
    <x v="0"/>
    <s v="HBP-MNC-11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782"/>
    <x v="0"/>
    <x v="645"/>
    <x v="339"/>
    <s v="CN-Otros Servicios Adyacentes"/>
    <x v="34"/>
    <x v="4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948"/>
    <x v="0"/>
    <x v="646"/>
    <x v="339"/>
    <s v="CN-Otros Servicios Adyacentes"/>
    <x v="34"/>
    <x v="4"/>
    <x v="0"/>
    <x v="8"/>
    <m/>
    <m/>
    <x v="8"/>
    <x v="2"/>
    <n v="1"/>
    <n v="1"/>
    <x v="0"/>
    <s v="HBP-MNC-123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3154"/>
    <x v="0"/>
    <x v="645"/>
    <x v="339"/>
    <s v="CN-Otros Servicios Adyacentes"/>
    <x v="34"/>
    <x v="4"/>
    <x v="1"/>
    <x v="11"/>
    <m/>
    <m/>
    <x v="11"/>
    <x v="0"/>
    <n v="1"/>
    <n v="1"/>
    <x v="0"/>
    <s v="HBP-MNC-08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278"/>
    <x v="0"/>
    <x v="646"/>
    <x v="339"/>
    <s v="CN-Otros Servicios Adyacentes"/>
    <x v="34"/>
    <x v="4"/>
    <x v="1"/>
    <x v="11"/>
    <m/>
    <m/>
    <x v="11"/>
    <x v="0"/>
    <n v="1"/>
    <n v="1"/>
    <x v="0"/>
    <s v="HBP-MNC-088"/>
    <s v="11105DSPA-93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0"/>
    <d v="2026-09-23T00:00:00"/>
  </r>
  <r>
    <s v="HSLB13333"/>
    <x v="0"/>
    <x v="647"/>
    <x v="393"/>
    <s v="CN-Otros Servicios Adyacentes"/>
    <x v="35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4"/>
    <x v="0"/>
    <x v="648"/>
    <x v="394"/>
    <s v="CN-Salas y Habitaciones de Hospitalización"/>
    <x v="35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5"/>
    <x v="0"/>
    <x v="649"/>
    <x v="230"/>
    <s v="CN-Salas y Habitaciones de Hospitalización"/>
    <x v="35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36"/>
    <x v="0"/>
    <x v="650"/>
    <x v="395"/>
    <s v="CN-Salas y Habitaciones de Hospitalización"/>
    <x v="35"/>
    <x v="0"/>
    <x v="1"/>
    <x v="15"/>
    <m/>
    <m/>
    <x v="15"/>
    <x v="2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73"/>
    <x v="0"/>
    <x v="651"/>
    <x v="32"/>
    <s v="CN-Salas y Habitaciones de Hospitalización"/>
    <x v="35"/>
    <x v="0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98"/>
    <x v="0"/>
    <x v="652"/>
    <x v="1"/>
    <s v="CN-Otros Servicios Adyacentes"/>
    <x v="35"/>
    <x v="0"/>
    <x v="1"/>
    <x v="2"/>
    <n v="1"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99"/>
    <x v="0"/>
    <x v="653"/>
    <x v="228"/>
    <s v="CN-Otros Servicios Adyacentes"/>
    <x v="35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66"/>
    <x v="0"/>
    <x v="647"/>
    <x v="393"/>
    <s v="CN-Otros Servicios Adyacentes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7"/>
    <x v="0"/>
    <x v="654"/>
    <x v="396"/>
    <s v="CN-Salas y Habitaciones de Hospitalización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8"/>
    <x v="0"/>
    <x v="655"/>
    <x v="396"/>
    <s v="CN-Salas y Habitaciones de Hospitalización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69"/>
    <x v="0"/>
    <x v="656"/>
    <x v="396"/>
    <s v="CN-Salas y Habitaciones de Hospitalización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0"/>
    <x v="0"/>
    <x v="648"/>
    <x v="394"/>
    <s v="CN-Salas y Habitaciones de Hospitalización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1"/>
    <x v="0"/>
    <x v="649"/>
    <x v="230"/>
    <s v="CN-Salas y Habitaciones de Hospitalización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2"/>
    <x v="0"/>
    <x v="657"/>
    <x v="130"/>
    <s v="CN-Otros Servicios Adyacentes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3"/>
    <x v="0"/>
    <x v="658"/>
    <x v="397"/>
    <s v="CN-Otros Servicios Adyacentes"/>
    <x v="35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574"/>
    <x v="0"/>
    <x v="659"/>
    <x v="398"/>
    <s v="CN-Salas y Habitaciones de Hospitalización"/>
    <x v="35"/>
    <x v="0"/>
    <x v="2"/>
    <x v="3"/>
    <m/>
    <m/>
    <x v="3"/>
    <x v="2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317"/>
    <x v="0"/>
    <x v="660"/>
    <x v="399"/>
    <s v="CN-Salas y Habitaciones de Hospitalización"/>
    <x v="35"/>
    <x v="0"/>
    <x v="0"/>
    <x v="7"/>
    <m/>
    <m/>
    <x v="7"/>
    <x v="1"/>
    <n v="1"/>
    <n v="1"/>
    <x v="0"/>
    <s v="HBP-MNC-121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77"/>
    <x v="0"/>
    <x v="661"/>
    <x v="11"/>
    <s v="CN-Salas y Habitaciones de Hospitalización"/>
    <x v="35"/>
    <x v="0"/>
    <x v="0"/>
    <x v="4"/>
    <m/>
    <m/>
    <x v="4"/>
    <x v="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0"/>
    <x v="0"/>
    <x v="647"/>
    <x v="393"/>
    <s v="CN-Otros Servicios Adyacentes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1"/>
    <x v="0"/>
    <x v="662"/>
    <x v="140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2"/>
    <x v="0"/>
    <x v="663"/>
    <x v="140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3"/>
    <x v="0"/>
    <x v="648"/>
    <x v="394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5"/>
    <x v="0"/>
    <x v="649"/>
    <x v="230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7"/>
    <x v="0"/>
    <x v="664"/>
    <x v="195"/>
    <s v="CN-Otros Servicios Adyacentes"/>
    <x v="35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8"/>
    <x v="0"/>
    <x v="658"/>
    <x v="397"/>
    <s v="CN-Otros Servicios Adyacentes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9"/>
    <x v="0"/>
    <x v="659"/>
    <x v="398"/>
    <s v="CN-Salas y Habitaciones de Hospitalización"/>
    <x v="35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90"/>
    <x v="0"/>
    <x v="665"/>
    <x v="5"/>
    <s v="CN-Otros Servicios Adyacentes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39"/>
    <x v="0"/>
    <x v="666"/>
    <x v="195"/>
    <s v="CN-Otros Servicios Adyacentes"/>
    <x v="35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90"/>
    <x v="0"/>
    <x v="654"/>
    <x v="396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91"/>
    <x v="0"/>
    <x v="655"/>
    <x v="396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92"/>
    <x v="0"/>
    <x v="656"/>
    <x v="396"/>
    <s v="CN-Salas y Habitaciones de Hospitalización"/>
    <x v="35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86"/>
    <x v="0"/>
    <x v="657"/>
    <x v="130"/>
    <s v="CN-Otros Servicios Adyacentes"/>
    <x v="35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83"/>
    <x v="0"/>
    <x v="667"/>
    <x v="400"/>
    <s v="CN-Salas y Habitaciones de Hospitalización"/>
    <x v="35"/>
    <x v="0"/>
    <x v="0"/>
    <x v="7"/>
    <m/>
    <m/>
    <x v="7"/>
    <x v="12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84"/>
    <x v="0"/>
    <x v="652"/>
    <x v="1"/>
    <s v="CN-Otros Servicios Adyacentes"/>
    <x v="35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85"/>
    <x v="0"/>
    <x v="653"/>
    <x v="228"/>
    <s v="CN-Otros Servicios Adyacentes"/>
    <x v="35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3"/>
    <x v="0"/>
    <x v="647"/>
    <x v="393"/>
    <s v="CN-Otros Servicios Adyacentes"/>
    <x v="35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4"/>
    <x v="0"/>
    <x v="654"/>
    <x v="396"/>
    <s v="CN-Salas y Habitaciones de Hospitalización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5"/>
    <x v="0"/>
    <x v="655"/>
    <x v="396"/>
    <s v="CN-Salas y Habitaciones de Hospitalización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6"/>
    <x v="0"/>
    <x v="656"/>
    <x v="396"/>
    <s v="CN-Salas y Habitaciones de Hospitalización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7"/>
    <x v="0"/>
    <x v="662"/>
    <x v="140"/>
    <s v="CN-Salas y Habitaciones de Hospitalización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8"/>
    <x v="0"/>
    <x v="663"/>
    <x v="140"/>
    <s v="CN-Salas y Habitaciones de Hospitalización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29"/>
    <x v="0"/>
    <x v="648"/>
    <x v="394"/>
    <s v="CN-Salas y Habitaciones de Hospitalización"/>
    <x v="35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0"/>
    <x v="0"/>
    <x v="649"/>
    <x v="230"/>
    <s v="CN-Salas y Habitaciones de Hospitalización"/>
    <x v="35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1"/>
    <x v="0"/>
    <x v="668"/>
    <x v="28"/>
    <s v="CN-Salas y Habitaciones de Hospitalización"/>
    <x v="35"/>
    <x v="0"/>
    <x v="0"/>
    <x v="8"/>
    <m/>
    <m/>
    <x v="8"/>
    <x v="8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2"/>
    <x v="0"/>
    <x v="669"/>
    <x v="28"/>
    <s v="CN-Salas y Habitaciones de Hospitalización"/>
    <x v="35"/>
    <x v="0"/>
    <x v="0"/>
    <x v="8"/>
    <m/>
    <m/>
    <x v="8"/>
    <x v="8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3"/>
    <x v="0"/>
    <x v="657"/>
    <x v="130"/>
    <s v="CN-Otros Servicios Adyacentes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4"/>
    <x v="0"/>
    <x v="670"/>
    <x v="401"/>
    <s v="CN-Salas y Habitaciones de Hospitalización"/>
    <x v="35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5"/>
    <x v="0"/>
    <x v="650"/>
    <x v="395"/>
    <s v="CN-Salas y Habitaciones de Hospitalización"/>
    <x v="35"/>
    <x v="0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6"/>
    <x v="0"/>
    <x v="658"/>
    <x v="397"/>
    <s v="CN-Otros Servicios Adyacentes"/>
    <x v="35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37"/>
    <x v="0"/>
    <x v="651"/>
    <x v="32"/>
    <s v="CN-Salas y Habitaciones de Hospitalización"/>
    <x v="35"/>
    <x v="0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38"/>
    <x v="0"/>
    <x v="671"/>
    <x v="244"/>
    <s v="CN-Otros Servicios Adyacentes"/>
    <x v="35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4"/>
    <x v="0"/>
    <x v="654"/>
    <x v="396"/>
    <s v="CN-Salas y Habitaciones de Hospitalización"/>
    <x v="35"/>
    <x v="0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5"/>
    <x v="0"/>
    <x v="655"/>
    <x v="396"/>
    <s v="CN-Salas y Habitaciones de Hospitalización"/>
    <x v="35"/>
    <x v="0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6"/>
    <x v="0"/>
    <x v="656"/>
    <x v="396"/>
    <s v="CN-Salas y Habitaciones de Hospitalización"/>
    <x v="35"/>
    <x v="0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68"/>
    <x v="0"/>
    <x v="667"/>
    <x v="400"/>
    <s v="CN-Salas y Habitaciones de Hospitalización"/>
    <x v="35"/>
    <x v="0"/>
    <x v="0"/>
    <x v="9"/>
    <m/>
    <m/>
    <x v="9"/>
    <x v="2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89"/>
    <x v="0"/>
    <x v="667"/>
    <x v="400"/>
    <s v="CN-Salas y Habitaciones de Hospitalización"/>
    <x v="35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90"/>
    <x v="0"/>
    <x v="652"/>
    <x v="1"/>
    <s v="CN-Otros Servicios Adyacentes"/>
    <x v="35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91"/>
    <x v="0"/>
    <x v="653"/>
    <x v="228"/>
    <s v="CN-Otros Servicios Adyacentes"/>
    <x v="35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07"/>
    <x v="0"/>
    <x v="654"/>
    <x v="396"/>
    <s v="CN-Salas y Habitaciones de Hospitalización"/>
    <x v="3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8"/>
    <x v="0"/>
    <x v="655"/>
    <x v="396"/>
    <s v="CN-Salas y Habitaciones de Hospitalización"/>
    <x v="3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9"/>
    <x v="0"/>
    <x v="656"/>
    <x v="396"/>
    <s v="CN-Salas y Habitaciones de Hospitalización"/>
    <x v="3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0"/>
    <x v="0"/>
    <x v="662"/>
    <x v="140"/>
    <s v="CN-Salas y Habitaciones de Hospitalización"/>
    <x v="3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1"/>
    <x v="0"/>
    <x v="663"/>
    <x v="140"/>
    <s v="CN-Salas y Habitaciones de Hospitalización"/>
    <x v="35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06"/>
    <x v="0"/>
    <x v="647"/>
    <x v="393"/>
    <s v="CN-Otros Servicios Adyacentes"/>
    <x v="35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2"/>
    <x v="0"/>
    <x v="648"/>
    <x v="394"/>
    <s v="CN-Salas y Habitaciones de Hospitalización"/>
    <x v="35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5"/>
    <x v="0"/>
    <x v="657"/>
    <x v="130"/>
    <s v="CN-Otros Servicios Adyacentes"/>
    <x v="35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6"/>
    <x v="0"/>
    <x v="658"/>
    <x v="397"/>
    <s v="CN-Otros Servicios Adyacentes"/>
    <x v="35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7"/>
    <x v="0"/>
    <x v="659"/>
    <x v="398"/>
    <s v="CN-Salas y Habitaciones de Hospitalización"/>
    <x v="35"/>
    <x v="0"/>
    <x v="1"/>
    <x v="10"/>
    <m/>
    <m/>
    <x v="10"/>
    <x v="2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14"/>
    <x v="0"/>
    <x v="649"/>
    <x v="230"/>
    <s v="CN-Salas y Habitaciones de Hospitalización"/>
    <x v="35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400"/>
    <x v="0"/>
    <x v="672"/>
    <x v="0"/>
    <s v="CN-Otros Servicios Adyacentes"/>
    <x v="36"/>
    <x v="0"/>
    <x v="0"/>
    <x v="21"/>
    <n v="1"/>
    <m/>
    <x v="21"/>
    <x v="2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01"/>
    <x v="0"/>
    <x v="673"/>
    <x v="0"/>
    <s v="CN-Otros Servicios Adyacentes"/>
    <x v="36"/>
    <x v="0"/>
    <x v="0"/>
    <x v="21"/>
    <m/>
    <m/>
    <x v="21"/>
    <x v="2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06"/>
    <x v="0"/>
    <x v="674"/>
    <x v="10"/>
    <s v="CN-Otros Servicios Adyacentes"/>
    <x v="36"/>
    <x v="0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07"/>
    <x v="0"/>
    <x v="675"/>
    <x v="10"/>
    <s v="CA-Otros Servicios Adyacentes"/>
    <x v="36"/>
    <x v="0"/>
    <x v="0"/>
    <x v="21"/>
    <m/>
    <m/>
    <x v="21"/>
    <x v="0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19"/>
    <x v="0"/>
    <x v="676"/>
    <x v="0"/>
    <s v="NC-Otros Servicios Adyacentes"/>
    <x v="36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0"/>
    <x v="0"/>
    <x v="677"/>
    <x v="0"/>
    <s v="NC-Otros Servicios Adyacentes"/>
    <x v="36"/>
    <x v="0"/>
    <x v="0"/>
    <x v="1"/>
    <m/>
    <m/>
    <x v="1"/>
    <x v="0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06"/>
    <x v="0"/>
    <x v="678"/>
    <x v="402"/>
    <s v="CN-Urgencia"/>
    <x v="36"/>
    <x v="0"/>
    <x v="1"/>
    <x v="14"/>
    <m/>
    <m/>
    <x v="14"/>
    <x v="0"/>
    <n v="1"/>
    <n v="1"/>
    <x v="0"/>
    <s v="HBP-MNC-09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48"/>
    <x v="0"/>
    <x v="679"/>
    <x v="403"/>
    <s v="CN-Otros Servicios Adyacentes"/>
    <x v="36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49"/>
    <x v="0"/>
    <x v="680"/>
    <x v="404"/>
    <s v="CN-Urgencia"/>
    <x v="36"/>
    <x v="0"/>
    <x v="1"/>
    <x v="15"/>
    <m/>
    <m/>
    <x v="15"/>
    <x v="0"/>
    <n v="1"/>
    <n v="1"/>
    <x v="0"/>
    <s v="HBP-MNC-096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4"/>
    <x v="0"/>
    <x v="681"/>
    <x v="405"/>
    <s v="NC-SAMU"/>
    <x v="36"/>
    <x v="0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85"/>
    <x v="0"/>
    <x v="682"/>
    <x v="32"/>
    <s v="NC-SAMU"/>
    <x v="36"/>
    <x v="0"/>
    <x v="1"/>
    <x v="20"/>
    <m/>
    <m/>
    <x v="20"/>
    <x v="0"/>
    <n v="1"/>
    <n v="1"/>
    <x v="0"/>
    <s v="HBP-MNC-097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50"/>
    <x v="0"/>
    <x v="683"/>
    <x v="32"/>
    <s v="CN-Otros Servicios Adyacentes"/>
    <x v="36"/>
    <x v="0"/>
    <x v="1"/>
    <x v="16"/>
    <m/>
    <m/>
    <x v="16"/>
    <x v="0"/>
    <n v="1"/>
    <n v="1"/>
    <x v="0"/>
    <s v="HBP-MNC-098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17"/>
    <x v="0"/>
    <x v="684"/>
    <x v="1"/>
    <s v="CN-Otros Servicios Adyacentes"/>
    <x v="36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18"/>
    <x v="0"/>
    <x v="685"/>
    <x v="1"/>
    <s v="CN-Otros Servicios Adyacentes"/>
    <x v="36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19"/>
    <x v="0"/>
    <x v="686"/>
    <x v="1"/>
    <s v="CN-Otros Servicios Adyacentes"/>
    <x v="36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29"/>
    <x v="0"/>
    <x v="687"/>
    <x v="1"/>
    <s v="NC-Otros Servicios Adyacentes"/>
    <x v="36"/>
    <x v="0"/>
    <x v="1"/>
    <x v="2"/>
    <m/>
    <m/>
    <x v="2"/>
    <x v="0"/>
    <n v="1"/>
    <n v="1"/>
    <x v="0"/>
    <s v="HBP-MNC-099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577"/>
    <x v="0"/>
    <x v="678"/>
    <x v="402"/>
    <s v="CN-Urgencia"/>
    <x v="36"/>
    <x v="0"/>
    <x v="0"/>
    <x v="17"/>
    <m/>
    <m/>
    <x v="17"/>
    <x v="2"/>
    <n v="1"/>
    <n v="1"/>
    <x v="0"/>
    <s v="HBP-MNC-120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600"/>
    <x v="0"/>
    <x v="679"/>
    <x v="403"/>
    <s v="CN-Otros Servicios Adyacentes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01"/>
    <x v="0"/>
    <x v="688"/>
    <x v="406"/>
    <s v="CN-Otros Servicios Adyacentes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02"/>
    <x v="0"/>
    <x v="689"/>
    <x v="48"/>
    <s v="CN-Otros Servicios Adyacentes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03"/>
    <x v="0"/>
    <x v="690"/>
    <x v="407"/>
    <s v="CN-Urgencia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05"/>
    <x v="0"/>
    <x v="680"/>
    <x v="404"/>
    <s v="CN-Urgencia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3606"/>
    <x v="0"/>
    <x v="683"/>
    <x v="32"/>
    <s v="CN-Otros Servicios Adyacentes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5281"/>
    <x v="0"/>
    <x v="691"/>
    <x v="408"/>
    <s v="NC-SAMU"/>
    <x v="36"/>
    <x v="0"/>
    <x v="2"/>
    <x v="3"/>
    <m/>
    <m/>
    <x v="3"/>
    <x v="0"/>
    <n v="1"/>
    <n v="1"/>
    <x v="0"/>
    <s v="HBP-MNC-107"/>
    <s v="11105DSPA-93-2025"/>
    <d v="2026-06-30T00:00:00"/>
    <m/>
    <x v="0"/>
    <n v="6"/>
    <x v="1"/>
    <d v="2026-06-30T00:00:00"/>
    <d v="2027-01-07T00:00:00"/>
    <d v="2026-07-10T00:00:00"/>
    <d v="2026-07-09T00:00:00"/>
    <d v="2026-08-20T00:00:00"/>
    <s v="NA"/>
    <d v="2026-07-31T00:00:00"/>
    <s v="IU"/>
    <d v="2026-07-10T00:00:00"/>
    <n v="5"/>
    <d v="2026-07-20T00:00:00"/>
    <n v="5"/>
    <d v="2026-07-27T00:00:00"/>
  </r>
  <r>
    <s v="HSLB14798"/>
    <x v="0"/>
    <x v="692"/>
    <x v="409"/>
    <s v="CN-Urgencia"/>
    <x v="36"/>
    <x v="0"/>
    <x v="0"/>
    <x v="8"/>
    <m/>
    <m/>
    <x v="8"/>
    <x v="20"/>
    <n v="1"/>
    <n v="1"/>
    <x v="0"/>
    <s v="HBP-MNC-123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4803"/>
    <x v="0"/>
    <x v="693"/>
    <x v="410"/>
    <s v="CN-Urgencia"/>
    <x v="36"/>
    <x v="0"/>
    <x v="0"/>
    <x v="8"/>
    <m/>
    <m/>
    <x v="8"/>
    <x v="2"/>
    <n v="1"/>
    <n v="1"/>
    <x v="0"/>
    <s v="HBP-MNC-123"/>
    <s v="11105DSPA-93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370"/>
    <x v="0"/>
    <x v="694"/>
    <x v="11"/>
    <s v="CN-Urgencia"/>
    <x v="36"/>
    <x v="0"/>
    <x v="0"/>
    <x v="4"/>
    <m/>
    <m/>
    <x v="4"/>
    <x v="3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72"/>
    <x v="0"/>
    <x v="695"/>
    <x v="411"/>
    <s v="CN-Urgencia"/>
    <x v="36"/>
    <x v="0"/>
    <x v="0"/>
    <x v="4"/>
    <m/>
    <m/>
    <x v="4"/>
    <x v="16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73"/>
    <x v="0"/>
    <x v="696"/>
    <x v="11"/>
    <s v="CN-Urgencia"/>
    <x v="36"/>
    <x v="0"/>
    <x v="0"/>
    <x v="4"/>
    <m/>
    <m/>
    <x v="4"/>
    <x v="4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78"/>
    <x v="0"/>
    <x v="697"/>
    <x v="11"/>
    <s v="CN-Urgencia"/>
    <x v="36"/>
    <x v="0"/>
    <x v="0"/>
    <x v="4"/>
    <m/>
    <m/>
    <x v="4"/>
    <x v="3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79"/>
    <x v="0"/>
    <x v="698"/>
    <x v="412"/>
    <s v="CN-Urgencia"/>
    <x v="36"/>
    <x v="0"/>
    <x v="0"/>
    <x v="4"/>
    <m/>
    <m/>
    <x v="4"/>
    <x v="11"/>
    <n v="1"/>
    <n v="1"/>
    <x v="0"/>
    <s v="HBP-MNC-12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37"/>
    <x v="0"/>
    <x v="699"/>
    <x v="195"/>
    <s v="CN-Otros Servicios Adyacentes"/>
    <x v="36"/>
    <x v="0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0"/>
    <x v="0"/>
    <x v="679"/>
    <x v="403"/>
    <s v="CN-Otros Servicios Adyacentes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2"/>
    <x v="0"/>
    <x v="689"/>
    <x v="48"/>
    <s v="CN-Otros Servicios Adyacentes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3"/>
    <x v="0"/>
    <x v="700"/>
    <x v="413"/>
    <s v="CN-Urgencia"/>
    <x v="36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4"/>
    <x v="0"/>
    <x v="701"/>
    <x v="414"/>
    <s v="CN-Urgencia"/>
    <x v="36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5"/>
    <x v="0"/>
    <x v="702"/>
    <x v="415"/>
    <s v="CN-Urgencia"/>
    <x v="36"/>
    <x v="0"/>
    <x v="0"/>
    <x v="5"/>
    <m/>
    <m/>
    <x v="5"/>
    <x v="2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6"/>
    <x v="0"/>
    <x v="690"/>
    <x v="407"/>
    <s v="CN-Urgencia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8"/>
    <x v="0"/>
    <x v="703"/>
    <x v="195"/>
    <s v="CN-Otros Servicios Adyacentes"/>
    <x v="36"/>
    <x v="0"/>
    <x v="0"/>
    <x v="5"/>
    <m/>
    <m/>
    <x v="5"/>
    <x v="6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9"/>
    <x v="0"/>
    <x v="704"/>
    <x v="195"/>
    <s v="CN-Otros Servicios Adyacentes"/>
    <x v="36"/>
    <x v="0"/>
    <x v="0"/>
    <x v="5"/>
    <m/>
    <m/>
    <x v="5"/>
    <x v="3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60"/>
    <x v="0"/>
    <x v="705"/>
    <x v="416"/>
    <s v="CN-Urgencia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61"/>
    <x v="0"/>
    <x v="706"/>
    <x v="417"/>
    <s v="CN-Urgencia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64"/>
    <x v="0"/>
    <x v="707"/>
    <x v="339"/>
    <s v="CN-Urgencia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65"/>
    <x v="0"/>
    <x v="708"/>
    <x v="339"/>
    <s v="CN-Urgencia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97"/>
    <x v="0"/>
    <x v="709"/>
    <x v="418"/>
    <s v="CN-Otros Servicios Adyacentes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01"/>
    <x v="0"/>
    <x v="710"/>
    <x v="419"/>
    <s v="CN-Urgencia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16"/>
    <x v="0"/>
    <x v="691"/>
    <x v="408"/>
    <s v="NC-SAMU"/>
    <x v="36"/>
    <x v="0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1"/>
    <x v="0"/>
    <x v="688"/>
    <x v="406"/>
    <s v="CN-Otros Servicios Adyacentes"/>
    <x v="36"/>
    <x v="0"/>
    <x v="0"/>
    <x v="6"/>
    <m/>
    <m/>
    <x v="6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02"/>
    <x v="0"/>
    <x v="684"/>
    <x v="1"/>
    <s v="CN-Otros Servicios Adyacentes"/>
    <x v="36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03"/>
    <x v="0"/>
    <x v="685"/>
    <x v="1"/>
    <s v="CN-Otros Servicios Adyacentes"/>
    <x v="36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04"/>
    <x v="0"/>
    <x v="686"/>
    <x v="1"/>
    <s v="CN-Otros Servicios Adyacentes"/>
    <x v="36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14"/>
    <x v="0"/>
    <x v="687"/>
    <x v="1"/>
    <s v="NC-Otros Servicios Adyacentes"/>
    <x v="36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21"/>
    <x v="0"/>
    <x v="711"/>
    <x v="1"/>
    <s v="CN-Otros Servicios Adyacentes"/>
    <x v="36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622"/>
    <x v="0"/>
    <x v="712"/>
    <x v="1"/>
    <s v="CN-Otros Servicios Adyacentes"/>
    <x v="36"/>
    <x v="0"/>
    <x v="0"/>
    <x v="7"/>
    <m/>
    <m/>
    <x v="7"/>
    <x v="1"/>
    <n v="1"/>
    <n v="1"/>
    <x v="0"/>
    <s v="HBP-MNC-121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8"/>
    <x v="0"/>
    <x v="713"/>
    <x v="420"/>
    <s v="NC-SAMU"/>
    <x v="36"/>
    <x v="0"/>
    <x v="0"/>
    <x v="7"/>
    <m/>
    <m/>
    <x v="7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71"/>
    <x v="0"/>
    <x v="714"/>
    <x v="421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72"/>
    <x v="0"/>
    <x v="715"/>
    <x v="422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73"/>
    <x v="0"/>
    <x v="709"/>
    <x v="418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3"/>
    <x v="0"/>
    <x v="679"/>
    <x v="403"/>
    <s v="CN-Otros Servicios Adyacentes"/>
    <x v="36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4"/>
    <x v="0"/>
    <x v="688"/>
    <x v="406"/>
    <s v="CN-Otros Servicios Adyacentes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5"/>
    <x v="0"/>
    <x v="689"/>
    <x v="48"/>
    <s v="CN-Otros Servicios Adyacentes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6"/>
    <x v="0"/>
    <x v="700"/>
    <x v="413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7"/>
    <x v="0"/>
    <x v="701"/>
    <x v="414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8"/>
    <x v="0"/>
    <x v="702"/>
    <x v="415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89"/>
    <x v="0"/>
    <x v="690"/>
    <x v="407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0"/>
    <x v="0"/>
    <x v="716"/>
    <x v="423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1"/>
    <x v="0"/>
    <x v="680"/>
    <x v="404"/>
    <s v="CN-Urgencia"/>
    <x v="36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2"/>
    <x v="0"/>
    <x v="717"/>
    <x v="424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3"/>
    <x v="0"/>
    <x v="718"/>
    <x v="425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4"/>
    <x v="0"/>
    <x v="719"/>
    <x v="426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5"/>
    <x v="0"/>
    <x v="720"/>
    <x v="427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6"/>
    <x v="0"/>
    <x v="721"/>
    <x v="428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7"/>
    <x v="0"/>
    <x v="722"/>
    <x v="429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799"/>
    <x v="0"/>
    <x v="723"/>
    <x v="430"/>
    <s v="CN-Urgencia"/>
    <x v="36"/>
    <x v="0"/>
    <x v="0"/>
    <x v="8"/>
    <m/>
    <m/>
    <x v="8"/>
    <x v="16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0"/>
    <x v="0"/>
    <x v="724"/>
    <x v="431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1"/>
    <x v="0"/>
    <x v="725"/>
    <x v="432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2"/>
    <x v="0"/>
    <x v="726"/>
    <x v="432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4"/>
    <x v="0"/>
    <x v="727"/>
    <x v="185"/>
    <s v="CN-Urgencia"/>
    <x v="36"/>
    <x v="0"/>
    <x v="0"/>
    <x v="8"/>
    <m/>
    <m/>
    <x v="8"/>
    <x v="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5"/>
    <x v="0"/>
    <x v="705"/>
    <x v="416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806"/>
    <x v="0"/>
    <x v="683"/>
    <x v="32"/>
    <s v="CN-Otros Servicios Adyacentes"/>
    <x v="36"/>
    <x v="0"/>
    <x v="0"/>
    <x v="8"/>
    <m/>
    <m/>
    <x v="8"/>
    <x v="2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7"/>
    <x v="0"/>
    <x v="681"/>
    <x v="405"/>
    <s v="NC-SAMU"/>
    <x v="36"/>
    <x v="0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39"/>
    <x v="0"/>
    <x v="682"/>
    <x v="32"/>
    <s v="NC-SAMU"/>
    <x v="36"/>
    <x v="0"/>
    <x v="0"/>
    <x v="8"/>
    <m/>
    <m/>
    <x v="8"/>
    <x v="11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3"/>
    <x v="0"/>
    <x v="706"/>
    <x v="417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5"/>
    <x v="0"/>
    <x v="707"/>
    <x v="339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56"/>
    <x v="0"/>
    <x v="708"/>
    <x v="339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46"/>
    <x v="0"/>
    <x v="728"/>
    <x v="433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47"/>
    <x v="0"/>
    <x v="729"/>
    <x v="248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1"/>
    <x v="0"/>
    <x v="730"/>
    <x v="11"/>
    <s v="CN-Urgencia"/>
    <x v="36"/>
    <x v="0"/>
    <x v="0"/>
    <x v="8"/>
    <m/>
    <m/>
    <x v="8"/>
    <x v="3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2"/>
    <x v="0"/>
    <x v="731"/>
    <x v="434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3"/>
    <x v="0"/>
    <x v="732"/>
    <x v="244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4"/>
    <x v="0"/>
    <x v="733"/>
    <x v="435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5"/>
    <x v="0"/>
    <x v="710"/>
    <x v="419"/>
    <s v="CN-Urgencia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56"/>
    <x v="0"/>
    <x v="734"/>
    <x v="436"/>
    <s v="CN-Urgencia"/>
    <x v="36"/>
    <x v="0"/>
    <x v="0"/>
    <x v="8"/>
    <m/>
    <m/>
    <x v="8"/>
    <x v="0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67"/>
    <x v="0"/>
    <x v="691"/>
    <x v="408"/>
    <s v="NC-SAMU"/>
    <x v="36"/>
    <x v="0"/>
    <x v="0"/>
    <x v="8"/>
    <m/>
    <m/>
    <x v="8"/>
    <x v="2"/>
    <n v="1"/>
    <n v="1"/>
    <x v="0"/>
    <s v="HBP-MNC-123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972"/>
    <x v="0"/>
    <x v="705"/>
    <x v="416"/>
    <s v="CN-Urgencia"/>
    <x v="36"/>
    <x v="0"/>
    <x v="0"/>
    <x v="9"/>
    <m/>
    <m/>
    <x v="9"/>
    <x v="0"/>
    <n v="1"/>
    <n v="1"/>
    <x v="0"/>
    <s v="HBP-MNC-124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17"/>
    <x v="0"/>
    <x v="678"/>
    <x v="402"/>
    <s v="CN-Urgencia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18"/>
    <x v="0"/>
    <x v="684"/>
    <x v="1"/>
    <s v="CN-Otros Servicios Adyacentes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19"/>
    <x v="0"/>
    <x v="685"/>
    <x v="1"/>
    <s v="CN-Otros Servicios Adyacentes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20"/>
    <x v="0"/>
    <x v="686"/>
    <x v="1"/>
    <s v="CN-Otros Servicios Adyacentes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3"/>
    <x v="0"/>
    <x v="687"/>
    <x v="1"/>
    <s v="NC-Otros Servicios Adyacentes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37"/>
    <x v="0"/>
    <x v="713"/>
    <x v="420"/>
    <s v="NC-SAMU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41"/>
    <x v="0"/>
    <x v="711"/>
    <x v="1"/>
    <s v="CN-Otros Servicios Adyacentes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042"/>
    <x v="0"/>
    <x v="712"/>
    <x v="1"/>
    <s v="CN-Otros Servicios Adyacentes"/>
    <x v="36"/>
    <x v="0"/>
    <x v="0"/>
    <x v="19"/>
    <m/>
    <m/>
    <x v="19"/>
    <x v="0"/>
    <n v="1"/>
    <n v="1"/>
    <x v="0"/>
    <s v="HBP-MNC- 125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23"/>
    <x v="0"/>
    <x v="735"/>
    <x v="289"/>
    <s v="CN-Otros Servicios Adyacentes"/>
    <x v="36"/>
    <x v="0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24"/>
    <x v="0"/>
    <x v="736"/>
    <x v="289"/>
    <s v="CN-Otros Servicios Adyacentes"/>
    <x v="36"/>
    <x v="0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25"/>
    <x v="0"/>
    <x v="737"/>
    <x v="289"/>
    <s v="CN-Otros Servicios Adyacentes"/>
    <x v="36"/>
    <x v="0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26"/>
    <x v="0"/>
    <x v="738"/>
    <x v="289"/>
    <s v="CN-Otros Servicios Adyacentes"/>
    <x v="36"/>
    <x v="0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27"/>
    <x v="0"/>
    <x v="739"/>
    <x v="289"/>
    <s v="CN-Otros Servicios Adyacentes"/>
    <x v="36"/>
    <x v="0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147"/>
    <x v="0"/>
    <x v="709"/>
    <x v="418"/>
    <s v="CN-Urgencia"/>
    <x v="36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60"/>
    <x v="0"/>
    <x v="710"/>
    <x v="419"/>
    <s v="CN-Urgencia"/>
    <x v="36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83"/>
    <x v="0"/>
    <x v="706"/>
    <x v="417"/>
    <s v="CN-Urgencia"/>
    <x v="36"/>
    <x v="0"/>
    <x v="1"/>
    <x v="22"/>
    <m/>
    <m/>
    <x v="22"/>
    <x v="0"/>
    <n v="1"/>
    <n v="1"/>
    <x v="0"/>
    <s v="HBP-MNC-090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55"/>
    <x v="0"/>
    <x v="679"/>
    <x v="403"/>
    <s v="CN-Otros Servicios Adyacentes"/>
    <x v="36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56"/>
    <x v="0"/>
    <x v="688"/>
    <x v="406"/>
    <s v="CN-Otros Servicios Adyacentes"/>
    <x v="36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57"/>
    <x v="0"/>
    <x v="689"/>
    <x v="48"/>
    <s v="CN-Otros Servicios Adyacentes"/>
    <x v="36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81"/>
    <x v="0"/>
    <x v="691"/>
    <x v="408"/>
    <s v="NC-SAMU"/>
    <x v="36"/>
    <x v="0"/>
    <x v="1"/>
    <x v="10"/>
    <m/>
    <m/>
    <x v="10"/>
    <x v="0"/>
    <n v="1"/>
    <n v="1"/>
    <x v="0"/>
    <s v="HBP-MNC-089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158"/>
    <x v="0"/>
    <x v="690"/>
    <x v="407"/>
    <s v="CN-Urgencia"/>
    <x v="36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87"/>
    <x v="0"/>
    <x v="708"/>
    <x v="339"/>
    <s v="CN-Urgencia"/>
    <x v="36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5171"/>
    <x v="0"/>
    <x v="705"/>
    <x v="416"/>
    <s v="CN-Urgencia"/>
    <x v="36"/>
    <x v="0"/>
    <x v="1"/>
    <x v="11"/>
    <m/>
    <m/>
    <x v="11"/>
    <x v="0"/>
    <n v="1"/>
    <n v="1"/>
    <x v="0"/>
    <s v="HBP-MNC-08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0"/>
    <d v="2026-08-21T00:00:00"/>
  </r>
  <r>
    <s v="HSLB13298"/>
    <x v="0"/>
    <x v="740"/>
    <x v="228"/>
    <s v="CA-Otros Servicios Adyacentes"/>
    <x v="37"/>
    <x v="3"/>
    <x v="1"/>
    <x v="13"/>
    <m/>
    <m/>
    <x v="13"/>
    <x v="2"/>
    <n v="1"/>
    <n v="1"/>
    <x v="0"/>
    <s v="HBP-MNC-092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47"/>
    <x v="0"/>
    <x v="740"/>
    <x v="228"/>
    <s v="CA-Otros Servicios Adyacentes"/>
    <x v="37"/>
    <x v="3"/>
    <x v="1"/>
    <x v="15"/>
    <m/>
    <m/>
    <x v="15"/>
    <x v="0"/>
    <n v="1"/>
    <n v="1"/>
    <x v="0"/>
    <s v="HBP-MNC-096"/>
    <s v="11105DSPA-93-2025"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597"/>
    <x v="0"/>
    <x v="741"/>
    <x v="437"/>
    <s v="CA-Otros Servicios Adyacentes"/>
    <x v="37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8"/>
    <x v="0"/>
    <x v="742"/>
    <x v="438"/>
    <s v="CA-Otros Servicios Adyacentes"/>
    <x v="37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599"/>
    <x v="0"/>
    <x v="743"/>
    <x v="439"/>
    <s v="CA-Otros Servicios Adyacentes"/>
    <x v="37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719"/>
    <x v="0"/>
    <x v="744"/>
    <x v="229"/>
    <s v="CA-Otros Servicios Adyacentes"/>
    <x v="37"/>
    <x v="3"/>
    <x v="2"/>
    <x v="3"/>
    <m/>
    <m/>
    <x v="3"/>
    <x v="0"/>
    <n v="1"/>
    <n v="1"/>
    <x v="0"/>
    <s v="HBP-MNC-107"/>
    <s v="11105DSPA-93-2025"/>
    <d v="2026-07-15T00:00:00"/>
    <m/>
    <x v="1"/>
    <n v="6"/>
    <x v="5"/>
    <d v="2026-07-15T00:00:00"/>
    <d v="2027-01-07T00:00:00"/>
    <d v="2026-07-28T00:00:00"/>
    <d v="2026-07-27T00:00:00"/>
    <d v="2026-08-20T00:00:00"/>
    <s v="NA"/>
    <d v="2026-07-31T00:00:00"/>
    <s v="IU"/>
    <d v="2026-07-28T00:00:00"/>
    <n v="5"/>
    <d v="2026-08-04T00:00:00"/>
    <n v="5"/>
    <d v="2026-08-11T00:00:00"/>
  </r>
  <r>
    <s v="HSLB13285"/>
    <x v="0"/>
    <x v="744"/>
    <x v="229"/>
    <s v="CA-Otros Servicios Adyacentes"/>
    <x v="37"/>
    <x v="3"/>
    <x v="1"/>
    <x v="10"/>
    <m/>
    <m/>
    <x v="10"/>
    <x v="0"/>
    <n v="1"/>
    <n v="1"/>
    <x v="0"/>
    <s v="HBP-MNC-089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51"/>
    <x v="0"/>
    <x v="741"/>
    <x v="437"/>
    <s v="CA-Otros Servicios Adyacentes"/>
    <x v="37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52"/>
    <x v="0"/>
    <x v="742"/>
    <x v="438"/>
    <s v="CA-Otros Servicios Adyacentes"/>
    <x v="37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3153"/>
    <x v="0"/>
    <x v="743"/>
    <x v="439"/>
    <s v="CA-Otros Servicios Adyacentes"/>
    <x v="37"/>
    <x v="3"/>
    <x v="1"/>
    <x v="11"/>
    <m/>
    <m/>
    <x v="11"/>
    <x v="0"/>
    <n v="1"/>
    <n v="1"/>
    <x v="0"/>
    <s v="HBP-MNC-08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0"/>
    <d v="2026-09-07T00:00:00"/>
  </r>
  <r>
    <s v="HSLB15298"/>
    <x v="0"/>
    <x v="745"/>
    <x v="440"/>
    <s v="CA-Otros Servicios Adyacentes"/>
    <x v="37"/>
    <x v="3"/>
    <x v="0"/>
    <x v="5"/>
    <m/>
    <m/>
    <x v="5"/>
    <x v="0"/>
    <n v="1"/>
    <n v="1"/>
    <x v="0"/>
    <s v="HBP-MNC-118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09"/>
    <x v="0"/>
    <x v="746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0"/>
    <x v="0"/>
    <x v="747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1"/>
    <x v="0"/>
    <x v="748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2"/>
    <x v="0"/>
    <x v="749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3"/>
    <x v="0"/>
    <x v="750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4"/>
    <x v="0"/>
    <x v="751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5"/>
    <x v="0"/>
    <x v="752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6"/>
    <x v="0"/>
    <x v="753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7"/>
    <x v="0"/>
    <x v="754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8"/>
    <x v="0"/>
    <x v="755"/>
    <x v="249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19"/>
    <x v="0"/>
    <x v="756"/>
    <x v="441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20"/>
    <x v="0"/>
    <x v="757"/>
    <x v="441"/>
    <s v="CA-Unidad de Paciente Crítico"/>
    <x v="37"/>
    <x v="3"/>
    <x v="0"/>
    <x v="25"/>
    <m/>
    <m/>
    <x v="25"/>
    <x v="0"/>
    <n v="1"/>
    <n v="1"/>
    <x v="0"/>
    <s v="HBP-MNC-126"/>
    <s v="11105DSPA-93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96"/>
    <x v="0"/>
    <x v="758"/>
    <x v="11"/>
    <s v="CA-Otros Servicios Adyacentes"/>
    <x v="37"/>
    <x v="3"/>
    <x v="0"/>
    <x v="4"/>
    <m/>
    <m/>
    <x v="4"/>
    <x v="11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517"/>
    <x v="0"/>
    <x v="759"/>
    <x v="77"/>
    <s v="NC-Otros Servicios Adyacentes"/>
    <x v="37"/>
    <x v="3"/>
    <x v="0"/>
    <x v="4"/>
    <m/>
    <m/>
    <x v="4"/>
    <x v="2"/>
    <n v="1"/>
    <n v="1"/>
    <x v="0"/>
    <s v="HBP-MNC-12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3"/>
    <x v="0"/>
    <x v="741"/>
    <x v="437"/>
    <s v="CA-Otros Servicios Adyacentes"/>
    <x v="37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5"/>
    <x v="0"/>
    <x v="760"/>
    <x v="195"/>
    <s v="CA-Otros Servicios Adyacentes"/>
    <x v="37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6"/>
    <x v="0"/>
    <x v="761"/>
    <x v="195"/>
    <s v="CA-Otros Servicios Adyacentes"/>
    <x v="37"/>
    <x v="3"/>
    <x v="0"/>
    <x v="5"/>
    <m/>
    <m/>
    <x v="5"/>
    <x v="2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8"/>
    <x v="0"/>
    <x v="762"/>
    <x v="80"/>
    <s v="CA-Otros Servicios Adyacentes"/>
    <x v="37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563"/>
    <x v="0"/>
    <x v="744"/>
    <x v="229"/>
    <s v="CA-Otros Servicios Adyacentes"/>
    <x v="37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99"/>
    <x v="0"/>
    <x v="763"/>
    <x v="440"/>
    <s v="CA-Otros Servicios Adyacentes"/>
    <x v="37"/>
    <x v="3"/>
    <x v="0"/>
    <x v="5"/>
    <m/>
    <m/>
    <x v="5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4"/>
    <x v="0"/>
    <x v="742"/>
    <x v="438"/>
    <s v="CA-Otros Servicios Adyacentes"/>
    <x v="37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347"/>
    <x v="0"/>
    <x v="743"/>
    <x v="439"/>
    <s v="CA-Otros Servicios Adyacentes"/>
    <x v="37"/>
    <x v="3"/>
    <x v="0"/>
    <x v="6"/>
    <m/>
    <m/>
    <x v="6"/>
    <x v="0"/>
    <n v="1"/>
    <n v="1"/>
    <x v="0"/>
    <s v="HBP-MNC-118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9"/>
    <x v="0"/>
    <x v="740"/>
    <x v="228"/>
    <s v="CA-Otros Servicios Adyacentes"/>
    <x v="37"/>
    <x v="3"/>
    <x v="0"/>
    <x v="7"/>
    <m/>
    <m/>
    <x v="7"/>
    <x v="1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00"/>
    <x v="0"/>
    <x v="764"/>
    <x v="1"/>
    <s v="CA-Otros Servicios Adyacentes"/>
    <x v="37"/>
    <x v="3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601"/>
    <x v="0"/>
    <x v="765"/>
    <x v="1"/>
    <s v="CA-Otros Servicios Adyacentes"/>
    <x v="37"/>
    <x v="3"/>
    <x v="0"/>
    <x v="7"/>
    <m/>
    <m/>
    <x v="7"/>
    <x v="1"/>
    <n v="1"/>
    <n v="1"/>
    <x v="0"/>
    <s v="HBP-MNC-121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778"/>
    <x v="0"/>
    <x v="741"/>
    <x v="437"/>
    <s v="CA-Otros Servicios Adyacentes"/>
    <x v="37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954"/>
    <x v="0"/>
    <x v="744"/>
    <x v="229"/>
    <s v="CA-Otros Servicios Adyacentes"/>
    <x v="37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48"/>
    <x v="0"/>
    <x v="742"/>
    <x v="438"/>
    <s v="CA-Otros Servicios Adyacentes"/>
    <x v="37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49"/>
    <x v="0"/>
    <x v="766"/>
    <x v="248"/>
    <s v="CA-Unidad de Paciente Crítico"/>
    <x v="37"/>
    <x v="3"/>
    <x v="0"/>
    <x v="8"/>
    <m/>
    <m/>
    <x v="8"/>
    <x v="0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350"/>
    <x v="0"/>
    <x v="743"/>
    <x v="439"/>
    <s v="CA-Otros Servicios Adyacentes"/>
    <x v="37"/>
    <x v="3"/>
    <x v="0"/>
    <x v="8"/>
    <m/>
    <m/>
    <x v="8"/>
    <x v="2"/>
    <n v="1"/>
    <n v="1"/>
    <x v="0"/>
    <s v="HBP-MNC-123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14"/>
    <x v="0"/>
    <x v="764"/>
    <x v="1"/>
    <s v="CA-Otros Servicios Adyacentes"/>
    <x v="37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15"/>
    <x v="0"/>
    <x v="765"/>
    <x v="1"/>
    <s v="CA-Otros Servicios Adyacentes"/>
    <x v="37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016"/>
    <x v="0"/>
    <x v="740"/>
    <x v="228"/>
    <s v="CA-Otros Servicios Adyacentes"/>
    <x v="37"/>
    <x v="3"/>
    <x v="0"/>
    <x v="19"/>
    <m/>
    <m/>
    <x v="19"/>
    <x v="0"/>
    <n v="1"/>
    <n v="1"/>
    <x v="0"/>
    <s v="HBP-MNC- 125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21"/>
    <x v="0"/>
    <x v="767"/>
    <x v="255"/>
    <s v="CA-Otros Servicios Adyacentes"/>
    <x v="37"/>
    <x v="3"/>
    <x v="0"/>
    <x v="25"/>
    <m/>
    <m/>
    <x v="25"/>
    <x v="0"/>
    <n v="1"/>
    <n v="1"/>
    <x v="0"/>
    <s v="HBP-MNC-126"/>
    <s v="11105DSPA-93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425"/>
    <x v="0"/>
    <x v="768"/>
    <x v="106"/>
    <s v="NC-Otros Servicios Adyacentes"/>
    <x v="38"/>
    <x v="0"/>
    <x v="0"/>
    <x v="21"/>
    <m/>
    <m/>
    <x v="21"/>
    <x v="16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6"/>
    <x v="0"/>
    <x v="769"/>
    <x v="442"/>
    <s v="NC-Otros Servicios Adyacentes"/>
    <x v="38"/>
    <x v="0"/>
    <x v="0"/>
    <x v="21"/>
    <m/>
    <m/>
    <x v="21"/>
    <x v="22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7"/>
    <x v="0"/>
    <x v="770"/>
    <x v="443"/>
    <s v="NC-Otros Servicios Adyacentes"/>
    <x v="38"/>
    <x v="0"/>
    <x v="0"/>
    <x v="21"/>
    <m/>
    <m/>
    <x v="21"/>
    <x v="1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8"/>
    <x v="0"/>
    <x v="771"/>
    <x v="444"/>
    <s v="NC-Otros Servicios Adyacentes"/>
    <x v="38"/>
    <x v="0"/>
    <x v="0"/>
    <x v="21"/>
    <m/>
    <m/>
    <x v="21"/>
    <x v="6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9"/>
    <x v="0"/>
    <x v="772"/>
    <x v="445"/>
    <s v="NC-Otros Servicios Adyacentes"/>
    <x v="38"/>
    <x v="0"/>
    <x v="0"/>
    <x v="21"/>
    <m/>
    <m/>
    <x v="21"/>
    <x v="6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30"/>
    <x v="0"/>
    <x v="773"/>
    <x v="444"/>
    <s v="NC-Otros Servicios Adyacentes"/>
    <x v="38"/>
    <x v="0"/>
    <x v="0"/>
    <x v="21"/>
    <m/>
    <m/>
    <x v="21"/>
    <x v="2"/>
    <n v="1"/>
    <n v="1"/>
    <x v="0"/>
    <s v="HBP-MNC-113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24"/>
    <x v="0"/>
    <x v="768"/>
    <x v="106"/>
    <s v="NC-Otros Servicios Adyacentes"/>
    <x v="38"/>
    <x v="0"/>
    <x v="0"/>
    <x v="1"/>
    <m/>
    <m/>
    <x v="1"/>
    <x v="3"/>
    <n v="1"/>
    <n v="1"/>
    <x v="0"/>
    <s v="HBP-MNC-114"/>
    <s v="11105DSPA-93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92"/>
    <x v="0"/>
    <x v="774"/>
    <x v="446"/>
    <s v="NC-Áreas de Servicios Generales"/>
    <x v="0"/>
    <x v="0"/>
    <x v="2"/>
    <x v="42"/>
    <n v="1"/>
    <m/>
    <x v="42"/>
    <x v="0"/>
    <n v="2"/>
    <n v="1"/>
    <x v="1"/>
    <s v="HBP-MNC-140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3"/>
    <x v="0"/>
    <x v="774"/>
    <x v="446"/>
    <s v="NC-Áreas de Servicios Generales"/>
    <x v="0"/>
    <x v="0"/>
    <x v="2"/>
    <x v="43"/>
    <n v="1"/>
    <m/>
    <x v="43"/>
    <x v="2"/>
    <n v="2"/>
    <n v="1"/>
    <x v="1"/>
    <s v="HBP-MNC-141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4"/>
    <x v="0"/>
    <x v="774"/>
    <x v="446"/>
    <s v="NC-Áreas de Servicios Generales"/>
    <x v="0"/>
    <x v="0"/>
    <x v="2"/>
    <x v="44"/>
    <n v="1"/>
    <m/>
    <x v="44"/>
    <x v="0"/>
    <n v="2"/>
    <n v="1"/>
    <x v="1"/>
    <s v="HBP-MNC-005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5"/>
    <x v="0"/>
    <x v="774"/>
    <x v="446"/>
    <s v="NC-Áreas de Servicios Generales"/>
    <x v="0"/>
    <x v="0"/>
    <x v="2"/>
    <x v="45"/>
    <n v="1"/>
    <m/>
    <x v="45"/>
    <x v="0"/>
    <n v="2"/>
    <n v="1"/>
    <x v="1"/>
    <s v="HBP-MNC-006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6"/>
    <x v="0"/>
    <x v="774"/>
    <x v="446"/>
    <s v="NC-Áreas de Servicios Generales"/>
    <x v="0"/>
    <x v="0"/>
    <x v="2"/>
    <x v="46"/>
    <n v="1"/>
    <m/>
    <x v="46"/>
    <x v="2"/>
    <n v="2"/>
    <n v="1"/>
    <x v="1"/>
    <s v="HBP-MNC-007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7"/>
    <x v="0"/>
    <x v="774"/>
    <x v="446"/>
    <s v="NC-Áreas de Servicios Generales"/>
    <x v="0"/>
    <x v="0"/>
    <x v="2"/>
    <x v="47"/>
    <n v="1"/>
    <m/>
    <x v="47"/>
    <x v="0"/>
    <n v="2"/>
    <n v="1"/>
    <x v="1"/>
    <s v="HBP-MNC-00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78"/>
    <x v="0"/>
    <x v="775"/>
    <x v="447"/>
    <s v="NC-Áreas de Servicios Generales"/>
    <x v="0"/>
    <x v="0"/>
    <x v="3"/>
    <x v="48"/>
    <n v="1"/>
    <m/>
    <x v="48"/>
    <x v="3"/>
    <n v="2"/>
    <n v="1"/>
    <x v="1"/>
    <s v="HBP-MNC-136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54"/>
    <x v="0"/>
    <x v="71"/>
    <x v="53"/>
    <s v="NC-Áreas Administrativas en General"/>
    <x v="1"/>
    <x v="3"/>
    <x v="3"/>
    <x v="49"/>
    <m/>
    <m/>
    <x v="49"/>
    <x v="0"/>
    <n v="2"/>
    <n v="1"/>
    <x v="1"/>
    <s v="HBP-MNC-158"/>
    <s v="11105DSPAMNC-104-2025"/>
    <d v="2026-07-15T00:00:00"/>
    <m/>
    <x v="1"/>
    <n v="10"/>
    <x v="14"/>
    <d v="2026-07-15T00:00:00"/>
    <d v="2027-01-07T00:00:00"/>
    <d v="2026-08-03T00:00:00"/>
    <d v="2026-07-31T00:00:00"/>
    <d v="2026-08-20T00:00:00"/>
    <s v="NA"/>
    <d v="2026-07-31T00:00:00"/>
    <s v="IU"/>
    <d v="2026-08-03T00:00:00"/>
    <n v="5"/>
    <d v="2026-08-10T00:00:00"/>
    <n v="5"/>
    <d v="2026-08-17T00:00:00"/>
  </r>
  <r>
    <s v="HSLB13455"/>
    <x v="0"/>
    <x v="776"/>
    <x v="448"/>
    <s v="NC-Áreas Administrativas en General"/>
    <x v="1"/>
    <x v="3"/>
    <x v="3"/>
    <x v="50"/>
    <n v="1"/>
    <m/>
    <x v="50"/>
    <x v="0"/>
    <n v="2"/>
    <n v="1"/>
    <x v="1"/>
    <s v="HBP-MNC-132"/>
    <s v="11105DSPAMNC-104-2025"/>
    <d v="2026-07-15T00:00:00"/>
    <m/>
    <x v="1"/>
    <n v="10"/>
    <x v="14"/>
    <d v="2026-07-15T00:00:00"/>
    <d v="2027-01-07T00:00:00"/>
    <d v="2026-08-03T00:00:00"/>
    <d v="2026-07-31T00:00:00"/>
    <d v="2026-08-20T00:00:00"/>
    <s v="NA"/>
    <d v="2026-07-31T00:00:00"/>
    <s v="IU"/>
    <d v="2026-08-03T00:00:00"/>
    <n v="5"/>
    <d v="2026-08-10T00:00:00"/>
    <n v="5"/>
    <d v="2026-08-17T00:00:00"/>
  </r>
  <r>
    <s v="HSLB13460"/>
    <x v="0"/>
    <x v="151"/>
    <x v="100"/>
    <s v="CM-Central de Alimentación"/>
    <x v="5"/>
    <x v="6"/>
    <x v="3"/>
    <x v="51"/>
    <n v="1"/>
    <m/>
    <x v="51"/>
    <x v="0"/>
    <n v="2"/>
    <n v="1"/>
    <x v="1"/>
    <s v="HBP-MNC-135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4"/>
    <x v="0"/>
    <x v="151"/>
    <x v="100"/>
    <s v="CM-Central de Alimentación"/>
    <x v="5"/>
    <x v="6"/>
    <x v="2"/>
    <x v="52"/>
    <n v="1"/>
    <m/>
    <x v="52"/>
    <x v="2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5"/>
    <x v="0"/>
    <x v="152"/>
    <x v="101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6"/>
    <x v="0"/>
    <x v="777"/>
    <x v="449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7"/>
    <x v="0"/>
    <x v="778"/>
    <x v="450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8"/>
    <x v="0"/>
    <x v="779"/>
    <x v="451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9"/>
    <x v="0"/>
    <x v="780"/>
    <x v="452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0"/>
    <x v="0"/>
    <x v="781"/>
    <x v="453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1"/>
    <x v="0"/>
    <x v="782"/>
    <x v="454"/>
    <s v="CM-Central de Alimentación"/>
    <x v="5"/>
    <x v="6"/>
    <x v="2"/>
    <x v="52"/>
    <m/>
    <m/>
    <x v="52"/>
    <x v="0"/>
    <n v="2"/>
    <n v="1"/>
    <x v="1"/>
    <s v="HBP-MNC-139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69"/>
    <x v="0"/>
    <x v="152"/>
    <x v="101"/>
    <s v="CM-Central de Alimentación"/>
    <x v="5"/>
    <x v="6"/>
    <x v="3"/>
    <x v="53"/>
    <m/>
    <m/>
    <x v="53"/>
    <x v="0"/>
    <n v="2"/>
    <n v="1"/>
    <x v="1"/>
    <s v="HBP-MNC-004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81"/>
    <x v="0"/>
    <x v="783"/>
    <x v="455"/>
    <s v="NC-Casino"/>
    <x v="9"/>
    <x v="6"/>
    <x v="2"/>
    <x v="54"/>
    <n v="1"/>
    <m/>
    <x v="54"/>
    <x v="0"/>
    <n v="2"/>
    <n v="1"/>
    <x v="1"/>
    <s v="HBP-MNC-13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2"/>
    <x v="0"/>
    <x v="784"/>
    <x v="455"/>
    <s v="NC-Casino"/>
    <x v="9"/>
    <x v="6"/>
    <x v="2"/>
    <x v="54"/>
    <m/>
    <m/>
    <x v="54"/>
    <x v="0"/>
    <n v="2"/>
    <n v="1"/>
    <x v="1"/>
    <s v="HBP-MNC-13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3"/>
    <x v="0"/>
    <x v="785"/>
    <x v="455"/>
    <s v="NC-Casino"/>
    <x v="9"/>
    <x v="6"/>
    <x v="2"/>
    <x v="54"/>
    <m/>
    <m/>
    <x v="54"/>
    <x v="0"/>
    <n v="2"/>
    <n v="1"/>
    <x v="1"/>
    <s v="HBP-MNC-13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47"/>
    <x v="0"/>
    <x v="201"/>
    <x v="136"/>
    <s v="CM-Otros Servicios Adyacentes"/>
    <x v="11"/>
    <x v="0"/>
    <x v="3"/>
    <x v="49"/>
    <n v="1"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48"/>
    <x v="0"/>
    <x v="227"/>
    <x v="154"/>
    <s v="CM-Otros Servicios Adyacentes"/>
    <x v="11"/>
    <x v="0"/>
    <x v="3"/>
    <x v="49"/>
    <m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50"/>
    <x v="0"/>
    <x v="229"/>
    <x v="156"/>
    <s v="NC-Otros Servicios Adyacentes"/>
    <x v="11"/>
    <x v="0"/>
    <x v="3"/>
    <x v="49"/>
    <m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53"/>
    <x v="0"/>
    <x v="234"/>
    <x v="156"/>
    <s v="NC-Áreas Administrativas en General"/>
    <x v="11"/>
    <x v="0"/>
    <x v="3"/>
    <x v="49"/>
    <m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65"/>
    <x v="0"/>
    <x v="786"/>
    <x v="456"/>
    <s v="CA-Otros Servicios Adyacentes"/>
    <x v="14"/>
    <x v="0"/>
    <x v="3"/>
    <x v="53"/>
    <n v="1"/>
    <m/>
    <x v="53"/>
    <x v="0"/>
    <n v="2"/>
    <n v="1"/>
    <x v="1"/>
    <s v="HBP-MNC-004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66"/>
    <x v="0"/>
    <x v="787"/>
    <x v="457"/>
    <s v="CA-Otros Servicios Adyacentes"/>
    <x v="14"/>
    <x v="0"/>
    <x v="3"/>
    <x v="53"/>
    <m/>
    <m/>
    <x v="53"/>
    <x v="0"/>
    <n v="2"/>
    <n v="1"/>
    <x v="1"/>
    <s v="HBP-MNC-004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67"/>
    <x v="0"/>
    <x v="788"/>
    <x v="458"/>
    <s v="CA-Otros Servicios Adyacentes"/>
    <x v="14"/>
    <x v="0"/>
    <x v="3"/>
    <x v="53"/>
    <m/>
    <m/>
    <x v="53"/>
    <x v="0"/>
    <n v="2"/>
    <n v="1"/>
    <x v="1"/>
    <s v="HBP-MNC-004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4129"/>
    <x v="0"/>
    <x v="789"/>
    <x v="459"/>
    <s v="CA-Central de Esterilización"/>
    <x v="15"/>
    <x v="3"/>
    <x v="2"/>
    <x v="55"/>
    <n v="1"/>
    <m/>
    <x v="55"/>
    <x v="2"/>
    <n v="2"/>
    <n v="1"/>
    <x v="1"/>
    <s v="HBP-MNC-143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504"/>
    <x v="0"/>
    <x v="349"/>
    <x v="243"/>
    <s v="CM-Consultas Ambulatorias"/>
    <x v="18"/>
    <x v="6"/>
    <x v="2"/>
    <x v="56"/>
    <m/>
    <m/>
    <x v="56"/>
    <x v="0"/>
    <n v="2"/>
    <n v="1"/>
    <x v="1"/>
    <s v="HBP-MNC-011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506"/>
    <x v="0"/>
    <x v="349"/>
    <x v="243"/>
    <s v="CM-Consultas Ambulatorias"/>
    <x v="18"/>
    <x v="6"/>
    <x v="2"/>
    <x v="57"/>
    <m/>
    <m/>
    <x v="57"/>
    <x v="0"/>
    <n v="2"/>
    <n v="1"/>
    <x v="1"/>
    <s v="HBP-MNC-012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502"/>
    <x v="0"/>
    <x v="790"/>
    <x v="460"/>
    <s v="CM-Otros Servicios Adyacentes"/>
    <x v="25"/>
    <x v="0"/>
    <x v="2"/>
    <x v="58"/>
    <n v="1"/>
    <m/>
    <x v="58"/>
    <x v="0"/>
    <n v="2"/>
    <n v="1"/>
    <x v="1"/>
    <s v="HBP-MNC-142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80"/>
    <x v="0"/>
    <x v="790"/>
    <x v="460"/>
    <s v="CM-Otros Servicios Adyacentes"/>
    <x v="25"/>
    <x v="0"/>
    <x v="2"/>
    <x v="59"/>
    <n v="1"/>
    <m/>
    <x v="59"/>
    <x v="0"/>
    <n v="2"/>
    <n v="1"/>
    <x v="1"/>
    <s v="HBP-MNC-137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49"/>
    <x v="0"/>
    <x v="623"/>
    <x v="136"/>
    <s v="CM-Otros Servicios Adyacentes"/>
    <x v="31"/>
    <x v="6"/>
    <x v="3"/>
    <x v="49"/>
    <m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98"/>
    <x v="0"/>
    <x v="626"/>
    <x v="377"/>
    <s v="CM-Sala Cuna y Jardín Infantil"/>
    <x v="32"/>
    <x v="0"/>
    <x v="2"/>
    <x v="60"/>
    <n v="1"/>
    <m/>
    <x v="60"/>
    <x v="21"/>
    <n v="2"/>
    <n v="1"/>
    <x v="1"/>
    <s v="HBP-MNC-009"/>
    <s v="11105DSPAMNC-104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99"/>
    <x v="0"/>
    <x v="627"/>
    <x v="378"/>
    <s v="CM-Sala Cuna y Jardín Infantil"/>
    <x v="32"/>
    <x v="0"/>
    <x v="2"/>
    <x v="60"/>
    <m/>
    <m/>
    <x v="60"/>
    <x v="21"/>
    <n v="2"/>
    <n v="1"/>
    <x v="1"/>
    <s v="HBP-MNC-009"/>
    <s v="11105DSPAMNC-104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00"/>
    <x v="0"/>
    <x v="631"/>
    <x v="382"/>
    <s v="CM-Sala Cuna y Jardín Infantil"/>
    <x v="32"/>
    <x v="0"/>
    <x v="2"/>
    <x v="60"/>
    <m/>
    <m/>
    <x v="60"/>
    <x v="21"/>
    <n v="2"/>
    <n v="1"/>
    <x v="1"/>
    <s v="HBP-MNC-009"/>
    <s v="11105DSPAMNC-104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01"/>
    <x v="0"/>
    <x v="632"/>
    <x v="383"/>
    <s v="CM-Sala Cuna y Jardín Infantil"/>
    <x v="32"/>
    <x v="0"/>
    <x v="2"/>
    <x v="60"/>
    <m/>
    <m/>
    <x v="60"/>
    <x v="21"/>
    <n v="2"/>
    <n v="1"/>
    <x v="1"/>
    <s v="HBP-MNC-009"/>
    <s v="11105DSPAMNC-104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52"/>
    <x v="0"/>
    <x v="632"/>
    <x v="383"/>
    <s v="CM-Sala Cuna y Jardín Infantil"/>
    <x v="32"/>
    <x v="0"/>
    <x v="2"/>
    <x v="61"/>
    <n v="1"/>
    <m/>
    <x v="61"/>
    <x v="1"/>
    <n v="2"/>
    <n v="1"/>
    <x v="1"/>
    <s v="HBP-MNC-010"/>
    <s v="11105DSPAMNC-104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503"/>
    <x v="0"/>
    <x v="791"/>
    <x v="243"/>
    <s v="CN-Salas y Habitaciones de Hospitalización"/>
    <x v="35"/>
    <x v="0"/>
    <x v="2"/>
    <x v="56"/>
    <n v="1"/>
    <m/>
    <x v="56"/>
    <x v="0"/>
    <n v="2"/>
    <n v="1"/>
    <x v="1"/>
    <s v="HBP-MNC-011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505"/>
    <x v="0"/>
    <x v="791"/>
    <x v="243"/>
    <s v="CN-Salas y Habitaciones de Hospitalización"/>
    <x v="35"/>
    <x v="0"/>
    <x v="2"/>
    <x v="57"/>
    <n v="1"/>
    <m/>
    <x v="57"/>
    <x v="0"/>
    <n v="2"/>
    <n v="1"/>
    <x v="1"/>
    <s v="HBP-MNC-012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51"/>
    <x v="0"/>
    <x v="729"/>
    <x v="248"/>
    <s v="CN-Urgencia"/>
    <x v="36"/>
    <x v="0"/>
    <x v="3"/>
    <x v="49"/>
    <m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52"/>
    <x v="0"/>
    <x v="702"/>
    <x v="415"/>
    <s v="CN-Urgencia"/>
    <x v="36"/>
    <x v="0"/>
    <x v="3"/>
    <x v="49"/>
    <m/>
    <m/>
    <x v="49"/>
    <x v="0"/>
    <n v="2"/>
    <n v="1"/>
    <x v="1"/>
    <s v="HBP-MNC-158"/>
    <s v="11105DSPAMNC-104-2025"/>
    <d v="2026-06-30T00:00:00"/>
    <m/>
    <x v="0"/>
    <n v="10"/>
    <x v="12"/>
    <d v="2026-06-30T00:00:00"/>
    <d v="2027-01-07T00:00:00"/>
    <d v="2026-07-17T00:00:00"/>
    <d v="2026-07-15T00:00:00"/>
    <d v="2026-08-20T00:00:00"/>
    <s v="NA"/>
    <d v="2026-07-31T00:00:00"/>
    <s v="IU"/>
    <d v="2026-07-17T00:00:00"/>
    <n v="5"/>
    <d v="2026-07-24T00:00:00"/>
    <n v="5"/>
    <d v="2026-07-31T00:00:00"/>
  </r>
  <r>
    <s v="HSLB13468"/>
    <x v="0"/>
    <x v="792"/>
    <x v="461"/>
    <s v="CN-Urgencia"/>
    <x v="36"/>
    <x v="0"/>
    <x v="3"/>
    <x v="53"/>
    <m/>
    <m/>
    <x v="53"/>
    <x v="0"/>
    <n v="2"/>
    <n v="1"/>
    <x v="1"/>
    <s v="HBP-MNC-004"/>
    <s v="11105DSPAMNC-104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5484"/>
    <x v="0"/>
    <x v="9"/>
    <x v="8"/>
    <s v="NC-Áreas de Servicios Generales"/>
    <x v="0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140"/>
    <x v="0"/>
    <x v="793"/>
    <x v="462"/>
    <s v="CN-Otros Servicios Adyacentes"/>
    <x v="1"/>
    <x v="1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06"/>
    <x v="0"/>
    <x v="108"/>
    <x v="82"/>
    <s v="NC-Áreas Administrativas en General"/>
    <x v="1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07"/>
    <x v="0"/>
    <x v="107"/>
    <x v="81"/>
    <s v="NC-Áreas Administrativas en General"/>
    <x v="1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495"/>
    <x v="0"/>
    <x v="152"/>
    <x v="101"/>
    <s v="CM-Central de Alimentación"/>
    <x v="5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96"/>
    <x v="0"/>
    <x v="153"/>
    <x v="102"/>
    <s v="CM-Central de Alimentación"/>
    <x v="5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36"/>
    <x v="0"/>
    <x v="237"/>
    <x v="161"/>
    <s v="CM-Salas de Procedimientos no Invasivos"/>
    <x v="11"/>
    <x v="6"/>
    <x v="1"/>
    <x v="62"/>
    <n v="1"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38"/>
    <x v="0"/>
    <x v="239"/>
    <x v="163"/>
    <s v="CM-Salas de Procedimientos no Invasivo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39"/>
    <x v="0"/>
    <x v="240"/>
    <x v="163"/>
    <s v="CM-Salas de Procedimientos no Invasivo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40"/>
    <x v="0"/>
    <x v="241"/>
    <x v="163"/>
    <s v="CM-Salas de Procedimientos no Invasivo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53"/>
    <x v="0"/>
    <x v="242"/>
    <x v="164"/>
    <s v="CM-Salas de Procedimientos no Invasivo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54"/>
    <x v="0"/>
    <x v="243"/>
    <x v="165"/>
    <s v="CM-Salas de Procedimientos no Invasivo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57"/>
    <x v="0"/>
    <x v="246"/>
    <x v="168"/>
    <s v="CN-Salas de Procedimientos Invasivos y/o de Mayor Complejidad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58"/>
    <x v="0"/>
    <x v="247"/>
    <x v="168"/>
    <s v="CN-Salas de Procedimientos Invasivos y/o de Mayor Complejidad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59"/>
    <x v="0"/>
    <x v="248"/>
    <x v="168"/>
    <s v="CN-Salas de Procedimientos Invasivos y/o de Mayor Complejidad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62"/>
    <x v="0"/>
    <x v="245"/>
    <x v="167"/>
    <s v="CM-Consultas Ambulatoria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85"/>
    <x v="0"/>
    <x v="238"/>
    <x v="162"/>
    <s v="CM-Salas de Procedimientos no Invasivos"/>
    <x v="1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55"/>
    <x v="0"/>
    <x v="794"/>
    <x v="248"/>
    <s v="CM-Salas de Procedimientos no Invasivos"/>
    <x v="13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78"/>
    <x v="0"/>
    <x v="281"/>
    <x v="196"/>
    <s v="CA-Áreas de Tratamiento Especial"/>
    <x v="14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54"/>
    <x v="0"/>
    <x v="288"/>
    <x v="199"/>
    <s v="CA-Áreas de Tratamiento Especial"/>
    <x v="14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93"/>
    <x v="0"/>
    <x v="795"/>
    <x v="463"/>
    <s v="CM-Farmacia General"/>
    <x v="17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94"/>
    <x v="0"/>
    <x v="796"/>
    <x v="464"/>
    <s v="CM-Farmacia General"/>
    <x v="17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86"/>
    <x v="0"/>
    <x v="350"/>
    <x v="244"/>
    <s v="CM-Consultas Ambulatorias"/>
    <x v="18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134"/>
    <x v="0"/>
    <x v="359"/>
    <x v="248"/>
    <s v="CN-Pensionado"/>
    <x v="19"/>
    <x v="1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08"/>
    <x v="0"/>
    <x v="358"/>
    <x v="248"/>
    <s v="CN-Salas y Habitaciones de Hospitalización"/>
    <x v="19"/>
    <x v="2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10"/>
    <x v="0"/>
    <x v="360"/>
    <x v="248"/>
    <s v="CN-Salas y Habitaciones de Hospitalización"/>
    <x v="19"/>
    <x v="1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11"/>
    <x v="0"/>
    <x v="399"/>
    <x v="248"/>
    <s v="CN-Salas y Habitaciones de Hospitalización"/>
    <x v="19"/>
    <x v="4"/>
    <x v="1"/>
    <x v="62"/>
    <m/>
    <m/>
    <x v="62"/>
    <x v="0"/>
    <n v="2"/>
    <n v="1"/>
    <x v="0"/>
    <s v="HBP-MNC-129"/>
    <s v="11105DSPAMNC-105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SI"/>
    <d v="2026-09-15T00:00:00"/>
    <n v="5"/>
    <d v="2026-09-23T00:00:00"/>
    <n v="0"/>
    <d v="2026-09-23T00:00:00"/>
  </r>
  <r>
    <s v="HSLB15512"/>
    <x v="0"/>
    <x v="398"/>
    <x v="248"/>
    <s v="CN-Salas y Habitaciones de Hospitalización"/>
    <x v="19"/>
    <x v="5"/>
    <x v="1"/>
    <x v="62"/>
    <m/>
    <m/>
    <x v="62"/>
    <x v="0"/>
    <n v="2"/>
    <n v="1"/>
    <x v="0"/>
    <s v="HBP-MNC-129"/>
    <s v="11105DSPAMNC-105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SI"/>
    <d v="2026-09-15T00:00:00"/>
    <n v="5"/>
    <d v="2026-09-23T00:00:00"/>
    <n v="0"/>
    <d v="2026-09-23T00:00:00"/>
  </r>
  <r>
    <s v="HSLB15489"/>
    <x v="0"/>
    <x v="481"/>
    <x v="287"/>
    <s v="CN-Laboratorios"/>
    <x v="2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90"/>
    <x v="0"/>
    <x v="483"/>
    <x v="288"/>
    <s v="CN-Laboratorios"/>
    <x v="2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92"/>
    <x v="0"/>
    <x v="477"/>
    <x v="286"/>
    <s v="CN-Laboratorios"/>
    <x v="2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88"/>
    <x v="0"/>
    <x v="797"/>
    <x v="465"/>
    <s v="CM-Consultas Ambulatorias"/>
    <x v="22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194"/>
    <x v="0"/>
    <x v="523"/>
    <x v="316"/>
    <s v="CM-Áreas de Rehabilitación"/>
    <x v="25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83"/>
    <x v="0"/>
    <x v="525"/>
    <x v="318"/>
    <s v="CM-Áreas de Rehabilitación"/>
    <x v="25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144"/>
    <x v="0"/>
    <x v="798"/>
    <x v="462"/>
    <s v="CN-Otros Servicios Adyacentes"/>
    <x v="27"/>
    <x v="2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09"/>
    <x v="0"/>
    <x v="799"/>
    <x v="466"/>
    <s v="CN-Salas y Habitaciones de Hospitalización"/>
    <x v="27"/>
    <x v="2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02"/>
    <x v="0"/>
    <x v="570"/>
    <x v="349"/>
    <s v="CA-Otros Servicios Adyacentes"/>
    <x v="29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03"/>
    <x v="0"/>
    <x v="800"/>
    <x v="467"/>
    <s v="CA-Otros Servicios Adyacentes"/>
    <x v="29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3148"/>
    <x v="0"/>
    <x v="597"/>
    <x v="360"/>
    <s v="CA-Otros Servicios Adyacentes"/>
    <x v="30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497"/>
    <x v="0"/>
    <x v="601"/>
    <x v="28"/>
    <s v="CA-Sala Parto o Pabellón de Parto"/>
    <x v="30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498"/>
    <x v="0"/>
    <x v="593"/>
    <x v="359"/>
    <s v="CA-Sala Parto o Pabellón de Parto"/>
    <x v="30"/>
    <x v="3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99"/>
    <x v="0"/>
    <x v="594"/>
    <x v="359"/>
    <s v="CA-Sala Parto o Pabellón de Parto"/>
    <x v="30"/>
    <x v="3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500"/>
    <x v="0"/>
    <x v="595"/>
    <x v="359"/>
    <s v="CA-Sala Parto o Pabellón de Parto"/>
    <x v="30"/>
    <x v="3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095"/>
    <x v="0"/>
    <x v="624"/>
    <x v="366"/>
    <s v="CM-Salas de Procedimientos no Invasivos"/>
    <x v="31"/>
    <x v="6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56"/>
    <x v="0"/>
    <x v="671"/>
    <x v="244"/>
    <s v="CN-Otros Servicios Adyacentes"/>
    <x v="35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80"/>
    <x v="0"/>
    <x v="801"/>
    <x v="468"/>
    <s v="CN-Urgencia"/>
    <x v="36"/>
    <x v="0"/>
    <x v="1"/>
    <x v="62"/>
    <m/>
    <m/>
    <x v="62"/>
    <x v="0"/>
    <n v="2"/>
    <n v="1"/>
    <x v="0"/>
    <s v="HBP-MNC-129"/>
    <s v="11105DSPAMNC-105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SI"/>
    <d v="2026-07-15T00:00:00"/>
    <n v="5"/>
    <d v="2026-07-23T00:00:00"/>
    <n v="0"/>
    <d v="2026-07-23T00:00:00"/>
  </r>
  <r>
    <s v="HSLB13146"/>
    <x v="0"/>
    <x v="715"/>
    <x v="422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159"/>
    <x v="0"/>
    <x v="716"/>
    <x v="423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3286"/>
    <x v="0"/>
    <x v="707"/>
    <x v="339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57"/>
    <x v="0"/>
    <x v="728"/>
    <x v="433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58"/>
    <x v="0"/>
    <x v="729"/>
    <x v="248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59"/>
    <x v="0"/>
    <x v="717"/>
    <x v="424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61"/>
    <x v="0"/>
    <x v="718"/>
    <x v="425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62"/>
    <x v="0"/>
    <x v="719"/>
    <x v="426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64"/>
    <x v="0"/>
    <x v="720"/>
    <x v="427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66"/>
    <x v="0"/>
    <x v="721"/>
    <x v="428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68"/>
    <x v="0"/>
    <x v="722"/>
    <x v="429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70"/>
    <x v="0"/>
    <x v="731"/>
    <x v="434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71"/>
    <x v="0"/>
    <x v="732"/>
    <x v="244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75"/>
    <x v="0"/>
    <x v="724"/>
    <x v="431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77"/>
    <x v="0"/>
    <x v="725"/>
    <x v="432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78"/>
    <x v="0"/>
    <x v="726"/>
    <x v="432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79"/>
    <x v="0"/>
    <x v="733"/>
    <x v="435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482"/>
    <x v="0"/>
    <x v="734"/>
    <x v="436"/>
    <s v="CN-Urgencia"/>
    <x v="36"/>
    <x v="0"/>
    <x v="1"/>
    <x v="62"/>
    <m/>
    <m/>
    <x v="62"/>
    <x v="0"/>
    <n v="2"/>
    <n v="1"/>
    <x v="0"/>
    <s v="HBP-MNC-129"/>
    <s v="11105DSPAMNC-105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SI"/>
    <d v="2026-08-14T00:00:00"/>
    <n v="5"/>
    <d v="2026-08-21T00:00:00"/>
    <n v="0"/>
    <d v="2026-08-21T00:00:00"/>
  </r>
  <r>
    <s v="HSLB15501"/>
    <x v="0"/>
    <x v="766"/>
    <x v="248"/>
    <s v="CA-Unidad de Paciente Crítico"/>
    <x v="37"/>
    <x v="3"/>
    <x v="1"/>
    <x v="62"/>
    <m/>
    <m/>
    <x v="62"/>
    <x v="0"/>
    <n v="2"/>
    <n v="1"/>
    <x v="0"/>
    <s v="HBP-MNC-129"/>
    <s v="11105DSPAMNC-105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SI"/>
    <d v="2026-08-31T00:00:00"/>
    <n v="5"/>
    <d v="2026-09-07T00:00:00"/>
    <n v="0"/>
    <d v="2026-09-07T00:00:00"/>
  </r>
  <r>
    <s v="HSLB15514"/>
    <x v="0"/>
    <x v="802"/>
    <x v="469"/>
    <s v="CN-Otros Servicios Adyacentes"/>
    <x v="1"/>
    <x v="6"/>
    <x v="0"/>
    <x v="63"/>
    <n v="1"/>
    <m/>
    <x v="63"/>
    <x v="1"/>
    <n v="3"/>
    <n v="1"/>
    <x v="2"/>
    <s v="HBP-MNC-087"/>
    <s v="11105DSPAMNC-109-2025"/>
    <d v="2026-06-30T00:00:00"/>
    <m/>
    <x v="0"/>
    <n v="2"/>
    <x v="15"/>
    <d v="2026-06-30T00:00:00"/>
    <d v="2027-01-07T00:00:00"/>
    <d v="2026-07-06T00:00:00"/>
    <d v="2026-07-03T00:00:00"/>
    <d v="2026-08-20T00:00:00"/>
    <s v="NA"/>
    <d v="2026-07-31T00:00:00"/>
    <s v="IU"/>
    <d v="2026-07-06T00:00:00"/>
    <n v="5"/>
    <d v="2026-07-13T00:00:00"/>
    <n v="5"/>
    <d v="2026-07-21T00:00:00"/>
  </r>
  <r>
    <s v="HSLB15513"/>
    <x v="0"/>
    <x v="802"/>
    <x v="469"/>
    <s v="CN-Otros Servicios Adyacentes"/>
    <x v="1"/>
    <x v="6"/>
    <x v="0"/>
    <x v="64"/>
    <n v="1"/>
    <m/>
    <x v="64"/>
    <x v="0"/>
    <n v="3"/>
    <n v="1"/>
    <x v="2"/>
    <s v="HBP-MNC-087"/>
    <s v="11105DSPAMNC-109-2025"/>
    <d v="2026-06-30T00:00:00"/>
    <m/>
    <x v="0"/>
    <n v="2"/>
    <x v="15"/>
    <d v="2026-06-30T00:00:00"/>
    <d v="2027-01-07T00:00:00"/>
    <d v="2026-07-06T00:00:00"/>
    <d v="2026-07-03T00:00:00"/>
    <d v="2026-08-20T00:00:00"/>
    <s v="NA"/>
    <d v="2026-07-31T00:00:00"/>
    <s v="IU"/>
    <d v="2026-07-06T00:00:00"/>
    <n v="5"/>
    <d v="2026-07-13T00:00:00"/>
    <n v="5"/>
    <d v="2026-07-21T00:00:00"/>
  </r>
  <r>
    <s v="HSLB15144"/>
    <x v="0"/>
    <x v="793"/>
    <x v="462"/>
    <s v="CN-Otros Servicios Adyacentes"/>
    <x v="1"/>
    <x v="1"/>
    <x v="0"/>
    <x v="65"/>
    <m/>
    <m/>
    <x v="65"/>
    <x v="3"/>
    <n v="3"/>
    <n v="1"/>
    <x v="2"/>
    <s v="HBP-MNC-082"/>
    <s v="11105DSPAMNC-109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479"/>
    <x v="0"/>
    <x v="129"/>
    <x v="84"/>
    <s v="NC-Otros Servicios Adyacentes"/>
    <x v="2"/>
    <x v="3"/>
    <x v="3"/>
    <x v="66"/>
    <n v="1"/>
    <m/>
    <x v="66"/>
    <x v="0"/>
    <n v="3"/>
    <n v="1"/>
    <x v="2"/>
    <s v="HBP-MNC- 053"/>
    <s v="11105DSPAMNC-109-2025"/>
    <d v="2026-07-15T00:00:00"/>
    <m/>
    <x v="1"/>
    <n v="2"/>
    <x v="16"/>
    <d v="2026-07-15T00:00:00"/>
    <d v="2027-01-07T00:00:00"/>
    <d v="2026-07-22T00:00:00"/>
    <d v="2026-07-21T00:00:00"/>
    <d v="2026-08-20T00:00:00"/>
    <s v="NA"/>
    <d v="2026-07-31T00:00:00"/>
    <s v="IU"/>
    <d v="2026-07-22T00:00:00"/>
    <n v="5"/>
    <d v="2026-07-29T00:00:00"/>
    <n v="5"/>
    <d v="2026-08-05T00:00:00"/>
  </r>
  <r>
    <s v="HSLB13316"/>
    <x v="0"/>
    <x v="346"/>
    <x v="28"/>
    <s v="CM-Consultas Ambulatorias"/>
    <x v="18"/>
    <x v="6"/>
    <x v="1"/>
    <x v="67"/>
    <m/>
    <m/>
    <x v="67"/>
    <x v="0"/>
    <n v="3"/>
    <n v="1"/>
    <x v="2"/>
    <s v="HBP-MNC-040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317"/>
    <x v="0"/>
    <x v="347"/>
    <x v="28"/>
    <s v="CM-Consultas Ambulatorias"/>
    <x v="18"/>
    <x v="6"/>
    <x v="1"/>
    <x v="67"/>
    <m/>
    <m/>
    <x v="67"/>
    <x v="0"/>
    <n v="3"/>
    <n v="1"/>
    <x v="2"/>
    <s v="HBP-MNC-040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4131"/>
    <x v="0"/>
    <x v="430"/>
    <x v="255"/>
    <s v="CM-Residencias Médicas"/>
    <x v="19"/>
    <x v="4"/>
    <x v="2"/>
    <x v="68"/>
    <m/>
    <m/>
    <x v="68"/>
    <x v="0"/>
    <n v="3"/>
    <n v="1"/>
    <x v="2"/>
    <s v="HBP-MNC-063"/>
    <s v="11105DSPAMNC-109-2025"/>
    <d v="2026-07-31T00:00:00"/>
    <m/>
    <x v="2"/>
    <n v="30"/>
    <x v="8"/>
    <d v="2026-07-31T00:00:00"/>
    <d v="2027-01-07T00:00:00"/>
    <d v="2026-09-15T00:00:00"/>
    <d v="2026-09-14T00:00:00"/>
    <d v="2026-08-20T00:00:00"/>
    <s v="NA"/>
    <d v="2026-07-31T00:00:00"/>
    <s v="IU"/>
    <d v="2026-09-15T00:00:00"/>
    <n v="5"/>
    <d v="2026-09-23T00:00:00"/>
    <n v="5"/>
    <d v="2026-09-30T00:00:00"/>
  </r>
  <r>
    <s v="HSLB14125"/>
    <x v="0"/>
    <x v="449"/>
    <x v="265"/>
    <s v="CN-Otros Servicios Adyacentes"/>
    <x v="21"/>
    <x v="6"/>
    <x v="2"/>
    <x v="69"/>
    <n v="1"/>
    <m/>
    <x v="69"/>
    <x v="0"/>
    <n v="3"/>
    <n v="1"/>
    <x v="2"/>
    <s v="HBP-MNC-062"/>
    <s v="11105DSPAMNC-109-2025"/>
    <d v="2026-06-30T00:00:00"/>
    <m/>
    <x v="0"/>
    <n v="2"/>
    <x v="15"/>
    <d v="2026-06-30T00:00:00"/>
    <d v="2027-01-07T00:00:00"/>
    <d v="2026-07-06T00:00:00"/>
    <d v="2026-07-03T00:00:00"/>
    <d v="2026-08-20T00:00:00"/>
    <s v="NA"/>
    <d v="2026-07-31T00:00:00"/>
    <s v="IU"/>
    <d v="2026-07-06T00:00:00"/>
    <n v="5"/>
    <d v="2026-07-13T00:00:00"/>
    <n v="5"/>
    <d v="2026-07-21T00:00:00"/>
  </r>
  <r>
    <s v="HSLB14144"/>
    <x v="0"/>
    <x v="484"/>
    <x v="289"/>
    <s v="CM-Residencias Médicas"/>
    <x v="21"/>
    <x v="6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26"/>
    <x v="0"/>
    <x v="803"/>
    <x v="470"/>
    <s v="CM-Áreas de Rehabilitación"/>
    <x v="25"/>
    <x v="0"/>
    <x v="2"/>
    <x v="69"/>
    <m/>
    <m/>
    <x v="69"/>
    <x v="0"/>
    <n v="3"/>
    <n v="1"/>
    <x v="2"/>
    <s v="HBP-MNC-062"/>
    <s v="11105DSPAMNC-109-2025"/>
    <d v="2026-06-30T00:00:00"/>
    <m/>
    <x v="0"/>
    <n v="2"/>
    <x v="15"/>
    <d v="2026-06-30T00:00:00"/>
    <d v="2027-01-07T00:00:00"/>
    <d v="2026-07-06T00:00:00"/>
    <d v="2026-07-03T00:00:00"/>
    <d v="2026-08-20T00:00:00"/>
    <s v="NA"/>
    <d v="2026-07-31T00:00:00"/>
    <s v="IU"/>
    <d v="2026-07-06T00:00:00"/>
    <n v="5"/>
    <d v="2026-07-13T00:00:00"/>
    <n v="5"/>
    <d v="2026-07-21T00:00:00"/>
  </r>
  <r>
    <s v="HSLB14127"/>
    <x v="0"/>
    <x v="521"/>
    <x v="314"/>
    <s v="CM-Áreas de Rehabilitación"/>
    <x v="25"/>
    <x v="0"/>
    <x v="2"/>
    <x v="69"/>
    <m/>
    <m/>
    <x v="69"/>
    <x v="0"/>
    <n v="3"/>
    <n v="1"/>
    <x v="2"/>
    <s v="HBP-MNC-062"/>
    <s v="11105DSPAMNC-109-2025"/>
    <d v="2026-06-30T00:00:00"/>
    <m/>
    <x v="0"/>
    <n v="2"/>
    <x v="15"/>
    <d v="2026-06-30T00:00:00"/>
    <d v="2027-01-07T00:00:00"/>
    <d v="2026-07-06T00:00:00"/>
    <d v="2026-07-03T00:00:00"/>
    <d v="2026-08-20T00:00:00"/>
    <s v="NA"/>
    <d v="2026-07-31T00:00:00"/>
    <s v="IU"/>
    <d v="2026-07-06T00:00:00"/>
    <n v="5"/>
    <d v="2026-07-13T00:00:00"/>
    <n v="5"/>
    <d v="2026-07-21T00:00:00"/>
  </r>
  <r>
    <s v="HSLB14128"/>
    <x v="0"/>
    <x v="511"/>
    <x v="307"/>
    <s v="CM-Áreas de Rehabilitación"/>
    <x v="25"/>
    <x v="0"/>
    <x v="2"/>
    <x v="69"/>
    <m/>
    <m/>
    <x v="69"/>
    <x v="0"/>
    <n v="3"/>
    <n v="1"/>
    <x v="2"/>
    <s v="HBP-MNC-062"/>
    <s v="11105DSPAMNC-109-2025"/>
    <d v="2026-06-30T00:00:00"/>
    <m/>
    <x v="0"/>
    <n v="2"/>
    <x v="15"/>
    <d v="2026-06-30T00:00:00"/>
    <d v="2027-01-07T00:00:00"/>
    <d v="2026-07-06T00:00:00"/>
    <d v="2026-07-03T00:00:00"/>
    <d v="2026-08-20T00:00:00"/>
    <s v="NA"/>
    <d v="2026-07-31T00:00:00"/>
    <s v="IU"/>
    <d v="2026-07-06T00:00:00"/>
    <n v="5"/>
    <d v="2026-07-13T00:00:00"/>
    <n v="5"/>
    <d v="2026-07-21T00:00:00"/>
  </r>
  <r>
    <s v="HSLB13456"/>
    <x v="0"/>
    <x v="507"/>
    <x v="303"/>
    <s v="CM-Áreas de Rehabilitación"/>
    <x v="25"/>
    <x v="0"/>
    <x v="3"/>
    <x v="70"/>
    <n v="1"/>
    <m/>
    <x v="70"/>
    <x v="0"/>
    <n v="3"/>
    <n v="1"/>
    <x v="2"/>
    <s v="HBP-MNC-146"/>
    <s v="11105DSPAMNC-109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3356"/>
    <x v="0"/>
    <x v="517"/>
    <x v="28"/>
    <s v="CM-Otros Servicios Adyacentes"/>
    <x v="25"/>
    <x v="0"/>
    <x v="1"/>
    <x v="67"/>
    <m/>
    <m/>
    <x v="67"/>
    <x v="0"/>
    <n v="3"/>
    <n v="1"/>
    <x v="2"/>
    <s v="HBP-MNC-040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42"/>
    <x v="0"/>
    <x v="803"/>
    <x v="470"/>
    <s v="CM-Áreas de Rehabilitación"/>
    <x v="25"/>
    <x v="0"/>
    <x v="1"/>
    <x v="71"/>
    <n v="1"/>
    <m/>
    <x v="71"/>
    <x v="0"/>
    <n v="3"/>
    <n v="1"/>
    <x v="2"/>
    <s v="HBP-MNC-045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43"/>
    <x v="0"/>
    <x v="510"/>
    <x v="306"/>
    <s v="CM-Áreas de Rehabilitación"/>
    <x v="25"/>
    <x v="0"/>
    <x v="1"/>
    <x v="71"/>
    <m/>
    <m/>
    <x v="71"/>
    <x v="0"/>
    <n v="3"/>
    <n v="1"/>
    <x v="2"/>
    <s v="HBP-MNC-045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444"/>
    <x v="0"/>
    <x v="804"/>
    <x v="471"/>
    <s v="CM-Áreas de Rehabilitación"/>
    <x v="25"/>
    <x v="0"/>
    <x v="1"/>
    <x v="71"/>
    <m/>
    <m/>
    <x v="71"/>
    <x v="0"/>
    <n v="3"/>
    <n v="1"/>
    <x v="2"/>
    <s v="HBP-MNC-045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4137"/>
    <x v="0"/>
    <x v="507"/>
    <x v="303"/>
    <s v="CM-Áreas de Rehabilitación"/>
    <x v="25"/>
    <x v="0"/>
    <x v="2"/>
    <x v="68"/>
    <m/>
    <m/>
    <x v="68"/>
    <x v="0"/>
    <n v="3"/>
    <n v="1"/>
    <x v="2"/>
    <s v="HBP-MNC-063"/>
    <s v="11105DSPAMNC-109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4162"/>
    <x v="0"/>
    <x v="510"/>
    <x v="306"/>
    <s v="CM-Áreas de Rehabilitación"/>
    <x v="25"/>
    <x v="0"/>
    <x v="0"/>
    <x v="72"/>
    <n v="1"/>
    <m/>
    <x v="72"/>
    <x v="8"/>
    <n v="3"/>
    <n v="1"/>
    <x v="2"/>
    <s v="HBP-MNC-157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145"/>
    <x v="0"/>
    <x v="798"/>
    <x v="462"/>
    <s v="CN-Otros Servicios Adyacentes"/>
    <x v="27"/>
    <x v="2"/>
    <x v="0"/>
    <x v="65"/>
    <m/>
    <m/>
    <x v="65"/>
    <x v="3"/>
    <n v="3"/>
    <n v="1"/>
    <x v="2"/>
    <s v="HBP-MNC-082"/>
    <s v="11105DSPAMNC-109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4145"/>
    <x v="0"/>
    <x v="585"/>
    <x v="289"/>
    <s v="CM-Residencias Médicas"/>
    <x v="29"/>
    <x v="3"/>
    <x v="2"/>
    <x v="68"/>
    <m/>
    <m/>
    <x v="68"/>
    <x v="0"/>
    <n v="3"/>
    <n v="1"/>
    <x v="2"/>
    <s v="HBP-MNC-063"/>
    <s v="11105DSPAMNC-109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82"/>
    <x v="0"/>
    <x v="805"/>
    <x v="472"/>
    <s v="CM-Otros Servicios Adyacentes"/>
    <x v="31"/>
    <x v="6"/>
    <x v="0"/>
    <x v="73"/>
    <n v="1"/>
    <m/>
    <x v="73"/>
    <x v="6"/>
    <n v="3"/>
    <n v="1"/>
    <x v="2"/>
    <s v="HBP-MNC-084"/>
    <s v="11105DSPAMNC-109-2025"/>
    <d v="2026-05-29T00:00:00"/>
    <m/>
    <x v="3"/>
    <n v="30"/>
    <x v="9"/>
    <d v="2026-05-29T00:00:00"/>
    <d v="2027-01-07T00:00:00"/>
    <d v="2026-07-15T00:00:00"/>
    <d v="2026-07-14T00:00:00"/>
    <d v="2026-08-20T00:00:00"/>
    <s v="NA"/>
    <d v="2026-07-31T00:00:00"/>
    <s v="IU"/>
    <d v="2026-07-15T00:00:00"/>
    <n v="5"/>
    <d v="2026-07-23T00:00:00"/>
    <n v="5"/>
    <d v="2026-07-30T00:00:00"/>
  </r>
  <r>
    <s v="HSLB15143"/>
    <x v="0"/>
    <x v="625"/>
    <x v="376"/>
    <s v="CM-Otros Servicios Adyacentes"/>
    <x v="31"/>
    <x v="6"/>
    <x v="0"/>
    <x v="65"/>
    <n v="1"/>
    <m/>
    <x v="65"/>
    <x v="2"/>
    <n v="3"/>
    <n v="1"/>
    <x v="2"/>
    <s v="HBP-MNC-082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394"/>
    <x v="0"/>
    <x v="637"/>
    <x v="388"/>
    <s v="CM-Otros Servicios Adyacentes"/>
    <x v="32"/>
    <x v="0"/>
    <x v="1"/>
    <x v="67"/>
    <m/>
    <m/>
    <x v="67"/>
    <x v="0"/>
    <n v="3"/>
    <n v="1"/>
    <x v="2"/>
    <s v="HBP-MNC-040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4568"/>
    <x v="0"/>
    <x v="631"/>
    <x v="382"/>
    <s v="CM-Sala Cuna y Jardín Infantil"/>
    <x v="32"/>
    <x v="0"/>
    <x v="0"/>
    <x v="74"/>
    <n v="1"/>
    <m/>
    <x v="74"/>
    <x v="1"/>
    <n v="3"/>
    <n v="1"/>
    <x v="2"/>
    <s v="HBP-MNC-074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69"/>
    <x v="0"/>
    <x v="632"/>
    <x v="383"/>
    <s v="CM-Sala Cuna y Jardín Infantil"/>
    <x v="32"/>
    <x v="0"/>
    <x v="0"/>
    <x v="74"/>
    <m/>
    <m/>
    <x v="74"/>
    <x v="1"/>
    <n v="3"/>
    <n v="1"/>
    <x v="2"/>
    <s v="HBP-MNC-074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570"/>
    <x v="0"/>
    <x v="629"/>
    <x v="380"/>
    <s v="CM-Sala Cuna y Jardín Infantil"/>
    <x v="32"/>
    <x v="0"/>
    <x v="0"/>
    <x v="74"/>
    <m/>
    <m/>
    <x v="74"/>
    <x v="4"/>
    <n v="3"/>
    <n v="1"/>
    <x v="2"/>
    <s v="HBP-MNC-074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457"/>
    <x v="0"/>
    <x v="660"/>
    <x v="399"/>
    <s v="CN-Salas y Habitaciones de Hospitalización"/>
    <x v="35"/>
    <x v="0"/>
    <x v="3"/>
    <x v="75"/>
    <n v="1"/>
    <m/>
    <x v="75"/>
    <x v="0"/>
    <n v="3"/>
    <n v="1"/>
    <x v="2"/>
    <s v="HBP-MNC-147"/>
    <s v="11105DSPAMNC-109-2025"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3314"/>
    <x v="0"/>
    <x v="668"/>
    <x v="28"/>
    <s v="CN-Salas y Habitaciones de Hospitalización"/>
    <x v="35"/>
    <x v="0"/>
    <x v="1"/>
    <x v="67"/>
    <n v="1"/>
    <m/>
    <x v="67"/>
    <x v="2"/>
    <n v="3"/>
    <n v="1"/>
    <x v="2"/>
    <s v="HBP-MNC-040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3315"/>
    <x v="0"/>
    <x v="669"/>
    <x v="28"/>
    <s v="CN-Salas y Habitaciones de Hospitalización"/>
    <x v="35"/>
    <x v="0"/>
    <x v="1"/>
    <x v="67"/>
    <m/>
    <m/>
    <x v="67"/>
    <x v="2"/>
    <n v="3"/>
    <n v="1"/>
    <x v="2"/>
    <s v="HBP-MNC-040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5147"/>
    <x v="0"/>
    <x v="806"/>
    <x v="473"/>
    <s v="CN-Urgencia"/>
    <x v="36"/>
    <x v="0"/>
    <x v="0"/>
    <x v="76"/>
    <m/>
    <m/>
    <x v="76"/>
    <x v="0"/>
    <n v="3"/>
    <n v="1"/>
    <x v="2"/>
    <s v="HBP-MNC-083"/>
    <s v="11105DSPAMNC-109-2025"/>
    <d v="2026-05-29T00:00:00"/>
    <d v="2026-05-29T00:00:00"/>
    <x v="3"/>
    <n v="2"/>
    <x v="17"/>
    <d v="2026-05-29T00:00:00"/>
    <d v="2027-01-07T00:00:00"/>
    <d v="2026-06-04T00:00:00"/>
    <d v="2026-06-03T00:00:00"/>
    <d v="2026-08-20T00:00:00"/>
    <s v="NA"/>
    <d v="2026-07-31T00:00:00"/>
    <s v="IU"/>
    <d v="2026-06-04T00:00:00"/>
    <n v="5"/>
    <d v="2026-06-11T00:00:00"/>
    <n v="5"/>
    <d v="2026-06-18T00:00:00"/>
  </r>
  <r>
    <s v="HSLB15148"/>
    <x v="0"/>
    <x v="801"/>
    <x v="468"/>
    <s v="CN-Urgencia"/>
    <x v="36"/>
    <x v="0"/>
    <x v="0"/>
    <x v="76"/>
    <m/>
    <m/>
    <x v="76"/>
    <x v="0"/>
    <n v="3"/>
    <n v="1"/>
    <x v="2"/>
    <s v="HBP-MNC-083"/>
    <s v="11105DSPAMNC-109-2025"/>
    <d v="2026-05-29T00:00:00"/>
    <d v="2026-05-29T00:00:00"/>
    <x v="3"/>
    <n v="2"/>
    <x v="17"/>
    <d v="2026-05-29T00:00:00"/>
    <d v="2027-01-07T00:00:00"/>
    <d v="2026-06-04T00:00:00"/>
    <d v="2026-06-03T00:00:00"/>
    <d v="2026-08-20T00:00:00"/>
    <s v="NA"/>
    <d v="2026-07-31T00:00:00"/>
    <s v="IU"/>
    <d v="2026-06-04T00:00:00"/>
    <n v="5"/>
    <d v="2026-06-11T00:00:00"/>
    <n v="5"/>
    <d v="2026-06-18T00:00:00"/>
  </r>
  <r>
    <s v="HSLB15265"/>
    <x v="0"/>
    <x v="807"/>
    <x v="474"/>
    <s v="NC-SAMU"/>
    <x v="36"/>
    <x v="0"/>
    <x v="3"/>
    <x v="70"/>
    <m/>
    <m/>
    <x v="70"/>
    <x v="2"/>
    <n v="3"/>
    <n v="1"/>
    <x v="2"/>
    <s v="HBP-MNC-146"/>
    <s v="11105DSPAMNC-109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66"/>
    <x v="0"/>
    <x v="808"/>
    <x v="474"/>
    <s v="NC-SAMU"/>
    <x v="36"/>
    <x v="0"/>
    <x v="3"/>
    <x v="70"/>
    <m/>
    <m/>
    <x v="70"/>
    <x v="2"/>
    <n v="3"/>
    <n v="1"/>
    <x v="2"/>
    <s v="HBP-MNC-146"/>
    <s v="11105DSPAMNC-109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67"/>
    <x v="0"/>
    <x v="809"/>
    <x v="474"/>
    <s v="NC-SAMU"/>
    <x v="36"/>
    <x v="0"/>
    <x v="3"/>
    <x v="70"/>
    <m/>
    <m/>
    <x v="70"/>
    <x v="2"/>
    <n v="3"/>
    <n v="1"/>
    <x v="2"/>
    <s v="HBP-MNC-146"/>
    <s v="11105DSPAMNC-109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68"/>
    <x v="0"/>
    <x v="810"/>
    <x v="474"/>
    <s v="NC-SAMU"/>
    <x v="36"/>
    <x v="0"/>
    <x v="3"/>
    <x v="70"/>
    <m/>
    <m/>
    <x v="70"/>
    <x v="2"/>
    <n v="3"/>
    <n v="1"/>
    <x v="2"/>
    <s v="HBP-MNC-146"/>
    <s v="11105DSPAMNC-109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69"/>
    <x v="0"/>
    <x v="811"/>
    <x v="475"/>
    <s v="NC-SAMU"/>
    <x v="36"/>
    <x v="0"/>
    <x v="3"/>
    <x v="70"/>
    <m/>
    <m/>
    <x v="70"/>
    <x v="0"/>
    <n v="3"/>
    <n v="1"/>
    <x v="2"/>
    <s v="HBP-MNC-146"/>
    <s v="11105DSPAMNC-109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70"/>
    <x v="0"/>
    <x v="812"/>
    <x v="475"/>
    <s v="NC-SAMU"/>
    <x v="36"/>
    <x v="0"/>
    <x v="3"/>
    <x v="70"/>
    <m/>
    <m/>
    <x v="70"/>
    <x v="0"/>
    <n v="3"/>
    <n v="1"/>
    <x v="2"/>
    <s v="HBP-MNC-146"/>
    <s v="11105DSPAMNC-109-2025"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313"/>
    <x v="0"/>
    <x v="813"/>
    <x v="476"/>
    <s v="CN-Urgencia"/>
    <x v="36"/>
    <x v="0"/>
    <x v="1"/>
    <x v="77"/>
    <n v="1"/>
    <m/>
    <x v="77"/>
    <x v="0"/>
    <n v="3"/>
    <n v="1"/>
    <x v="2"/>
    <s v="HBP-MNC-039"/>
    <s v="11105DSPAMNC-109-2025"/>
    <d v="2026-06-30T00:00:00"/>
    <m/>
    <x v="0"/>
    <n v="15"/>
    <x v="13"/>
    <d v="2026-06-30T00:00:00"/>
    <d v="2027-01-07T00:00:00"/>
    <d v="2026-07-24T00:00:00"/>
    <d v="2026-07-23T00:00:00"/>
    <d v="2026-08-20T00:00:00"/>
    <s v="NA"/>
    <d v="2026-07-31T00:00:00"/>
    <s v="IU"/>
    <d v="2026-07-24T00:00:00"/>
    <n v="5"/>
    <d v="2026-07-31T00:00:00"/>
    <n v="5"/>
    <d v="2026-08-07T00:00:00"/>
  </r>
  <r>
    <s v="HSLB14132"/>
    <x v="0"/>
    <x v="735"/>
    <x v="289"/>
    <s v="CN-Otros Servicios Adyacentes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3"/>
    <x v="0"/>
    <x v="736"/>
    <x v="289"/>
    <s v="CN-Otros Servicios Adyacentes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4"/>
    <x v="0"/>
    <x v="737"/>
    <x v="289"/>
    <s v="CN-Otros Servicios Adyacentes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5"/>
    <x v="0"/>
    <x v="738"/>
    <x v="289"/>
    <s v="CN-Otros Servicios Adyacentes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6"/>
    <x v="0"/>
    <x v="739"/>
    <x v="289"/>
    <s v="CN-Otros Servicios Adyacentes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8"/>
    <x v="0"/>
    <x v="807"/>
    <x v="474"/>
    <s v="NC-SAMU"/>
    <x v="36"/>
    <x v="0"/>
    <x v="2"/>
    <x v="68"/>
    <m/>
    <m/>
    <x v="68"/>
    <x v="2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9"/>
    <x v="0"/>
    <x v="808"/>
    <x v="474"/>
    <s v="NC-SAMU"/>
    <x v="36"/>
    <x v="0"/>
    <x v="2"/>
    <x v="68"/>
    <m/>
    <m/>
    <x v="68"/>
    <x v="2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40"/>
    <x v="0"/>
    <x v="809"/>
    <x v="474"/>
    <s v="NC-SAMU"/>
    <x v="36"/>
    <x v="0"/>
    <x v="2"/>
    <x v="68"/>
    <m/>
    <m/>
    <x v="68"/>
    <x v="2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41"/>
    <x v="0"/>
    <x v="810"/>
    <x v="474"/>
    <s v="NC-SAMU"/>
    <x v="36"/>
    <x v="0"/>
    <x v="2"/>
    <x v="68"/>
    <m/>
    <m/>
    <x v="68"/>
    <x v="2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42"/>
    <x v="0"/>
    <x v="811"/>
    <x v="475"/>
    <s v="NC-SAMU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43"/>
    <x v="0"/>
    <x v="812"/>
    <x v="475"/>
    <s v="NC-SAMU"/>
    <x v="36"/>
    <x v="0"/>
    <x v="2"/>
    <x v="68"/>
    <m/>
    <m/>
    <x v="68"/>
    <x v="0"/>
    <n v="3"/>
    <n v="1"/>
    <x v="2"/>
    <s v="HBP-MNC-063"/>
    <s v="11105DSPAMNC-109-2025"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130"/>
    <x v="0"/>
    <x v="767"/>
    <x v="255"/>
    <s v="CA-Otros Servicios Adyacentes"/>
    <x v="37"/>
    <x v="3"/>
    <x v="2"/>
    <x v="68"/>
    <n v="1"/>
    <m/>
    <x v="68"/>
    <x v="0"/>
    <n v="3"/>
    <n v="1"/>
    <x v="2"/>
    <s v="HBP-MNC-063"/>
    <s v="11105DSPAMNC-109-2025"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146"/>
    <x v="0"/>
    <x v="814"/>
    <x v="473"/>
    <s v="CN-Urgencia"/>
    <x v="36"/>
    <x v="0"/>
    <x v="0"/>
    <x v="76"/>
    <n v="1"/>
    <m/>
    <x v="76"/>
    <x v="0"/>
    <n v="3"/>
    <n v="1"/>
    <x v="2"/>
    <s v="HBP-MNC-083"/>
    <s v="11105DSPAMNC-109-2025"/>
    <d v="2026-05-29T00:00:00"/>
    <d v="2026-05-29T00:00:00"/>
    <x v="3"/>
    <n v="2"/>
    <x v="17"/>
    <d v="2026-05-29T00:00:00"/>
    <d v="2027-01-07T00:00:00"/>
    <d v="2026-06-04T00:00:00"/>
    <d v="2026-06-03T00:00:00"/>
    <d v="2026-08-20T00:00:00"/>
    <s v="NA"/>
    <d v="2026-07-31T00:00:00"/>
    <s v="IU"/>
    <d v="2026-06-04T00:00:00"/>
    <n v="5"/>
    <d v="2026-06-11T00:00:00"/>
    <n v="5"/>
    <d v="2026-06-18T00:00:00"/>
  </r>
  <r>
    <s v="HSLB15472"/>
    <x v="0"/>
    <x v="814"/>
    <x v="473"/>
    <s v="CN-Urgencia"/>
    <x v="36"/>
    <x v="0"/>
    <x v="1"/>
    <x v="62"/>
    <m/>
    <m/>
    <x v="62"/>
    <x v="0"/>
    <n v="2"/>
    <n v="1"/>
    <x v="0"/>
    <s v="HBP-MNC-129"/>
    <s v="11105DSPAMNC-105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SI"/>
    <d v="2026-07-15T00:00:00"/>
    <n v="5"/>
    <d v="2026-07-23T00:00:00"/>
    <n v="0"/>
    <d v="2026-07-23T00:00:00"/>
  </r>
  <r>
    <s v="HSLB15473"/>
    <x v="0"/>
    <x v="814"/>
    <x v="473"/>
    <s v="CN-Urgencia"/>
    <x v="36"/>
    <x v="0"/>
    <x v="1"/>
    <x v="62"/>
    <m/>
    <m/>
    <x v="62"/>
    <x v="0"/>
    <n v="2"/>
    <n v="1"/>
    <x v="0"/>
    <s v="HBP-MNC-129"/>
    <s v="11105DSPAMNC-105-2025"/>
    <d v="2026-05-29T00:00:00"/>
    <d v="2026-05-29T00:00:00"/>
    <x v="3"/>
    <n v="30"/>
    <x v="9"/>
    <d v="2026-05-29T00:00:00"/>
    <d v="2027-01-07T00:00:00"/>
    <d v="2026-07-15T00:00:00"/>
    <d v="2026-07-14T00:00:00"/>
    <d v="2026-08-20T00:00:00"/>
    <s v="NA"/>
    <d v="2026-07-31T00:00:00"/>
    <s v="SI"/>
    <d v="2026-07-15T00:00:00"/>
    <n v="5"/>
    <d v="2026-07-23T00:00:00"/>
    <n v="0"/>
    <d v="2026-07-23T00:00:00"/>
  </r>
  <r>
    <s v="HSLB13402"/>
    <x v="0"/>
    <x v="109"/>
    <x v="1"/>
    <s v="CN-Otros Servicios Adyacentes"/>
    <x v="1"/>
    <x v="1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09"/>
    <x v="0"/>
    <x v="110"/>
    <x v="1"/>
    <s v="CN-Otros Servicios Adyacentes"/>
    <x v="1"/>
    <x v="1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10"/>
    <x v="0"/>
    <x v="14"/>
    <x v="12"/>
    <s v="CN-Otros Servicios Adyacentes"/>
    <x v="1"/>
    <x v="1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11"/>
    <x v="0"/>
    <x v="111"/>
    <x v="1"/>
    <s v="CN-Otros Servicios Adyacentes"/>
    <x v="1"/>
    <x v="2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12"/>
    <x v="0"/>
    <x v="16"/>
    <x v="12"/>
    <s v="CN-Otros Servicios Adyacentes"/>
    <x v="1"/>
    <x v="2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38"/>
    <x v="0"/>
    <x v="112"/>
    <x v="1"/>
    <s v="CN-Otros Servicios Adyacentes"/>
    <x v="1"/>
    <x v="2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03"/>
    <x v="0"/>
    <x v="119"/>
    <x v="1"/>
    <s v="CN-Otros Servicios Adyacentes"/>
    <x v="1"/>
    <x v="5"/>
    <x v="1"/>
    <x v="78"/>
    <m/>
    <m/>
    <x v="78"/>
    <x v="0"/>
    <m/>
    <m/>
    <x v="3"/>
    <m/>
    <m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404"/>
    <x v="0"/>
    <x v="120"/>
    <x v="1"/>
    <s v="CN-Otros Servicios Adyacentes"/>
    <x v="1"/>
    <x v="5"/>
    <x v="1"/>
    <x v="78"/>
    <m/>
    <m/>
    <x v="78"/>
    <x v="0"/>
    <m/>
    <m/>
    <x v="3"/>
    <m/>
    <m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406"/>
    <x v="0"/>
    <x v="121"/>
    <x v="1"/>
    <s v="CN-Otros Servicios Adyacentes"/>
    <x v="1"/>
    <x v="4"/>
    <x v="1"/>
    <x v="78"/>
    <m/>
    <m/>
    <x v="78"/>
    <x v="0"/>
    <m/>
    <m/>
    <x v="3"/>
    <m/>
    <m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3407"/>
    <x v="0"/>
    <x v="122"/>
    <x v="1"/>
    <s v="CN-Otros Servicios Adyacentes"/>
    <x v="1"/>
    <x v="4"/>
    <x v="1"/>
    <x v="78"/>
    <m/>
    <m/>
    <x v="78"/>
    <x v="0"/>
    <m/>
    <m/>
    <x v="3"/>
    <m/>
    <m/>
    <d v="2026-07-31T00:00:00"/>
    <m/>
    <x v="2"/>
    <n v="5"/>
    <x v="4"/>
    <d v="2026-07-31T00:00:00"/>
    <d v="2027-01-07T00:00:00"/>
    <d v="2026-08-11T00:00:00"/>
    <d v="2026-08-10T00:00:00"/>
    <d v="2026-08-20T00:00:00"/>
    <s v="NA"/>
    <d v="2026-07-31T00:00:00"/>
    <s v="IU"/>
    <d v="2026-08-11T00:00:00"/>
    <n v="5"/>
    <d v="2026-08-18T00:00:00"/>
    <n v="5"/>
    <d v="2026-08-25T00:00:00"/>
  </r>
  <r>
    <s v="HSLB14326"/>
    <x v="0"/>
    <x v="793"/>
    <x v="462"/>
    <s v="CN-Otros Servicios Adyacentes"/>
    <x v="1"/>
    <x v="1"/>
    <x v="0"/>
    <x v="79"/>
    <m/>
    <m/>
    <x v="79"/>
    <x v="0"/>
    <m/>
    <m/>
    <x v="3"/>
    <m/>
    <m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437"/>
    <x v="0"/>
    <x v="138"/>
    <x v="93"/>
    <s v="NC-Otros Servicios Adyacentes"/>
    <x v="4"/>
    <x v="0"/>
    <x v="1"/>
    <x v="78"/>
    <m/>
    <m/>
    <x v="78"/>
    <x v="1"/>
    <m/>
    <m/>
    <x v="3"/>
    <m/>
    <m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3395"/>
    <x v="0"/>
    <x v="140"/>
    <x v="93"/>
    <s v="NC-Otros Servicios Adyacentes"/>
    <x v="4"/>
    <x v="6"/>
    <x v="1"/>
    <x v="78"/>
    <n v="1"/>
    <m/>
    <x v="78"/>
    <x v="11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206"/>
    <x v="0"/>
    <x v="237"/>
    <x v="161"/>
    <s v="CM-Salas de Procedimientos no Invasivos"/>
    <x v="11"/>
    <x v="6"/>
    <x v="0"/>
    <x v="79"/>
    <n v="1"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28"/>
    <x v="0"/>
    <x v="246"/>
    <x v="168"/>
    <s v="CN-Salas de Procedimientos Invasivos y/o de Mayor Complejidad"/>
    <x v="11"/>
    <x v="6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29"/>
    <x v="0"/>
    <x v="247"/>
    <x v="168"/>
    <s v="CN-Salas de Procedimientos Invasivos y/o de Mayor Complejidad"/>
    <x v="11"/>
    <x v="6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0"/>
    <x v="0"/>
    <x v="248"/>
    <x v="168"/>
    <s v="CN-Salas de Procedimientos Invasivos y/o de Mayor Complejidad"/>
    <x v="11"/>
    <x v="6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35"/>
    <x v="0"/>
    <x v="245"/>
    <x v="167"/>
    <s v="CM-Consultas Ambulatorias"/>
    <x v="11"/>
    <x v="6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258"/>
    <x v="0"/>
    <x v="794"/>
    <x v="248"/>
    <s v="CM-Salas de Procedimientos no Invasivos"/>
    <x v="13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21"/>
    <x v="0"/>
    <x v="287"/>
    <x v="198"/>
    <s v="CA-Áreas de Tratamiento Especial"/>
    <x v="14"/>
    <x v="0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23"/>
    <x v="0"/>
    <x v="299"/>
    <x v="1"/>
    <s v="CA-Otros Servicios Adyacentes"/>
    <x v="15"/>
    <x v="3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22"/>
    <x v="0"/>
    <x v="323"/>
    <x v="1"/>
    <s v="CM-Otros Servicios Adyacentes"/>
    <x v="17"/>
    <x v="6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00"/>
    <x v="0"/>
    <x v="345"/>
    <x v="241"/>
    <s v="CM-Consultas Ambulatorias"/>
    <x v="18"/>
    <x v="6"/>
    <x v="1"/>
    <x v="78"/>
    <m/>
    <m/>
    <x v="78"/>
    <x v="2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01"/>
    <x v="0"/>
    <x v="324"/>
    <x v="228"/>
    <s v="CM-Otros Servicios Adyacentes"/>
    <x v="18"/>
    <x v="6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252"/>
    <x v="0"/>
    <x v="358"/>
    <x v="248"/>
    <s v="CN-Salas y Habitaciones de Hospitalización"/>
    <x v="19"/>
    <x v="2"/>
    <x v="0"/>
    <x v="79"/>
    <m/>
    <m/>
    <x v="79"/>
    <x v="0"/>
    <m/>
    <m/>
    <x v="3"/>
    <m/>
    <m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420"/>
    <x v="0"/>
    <x v="478"/>
    <x v="1"/>
    <s v="CN-Otros Servicios Adyacentes"/>
    <x v="21"/>
    <x v="6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5487"/>
    <x v="0"/>
    <x v="797"/>
    <x v="465"/>
    <s v="CM-Consultas Ambulatorias"/>
    <x v="22"/>
    <x v="6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435"/>
    <x v="0"/>
    <x v="525"/>
    <x v="318"/>
    <s v="CM-Áreas de Rehabilitación"/>
    <x v="25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439"/>
    <x v="0"/>
    <x v="536"/>
    <x v="1"/>
    <s v="CM-Otros Servicios Adyacentes"/>
    <x v="27"/>
    <x v="2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4333"/>
    <x v="0"/>
    <x v="798"/>
    <x v="462"/>
    <s v="CN-Otros Servicios Adyacentes"/>
    <x v="27"/>
    <x v="2"/>
    <x v="0"/>
    <x v="79"/>
    <m/>
    <m/>
    <x v="79"/>
    <x v="0"/>
    <m/>
    <m/>
    <x v="3"/>
    <m/>
    <m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5253"/>
    <x v="0"/>
    <x v="799"/>
    <x v="466"/>
    <s v="CN-Salas y Habitaciones de Hospitalización"/>
    <x v="27"/>
    <x v="2"/>
    <x v="0"/>
    <x v="79"/>
    <m/>
    <m/>
    <x v="79"/>
    <x v="0"/>
    <m/>
    <m/>
    <x v="3"/>
    <m/>
    <m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424"/>
    <x v="0"/>
    <x v="574"/>
    <x v="1"/>
    <s v="CA-Otros Servicios Adyacentes"/>
    <x v="29"/>
    <x v="3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5309"/>
    <x v="0"/>
    <x v="800"/>
    <x v="467"/>
    <s v="CA-Otros Servicios Adyacentes"/>
    <x v="29"/>
    <x v="3"/>
    <x v="0"/>
    <x v="79"/>
    <m/>
    <m/>
    <x v="79"/>
    <x v="0"/>
    <m/>
    <m/>
    <x v="3"/>
    <m/>
    <m/>
    <d v="2026-07-15T00:00:00"/>
    <m/>
    <x v="1"/>
    <n v="30"/>
    <x v="7"/>
    <d v="2026-07-15T00:00:00"/>
    <d v="2027-01-07T00:00:00"/>
    <d v="2026-08-31T00:00:00"/>
    <d v="2026-08-28T00:00:00"/>
    <d v="2026-08-20T00:00:00"/>
    <s v="NA"/>
    <d v="2026-07-31T00:00:00"/>
    <s v="IU"/>
    <d v="2026-08-31T00:00:00"/>
    <n v="5"/>
    <d v="2026-09-07T00:00:00"/>
    <n v="5"/>
    <d v="2026-09-14T00:00:00"/>
  </r>
  <r>
    <s v="HSLB13427"/>
    <x v="0"/>
    <x v="644"/>
    <x v="1"/>
    <s v="CA-Otros Servicios Adyacentes"/>
    <x v="33"/>
    <x v="2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397"/>
    <x v="0"/>
    <x v="660"/>
    <x v="399"/>
    <s v="CN-Salas y Habitaciones de Hospitalización"/>
    <x v="35"/>
    <x v="0"/>
    <x v="1"/>
    <x v="78"/>
    <m/>
    <m/>
    <x v="78"/>
    <x v="0"/>
    <m/>
    <m/>
    <x v="3"/>
    <m/>
    <m/>
    <d v="2026-05-29T00:00:00"/>
    <d v="2026-05-29T00:00:00"/>
    <x v="3"/>
    <n v="5"/>
    <x v="10"/>
    <d v="2026-05-29T00:00:00"/>
    <d v="2027-01-07T00:00:00"/>
    <d v="2026-06-09T00:00:00"/>
    <d v="2026-06-08T00:00:00"/>
    <d v="2026-08-20T00:00:00"/>
    <s v="NA"/>
    <d v="2026-07-31T00:00:00"/>
    <s v="IU"/>
    <d v="2026-06-09T00:00:00"/>
    <n v="5"/>
    <d v="2026-06-16T00:00:00"/>
    <n v="5"/>
    <d v="2026-06-23T00:00:00"/>
  </r>
  <r>
    <s v="HSLB13396"/>
    <x v="0"/>
    <x v="667"/>
    <x v="400"/>
    <s v="CN-Salas y Habitaciones de Hospitalización"/>
    <x v="35"/>
    <x v="0"/>
    <x v="1"/>
    <x v="78"/>
    <m/>
    <m/>
    <x v="78"/>
    <x v="1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36"/>
    <x v="0"/>
    <x v="713"/>
    <x v="420"/>
    <s v="NC-SAMU"/>
    <x v="36"/>
    <x v="0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40"/>
    <x v="0"/>
    <x v="711"/>
    <x v="1"/>
    <s v="CN-Otros Servicios Adyacentes"/>
    <x v="36"/>
    <x v="0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3441"/>
    <x v="0"/>
    <x v="712"/>
    <x v="1"/>
    <s v="CN-Otros Servicios Adyacentes"/>
    <x v="36"/>
    <x v="0"/>
    <x v="1"/>
    <x v="78"/>
    <m/>
    <m/>
    <x v="78"/>
    <x v="0"/>
    <m/>
    <m/>
    <x v="3"/>
    <m/>
    <m/>
    <d v="2026-06-30T00:00:00"/>
    <m/>
    <x v="0"/>
    <n v="5"/>
    <x v="0"/>
    <d v="2026-06-30T00:00:00"/>
    <d v="2027-01-07T00:00:00"/>
    <d v="2026-07-09T00:00:00"/>
    <d v="2026-07-08T00:00:00"/>
    <d v="2026-08-20T00:00:00"/>
    <s v="NA"/>
    <d v="2026-07-31T00:00:00"/>
    <s v="IU"/>
    <d v="2026-07-09T00:00:00"/>
    <n v="5"/>
    <d v="2026-07-17T00:00:00"/>
    <n v="5"/>
    <d v="2026-07-24T00:00:00"/>
  </r>
  <r>
    <s v="HSLB14336"/>
    <x v="0"/>
    <x v="715"/>
    <x v="422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4357"/>
    <x v="0"/>
    <x v="716"/>
    <x v="423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254"/>
    <x v="0"/>
    <x v="725"/>
    <x v="432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300"/>
    <x v="0"/>
    <x v="717"/>
    <x v="424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60"/>
    <x v="0"/>
    <x v="718"/>
    <x v="425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63"/>
    <x v="0"/>
    <x v="719"/>
    <x v="426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65"/>
    <x v="0"/>
    <x v="720"/>
    <x v="427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67"/>
    <x v="0"/>
    <x v="721"/>
    <x v="428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69"/>
    <x v="0"/>
    <x v="722"/>
    <x v="429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74"/>
    <x v="0"/>
    <x v="724"/>
    <x v="431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5476"/>
    <x v="0"/>
    <x v="726"/>
    <x v="432"/>
    <s v="CN-Urgencia"/>
    <x v="36"/>
    <x v="0"/>
    <x v="0"/>
    <x v="79"/>
    <m/>
    <m/>
    <x v="79"/>
    <x v="0"/>
    <m/>
    <m/>
    <x v="3"/>
    <m/>
    <m/>
    <d v="2026-06-30T00:00:00"/>
    <m/>
    <x v="0"/>
    <n v="30"/>
    <x v="2"/>
    <d v="2026-06-30T00:00:00"/>
    <d v="2027-01-07T00:00:00"/>
    <d v="2026-08-14T00:00:00"/>
    <d v="2026-08-13T00:00:00"/>
    <d v="2026-08-20T00:00:00"/>
    <s v="NA"/>
    <d v="2026-07-31T00:00:00"/>
    <s v="IU"/>
    <d v="2026-08-14T00:00:00"/>
    <n v="5"/>
    <d v="2026-08-21T00:00:00"/>
    <n v="5"/>
    <d v="2026-08-28T00:00:00"/>
  </r>
  <r>
    <s v="HSLB13414"/>
    <x v="0"/>
    <x v="764"/>
    <x v="1"/>
    <s v="CA-Otros Servicios Adyacentes"/>
    <x v="37"/>
    <x v="3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  <r>
    <s v="HSLB13415"/>
    <x v="0"/>
    <x v="765"/>
    <x v="1"/>
    <s v="CA-Otros Servicios Adyacentes"/>
    <x v="37"/>
    <x v="3"/>
    <x v="1"/>
    <x v="78"/>
    <m/>
    <m/>
    <x v="78"/>
    <x v="0"/>
    <m/>
    <m/>
    <x v="3"/>
    <m/>
    <m/>
    <d v="2026-07-15T00:00:00"/>
    <m/>
    <x v="1"/>
    <n v="5"/>
    <x v="3"/>
    <d v="2026-07-15T00:00:00"/>
    <d v="2027-01-07T00:00:00"/>
    <d v="2026-07-27T00:00:00"/>
    <d v="2026-07-24T00:00:00"/>
    <d v="2026-08-20T00:00:00"/>
    <s v="NA"/>
    <d v="2026-07-31T00:00:00"/>
    <s v="IU"/>
    <d v="2026-07-27T00:00:00"/>
    <n v="5"/>
    <d v="2026-08-03T00:00:00"/>
    <n v="5"/>
    <d v="2026-08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39CD5-DF59-4533-98B7-10163BE457C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H78" firstHeaderRow="1" firstDataRow="1" firstDataCol="8" rowPageCount="2" colPageCount="1"/>
  <pivotFields count="4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15">
        <item x="91"/>
        <item x="184"/>
        <item x="199"/>
        <item x="176"/>
        <item x="177"/>
        <item x="138"/>
        <item x="137"/>
        <item x="140"/>
        <item x="136"/>
        <item x="45"/>
        <item x="114"/>
        <item x="18"/>
        <item x="46"/>
        <item x="47"/>
        <item x="19"/>
        <item x="20"/>
        <item x="178"/>
        <item x="21"/>
        <item x="48"/>
        <item x="49"/>
        <item x="50"/>
        <item x="51"/>
        <item x="52"/>
        <item x="53"/>
        <item x="88"/>
        <item x="54"/>
        <item x="22"/>
        <item x="102"/>
        <item x="55"/>
        <item x="56"/>
        <item x="57"/>
        <item x="33"/>
        <item x="58"/>
        <item x="179"/>
        <item x="235"/>
        <item x="236"/>
        <item x="194"/>
        <item x="181"/>
        <item x="191"/>
        <item x="193"/>
        <item x="98"/>
        <item x="59"/>
        <item x="23"/>
        <item x="196"/>
        <item x="200"/>
        <item x="201"/>
        <item x="202"/>
        <item x="99"/>
        <item x="60"/>
        <item x="24"/>
        <item x="198"/>
        <item x="203"/>
        <item x="204"/>
        <item x="205"/>
        <item x="206"/>
        <item x="207"/>
        <item x="237"/>
        <item x="208"/>
        <item x="238"/>
        <item x="239"/>
        <item x="240"/>
        <item x="241"/>
        <item x="231"/>
        <item x="23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42"/>
        <item x="243"/>
        <item x="173"/>
        <item x="244"/>
        <item x="246"/>
        <item x="247"/>
        <item x="248"/>
        <item x="221"/>
        <item x="222"/>
        <item x="192"/>
        <item x="223"/>
        <item x="224"/>
        <item x="245"/>
        <item x="249"/>
        <item x="250"/>
        <item x="225"/>
        <item x="226"/>
        <item x="540"/>
        <item x="551"/>
        <item x="538"/>
        <item x="555"/>
        <item x="227"/>
        <item x="550"/>
        <item x="541"/>
        <item x="543"/>
        <item x="544"/>
        <item x="545"/>
        <item x="546"/>
        <item x="547"/>
        <item x="548"/>
        <item x="549"/>
        <item x="542"/>
        <item x="554"/>
        <item x="274"/>
        <item x="279"/>
        <item x="284"/>
        <item x="285"/>
        <item x="286"/>
        <item x="282"/>
        <item x="283"/>
        <item x="280"/>
        <item x="273"/>
        <item x="275"/>
        <item x="281"/>
        <item x="288"/>
        <item x="786"/>
        <item x="271"/>
        <item x="272"/>
        <item x="533"/>
        <item x="787"/>
        <item x="788"/>
        <item x="276"/>
        <item x="277"/>
        <item x="278"/>
        <item x="262"/>
        <item x="264"/>
        <item x="263"/>
        <item x="270"/>
        <item x="265"/>
        <item x="266"/>
        <item x="267"/>
        <item x="268"/>
        <item x="269"/>
        <item x="794"/>
        <item x="333"/>
        <item x="334"/>
        <item x="335"/>
        <item x="609"/>
        <item x="612"/>
        <item x="613"/>
        <item x="614"/>
        <item x="615"/>
        <item x="625"/>
        <item x="620"/>
        <item x="805"/>
        <item x="608"/>
        <item x="624"/>
        <item x="616"/>
        <item x="603"/>
        <item x="604"/>
        <item x="610"/>
        <item x="617"/>
        <item x="605"/>
        <item x="602"/>
        <item x="611"/>
        <item x="622"/>
        <item x="623"/>
        <item x="621"/>
        <item x="606"/>
        <item x="607"/>
        <item x="618"/>
        <item x="619"/>
        <item x="647"/>
        <item x="654"/>
        <item x="655"/>
        <item x="656"/>
        <item x="662"/>
        <item x="663"/>
        <item x="648"/>
        <item x="351"/>
        <item x="342"/>
        <item x="649"/>
        <item x="668"/>
        <item x="669"/>
        <item x="667"/>
        <item x="660"/>
        <item x="657"/>
        <item x="670"/>
        <item x="650"/>
        <item x="791"/>
        <item x="664"/>
        <item x="666"/>
        <item x="658"/>
        <item x="671"/>
        <item x="651"/>
        <item x="652"/>
        <item x="659"/>
        <item x="661"/>
        <item x="665"/>
        <item x="653"/>
        <item x="336"/>
        <item x="339"/>
        <item x="340"/>
        <item x="341"/>
        <item x="325"/>
        <item x="350"/>
        <item x="326"/>
        <item x="346"/>
        <item x="347"/>
        <item x="348"/>
        <item x="345"/>
        <item x="343"/>
        <item x="344"/>
        <item x="349"/>
        <item x="337"/>
        <item x="338"/>
        <item x="327"/>
        <item x="324"/>
        <item x="330"/>
        <item x="553"/>
        <item x="552"/>
        <item x="539"/>
        <item x="133"/>
        <item x="287"/>
        <item x="228"/>
        <item x="229"/>
        <item x="230"/>
        <item x="197"/>
        <item x="115"/>
        <item x="92"/>
        <item x="93"/>
        <item x="489"/>
        <item x="485"/>
        <item x="487"/>
        <item x="488"/>
        <item x="486"/>
        <item x="797"/>
        <item x="94"/>
        <item x="116"/>
        <item x="12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109"/>
        <item x="103"/>
        <item x="44"/>
        <item x="354"/>
        <item x="32"/>
        <item x="3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398"/>
        <item x="117"/>
        <item x="119"/>
        <item x="120"/>
        <item x="40"/>
        <item x="38"/>
        <item x="95"/>
        <item x="394"/>
        <item x="395"/>
        <item x="41"/>
        <item x="416"/>
        <item x="4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399"/>
        <item x="118"/>
        <item x="121"/>
        <item x="122"/>
        <item x="42"/>
        <item x="37"/>
        <item x="96"/>
        <item x="396"/>
        <item x="397"/>
        <item x="30"/>
        <item x="61"/>
        <item x="355"/>
        <item x="373"/>
        <item x="374"/>
        <item x="375"/>
        <item x="376"/>
        <item x="377"/>
        <item x="378"/>
        <item x="379"/>
        <item x="380"/>
        <item x="381"/>
        <item x="382"/>
        <item x="360"/>
        <item x="793"/>
        <item x="110"/>
        <item x="17"/>
        <item x="13"/>
        <item x="104"/>
        <item x="14"/>
        <item x="11"/>
        <item x="25"/>
        <item x="154"/>
        <item x="62"/>
        <item x="357"/>
        <item x="356"/>
        <item x="113"/>
        <item x="387"/>
        <item x="388"/>
        <item x="389"/>
        <item x="383"/>
        <item x="390"/>
        <item x="391"/>
        <item x="384"/>
        <item x="63"/>
        <item x="392"/>
        <item x="393"/>
        <item x="385"/>
        <item x="386"/>
        <item x="358"/>
        <item x="537"/>
        <item x="799"/>
        <item x="535"/>
        <item x="15"/>
        <item x="534"/>
        <item x="89"/>
        <item x="798"/>
        <item x="105"/>
        <item x="112"/>
        <item x="111"/>
        <item x="16"/>
        <item x="352"/>
        <item x="353"/>
        <item x="694"/>
        <item x="714"/>
        <item x="728"/>
        <item x="729"/>
        <item x="715"/>
        <item x="697"/>
        <item x="699"/>
        <item x="709"/>
        <item x="706"/>
        <item x="590"/>
        <item x="596"/>
        <item x="592"/>
        <item x="597"/>
        <item x="600"/>
        <item x="586"/>
        <item x="587"/>
        <item x="598"/>
        <item x="591"/>
        <item x="589"/>
        <item x="588"/>
        <item x="601"/>
        <item x="593"/>
        <item x="594"/>
        <item x="595"/>
        <item x="599"/>
        <item x="741"/>
        <item x="745"/>
        <item x="763"/>
        <item x="742"/>
        <item x="760"/>
        <item x="761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66"/>
        <item x="743"/>
        <item x="764"/>
        <item x="765"/>
        <item x="767"/>
        <item x="758"/>
        <item x="762"/>
        <item x="740"/>
        <item x="744"/>
        <item x="43"/>
        <item x="536"/>
        <item x="564"/>
        <item x="484"/>
        <item x="585"/>
        <item x="430"/>
        <item x="646"/>
        <item x="645"/>
        <item x="730"/>
        <item x="679"/>
        <item x="688"/>
        <item x="689"/>
        <item x="695"/>
        <item x="696"/>
        <item x="813"/>
        <item x="700"/>
        <item x="701"/>
        <item x="702"/>
        <item x="690"/>
        <item x="716"/>
        <item x="680"/>
        <item x="717"/>
        <item x="814"/>
        <item x="806"/>
        <item x="698"/>
        <item x="718"/>
        <item x="719"/>
        <item x="720"/>
        <item x="721"/>
        <item x="722"/>
        <item x="692"/>
        <item x="731"/>
        <item x="732"/>
        <item x="723"/>
        <item x="703"/>
        <item x="724"/>
        <item x="801"/>
        <item x="725"/>
        <item x="726"/>
        <item x="693"/>
        <item x="733"/>
        <item x="727"/>
        <item x="704"/>
        <item x="707"/>
        <item x="708"/>
        <item x="678"/>
        <item x="705"/>
        <item x="710"/>
        <item x="734"/>
        <item x="792"/>
        <item x="735"/>
        <item x="736"/>
        <item x="737"/>
        <item x="738"/>
        <item x="739"/>
        <item x="684"/>
        <item x="685"/>
        <item x="686"/>
        <item x="711"/>
        <item x="712"/>
        <item x="683"/>
        <item x="674"/>
        <item x="675"/>
        <item x="195"/>
        <item x="26"/>
        <item x="233"/>
        <item x="234"/>
        <item x="64"/>
        <item x="34"/>
        <item x="768"/>
        <item x="769"/>
        <item x="770"/>
        <item x="771"/>
        <item x="772"/>
        <item x="773"/>
        <item x="461"/>
        <item x="449"/>
        <item x="452"/>
        <item x="453"/>
        <item x="454"/>
        <item x="478"/>
        <item x="462"/>
        <item x="463"/>
        <item x="455"/>
        <item x="473"/>
        <item x="474"/>
        <item x="464"/>
        <item x="458"/>
        <item x="459"/>
        <item x="465"/>
        <item x="466"/>
        <item x="460"/>
        <item x="456"/>
        <item x="467"/>
        <item x="468"/>
        <item x="469"/>
        <item x="470"/>
        <item x="457"/>
        <item x="479"/>
        <item x="475"/>
        <item x="480"/>
        <item x="476"/>
        <item x="481"/>
        <item x="482"/>
        <item x="483"/>
        <item x="477"/>
        <item x="471"/>
        <item x="472"/>
        <item x="446"/>
        <item x="440"/>
        <item x="441"/>
        <item x="442"/>
        <item x="443"/>
        <item x="444"/>
        <item x="439"/>
        <item x="445"/>
        <item x="431"/>
        <item x="432"/>
        <item x="433"/>
        <item x="434"/>
        <item x="435"/>
        <item x="447"/>
        <item x="436"/>
        <item x="437"/>
        <item x="438"/>
        <item x="314"/>
        <item x="320"/>
        <item x="315"/>
        <item x="316"/>
        <item x="310"/>
        <item x="311"/>
        <item x="312"/>
        <item x="322"/>
        <item x="323"/>
        <item x="306"/>
        <item x="307"/>
        <item x="317"/>
        <item x="795"/>
        <item x="796"/>
        <item x="309"/>
        <item x="318"/>
        <item x="313"/>
        <item x="321"/>
        <item x="319"/>
        <item x="308"/>
        <item x="291"/>
        <item x="293"/>
        <item x="294"/>
        <item x="295"/>
        <item x="296"/>
        <item x="292"/>
        <item x="789"/>
        <item x="297"/>
        <item x="299"/>
        <item x="298"/>
        <item x="289"/>
        <item x="290"/>
        <item x="568"/>
        <item x="569"/>
        <item x="563"/>
        <item x="565"/>
        <item x="566"/>
        <item x="567"/>
        <item x="570"/>
        <item x="561"/>
        <item x="562"/>
        <item x="156"/>
        <item x="157"/>
        <item x="560"/>
        <item x="558"/>
        <item x="559"/>
        <item x="574"/>
        <item x="579"/>
        <item x="578"/>
        <item x="581"/>
        <item x="582"/>
        <item x="584"/>
        <item x="583"/>
        <item x="577"/>
        <item x="580"/>
        <item x="572"/>
        <item x="571"/>
        <item x="557"/>
        <item x="573"/>
        <item x="800"/>
        <item x="576"/>
        <item x="575"/>
        <item x="556"/>
        <item x="514"/>
        <item x="526"/>
        <item x="527"/>
        <item x="528"/>
        <item x="803"/>
        <item x="510"/>
        <item x="804"/>
        <item x="509"/>
        <item x="508"/>
        <item x="513"/>
        <item x="512"/>
        <item x="519"/>
        <item x="507"/>
        <item x="515"/>
        <item x="516"/>
        <item x="517"/>
        <item x="790"/>
        <item x="524"/>
        <item x="520"/>
        <item x="518"/>
        <item x="521"/>
        <item x="522"/>
        <item x="511"/>
        <item x="523"/>
        <item x="525"/>
        <item x="529"/>
        <item x="145"/>
        <item x="146"/>
        <item x="147"/>
        <item x="641"/>
        <item x="642"/>
        <item x="643"/>
        <item x="644"/>
        <item x="639"/>
        <item x="640"/>
        <item x="148"/>
        <item x="151"/>
        <item x="152"/>
        <item x="777"/>
        <item x="149"/>
        <item x="778"/>
        <item x="779"/>
        <item x="780"/>
        <item x="150"/>
        <item x="781"/>
        <item x="153"/>
        <item x="782"/>
        <item x="141"/>
        <item x="142"/>
        <item x="144"/>
        <item x="530"/>
        <item x="531"/>
        <item x="532"/>
        <item x="180"/>
        <item x="185"/>
        <item x="186"/>
        <item x="31"/>
        <item x="65"/>
        <item x="66"/>
        <item x="106"/>
        <item x="67"/>
        <item x="108"/>
        <item x="107"/>
        <item x="97"/>
        <item x="164"/>
        <item x="163"/>
        <item x="165"/>
        <item x="68"/>
        <item x="27"/>
        <item x="69"/>
        <item x="501"/>
        <item x="499"/>
        <item x="187"/>
        <item x="676"/>
        <item x="677"/>
        <item x="687"/>
        <item x="188"/>
        <item x="182"/>
        <item x="491"/>
        <item x="490"/>
        <item x="492"/>
        <item x="495"/>
        <item x="493"/>
        <item x="496"/>
        <item x="494"/>
        <item x="189"/>
        <item x="300"/>
        <item x="301"/>
        <item x="302"/>
        <item x="303"/>
        <item x="304"/>
        <item x="305"/>
        <item x="190"/>
        <item x="174"/>
        <item x="175"/>
        <item x="183"/>
        <item x="502"/>
        <item x="503"/>
        <item x="504"/>
        <item x="506"/>
        <item x="505"/>
        <item x="500"/>
        <item x="497"/>
        <item x="498"/>
        <item x="70"/>
        <item x="253"/>
        <item x="28"/>
        <item x="251"/>
        <item x="71"/>
        <item x="72"/>
        <item x="73"/>
        <item x="74"/>
        <item x="100"/>
        <item x="75"/>
        <item x="76"/>
        <item x="776"/>
        <item x="77"/>
        <item x="78"/>
        <item x="254"/>
        <item x="260"/>
        <item x="255"/>
        <item x="256"/>
        <item x="257"/>
        <item x="258"/>
        <item x="3"/>
        <item x="2"/>
        <item x="4"/>
        <item x="6"/>
        <item x="5"/>
        <item x="8"/>
        <item x="9"/>
        <item x="10"/>
        <item x="7"/>
        <item x="259"/>
        <item x="261"/>
        <item x="1"/>
        <item x="0"/>
        <item x="774"/>
        <item x="775"/>
        <item x="252"/>
        <item x="79"/>
        <item x="29"/>
        <item x="80"/>
        <item x="81"/>
        <item x="82"/>
        <item x="83"/>
        <item x="169"/>
        <item x="166"/>
        <item x="170"/>
        <item x="171"/>
        <item x="172"/>
        <item x="167"/>
        <item x="168"/>
        <item x="84"/>
        <item x="85"/>
        <item x="86"/>
        <item x="87"/>
        <item x="35"/>
        <item x="90"/>
        <item x="36"/>
        <item x="129"/>
        <item x="125"/>
        <item x="126"/>
        <item x="127"/>
        <item x="123"/>
        <item x="124"/>
        <item x="134"/>
        <item x="131"/>
        <item x="132"/>
        <item x="130"/>
        <item x="135"/>
        <item x="158"/>
        <item x="159"/>
        <item x="162"/>
        <item x="160"/>
        <item x="783"/>
        <item x="784"/>
        <item x="785"/>
        <item x="161"/>
        <item x="802"/>
        <item x="143"/>
        <item x="328"/>
        <item x="329"/>
        <item x="448"/>
        <item x="450"/>
        <item x="331"/>
        <item x="332"/>
        <item x="451"/>
        <item x="672"/>
        <item x="673"/>
        <item x="681"/>
        <item x="713"/>
        <item x="691"/>
        <item x="807"/>
        <item x="808"/>
        <item x="809"/>
        <item x="810"/>
        <item x="811"/>
        <item x="812"/>
        <item x="682"/>
        <item x="638"/>
        <item x="626"/>
        <item x="627"/>
        <item x="628"/>
        <item x="630"/>
        <item x="634"/>
        <item x="635"/>
        <item x="633"/>
        <item x="636"/>
        <item x="637"/>
        <item x="631"/>
        <item x="632"/>
        <item x="629"/>
        <item x="155"/>
        <item x="139"/>
        <item x="101"/>
        <item x="128"/>
        <item x="7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77">
        <item x="240"/>
        <item x="399"/>
        <item x="82"/>
        <item x="81"/>
        <item x="453"/>
        <item x="204"/>
        <item x="75"/>
        <item x="449"/>
        <item x="301"/>
        <item x="447"/>
        <item x="205"/>
        <item x="446"/>
        <item x="206"/>
        <item x="6"/>
        <item x="208"/>
        <item x="219"/>
        <item x="4"/>
        <item x="3"/>
        <item x="84"/>
        <item x="13"/>
        <item x="381"/>
        <item x="225"/>
        <item x="464"/>
        <item x="463"/>
        <item x="476"/>
        <item x="317"/>
        <item x="361"/>
        <item x="456"/>
        <item x="461"/>
        <item x="457"/>
        <item x="458"/>
        <item x="8"/>
        <item x="101"/>
        <item x="9"/>
        <item x="7"/>
        <item x="238"/>
        <item x="419"/>
        <item x="237"/>
        <item x="418"/>
        <item x="150"/>
        <item x="146"/>
        <item x="115"/>
        <item x="331"/>
        <item x="332"/>
        <item x="333"/>
        <item x="334"/>
        <item x="335"/>
        <item x="336"/>
        <item x="337"/>
        <item x="373"/>
        <item x="138"/>
        <item x="370"/>
        <item x="194"/>
        <item x="307"/>
        <item x="157"/>
        <item x="147"/>
        <item x="314"/>
        <item x="315"/>
        <item x="144"/>
        <item x="349"/>
        <item x="313"/>
        <item x="417"/>
        <item x="137"/>
        <item x="145"/>
        <item x="139"/>
        <item x="182"/>
        <item x="433"/>
        <item x="140"/>
        <item x="183"/>
        <item x="184"/>
        <item x="148"/>
        <item x="151"/>
        <item x="312"/>
        <item x="371"/>
        <item x="362"/>
        <item x="374"/>
        <item x="372"/>
        <item x="473"/>
        <item x="468"/>
        <item x="365"/>
        <item x="167"/>
        <item x="426"/>
        <item x="432"/>
        <item x="425"/>
        <item x="427"/>
        <item x="428"/>
        <item x="429"/>
        <item x="93"/>
        <item x="92"/>
        <item x="448"/>
        <item x="109"/>
        <item x="215"/>
        <item x="10"/>
        <item x="440"/>
        <item x="104"/>
        <item x="94"/>
        <item x="77"/>
        <item x="87"/>
        <item x="107"/>
        <item x="113"/>
        <item x="61"/>
        <item x="64"/>
        <item x="2"/>
        <item x="66"/>
        <item x="53"/>
        <item x="406"/>
        <item x="299"/>
        <item x="59"/>
        <item x="125"/>
        <item x="46"/>
        <item x="44"/>
        <item x="45"/>
        <item x="49"/>
        <item x="263"/>
        <item x="68"/>
        <item x="112"/>
        <item x="127"/>
        <item x="57"/>
        <item x="226"/>
        <item x="391"/>
        <item x="445"/>
        <item x="442"/>
        <item x="455"/>
        <item x="294"/>
        <item x="454"/>
        <item x="323"/>
        <item x="341"/>
        <item x="195"/>
        <item x="420"/>
        <item x="1"/>
        <item x="221"/>
        <item x="470"/>
        <item x="306"/>
        <item x="471"/>
        <item x="133"/>
        <item x="76"/>
        <item x="277"/>
        <item x="98"/>
        <item x="198"/>
        <item x="462"/>
        <item x="222"/>
        <item x="78"/>
        <item x="158"/>
        <item x="79"/>
        <item x="5"/>
        <item x="192"/>
        <item x="80"/>
        <item x="324"/>
        <item x="203"/>
        <item x="43"/>
        <item x="60"/>
        <item x="37"/>
        <item x="231"/>
        <item x="65"/>
        <item x="63"/>
        <item x="120"/>
        <item x="40"/>
        <item x="41"/>
        <item x="38"/>
        <item x="62"/>
        <item x="114"/>
        <item x="51"/>
        <item x="56"/>
        <item x="97"/>
        <item x="55"/>
        <item x="122"/>
        <item x="131"/>
        <item x="129"/>
        <item x="178"/>
        <item x="175"/>
        <item x="300"/>
        <item x="413"/>
        <item x="134"/>
        <item x="369"/>
        <item x="159"/>
        <item x="160"/>
        <item x="174"/>
        <item x="218"/>
        <item x="155"/>
        <item x="156"/>
        <item x="267"/>
        <item x="135"/>
        <item x="136"/>
        <item x="438"/>
        <item x="74"/>
        <item x="33"/>
        <item x="227"/>
        <item x="58"/>
        <item x="54"/>
        <item x="124"/>
        <item x="126"/>
        <item x="50"/>
        <item x="111"/>
        <item x="128"/>
        <item x="378"/>
        <item x="377"/>
        <item x="382"/>
        <item x="383"/>
        <item x="236"/>
        <item x="27"/>
        <item x="171"/>
        <item x="17"/>
        <item x="22"/>
        <item x="403"/>
        <item x="25"/>
        <item x="23"/>
        <item x="290"/>
        <item x="235"/>
        <item x="329"/>
        <item x="298"/>
        <item x="397"/>
        <item x="234"/>
        <item x="386"/>
        <item x="108"/>
        <item x="176"/>
        <item x="42"/>
        <item x="291"/>
        <item x="364"/>
        <item x="247"/>
        <item x="117"/>
        <item x="67"/>
        <item x="177"/>
        <item x="173"/>
        <item x="202"/>
        <item x="347"/>
        <item x="292"/>
        <item x="368"/>
        <item x="439"/>
        <item x="191"/>
        <item x="14"/>
        <item x="385"/>
        <item x="181"/>
        <item x="130"/>
        <item x="190"/>
        <item x="118"/>
        <item x="123"/>
        <item x="217"/>
        <item x="18"/>
        <item x="20"/>
        <item x="311"/>
        <item x="19"/>
        <item x="71"/>
        <item x="179"/>
        <item x="24"/>
        <item x="189"/>
        <item x="21"/>
        <item x="262"/>
        <item x="266"/>
        <item x="73"/>
        <item x="26"/>
        <item x="96"/>
        <item x="119"/>
        <item x="346"/>
        <item x="310"/>
        <item x="233"/>
        <item x="367"/>
        <item x="121"/>
        <item x="110"/>
        <item x="393"/>
        <item x="437"/>
        <item x="52"/>
        <item x="408"/>
        <item x="390"/>
        <item x="47"/>
        <item x="15"/>
        <item x="16"/>
        <item x="357"/>
        <item x="99"/>
        <item x="268"/>
        <item x="469"/>
        <item x="243"/>
        <item x="100"/>
        <item x="209"/>
        <item x="210"/>
        <item x="211"/>
        <item x="212"/>
        <item x="213"/>
        <item x="214"/>
        <item x="102"/>
        <item x="452"/>
        <item x="297"/>
        <item x="450"/>
        <item x="451"/>
        <item x="280"/>
        <item x="459"/>
        <item x="197"/>
        <item x="295"/>
        <item x="257"/>
        <item x="256"/>
        <item x="154"/>
        <item x="392"/>
        <item x="281"/>
        <item x="224"/>
        <item x="278"/>
        <item x="350"/>
        <item x="223"/>
        <item x="207"/>
        <item x="293"/>
        <item x="475"/>
        <item x="474"/>
        <item x="255"/>
        <item x="289"/>
        <item x="423"/>
        <item x="249"/>
        <item x="251"/>
        <item x="252"/>
        <item x="253"/>
        <item x="254"/>
        <item x="250"/>
        <item x="441"/>
        <item x="384"/>
        <item x="90"/>
        <item x="407"/>
        <item x="282"/>
        <item x="387"/>
        <item x="394"/>
        <item x="303"/>
        <item x="396"/>
        <item x="69"/>
        <item x="31"/>
        <item x="340"/>
        <item x="245"/>
        <item x="229"/>
        <item x="356"/>
        <item x="85"/>
        <item x="11"/>
        <item x="132"/>
        <item x="411"/>
        <item x="402"/>
        <item x="193"/>
        <item x="220"/>
        <item x="412"/>
        <item x="265"/>
        <item x="272"/>
        <item x="241"/>
        <item x="228"/>
        <item x="12"/>
        <item x="379"/>
        <item x="380"/>
        <item x="264"/>
        <item x="88"/>
        <item x="421"/>
        <item x="409"/>
        <item x="465"/>
        <item x="244"/>
        <item x="434"/>
        <item x="435"/>
        <item x="248"/>
        <item x="166"/>
        <item x="163"/>
        <item x="170"/>
        <item x="169"/>
        <item x="363"/>
        <item x="32"/>
        <item x="172"/>
        <item x="30"/>
        <item x="29"/>
        <item x="232"/>
        <item x="239"/>
        <item x="309"/>
        <item x="216"/>
        <item x="286"/>
        <item x="185"/>
        <item x="260"/>
        <item x="261"/>
        <item x="83"/>
        <item x="196"/>
        <item x="376"/>
        <item x="416"/>
        <item x="404"/>
        <item x="345"/>
        <item x="400"/>
        <item x="230"/>
        <item x="466"/>
        <item x="338"/>
        <item x="348"/>
        <item x="321"/>
        <item x="322"/>
        <item x="319"/>
        <item x="320"/>
        <item x="444"/>
        <item x="443"/>
        <item x="258"/>
        <item x="180"/>
        <item x="28"/>
        <item x="95"/>
        <item x="328"/>
        <item x="388"/>
        <item x="405"/>
        <item x="410"/>
        <item x="327"/>
        <item x="359"/>
        <item x="188"/>
        <item x="342"/>
        <item x="351"/>
        <item x="86"/>
        <item x="316"/>
        <item x="142"/>
        <item x="143"/>
        <item x="360"/>
        <item x="199"/>
        <item x="318"/>
        <item x="168"/>
        <item x="162"/>
        <item x="141"/>
        <item x="161"/>
        <item x="152"/>
        <item x="153"/>
        <item x="165"/>
        <item x="164"/>
        <item x="330"/>
        <item x="467"/>
        <item x="149"/>
        <item x="354"/>
        <item x="353"/>
        <item x="352"/>
        <item x="375"/>
        <item x="395"/>
        <item x="103"/>
        <item x="339"/>
        <item x="308"/>
        <item x="116"/>
        <item x="259"/>
        <item x="89"/>
        <item x="366"/>
        <item x="358"/>
        <item x="430"/>
        <item x="70"/>
        <item x="436"/>
        <item x="271"/>
        <item x="269"/>
        <item x="274"/>
        <item x="283"/>
        <item x="273"/>
        <item x="279"/>
        <item x="284"/>
        <item x="275"/>
        <item x="270"/>
        <item x="276"/>
        <item x="72"/>
        <item x="48"/>
        <item x="36"/>
        <item x="35"/>
        <item x="34"/>
        <item x="39"/>
        <item x="431"/>
        <item x="422"/>
        <item x="424"/>
        <item x="414"/>
        <item x="415"/>
        <item x="401"/>
        <item x="472"/>
        <item x="242"/>
        <item x="302"/>
        <item x="460"/>
        <item x="285"/>
        <item x="287"/>
        <item x="288"/>
        <item x="398"/>
        <item x="91"/>
        <item x="305"/>
        <item x="0"/>
        <item x="200"/>
        <item x="201"/>
        <item x="326"/>
        <item x="186"/>
        <item x="187"/>
        <item x="344"/>
        <item x="343"/>
        <item x="105"/>
        <item x="325"/>
        <item x="106"/>
        <item x="304"/>
        <item x="246"/>
        <item x="389"/>
        <item x="355"/>
        <item x="2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ubtotalTop="0" showAll="0" defaultSubtotal="0">
      <items count="8">
        <item h="1" m="1" x="7"/>
        <item h="1" x="0"/>
        <item h="1" x="6"/>
        <item h="1" x="3"/>
        <item x="2"/>
        <item x="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x="1"/>
        <item x="3"/>
        <item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13"/>
        <item x="32"/>
        <item x="14"/>
        <item x="33"/>
        <item x="77"/>
        <item x="67"/>
        <item x="15"/>
        <item x="20"/>
        <item x="16"/>
        <item x="71"/>
        <item x="26"/>
        <item x="49"/>
        <item x="50"/>
        <item x="70"/>
        <item x="75"/>
        <item x="41"/>
        <item x="51"/>
        <item x="29"/>
        <item x="30"/>
        <item x="53"/>
        <item x="35"/>
        <item x="48"/>
        <item x="66"/>
        <item x="59"/>
        <item x="54"/>
        <item x="52"/>
        <item x="42"/>
        <item x="43"/>
        <item x="44"/>
        <item x="45"/>
        <item x="46"/>
        <item x="47"/>
        <item x="58"/>
        <item x="56"/>
        <item x="57"/>
        <item x="31"/>
        <item x="34"/>
        <item x="36"/>
        <item x="69"/>
        <item x="55"/>
        <item x="68"/>
        <item x="28"/>
        <item x="27"/>
        <item x="37"/>
        <item x="72"/>
        <item x="38"/>
        <item x="40"/>
        <item x="74"/>
        <item x="17"/>
        <item x="7"/>
        <item x="18"/>
        <item x="8"/>
        <item x="9"/>
        <item x="19"/>
        <item x="25"/>
        <item x="65"/>
        <item x="76"/>
        <item x="73"/>
        <item x="39"/>
        <item x="4"/>
        <item x="64"/>
        <item x="63"/>
        <item x="11"/>
        <item x="10"/>
        <item x="22"/>
        <item x="23"/>
        <item x="62"/>
        <item x="2"/>
        <item x="78"/>
        <item x="60"/>
        <item x="61"/>
        <item x="3"/>
        <item x="24"/>
        <item x="0"/>
        <item x="21"/>
        <item x="1"/>
        <item x="12"/>
        <item x="6"/>
        <item x="7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59"/>
        <item x="26"/>
        <item x="27"/>
        <item x="63"/>
        <item x="0"/>
        <item x="21"/>
        <item x="1"/>
        <item x="12"/>
        <item x="49"/>
        <item x="50"/>
        <item x="70"/>
        <item x="75"/>
        <item x="41"/>
        <item x="54"/>
        <item x="51"/>
        <item x="52"/>
        <item x="42"/>
        <item x="43"/>
        <item x="44"/>
        <item x="45"/>
        <item x="46"/>
        <item x="47"/>
        <item x="60"/>
        <item x="61"/>
        <item x="28"/>
        <item x="29"/>
        <item x="30"/>
        <item x="53"/>
        <item x="22"/>
        <item x="10"/>
        <item x="11"/>
        <item x="23"/>
        <item x="58"/>
        <item x="56"/>
        <item x="57"/>
        <item x="31"/>
        <item x="13"/>
        <item x="32"/>
        <item x="14"/>
        <item x="33"/>
        <item x="77"/>
        <item x="67"/>
        <item x="15"/>
        <item x="20"/>
        <item x="16"/>
        <item x="2"/>
        <item x="78"/>
        <item x="71"/>
        <item x="34"/>
        <item x="35"/>
        <item x="3"/>
        <item x="24"/>
        <item x="48"/>
        <item x="36"/>
        <item x="69"/>
        <item x="64"/>
        <item x="66"/>
        <item x="62"/>
        <item x="37"/>
        <item x="73"/>
        <item x="72"/>
        <item x="38"/>
        <item x="4"/>
        <item x="39"/>
        <item x="5"/>
        <item x="6"/>
        <item x="40"/>
        <item x="74"/>
        <item x="17"/>
        <item x="7"/>
        <item x="18"/>
        <item x="8"/>
        <item x="9"/>
        <item x="19"/>
        <item x="25"/>
        <item x="65"/>
        <item x="55"/>
        <item x="79"/>
        <item x="76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">
        <item x="0"/>
        <item x="2"/>
        <item x="3"/>
        <item x="1"/>
        <item x="4"/>
        <item x="6"/>
        <item x="20"/>
        <item x="11"/>
        <item x="16"/>
        <item x="8"/>
        <item x="22"/>
        <item x="10"/>
        <item x="18"/>
        <item x="21"/>
        <item x="7"/>
        <item x="12"/>
        <item x="19"/>
        <item x="9"/>
        <item x="5"/>
        <item x="13"/>
        <item x="17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ubtotalTop="0" showAll="0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18">
        <item x="17"/>
        <item x="10"/>
        <item x="11"/>
        <item x="15"/>
        <item x="0"/>
        <item x="1"/>
        <item x="9"/>
        <item x="12"/>
        <item x="16"/>
        <item x="13"/>
        <item x="3"/>
        <item x="5"/>
        <item x="14"/>
        <item x="4"/>
        <item x="6"/>
        <item x="2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6"/>
    <field x="5"/>
    <field x="2"/>
    <field x="3"/>
    <field x="8"/>
    <field x="11"/>
    <field x="12"/>
    <field x="20"/>
  </rowFields>
  <rowItems count="74">
    <i>
      <x v="4"/>
      <x v="1"/>
      <x v="325"/>
      <x v="245"/>
      <x v="6"/>
      <x v="42"/>
      <x/>
      <x v="3"/>
    </i>
    <i r="4">
      <x v="63"/>
      <x v="29"/>
      <x/>
      <x v="3"/>
    </i>
    <i r="4">
      <x v="71"/>
      <x v="50"/>
      <x/>
      <x v="3"/>
    </i>
    <i r="2">
      <x v="327"/>
      <x v="185"/>
      <x v="63"/>
      <x v="29"/>
      <x/>
      <x v="3"/>
    </i>
    <i r="4">
      <x v="71"/>
      <x v="50"/>
      <x/>
      <x v="3"/>
    </i>
    <i r="2">
      <x v="338"/>
      <x v="112"/>
      <x v="63"/>
      <x v="29"/>
      <x/>
      <x v="3"/>
    </i>
    <i r="4">
      <x v="71"/>
      <x v="50"/>
      <x/>
      <x v="3"/>
    </i>
    <i r="2">
      <x v="347"/>
      <x v="325"/>
      <x/>
      <x v="36"/>
      <x v="4"/>
      <x v="3"/>
    </i>
    <i r="2">
      <x v="349"/>
      <x v="114"/>
      <x v="63"/>
      <x v="29"/>
      <x/>
      <x v="3"/>
    </i>
    <i r="4">
      <x v="71"/>
      <x v="50"/>
      <x/>
      <x v="3"/>
    </i>
    <i r="2">
      <x v="352"/>
      <x v="129"/>
      <x v="68"/>
      <x v="46"/>
      <x/>
      <x v="3"/>
    </i>
    <i r="2">
      <x v="353"/>
      <x v="129"/>
      <x v="68"/>
      <x v="46"/>
      <x/>
      <x v="3"/>
    </i>
    <i r="2">
      <x v="354"/>
      <x v="336"/>
      <x/>
      <x v="36"/>
      <x/>
      <x v="3"/>
    </i>
    <i r="4">
      <x v="68"/>
      <x v="46"/>
      <x/>
      <x v="3"/>
    </i>
    <i r="1">
      <x v="6"/>
      <x v="326"/>
      <x v="418"/>
      <x v="6"/>
      <x v="42"/>
      <x/>
      <x v="3"/>
    </i>
    <i r="1">
      <x v="19"/>
      <x v="343"/>
      <x v="347"/>
      <x v="66"/>
      <x v="57"/>
      <x/>
      <x v="3"/>
    </i>
    <i r="2">
      <x v="356"/>
      <x v="218"/>
      <x v="62"/>
      <x v="30"/>
      <x v="1"/>
      <x v="3"/>
    </i>
    <i r="4">
      <x v="71"/>
      <x v="50"/>
      <x v="1"/>
      <x v="3"/>
    </i>
    <i r="1">
      <x v="27"/>
      <x v="345"/>
      <x v="373"/>
      <x v="66"/>
      <x v="57"/>
      <x/>
      <x v="3"/>
    </i>
    <i r="2">
      <x v="348"/>
      <x v="322"/>
      <x v="63"/>
      <x v="29"/>
      <x/>
      <x v="3"/>
    </i>
    <i r="4">
      <x v="71"/>
      <x v="50"/>
      <x/>
      <x v="3"/>
    </i>
    <i r="2">
      <x v="350"/>
      <x v="139"/>
      <x v="66"/>
      <x v="57"/>
      <x/>
      <x v="3"/>
    </i>
    <i r="2">
      <x v="410"/>
      <x v="129"/>
      <x v="68"/>
      <x v="46"/>
      <x/>
      <x v="3"/>
    </i>
    <i r="1">
      <x v="33"/>
      <x v="626"/>
      <x v="262"/>
      <x v="62"/>
      <x v="30"/>
      <x/>
      <x v="3"/>
    </i>
    <i r="4">
      <x v="71"/>
      <x v="50"/>
      <x/>
      <x v="3"/>
    </i>
    <i r="2">
      <x v="629"/>
      <x v="129"/>
      <x v="68"/>
      <x v="46"/>
      <x/>
      <x v="3"/>
    </i>
    <i>
      <x v="5"/>
      <x v="1"/>
      <x v="235"/>
      <x v="325"/>
      <x/>
      <x v="36"/>
      <x v="2"/>
      <x v="3"/>
    </i>
    <i r="2">
      <x v="249"/>
      <x v="129"/>
      <x v="68"/>
      <x v="46"/>
      <x/>
      <x v="3"/>
    </i>
    <i r="2">
      <x v="251"/>
      <x v="185"/>
      <x v="62"/>
      <x v="30"/>
      <x v="2"/>
      <x v="3"/>
    </i>
    <i r="4">
      <x v="71"/>
      <x v="50"/>
      <x v="2"/>
      <x v="3"/>
    </i>
    <i r="2">
      <x v="253"/>
      <x v="384"/>
      <x v="8"/>
      <x v="44"/>
      <x/>
      <x v="3"/>
    </i>
    <i r="2">
      <x v="304"/>
      <x v="249"/>
      <x v="6"/>
      <x v="42"/>
      <x/>
      <x v="3"/>
    </i>
    <i r="4">
      <x v="63"/>
      <x v="29"/>
      <x/>
      <x v="3"/>
    </i>
    <i r="4">
      <x v="71"/>
      <x v="50"/>
      <x/>
      <x v="3"/>
    </i>
    <i r="2">
      <x v="305"/>
      <x v="185"/>
      <x v="62"/>
      <x v="30"/>
      <x/>
      <x v="3"/>
    </i>
    <i r="4">
      <x v="71"/>
      <x v="50"/>
      <x/>
      <x v="3"/>
    </i>
    <i r="2">
      <x v="318"/>
      <x v="139"/>
      <x v="66"/>
      <x v="57"/>
      <x/>
      <x v="3"/>
    </i>
    <i r="2">
      <x v="319"/>
      <x v="129"/>
      <x v="68"/>
      <x v="46"/>
      <x/>
      <x v="3"/>
    </i>
    <i r="2">
      <x v="320"/>
      <x v="19"/>
      <x v="2"/>
      <x v="38"/>
      <x/>
      <x v="3"/>
    </i>
    <i r="4">
      <x v="6"/>
      <x v="42"/>
      <x/>
      <x v="3"/>
    </i>
    <i r="2">
      <x v="321"/>
      <x v="325"/>
      <x/>
      <x v="36"/>
      <x v="1"/>
      <x v="3"/>
    </i>
    <i r="2">
      <x v="323"/>
      <x v="336"/>
      <x/>
      <x v="36"/>
      <x/>
      <x v="3"/>
    </i>
    <i r="4">
      <x v="68"/>
      <x v="46"/>
      <x/>
      <x v="3"/>
    </i>
    <i r="1">
      <x v="19"/>
      <x v="236"/>
      <x v="347"/>
      <x v="66"/>
      <x v="57"/>
      <x/>
      <x v="3"/>
    </i>
    <i r="2">
      <x v="317"/>
      <x v="347"/>
      <x v="66"/>
      <x v="57"/>
      <x/>
      <x v="3"/>
    </i>
    <i>
      <x v="6"/>
      <x v="1"/>
      <x v="225"/>
      <x v="241"/>
      <x v="63"/>
      <x v="29"/>
      <x/>
      <x v="4"/>
    </i>
    <i r="4">
      <x v="71"/>
      <x v="50"/>
      <x/>
      <x v="4"/>
    </i>
    <i r="2">
      <x v="226"/>
      <x v="439"/>
      <x v="63"/>
      <x v="29"/>
      <x/>
      <x v="4"/>
    </i>
    <i r="4">
      <x v="71"/>
      <x v="50"/>
      <x/>
      <x v="4"/>
    </i>
    <i r="2">
      <x v="233"/>
      <x v="248"/>
      <x v="63"/>
      <x v="29"/>
      <x/>
      <x v="4"/>
    </i>
    <i r="4">
      <x v="71"/>
      <x v="50"/>
      <x/>
      <x v="4"/>
    </i>
    <i r="2">
      <x v="280"/>
      <x v="325"/>
      <x/>
      <x v="36"/>
      <x v="4"/>
      <x v="4"/>
    </i>
    <i r="2">
      <x v="297"/>
      <x v="129"/>
      <x v="68"/>
      <x v="46"/>
      <x/>
      <x v="4"/>
    </i>
    <i r="2">
      <x v="298"/>
      <x v="129"/>
      <x v="68"/>
      <x v="46"/>
      <x/>
      <x v="4"/>
    </i>
    <i r="2">
      <x v="299"/>
      <x v="336"/>
      <x/>
      <x v="36"/>
      <x v="1"/>
      <x v="4"/>
    </i>
    <i r="4">
      <x v="67"/>
      <x v="45"/>
      <x/>
      <x v="4"/>
    </i>
    <i r="2">
      <x v="301"/>
      <x v="184"/>
      <x v="63"/>
      <x v="29"/>
      <x/>
      <x v="4"/>
    </i>
    <i r="4">
      <x v="71"/>
      <x v="50"/>
      <x/>
      <x v="4"/>
    </i>
    <i r="2">
      <x v="409"/>
      <x v="355"/>
      <x v="8"/>
      <x v="44"/>
      <x/>
      <x v="4"/>
    </i>
    <i r="1">
      <x v="19"/>
      <x v="295"/>
      <x v="347"/>
      <x v="66"/>
      <x v="57"/>
      <x/>
      <x v="4"/>
    </i>
    <i r="2">
      <x v="414"/>
      <x v="300"/>
      <x v="40"/>
      <x v="79"/>
      <x/>
      <x v="4"/>
    </i>
    <i r="1">
      <x v="34"/>
      <x v="415"/>
      <x v="419"/>
      <x v="62"/>
      <x v="30"/>
      <x/>
      <x v="4"/>
    </i>
    <i r="2">
      <x v="416"/>
      <x v="419"/>
      <x v="62"/>
      <x v="30"/>
      <x/>
      <x v="4"/>
    </i>
    <i>
      <x v="7"/>
      <x v="1"/>
      <x/>
      <x v="427"/>
      <x v="62"/>
      <x v="30"/>
      <x v="2"/>
      <x v="4"/>
    </i>
    <i r="4">
      <x v="71"/>
      <x v="50"/>
      <x v="2"/>
      <x v="4"/>
    </i>
    <i r="2">
      <x v="254"/>
      <x v="325"/>
      <x/>
      <x v="36"/>
      <x v="4"/>
      <x v="4"/>
    </i>
    <i r="2">
      <x v="273"/>
      <x v="129"/>
      <x v="68"/>
      <x v="46"/>
      <x/>
      <x v="4"/>
    </i>
    <i r="2">
      <x v="274"/>
      <x v="129"/>
      <x v="68"/>
      <x v="46"/>
      <x/>
      <x v="4"/>
    </i>
    <i r="2">
      <x v="275"/>
      <x v="336"/>
      <x/>
      <x v="36"/>
      <x v="1"/>
      <x v="4"/>
    </i>
    <i r="4">
      <x v="67"/>
      <x v="45"/>
      <x/>
      <x v="4"/>
    </i>
    <i r="2">
      <x v="277"/>
      <x v="185"/>
      <x v="62"/>
      <x v="30"/>
      <x/>
      <x v="4"/>
    </i>
    <i r="4">
      <x v="71"/>
      <x v="50"/>
      <x/>
      <x v="4"/>
    </i>
    <i r="1">
      <x v="19"/>
      <x v="271"/>
      <x v="347"/>
      <x v="66"/>
      <x v="57"/>
      <x/>
      <x v="4"/>
    </i>
    <i t="grand">
      <x/>
    </i>
  </rowItems>
  <colItems count="1">
    <i/>
  </colItems>
  <pageFields count="2">
    <pageField fld="15" hier="-1"/>
    <pageField fld="7" hier="-1"/>
  </pageFields>
  <formats count="80">
    <format dxfId="239">
      <pivotArea dataOnly="0" labelOnly="1" outline="0" fieldPosition="0">
        <references count="1">
          <reference field="15" count="0"/>
        </references>
      </pivotArea>
    </format>
    <format dxfId="238">
      <pivotArea outline="0" fieldPosition="0">
        <references count="2">
          <reference field="6" count="1" selected="0">
            <x v="1"/>
          </reference>
          <reference field="7" count="1" selected="0" sumSubtotal="1">
            <x v="0"/>
          </reference>
        </references>
      </pivotArea>
    </format>
    <format dxfId="237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0"/>
          </reference>
        </references>
      </pivotArea>
    </format>
    <format dxfId="236">
      <pivotArea outline="0" fieldPosition="0">
        <references count="2">
          <reference field="6" count="1" selected="0">
            <x v="1"/>
          </reference>
          <reference field="7" count="1" selected="0" sumSubtotal="1">
            <x v="1"/>
          </reference>
        </references>
      </pivotArea>
    </format>
    <format dxfId="235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1"/>
          </reference>
        </references>
      </pivotArea>
    </format>
    <format dxfId="234">
      <pivotArea outline="0" fieldPosition="0">
        <references count="2">
          <reference field="6" count="1" selected="0">
            <x v="1"/>
          </reference>
          <reference field="7" count="1" selected="0" sumSubtotal="1">
            <x v="2"/>
          </reference>
        </references>
      </pivotArea>
    </format>
    <format dxfId="233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2"/>
          </reference>
        </references>
      </pivotArea>
    </format>
    <format dxfId="232">
      <pivotArea outline="0" fieldPosition="0">
        <references count="2">
          <reference field="6" count="1" selected="0">
            <x v="1"/>
          </reference>
          <reference field="7" count="1" selected="0" sumSubtotal="1">
            <x v="3"/>
          </reference>
        </references>
      </pivotArea>
    </format>
    <format dxfId="231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3"/>
          </reference>
        </references>
      </pivotArea>
    </format>
    <format dxfId="230">
      <pivotArea outline="0" fieldPosition="0">
        <references count="2">
          <reference field="6" count="1" selected="0">
            <x v="2"/>
          </reference>
          <reference field="7" count="1" selected="0" sumSubtotal="1">
            <x v="0"/>
          </reference>
        </references>
      </pivotArea>
    </format>
    <format dxfId="229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0"/>
          </reference>
        </references>
      </pivotArea>
    </format>
    <format dxfId="228">
      <pivotArea outline="0" fieldPosition="0">
        <references count="2">
          <reference field="6" count="1" selected="0">
            <x v="2"/>
          </reference>
          <reference field="7" count="1" selected="0" sumSubtotal="1">
            <x v="2"/>
          </reference>
        </references>
      </pivotArea>
    </format>
    <format dxfId="227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2"/>
          </reference>
        </references>
      </pivotArea>
    </format>
    <format dxfId="226">
      <pivotArea outline="0" fieldPosition="0">
        <references count="2">
          <reference field="6" count="1" selected="0">
            <x v="2"/>
          </reference>
          <reference field="7" count="1" selected="0" sumSubtotal="1">
            <x v="3"/>
          </reference>
        </references>
      </pivotArea>
    </format>
    <format dxfId="225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3"/>
          </reference>
        </references>
      </pivotArea>
    </format>
    <format dxfId="224">
      <pivotArea outline="0" fieldPosition="0">
        <references count="2">
          <reference field="6" count="1" selected="0">
            <x v="3"/>
          </reference>
          <reference field="7" count="1" selected="0" sumSubtotal="1">
            <x v="0"/>
          </reference>
        </references>
      </pivotArea>
    </format>
    <format dxfId="223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0"/>
          </reference>
        </references>
      </pivotArea>
    </format>
    <format dxfId="222">
      <pivotArea outline="0" fieldPosition="0">
        <references count="2">
          <reference field="6" count="1" selected="0">
            <x v="3"/>
          </reference>
          <reference field="7" count="1" selected="0" sumSubtotal="1">
            <x v="2"/>
          </reference>
        </references>
      </pivotArea>
    </format>
    <format dxfId="221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2"/>
          </reference>
        </references>
      </pivotArea>
    </format>
    <format dxfId="220">
      <pivotArea outline="0" fieldPosition="0">
        <references count="2">
          <reference field="6" count="1" selected="0">
            <x v="3"/>
          </reference>
          <reference field="7" count="1" selected="0" sumSubtotal="1">
            <x v="3"/>
          </reference>
        </references>
      </pivotArea>
    </format>
    <format dxfId="219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3"/>
          </reference>
        </references>
      </pivotArea>
    </format>
    <format dxfId="218">
      <pivotArea outline="0" fieldPosition="0">
        <references count="2">
          <reference field="6" count="1" selected="0">
            <x v="4"/>
          </reference>
          <reference field="7" count="1" selected="0" sumSubtotal="1">
            <x v="0"/>
          </reference>
        </references>
      </pivotArea>
    </format>
    <format dxfId="217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0"/>
          </reference>
        </references>
      </pivotArea>
    </format>
    <format dxfId="216">
      <pivotArea outline="0" fieldPosition="0">
        <references count="2">
          <reference field="6" count="1" selected="0">
            <x v="4"/>
          </reference>
          <reference field="7" count="1" selected="0" sumSubtotal="1">
            <x v="2"/>
          </reference>
        </references>
      </pivotArea>
    </format>
    <format dxfId="215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2"/>
          </reference>
        </references>
      </pivotArea>
    </format>
    <format dxfId="214">
      <pivotArea outline="0" fieldPosition="0">
        <references count="2">
          <reference field="6" count="1" selected="0">
            <x v="4"/>
          </reference>
          <reference field="7" count="1" selected="0" sumSubtotal="1">
            <x v="3"/>
          </reference>
        </references>
      </pivotArea>
    </format>
    <format dxfId="213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3"/>
          </reference>
        </references>
      </pivotArea>
    </format>
    <format dxfId="212">
      <pivotArea outline="0" fieldPosition="0">
        <references count="2">
          <reference field="6" count="1" selected="0">
            <x v="5"/>
          </reference>
          <reference field="7" count="1" selected="0" sumSubtotal="1">
            <x v="0"/>
          </reference>
        </references>
      </pivotArea>
    </format>
    <format dxfId="211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0"/>
          </reference>
        </references>
      </pivotArea>
    </format>
    <format dxfId="210">
      <pivotArea outline="0" fieldPosition="0">
        <references count="2">
          <reference field="6" count="1" selected="0">
            <x v="5"/>
          </reference>
          <reference field="7" count="1" selected="0" sumSubtotal="1">
            <x v="2"/>
          </reference>
        </references>
      </pivotArea>
    </format>
    <format dxfId="209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2"/>
          </reference>
        </references>
      </pivotArea>
    </format>
    <format dxfId="208">
      <pivotArea outline="0" fieldPosition="0">
        <references count="2">
          <reference field="6" count="1" selected="0">
            <x v="5"/>
          </reference>
          <reference field="7" count="1" selected="0" sumSubtotal="1">
            <x v="3"/>
          </reference>
        </references>
      </pivotArea>
    </format>
    <format dxfId="207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3"/>
          </reference>
        </references>
      </pivotArea>
    </format>
    <format dxfId="206">
      <pivotArea outline="0" fieldPosition="0">
        <references count="2">
          <reference field="6" count="1" selected="0">
            <x v="6"/>
          </reference>
          <reference field="7" count="1" selected="0" sumSubtotal="1">
            <x v="0"/>
          </reference>
        </references>
      </pivotArea>
    </format>
    <format dxfId="205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0"/>
          </reference>
        </references>
      </pivotArea>
    </format>
    <format dxfId="204">
      <pivotArea outline="0" fieldPosition="0">
        <references count="2">
          <reference field="6" count="1" selected="0">
            <x v="6"/>
          </reference>
          <reference field="7" count="1" selected="0" sumSubtotal="1">
            <x v="2"/>
          </reference>
        </references>
      </pivotArea>
    </format>
    <format dxfId="203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2"/>
          </reference>
        </references>
      </pivotArea>
    </format>
    <format dxfId="202">
      <pivotArea outline="0" fieldPosition="0">
        <references count="2">
          <reference field="6" count="1" selected="0">
            <x v="6"/>
          </reference>
          <reference field="7" count="1" selected="0" sumSubtotal="1">
            <x v="3"/>
          </reference>
        </references>
      </pivotArea>
    </format>
    <format dxfId="201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3"/>
          </reference>
        </references>
      </pivotArea>
    </format>
    <format dxfId="200">
      <pivotArea outline="0" fieldPosition="0">
        <references count="2">
          <reference field="6" count="1" selected="0">
            <x v="7"/>
          </reference>
          <reference field="7" count="1" selected="0" sumSubtotal="1">
            <x v="0"/>
          </reference>
        </references>
      </pivotArea>
    </format>
    <format dxfId="199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0"/>
          </reference>
        </references>
      </pivotArea>
    </format>
    <format dxfId="198">
      <pivotArea outline="0" fieldPosition="0">
        <references count="2">
          <reference field="6" count="1" selected="0">
            <x v="7"/>
          </reference>
          <reference field="7" count="1" selected="0" sumSubtotal="1">
            <x v="2"/>
          </reference>
        </references>
      </pivotArea>
    </format>
    <format dxfId="197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2"/>
          </reference>
        </references>
      </pivotArea>
    </format>
    <format dxfId="196">
      <pivotArea outline="0" fieldPosition="0">
        <references count="2">
          <reference field="6" count="1" selected="0">
            <x v="7"/>
          </reference>
          <reference field="7" count="1" selected="0" sumSubtotal="1">
            <x v="3"/>
          </reference>
        </references>
      </pivotArea>
    </format>
    <format dxfId="195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3"/>
          </reference>
        </references>
      </pivotArea>
    </format>
    <format dxfId="194">
      <pivotArea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93">
      <pivotArea dataOnly="0" labelOnly="1" outline="0" fieldPosition="0">
        <references count="3">
          <reference field="6" count="1" selected="0">
            <x v="1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92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91">
      <pivotArea outline="0" fieldPosition="0">
        <references count="4">
          <reference field="6" count="1" selected="0">
            <x v="2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90">
      <pivotArea dataOnly="0" labelOnly="1" outline="0" fieldPosition="0">
        <references count="3">
          <reference field="6" count="1" selected="0">
            <x v="2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89">
      <pivotArea dataOnly="0" labelOnly="1" outline="0" fieldPosition="0">
        <references count="4">
          <reference field="6" count="1" selected="0">
            <x v="2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88">
      <pivotArea outline="0" fieldPosition="0">
        <references count="4">
          <reference field="6" count="1" selected="0">
            <x v="3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87">
      <pivotArea dataOnly="0" labelOnly="1" outline="0" fieldPosition="0">
        <references count="3">
          <reference field="6" count="1" selected="0">
            <x v="3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86">
      <pivotArea dataOnly="0" labelOnly="1" outline="0" fieldPosition="0">
        <references count="4">
          <reference field="6" count="1" selected="0">
            <x v="3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85">
      <pivotArea outline="0" fieldPosition="0">
        <references count="4">
          <reference field="6" count="1" selected="0">
            <x v="4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84">
      <pivotArea dataOnly="0" labelOnly="1" outline="0" fieldPosition="0">
        <references count="3">
          <reference field="6" count="1" selected="0">
            <x v="4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83">
      <pivotArea dataOnly="0" labelOnly="1" outline="0" fieldPosition="0">
        <references count="4">
          <reference field="6" count="1" selected="0">
            <x v="4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82">
      <pivotArea outline="0" fieldPosition="0">
        <references count="4">
          <reference field="6" count="1" selected="0">
            <x v="5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81">
      <pivotArea dataOnly="0" labelOnly="1" outline="0" fieldPosition="0">
        <references count="3">
          <reference field="6" count="1" selected="0">
            <x v="5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80">
      <pivotArea dataOnly="0" labelOnly="1" outline="0" fieldPosition="0">
        <references count="4">
          <reference field="6" count="1" selected="0">
            <x v="5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79">
      <pivotArea outline="0" fieldPosition="0">
        <references count="4">
          <reference field="6" count="1" selected="0">
            <x v="6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78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77">
      <pivotArea dataOnly="0" labelOnly="1" outline="0" fieldPosition="0">
        <references count="4">
          <reference field="6" count="1" selected="0">
            <x v="6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76">
      <pivotArea outline="0" fieldPosition="0">
        <references count="4">
          <reference field="6" count="1" selected="0">
            <x v="7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75">
      <pivotArea dataOnly="0" labelOnly="1" outline="0" fieldPosition="0">
        <references count="3">
          <reference field="6" count="1" selected="0">
            <x v="7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74">
      <pivotArea dataOnly="0" labelOnly="1" outline="0" fieldPosition="0">
        <references count="4">
          <reference field="6" count="1" selected="0">
            <x v="7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73">
      <pivotArea dataOnly="0" outline="0" fieldPosition="0">
        <references count="2">
          <reference field="8" count="1">
            <x v="59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72">
      <pivotArea outline="0" fieldPosition="0">
        <references count="4">
          <reference field="6" count="1" selected="0">
            <x v="1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171">
      <pivotArea dataOnly="0" labelOnly="1" outline="0" fieldPosition="0">
        <references count="3">
          <reference field="6" count="1" selected="0">
            <x v="1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170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169">
      <pivotArea outline="0" fieldPosition="0">
        <references count="4">
          <reference field="6" count="1" selected="0">
            <x v="2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168">
      <pivotArea dataOnly="0" labelOnly="1" outline="0" fieldPosition="0">
        <references count="3">
          <reference field="6" count="1" selected="0">
            <x v="2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167">
      <pivotArea dataOnly="0" labelOnly="1" outline="0" fieldPosition="0">
        <references count="4">
          <reference field="6" count="1" selected="0">
            <x v="2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166">
      <pivotArea outline="0" fieldPosition="0">
        <references count="4">
          <reference field="6" count="1" selected="0">
            <x v="3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165">
      <pivotArea dataOnly="0" labelOnly="1" outline="0" fieldPosition="0">
        <references count="3">
          <reference field="6" count="1" selected="0">
            <x v="3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164">
      <pivotArea dataOnly="0" labelOnly="1" outline="0" fieldPosition="0">
        <references count="4">
          <reference field="6" count="1" selected="0">
            <x v="3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163">
      <pivotArea dataOnly="0" labelOnly="1" outline="0" offset="IV3:IV256" fieldPosition="0">
        <references count="1">
          <reference field="6" count="1">
            <x v="1"/>
          </reference>
        </references>
      </pivotArea>
    </format>
    <format dxfId="162">
      <pivotArea dataOnly="0" labelOnly="1" outline="0" fieldPosition="0">
        <references count="1">
          <reference field="6" count="6">
            <x v="2"/>
            <x v="3"/>
            <x v="4"/>
            <x v="5"/>
            <x v="6"/>
            <x v="7"/>
          </reference>
        </references>
      </pivotArea>
    </format>
    <format dxfId="161">
      <pivotArea field="8" type="button" dataOnly="0" labelOnly="1" outline="0" axis="axisRow" fieldPosition="4"/>
    </format>
    <format dxfId="160">
      <pivotArea field="8" type="button" dataOnly="0" labelOnly="1" outline="0" axis="axisRow" fieldPosition="4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1A5CF-0F6E-433A-B486-07225666F4A9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4:S86" firstHeaderRow="1" firstDataRow="2" firstDataCol="2"/>
  <pivotFields count="4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815">
        <item x="91"/>
        <item x="184"/>
        <item x="199"/>
        <item x="176"/>
        <item x="177"/>
        <item x="138"/>
        <item x="137"/>
        <item x="140"/>
        <item x="136"/>
        <item x="45"/>
        <item x="114"/>
        <item x="18"/>
        <item x="46"/>
        <item x="47"/>
        <item x="19"/>
        <item x="20"/>
        <item x="178"/>
        <item x="21"/>
        <item x="48"/>
        <item x="49"/>
        <item x="50"/>
        <item x="51"/>
        <item x="52"/>
        <item x="53"/>
        <item x="88"/>
        <item x="54"/>
        <item x="22"/>
        <item x="102"/>
        <item x="55"/>
        <item x="56"/>
        <item x="57"/>
        <item x="33"/>
        <item x="58"/>
        <item x="179"/>
        <item x="235"/>
        <item x="236"/>
        <item x="194"/>
        <item x="181"/>
        <item x="191"/>
        <item x="193"/>
        <item x="98"/>
        <item x="59"/>
        <item x="23"/>
        <item x="196"/>
        <item x="200"/>
        <item x="201"/>
        <item x="202"/>
        <item x="99"/>
        <item x="60"/>
        <item x="24"/>
        <item x="198"/>
        <item x="203"/>
        <item x="204"/>
        <item x="205"/>
        <item x="206"/>
        <item x="207"/>
        <item x="237"/>
        <item x="208"/>
        <item x="238"/>
        <item x="239"/>
        <item x="240"/>
        <item x="241"/>
        <item x="231"/>
        <item x="23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42"/>
        <item x="243"/>
        <item x="173"/>
        <item x="244"/>
        <item x="246"/>
        <item x="247"/>
        <item x="248"/>
        <item x="221"/>
        <item x="222"/>
        <item x="192"/>
        <item x="223"/>
        <item x="224"/>
        <item x="245"/>
        <item x="249"/>
        <item x="250"/>
        <item x="225"/>
        <item x="226"/>
        <item x="540"/>
        <item x="551"/>
        <item x="538"/>
        <item x="555"/>
        <item x="227"/>
        <item x="550"/>
        <item x="541"/>
        <item x="543"/>
        <item x="544"/>
        <item x="545"/>
        <item x="546"/>
        <item x="547"/>
        <item x="548"/>
        <item x="549"/>
        <item x="542"/>
        <item x="554"/>
        <item x="274"/>
        <item x="279"/>
        <item x="284"/>
        <item x="285"/>
        <item x="286"/>
        <item x="282"/>
        <item x="283"/>
        <item x="280"/>
        <item x="273"/>
        <item x="275"/>
        <item x="281"/>
        <item x="288"/>
        <item x="786"/>
        <item x="271"/>
        <item x="272"/>
        <item x="533"/>
        <item x="787"/>
        <item x="788"/>
        <item x="276"/>
        <item x="277"/>
        <item x="278"/>
        <item x="262"/>
        <item x="264"/>
        <item x="263"/>
        <item x="270"/>
        <item x="265"/>
        <item x="266"/>
        <item x="267"/>
        <item x="268"/>
        <item x="269"/>
        <item x="794"/>
        <item x="333"/>
        <item x="334"/>
        <item x="335"/>
        <item x="609"/>
        <item x="612"/>
        <item x="613"/>
        <item x="614"/>
        <item x="615"/>
        <item x="625"/>
        <item x="620"/>
        <item x="805"/>
        <item x="608"/>
        <item x="624"/>
        <item x="616"/>
        <item x="603"/>
        <item x="604"/>
        <item x="610"/>
        <item x="617"/>
        <item x="605"/>
        <item x="602"/>
        <item x="611"/>
        <item x="622"/>
        <item x="623"/>
        <item x="621"/>
        <item x="606"/>
        <item x="607"/>
        <item x="618"/>
        <item x="619"/>
        <item x="647"/>
        <item x="654"/>
        <item x="655"/>
        <item x="656"/>
        <item x="662"/>
        <item x="663"/>
        <item x="648"/>
        <item x="351"/>
        <item x="342"/>
        <item x="649"/>
        <item x="668"/>
        <item x="669"/>
        <item x="667"/>
        <item x="660"/>
        <item x="657"/>
        <item x="670"/>
        <item x="650"/>
        <item x="791"/>
        <item x="664"/>
        <item x="666"/>
        <item x="658"/>
        <item x="671"/>
        <item x="651"/>
        <item x="652"/>
        <item x="659"/>
        <item x="661"/>
        <item x="665"/>
        <item x="653"/>
        <item x="336"/>
        <item x="339"/>
        <item x="340"/>
        <item x="341"/>
        <item x="325"/>
        <item x="350"/>
        <item x="326"/>
        <item x="346"/>
        <item x="347"/>
        <item x="348"/>
        <item x="345"/>
        <item x="343"/>
        <item x="344"/>
        <item x="349"/>
        <item x="337"/>
        <item x="338"/>
        <item x="327"/>
        <item x="324"/>
        <item x="330"/>
        <item x="553"/>
        <item x="552"/>
        <item x="539"/>
        <item x="133"/>
        <item x="287"/>
        <item x="228"/>
        <item x="229"/>
        <item x="230"/>
        <item x="197"/>
        <item x="115"/>
        <item x="92"/>
        <item x="93"/>
        <item x="489"/>
        <item x="485"/>
        <item x="487"/>
        <item x="488"/>
        <item x="486"/>
        <item x="797"/>
        <item x="94"/>
        <item x="116"/>
        <item x="12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109"/>
        <item x="103"/>
        <item x="44"/>
        <item x="354"/>
        <item x="32"/>
        <item x="3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398"/>
        <item x="117"/>
        <item x="119"/>
        <item x="120"/>
        <item x="40"/>
        <item x="38"/>
        <item x="95"/>
        <item x="394"/>
        <item x="395"/>
        <item x="41"/>
        <item x="416"/>
        <item x="4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399"/>
        <item x="118"/>
        <item x="121"/>
        <item x="122"/>
        <item x="42"/>
        <item x="37"/>
        <item x="96"/>
        <item x="396"/>
        <item x="397"/>
        <item x="30"/>
        <item x="61"/>
        <item x="355"/>
        <item x="373"/>
        <item x="374"/>
        <item x="375"/>
        <item x="376"/>
        <item x="377"/>
        <item x="378"/>
        <item x="379"/>
        <item x="380"/>
        <item x="381"/>
        <item x="382"/>
        <item x="360"/>
        <item x="793"/>
        <item x="110"/>
        <item x="17"/>
        <item x="13"/>
        <item x="104"/>
        <item x="14"/>
        <item x="11"/>
        <item x="25"/>
        <item x="154"/>
        <item x="62"/>
        <item x="357"/>
        <item x="356"/>
        <item x="113"/>
        <item x="387"/>
        <item x="388"/>
        <item x="389"/>
        <item x="383"/>
        <item x="390"/>
        <item x="391"/>
        <item x="384"/>
        <item x="63"/>
        <item x="392"/>
        <item x="393"/>
        <item x="385"/>
        <item x="386"/>
        <item x="358"/>
        <item x="537"/>
        <item x="799"/>
        <item x="535"/>
        <item x="15"/>
        <item x="534"/>
        <item x="89"/>
        <item x="798"/>
        <item x="105"/>
        <item x="112"/>
        <item x="111"/>
        <item x="16"/>
        <item x="352"/>
        <item x="353"/>
        <item x="694"/>
        <item x="714"/>
        <item x="728"/>
        <item x="729"/>
        <item x="715"/>
        <item x="697"/>
        <item x="699"/>
        <item x="709"/>
        <item x="706"/>
        <item x="590"/>
        <item x="596"/>
        <item x="592"/>
        <item x="597"/>
        <item x="600"/>
        <item x="586"/>
        <item x="587"/>
        <item x="598"/>
        <item x="591"/>
        <item x="589"/>
        <item x="588"/>
        <item x="601"/>
        <item x="593"/>
        <item x="594"/>
        <item x="595"/>
        <item x="599"/>
        <item x="741"/>
        <item x="745"/>
        <item x="763"/>
        <item x="742"/>
        <item x="760"/>
        <item x="761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66"/>
        <item x="743"/>
        <item x="764"/>
        <item x="765"/>
        <item x="767"/>
        <item x="758"/>
        <item x="762"/>
        <item x="740"/>
        <item x="744"/>
        <item x="43"/>
        <item x="536"/>
        <item x="564"/>
        <item x="484"/>
        <item x="585"/>
        <item x="430"/>
        <item x="646"/>
        <item x="645"/>
        <item x="730"/>
        <item x="679"/>
        <item x="688"/>
        <item x="689"/>
        <item x="695"/>
        <item x="696"/>
        <item x="813"/>
        <item x="700"/>
        <item x="701"/>
        <item x="702"/>
        <item x="690"/>
        <item x="716"/>
        <item x="680"/>
        <item x="717"/>
        <item x="814"/>
        <item x="806"/>
        <item x="698"/>
        <item x="718"/>
        <item x="719"/>
        <item x="720"/>
        <item x="721"/>
        <item x="722"/>
        <item x="692"/>
        <item x="731"/>
        <item x="732"/>
        <item x="723"/>
        <item x="703"/>
        <item x="724"/>
        <item x="801"/>
        <item x="725"/>
        <item x="726"/>
        <item x="693"/>
        <item x="733"/>
        <item x="727"/>
        <item x="704"/>
        <item x="707"/>
        <item x="708"/>
        <item x="678"/>
        <item x="705"/>
        <item x="710"/>
        <item x="734"/>
        <item x="792"/>
        <item x="735"/>
        <item x="736"/>
        <item x="737"/>
        <item x="738"/>
        <item x="739"/>
        <item x="684"/>
        <item x="685"/>
        <item x="686"/>
        <item x="711"/>
        <item x="712"/>
        <item x="683"/>
        <item x="674"/>
        <item x="675"/>
        <item x="195"/>
        <item x="26"/>
        <item x="233"/>
        <item x="234"/>
        <item x="64"/>
        <item x="34"/>
        <item x="768"/>
        <item x="769"/>
        <item x="770"/>
        <item x="771"/>
        <item x="772"/>
        <item x="773"/>
        <item x="461"/>
        <item x="449"/>
        <item x="452"/>
        <item x="453"/>
        <item x="454"/>
        <item x="478"/>
        <item x="462"/>
        <item x="463"/>
        <item x="455"/>
        <item x="473"/>
        <item x="474"/>
        <item x="464"/>
        <item x="458"/>
        <item x="459"/>
        <item x="465"/>
        <item x="466"/>
        <item x="460"/>
        <item x="456"/>
        <item x="467"/>
        <item x="468"/>
        <item x="469"/>
        <item x="470"/>
        <item x="457"/>
        <item x="479"/>
        <item x="475"/>
        <item x="480"/>
        <item x="476"/>
        <item x="481"/>
        <item x="482"/>
        <item x="483"/>
        <item x="477"/>
        <item x="471"/>
        <item x="472"/>
        <item x="446"/>
        <item x="440"/>
        <item x="441"/>
        <item x="442"/>
        <item x="443"/>
        <item x="444"/>
        <item x="439"/>
        <item x="445"/>
        <item x="431"/>
        <item x="432"/>
        <item x="433"/>
        <item x="434"/>
        <item x="435"/>
        <item x="447"/>
        <item x="436"/>
        <item x="437"/>
        <item x="438"/>
        <item x="314"/>
        <item x="320"/>
        <item x="315"/>
        <item x="316"/>
        <item x="310"/>
        <item x="311"/>
        <item x="312"/>
        <item x="322"/>
        <item x="323"/>
        <item x="306"/>
        <item x="307"/>
        <item x="317"/>
        <item x="795"/>
        <item x="796"/>
        <item x="309"/>
        <item x="318"/>
        <item x="313"/>
        <item x="321"/>
        <item x="319"/>
        <item x="308"/>
        <item x="291"/>
        <item x="293"/>
        <item x="294"/>
        <item x="295"/>
        <item x="296"/>
        <item x="292"/>
        <item x="789"/>
        <item x="297"/>
        <item x="299"/>
        <item x="298"/>
        <item x="289"/>
        <item x="290"/>
        <item x="568"/>
        <item x="569"/>
        <item x="563"/>
        <item x="565"/>
        <item x="566"/>
        <item x="567"/>
        <item x="570"/>
        <item x="561"/>
        <item x="562"/>
        <item x="156"/>
        <item x="157"/>
        <item x="560"/>
        <item x="558"/>
        <item x="559"/>
        <item x="574"/>
        <item x="579"/>
        <item x="578"/>
        <item x="581"/>
        <item x="582"/>
        <item x="584"/>
        <item x="583"/>
        <item x="577"/>
        <item x="580"/>
        <item x="572"/>
        <item x="571"/>
        <item x="557"/>
        <item x="573"/>
        <item x="800"/>
        <item x="576"/>
        <item x="575"/>
        <item x="556"/>
        <item x="514"/>
        <item x="526"/>
        <item x="527"/>
        <item x="528"/>
        <item x="803"/>
        <item x="510"/>
        <item x="804"/>
        <item x="509"/>
        <item x="508"/>
        <item x="513"/>
        <item x="512"/>
        <item x="519"/>
        <item x="507"/>
        <item x="515"/>
        <item x="516"/>
        <item x="517"/>
        <item x="790"/>
        <item x="524"/>
        <item x="520"/>
        <item x="518"/>
        <item x="521"/>
        <item x="522"/>
        <item x="511"/>
        <item x="523"/>
        <item x="525"/>
        <item x="529"/>
        <item x="145"/>
        <item x="146"/>
        <item x="147"/>
        <item x="641"/>
        <item x="642"/>
        <item x="643"/>
        <item x="644"/>
        <item x="639"/>
        <item x="640"/>
        <item x="148"/>
        <item x="151"/>
        <item x="152"/>
        <item x="777"/>
        <item x="149"/>
        <item x="778"/>
        <item x="779"/>
        <item x="780"/>
        <item x="150"/>
        <item x="781"/>
        <item x="153"/>
        <item x="782"/>
        <item x="141"/>
        <item x="142"/>
        <item x="144"/>
        <item x="530"/>
        <item x="531"/>
        <item x="532"/>
        <item x="180"/>
        <item x="185"/>
        <item x="186"/>
        <item x="31"/>
        <item x="65"/>
        <item x="66"/>
        <item x="106"/>
        <item x="67"/>
        <item x="108"/>
        <item x="107"/>
        <item x="97"/>
        <item x="164"/>
        <item x="163"/>
        <item x="165"/>
        <item x="68"/>
        <item x="27"/>
        <item x="69"/>
        <item x="501"/>
        <item x="499"/>
        <item x="187"/>
        <item x="676"/>
        <item x="677"/>
        <item x="687"/>
        <item x="188"/>
        <item x="182"/>
        <item x="491"/>
        <item x="490"/>
        <item x="492"/>
        <item x="495"/>
        <item x="493"/>
        <item x="496"/>
        <item x="494"/>
        <item x="189"/>
        <item x="300"/>
        <item x="301"/>
        <item x="302"/>
        <item x="303"/>
        <item x="304"/>
        <item x="305"/>
        <item x="190"/>
        <item x="174"/>
        <item x="175"/>
        <item x="183"/>
        <item x="502"/>
        <item x="503"/>
        <item x="504"/>
        <item x="506"/>
        <item x="505"/>
        <item x="500"/>
        <item x="497"/>
        <item x="498"/>
        <item x="70"/>
        <item x="253"/>
        <item x="28"/>
        <item x="251"/>
        <item x="71"/>
        <item x="72"/>
        <item x="73"/>
        <item x="74"/>
        <item x="100"/>
        <item x="75"/>
        <item x="76"/>
        <item x="776"/>
        <item x="77"/>
        <item x="78"/>
        <item x="254"/>
        <item x="260"/>
        <item x="255"/>
        <item x="256"/>
        <item x="257"/>
        <item x="258"/>
        <item x="3"/>
        <item x="2"/>
        <item x="4"/>
        <item x="6"/>
        <item x="5"/>
        <item x="8"/>
        <item x="9"/>
        <item x="10"/>
        <item x="7"/>
        <item x="259"/>
        <item x="261"/>
        <item x="1"/>
        <item x="0"/>
        <item x="774"/>
        <item x="775"/>
        <item x="252"/>
        <item x="79"/>
        <item x="29"/>
        <item x="80"/>
        <item x="81"/>
        <item x="82"/>
        <item x="83"/>
        <item x="169"/>
        <item x="166"/>
        <item x="170"/>
        <item x="171"/>
        <item x="172"/>
        <item x="167"/>
        <item x="168"/>
        <item x="84"/>
        <item x="85"/>
        <item x="86"/>
        <item x="87"/>
        <item x="35"/>
        <item x="90"/>
        <item x="36"/>
        <item x="129"/>
        <item x="125"/>
        <item x="126"/>
        <item x="127"/>
        <item x="123"/>
        <item x="124"/>
        <item x="134"/>
        <item x="131"/>
        <item x="132"/>
        <item x="130"/>
        <item x="135"/>
        <item x="158"/>
        <item x="159"/>
        <item x="162"/>
        <item x="160"/>
        <item x="783"/>
        <item x="784"/>
        <item x="785"/>
        <item x="161"/>
        <item x="802"/>
        <item x="143"/>
        <item x="328"/>
        <item x="329"/>
        <item x="448"/>
        <item x="450"/>
        <item x="331"/>
        <item x="332"/>
        <item x="451"/>
        <item x="672"/>
        <item x="673"/>
        <item x="681"/>
        <item x="713"/>
        <item x="691"/>
        <item x="807"/>
        <item x="808"/>
        <item x="809"/>
        <item x="810"/>
        <item x="811"/>
        <item x="812"/>
        <item x="682"/>
        <item x="638"/>
        <item x="626"/>
        <item x="627"/>
        <item x="628"/>
        <item x="630"/>
        <item x="634"/>
        <item x="635"/>
        <item x="633"/>
        <item x="636"/>
        <item x="637"/>
        <item x="631"/>
        <item x="632"/>
        <item x="629"/>
        <item x="155"/>
        <item x="139"/>
        <item x="101"/>
        <item x="128"/>
        <item x="7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77">
        <item x="240"/>
        <item x="399"/>
        <item x="82"/>
        <item x="81"/>
        <item x="453"/>
        <item x="204"/>
        <item x="75"/>
        <item x="449"/>
        <item x="301"/>
        <item x="447"/>
        <item x="205"/>
        <item x="446"/>
        <item x="206"/>
        <item x="6"/>
        <item x="208"/>
        <item x="219"/>
        <item x="4"/>
        <item x="3"/>
        <item x="84"/>
        <item x="13"/>
        <item x="381"/>
        <item x="225"/>
        <item x="464"/>
        <item x="463"/>
        <item x="476"/>
        <item x="317"/>
        <item x="361"/>
        <item x="456"/>
        <item x="461"/>
        <item x="457"/>
        <item x="458"/>
        <item x="8"/>
        <item x="101"/>
        <item x="9"/>
        <item x="7"/>
        <item x="238"/>
        <item x="419"/>
        <item x="237"/>
        <item x="418"/>
        <item x="150"/>
        <item x="146"/>
        <item x="115"/>
        <item x="331"/>
        <item x="332"/>
        <item x="333"/>
        <item x="334"/>
        <item x="335"/>
        <item x="336"/>
        <item x="337"/>
        <item x="373"/>
        <item x="138"/>
        <item x="370"/>
        <item x="194"/>
        <item x="307"/>
        <item x="157"/>
        <item x="147"/>
        <item x="314"/>
        <item x="315"/>
        <item x="144"/>
        <item x="349"/>
        <item x="313"/>
        <item x="417"/>
        <item x="137"/>
        <item x="145"/>
        <item x="139"/>
        <item x="182"/>
        <item x="433"/>
        <item x="140"/>
        <item x="183"/>
        <item x="184"/>
        <item x="148"/>
        <item x="151"/>
        <item x="312"/>
        <item x="371"/>
        <item x="362"/>
        <item x="374"/>
        <item x="372"/>
        <item x="473"/>
        <item x="468"/>
        <item x="365"/>
        <item x="167"/>
        <item x="426"/>
        <item x="432"/>
        <item x="425"/>
        <item x="427"/>
        <item x="428"/>
        <item x="429"/>
        <item x="93"/>
        <item x="92"/>
        <item x="448"/>
        <item x="109"/>
        <item x="215"/>
        <item x="10"/>
        <item x="440"/>
        <item x="104"/>
        <item x="94"/>
        <item x="77"/>
        <item x="87"/>
        <item x="107"/>
        <item x="113"/>
        <item x="61"/>
        <item x="64"/>
        <item x="2"/>
        <item x="66"/>
        <item x="53"/>
        <item x="406"/>
        <item x="299"/>
        <item x="59"/>
        <item x="125"/>
        <item x="46"/>
        <item x="44"/>
        <item x="45"/>
        <item x="49"/>
        <item x="263"/>
        <item x="68"/>
        <item x="112"/>
        <item x="127"/>
        <item x="57"/>
        <item x="226"/>
        <item x="391"/>
        <item x="445"/>
        <item x="442"/>
        <item x="455"/>
        <item x="294"/>
        <item x="454"/>
        <item x="323"/>
        <item x="341"/>
        <item x="195"/>
        <item x="420"/>
        <item x="1"/>
        <item x="221"/>
        <item x="470"/>
        <item x="306"/>
        <item x="471"/>
        <item x="133"/>
        <item x="76"/>
        <item x="277"/>
        <item x="98"/>
        <item x="198"/>
        <item x="462"/>
        <item x="222"/>
        <item x="78"/>
        <item x="158"/>
        <item x="79"/>
        <item x="5"/>
        <item x="192"/>
        <item x="80"/>
        <item x="324"/>
        <item x="203"/>
        <item x="43"/>
        <item x="60"/>
        <item x="37"/>
        <item x="231"/>
        <item x="65"/>
        <item x="63"/>
        <item x="120"/>
        <item x="40"/>
        <item x="41"/>
        <item x="38"/>
        <item x="62"/>
        <item x="114"/>
        <item x="51"/>
        <item x="56"/>
        <item x="97"/>
        <item x="55"/>
        <item x="122"/>
        <item x="131"/>
        <item x="129"/>
        <item x="178"/>
        <item x="175"/>
        <item x="300"/>
        <item x="413"/>
        <item x="134"/>
        <item x="369"/>
        <item x="159"/>
        <item x="160"/>
        <item x="174"/>
        <item x="218"/>
        <item x="155"/>
        <item x="156"/>
        <item x="267"/>
        <item x="135"/>
        <item x="136"/>
        <item x="438"/>
        <item x="74"/>
        <item x="33"/>
        <item x="227"/>
        <item x="58"/>
        <item x="54"/>
        <item x="124"/>
        <item x="126"/>
        <item x="50"/>
        <item x="111"/>
        <item x="128"/>
        <item x="378"/>
        <item x="377"/>
        <item x="382"/>
        <item x="383"/>
        <item x="236"/>
        <item x="27"/>
        <item x="171"/>
        <item x="17"/>
        <item x="22"/>
        <item x="403"/>
        <item x="25"/>
        <item x="23"/>
        <item x="290"/>
        <item x="235"/>
        <item x="329"/>
        <item x="298"/>
        <item x="397"/>
        <item x="234"/>
        <item x="386"/>
        <item x="108"/>
        <item x="176"/>
        <item x="42"/>
        <item x="291"/>
        <item x="364"/>
        <item x="247"/>
        <item x="117"/>
        <item x="67"/>
        <item x="177"/>
        <item x="173"/>
        <item x="202"/>
        <item x="347"/>
        <item x="292"/>
        <item x="368"/>
        <item x="439"/>
        <item x="191"/>
        <item x="14"/>
        <item x="385"/>
        <item x="181"/>
        <item x="130"/>
        <item x="190"/>
        <item x="118"/>
        <item x="123"/>
        <item x="217"/>
        <item x="18"/>
        <item x="20"/>
        <item x="311"/>
        <item x="19"/>
        <item x="71"/>
        <item x="179"/>
        <item x="24"/>
        <item x="189"/>
        <item x="21"/>
        <item x="262"/>
        <item x="266"/>
        <item x="73"/>
        <item x="26"/>
        <item x="96"/>
        <item x="119"/>
        <item x="346"/>
        <item x="310"/>
        <item x="233"/>
        <item x="367"/>
        <item x="121"/>
        <item x="110"/>
        <item x="393"/>
        <item x="437"/>
        <item x="52"/>
        <item x="408"/>
        <item x="390"/>
        <item x="47"/>
        <item x="15"/>
        <item x="16"/>
        <item x="357"/>
        <item x="99"/>
        <item x="268"/>
        <item x="469"/>
        <item x="243"/>
        <item x="100"/>
        <item x="209"/>
        <item x="210"/>
        <item x="211"/>
        <item x="212"/>
        <item x="213"/>
        <item x="214"/>
        <item x="102"/>
        <item x="452"/>
        <item x="297"/>
        <item x="450"/>
        <item x="451"/>
        <item x="280"/>
        <item x="459"/>
        <item x="197"/>
        <item x="295"/>
        <item x="257"/>
        <item x="256"/>
        <item x="154"/>
        <item x="392"/>
        <item x="281"/>
        <item x="224"/>
        <item x="278"/>
        <item x="350"/>
        <item x="223"/>
        <item x="207"/>
        <item x="293"/>
        <item x="475"/>
        <item x="474"/>
        <item x="255"/>
        <item x="289"/>
        <item x="423"/>
        <item x="249"/>
        <item x="251"/>
        <item x="252"/>
        <item x="253"/>
        <item x="254"/>
        <item x="250"/>
        <item x="441"/>
        <item x="384"/>
        <item x="90"/>
        <item x="407"/>
        <item x="282"/>
        <item x="387"/>
        <item x="394"/>
        <item x="303"/>
        <item x="396"/>
        <item x="69"/>
        <item x="31"/>
        <item x="340"/>
        <item x="245"/>
        <item x="229"/>
        <item x="356"/>
        <item x="85"/>
        <item x="11"/>
        <item x="132"/>
        <item x="411"/>
        <item x="402"/>
        <item x="193"/>
        <item x="220"/>
        <item x="412"/>
        <item x="265"/>
        <item x="272"/>
        <item x="241"/>
        <item x="228"/>
        <item x="12"/>
        <item x="379"/>
        <item x="380"/>
        <item x="264"/>
        <item x="88"/>
        <item x="421"/>
        <item x="409"/>
        <item x="465"/>
        <item x="244"/>
        <item x="434"/>
        <item x="435"/>
        <item x="248"/>
        <item x="166"/>
        <item x="163"/>
        <item x="170"/>
        <item x="169"/>
        <item x="363"/>
        <item x="32"/>
        <item x="172"/>
        <item x="30"/>
        <item x="29"/>
        <item x="232"/>
        <item x="239"/>
        <item x="309"/>
        <item x="216"/>
        <item x="286"/>
        <item x="185"/>
        <item x="260"/>
        <item x="261"/>
        <item x="83"/>
        <item x="196"/>
        <item x="376"/>
        <item x="416"/>
        <item x="404"/>
        <item x="345"/>
        <item x="400"/>
        <item x="230"/>
        <item x="466"/>
        <item x="338"/>
        <item x="348"/>
        <item x="321"/>
        <item x="322"/>
        <item x="319"/>
        <item x="320"/>
        <item x="444"/>
        <item x="443"/>
        <item x="258"/>
        <item x="180"/>
        <item x="28"/>
        <item x="95"/>
        <item x="328"/>
        <item x="388"/>
        <item x="405"/>
        <item x="410"/>
        <item x="327"/>
        <item x="359"/>
        <item x="188"/>
        <item x="342"/>
        <item x="351"/>
        <item x="86"/>
        <item x="316"/>
        <item x="142"/>
        <item x="143"/>
        <item x="360"/>
        <item x="199"/>
        <item x="318"/>
        <item x="168"/>
        <item x="162"/>
        <item x="141"/>
        <item x="161"/>
        <item x="152"/>
        <item x="153"/>
        <item x="165"/>
        <item x="164"/>
        <item x="330"/>
        <item x="467"/>
        <item x="149"/>
        <item x="354"/>
        <item x="353"/>
        <item x="352"/>
        <item x="375"/>
        <item x="395"/>
        <item x="103"/>
        <item x="339"/>
        <item x="308"/>
        <item x="116"/>
        <item x="259"/>
        <item x="89"/>
        <item x="366"/>
        <item x="358"/>
        <item x="430"/>
        <item x="70"/>
        <item x="436"/>
        <item x="271"/>
        <item x="269"/>
        <item x="274"/>
        <item x="283"/>
        <item x="273"/>
        <item x="279"/>
        <item x="284"/>
        <item x="275"/>
        <item x="270"/>
        <item x="276"/>
        <item x="72"/>
        <item x="48"/>
        <item x="36"/>
        <item x="35"/>
        <item x="34"/>
        <item x="39"/>
        <item x="431"/>
        <item x="422"/>
        <item x="424"/>
        <item x="414"/>
        <item x="415"/>
        <item x="401"/>
        <item x="472"/>
        <item x="242"/>
        <item x="302"/>
        <item x="460"/>
        <item x="285"/>
        <item x="287"/>
        <item x="288"/>
        <item x="398"/>
        <item x="91"/>
        <item x="305"/>
        <item x="0"/>
        <item x="200"/>
        <item x="201"/>
        <item x="326"/>
        <item x="186"/>
        <item x="187"/>
        <item x="344"/>
        <item x="343"/>
        <item x="105"/>
        <item x="325"/>
        <item x="106"/>
        <item x="304"/>
        <item x="246"/>
        <item x="389"/>
        <item x="355"/>
        <item x="2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x="26"/>
        <item x="27"/>
        <item x="28"/>
        <item x="29"/>
        <item x="30"/>
        <item x="31"/>
        <item x="32"/>
        <item x="33"/>
        <item x="34"/>
        <item h="1"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" outline="0" subtotalTop="0" multipleItemSelectionAllowed="1" showAll="0" defaultSubtotal="0">
      <items count="8">
        <item m="1" x="7"/>
        <item x="0"/>
        <item x="6"/>
        <item x="3"/>
        <item x="2"/>
        <item x="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items count="4">
        <item x="1"/>
        <item x="3"/>
        <item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13"/>
        <item x="32"/>
        <item x="14"/>
        <item x="33"/>
        <item x="77"/>
        <item x="67"/>
        <item x="15"/>
        <item x="20"/>
        <item x="16"/>
        <item x="71"/>
        <item x="26"/>
        <item x="49"/>
        <item x="50"/>
        <item x="70"/>
        <item x="75"/>
        <item x="41"/>
        <item x="51"/>
        <item x="29"/>
        <item x="30"/>
        <item x="53"/>
        <item x="35"/>
        <item x="48"/>
        <item x="66"/>
        <item x="59"/>
        <item x="54"/>
        <item x="52"/>
        <item x="42"/>
        <item x="43"/>
        <item x="44"/>
        <item x="45"/>
        <item x="46"/>
        <item x="47"/>
        <item x="58"/>
        <item x="56"/>
        <item x="57"/>
        <item x="31"/>
        <item x="34"/>
        <item x="36"/>
        <item x="69"/>
        <item x="55"/>
        <item x="68"/>
        <item x="28"/>
        <item x="27"/>
        <item x="37"/>
        <item x="72"/>
        <item x="38"/>
        <item x="40"/>
        <item x="74"/>
        <item x="17"/>
        <item x="7"/>
        <item x="18"/>
        <item x="8"/>
        <item x="9"/>
        <item x="19"/>
        <item x="25"/>
        <item x="65"/>
        <item x="76"/>
        <item x="73"/>
        <item x="39"/>
        <item x="4"/>
        <item x="64"/>
        <item x="63"/>
        <item x="11"/>
        <item x="10"/>
        <item x="22"/>
        <item x="23"/>
        <item x="62"/>
        <item x="2"/>
        <item x="78"/>
        <item x="60"/>
        <item x="61"/>
        <item x="3"/>
        <item x="24"/>
        <item x="0"/>
        <item x="21"/>
        <item x="1"/>
        <item x="12"/>
        <item x="6"/>
        <item x="7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59"/>
        <item x="26"/>
        <item x="27"/>
        <item x="63"/>
        <item x="0"/>
        <item x="21"/>
        <item x="1"/>
        <item x="12"/>
        <item x="49"/>
        <item x="50"/>
        <item x="70"/>
        <item x="75"/>
        <item x="41"/>
        <item x="54"/>
        <item x="51"/>
        <item x="52"/>
        <item x="42"/>
        <item x="43"/>
        <item x="44"/>
        <item x="45"/>
        <item x="46"/>
        <item x="47"/>
        <item x="60"/>
        <item x="61"/>
        <item x="28"/>
        <item x="29"/>
        <item x="30"/>
        <item x="53"/>
        <item x="22"/>
        <item x="10"/>
        <item x="11"/>
        <item x="23"/>
        <item x="58"/>
        <item x="56"/>
        <item x="57"/>
        <item x="31"/>
        <item x="13"/>
        <item x="32"/>
        <item x="14"/>
        <item x="33"/>
        <item x="77"/>
        <item x="67"/>
        <item x="15"/>
        <item x="20"/>
        <item x="16"/>
        <item x="2"/>
        <item x="78"/>
        <item x="71"/>
        <item x="34"/>
        <item x="35"/>
        <item x="3"/>
        <item x="24"/>
        <item x="48"/>
        <item x="36"/>
        <item x="69"/>
        <item x="64"/>
        <item x="66"/>
        <item x="62"/>
        <item x="37"/>
        <item x="73"/>
        <item x="72"/>
        <item x="38"/>
        <item x="4"/>
        <item x="39"/>
        <item x="5"/>
        <item x="6"/>
        <item x="40"/>
        <item x="74"/>
        <item x="17"/>
        <item x="7"/>
        <item x="18"/>
        <item x="8"/>
        <item x="9"/>
        <item x="19"/>
        <item x="25"/>
        <item x="65"/>
        <item x="55"/>
        <item x="79"/>
        <item x="76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items count="23">
        <item x="0"/>
        <item x="2"/>
        <item x="3"/>
        <item x="1"/>
        <item x="4"/>
        <item x="6"/>
        <item x="20"/>
        <item x="11"/>
        <item x="16"/>
        <item x="8"/>
        <item x="22"/>
        <item x="10"/>
        <item x="18"/>
        <item x="21"/>
        <item x="7"/>
        <item x="12"/>
        <item x="19"/>
        <item x="9"/>
        <item x="5"/>
        <item x="13"/>
        <item x="17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18">
        <item x="17"/>
        <item x="10"/>
        <item x="11"/>
        <item x="15"/>
        <item x="0"/>
        <item x="1"/>
        <item x="9"/>
        <item x="12"/>
        <item x="16"/>
        <item x="13"/>
        <item x="3"/>
        <item x="5"/>
        <item x="14"/>
        <item x="4"/>
        <item x="6"/>
        <item x="2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11"/>
  </rowFields>
  <rowItems count="81">
    <i>
      <x/>
      <x v="36"/>
    </i>
    <i>
      <x v="1"/>
      <x v="37"/>
    </i>
    <i>
      <x v="2"/>
      <x v="38"/>
    </i>
    <i>
      <x v="3"/>
      <x v="39"/>
    </i>
    <i>
      <x v="4"/>
      <x v="40"/>
    </i>
    <i>
      <x v="5"/>
      <x v="41"/>
    </i>
    <i>
      <x v="6"/>
      <x v="42"/>
    </i>
    <i>
      <x v="7"/>
      <x v="43"/>
    </i>
    <i>
      <x v="8"/>
      <x v="44"/>
    </i>
    <i>
      <x v="9"/>
      <x v="47"/>
    </i>
    <i>
      <x v="10"/>
      <x v="1"/>
    </i>
    <i>
      <x v="11"/>
      <x v="8"/>
    </i>
    <i>
      <x v="12"/>
      <x v="9"/>
    </i>
    <i>
      <x v="13"/>
      <x v="10"/>
    </i>
    <i>
      <x v="14"/>
      <x v="11"/>
    </i>
    <i>
      <x v="15"/>
      <x v="12"/>
    </i>
    <i>
      <x v="16"/>
      <x v="14"/>
    </i>
    <i>
      <x v="17"/>
      <x v="25"/>
    </i>
    <i>
      <x v="18"/>
      <x v="26"/>
    </i>
    <i>
      <x v="19"/>
      <x v="27"/>
    </i>
    <i>
      <x v="20"/>
      <x v="49"/>
    </i>
    <i>
      <x v="21"/>
      <x v="52"/>
    </i>
    <i>
      <x v="22"/>
      <x v="56"/>
    </i>
    <i>
      <x v="23"/>
      <x/>
    </i>
    <i>
      <x v="24"/>
      <x v="13"/>
    </i>
    <i>
      <x v="25"/>
      <x v="15"/>
    </i>
    <i>
      <x v="26"/>
      <x v="16"/>
    </i>
    <i>
      <x v="27"/>
      <x v="17"/>
    </i>
    <i>
      <x v="28"/>
      <x v="18"/>
    </i>
    <i>
      <x v="29"/>
      <x v="19"/>
    </i>
    <i>
      <x v="30"/>
      <x v="20"/>
    </i>
    <i>
      <x v="31"/>
      <x v="21"/>
    </i>
    <i>
      <x v="32"/>
      <x v="32"/>
    </i>
    <i>
      <x v="33"/>
      <x v="33"/>
    </i>
    <i>
      <x v="34"/>
      <x v="34"/>
    </i>
    <i>
      <x v="35"/>
      <x v="35"/>
    </i>
    <i>
      <x v="36"/>
      <x v="48"/>
    </i>
    <i>
      <x v="37"/>
      <x v="53"/>
    </i>
    <i>
      <x v="38"/>
      <x v="54"/>
    </i>
    <i>
      <x v="39"/>
      <x v="76"/>
    </i>
    <i>
      <x v="40"/>
      <x v="79"/>
    </i>
    <i>
      <x v="41"/>
      <x v="24"/>
    </i>
    <i>
      <x v="42"/>
      <x v="2"/>
    </i>
    <i>
      <x v="43"/>
      <x v="58"/>
    </i>
    <i>
      <x v="44"/>
      <x v="60"/>
    </i>
    <i>
      <x v="45"/>
      <x v="61"/>
    </i>
    <i>
      <x v="46"/>
      <x v="66"/>
    </i>
    <i>
      <x v="47"/>
      <x v="67"/>
    </i>
    <i>
      <x v="48"/>
      <x v="68"/>
    </i>
    <i>
      <x v="49"/>
      <x v="69"/>
    </i>
    <i>
      <x v="50"/>
      <x v="70"/>
    </i>
    <i>
      <x v="51"/>
      <x v="71"/>
    </i>
    <i>
      <x v="52"/>
      <x v="72"/>
    </i>
    <i>
      <x v="53"/>
      <x v="73"/>
    </i>
    <i>
      <x v="54"/>
      <x v="74"/>
    </i>
    <i>
      <x v="55"/>
      <x v="75"/>
    </i>
    <i>
      <x v="56"/>
      <x v="78"/>
    </i>
    <i>
      <x v="57"/>
      <x v="59"/>
    </i>
    <i>
      <x v="58"/>
      <x v="63"/>
    </i>
    <i>
      <x v="59"/>
      <x v="62"/>
    </i>
    <i>
      <x v="60"/>
      <x v="55"/>
    </i>
    <i>
      <x v="61"/>
      <x v="3"/>
    </i>
    <i>
      <x v="62"/>
      <x v="30"/>
    </i>
    <i>
      <x v="63"/>
      <x v="29"/>
    </i>
    <i>
      <x v="64"/>
      <x v="28"/>
    </i>
    <i>
      <x v="65"/>
      <x v="31"/>
    </i>
    <i>
      <x v="66"/>
      <x v="57"/>
    </i>
    <i>
      <x v="67"/>
      <x v="45"/>
    </i>
    <i>
      <x v="68"/>
      <x v="46"/>
    </i>
    <i>
      <x v="69"/>
      <x v="22"/>
    </i>
    <i>
      <x v="70"/>
      <x v="23"/>
    </i>
    <i>
      <x v="71"/>
      <x v="50"/>
    </i>
    <i>
      <x v="72"/>
      <x v="51"/>
    </i>
    <i>
      <x v="73"/>
      <x v="4"/>
    </i>
    <i>
      <x v="74"/>
      <x v="5"/>
    </i>
    <i>
      <x v="75"/>
      <x v="6"/>
    </i>
    <i>
      <x v="76"/>
      <x v="7"/>
    </i>
    <i>
      <x v="77"/>
      <x v="65"/>
    </i>
    <i>
      <x v="78"/>
      <x v="77"/>
    </i>
    <i>
      <x v="79"/>
      <x v="64"/>
    </i>
    <i t="grand">
      <x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Cantidad" fld="12" baseField="0" baseItem="0"/>
  </dataFields>
  <formats count="5">
    <format dxfId="244">
      <pivotArea dataOnly="0" outline="0" fieldPosition="0">
        <references count="2">
          <reference field="8" count="1">
            <x v="59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43">
      <pivotArea field="8" type="button" dataOnly="0" labelOnly="1" outline="0" axis="axisRow" fieldPosition="0"/>
    </format>
    <format dxfId="242">
      <pivotArea field="8" type="button" dataOnly="0" labelOnly="1" outline="0" axis="axisRow" fieldPosition="0"/>
    </format>
    <format dxfId="241">
      <pivotArea dataOnly="0" labelOnly="1" outline="0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0">
      <pivotArea dataOnly="0" labelOnly="1" outline="0" fieldPosition="0">
        <references count="1">
          <reference field="8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F2B71-A8E9-412D-B61C-7B8581243D29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4:H240" firstHeaderRow="1" firstDataRow="1" firstDataCol="7" rowPageCount="2" colPageCount="1"/>
  <pivotFields count="4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15">
        <item x="91"/>
        <item x="184"/>
        <item x="199"/>
        <item x="176"/>
        <item x="177"/>
        <item x="138"/>
        <item x="137"/>
        <item x="140"/>
        <item x="136"/>
        <item x="45"/>
        <item x="114"/>
        <item x="18"/>
        <item x="46"/>
        <item x="47"/>
        <item x="19"/>
        <item x="20"/>
        <item x="178"/>
        <item x="21"/>
        <item x="48"/>
        <item x="49"/>
        <item x="50"/>
        <item x="51"/>
        <item x="52"/>
        <item x="53"/>
        <item x="88"/>
        <item x="54"/>
        <item x="22"/>
        <item x="102"/>
        <item x="55"/>
        <item x="56"/>
        <item x="57"/>
        <item x="33"/>
        <item x="58"/>
        <item x="179"/>
        <item x="235"/>
        <item x="236"/>
        <item x="194"/>
        <item x="181"/>
        <item x="191"/>
        <item x="193"/>
        <item x="98"/>
        <item x="59"/>
        <item x="23"/>
        <item x="196"/>
        <item x="200"/>
        <item x="201"/>
        <item x="202"/>
        <item x="99"/>
        <item x="60"/>
        <item x="24"/>
        <item x="198"/>
        <item x="203"/>
        <item x="204"/>
        <item x="205"/>
        <item x="206"/>
        <item x="207"/>
        <item x="237"/>
        <item x="208"/>
        <item x="238"/>
        <item x="239"/>
        <item x="240"/>
        <item x="241"/>
        <item x="231"/>
        <item x="23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42"/>
        <item x="243"/>
        <item x="173"/>
        <item x="244"/>
        <item x="246"/>
        <item x="247"/>
        <item x="248"/>
        <item x="221"/>
        <item x="222"/>
        <item x="192"/>
        <item x="223"/>
        <item x="224"/>
        <item x="245"/>
        <item x="249"/>
        <item x="250"/>
        <item x="225"/>
        <item x="226"/>
        <item x="540"/>
        <item x="551"/>
        <item x="538"/>
        <item x="555"/>
        <item x="227"/>
        <item x="550"/>
        <item x="541"/>
        <item x="543"/>
        <item x="544"/>
        <item x="545"/>
        <item x="546"/>
        <item x="547"/>
        <item x="548"/>
        <item x="549"/>
        <item x="542"/>
        <item x="554"/>
        <item x="274"/>
        <item x="279"/>
        <item x="284"/>
        <item x="285"/>
        <item x="286"/>
        <item x="282"/>
        <item x="283"/>
        <item x="280"/>
        <item x="273"/>
        <item x="275"/>
        <item x="281"/>
        <item x="288"/>
        <item x="786"/>
        <item x="271"/>
        <item x="272"/>
        <item x="533"/>
        <item x="787"/>
        <item x="788"/>
        <item x="276"/>
        <item x="277"/>
        <item x="278"/>
        <item x="262"/>
        <item x="264"/>
        <item x="263"/>
        <item x="270"/>
        <item x="265"/>
        <item x="266"/>
        <item x="267"/>
        <item x="268"/>
        <item x="269"/>
        <item x="794"/>
        <item x="333"/>
        <item x="334"/>
        <item x="335"/>
        <item x="609"/>
        <item x="612"/>
        <item x="613"/>
        <item x="614"/>
        <item x="615"/>
        <item x="625"/>
        <item x="620"/>
        <item x="805"/>
        <item x="608"/>
        <item x="624"/>
        <item x="616"/>
        <item x="603"/>
        <item x="604"/>
        <item x="610"/>
        <item x="617"/>
        <item x="605"/>
        <item x="602"/>
        <item x="611"/>
        <item x="622"/>
        <item x="623"/>
        <item x="621"/>
        <item x="606"/>
        <item x="607"/>
        <item x="618"/>
        <item x="619"/>
        <item x="647"/>
        <item x="654"/>
        <item x="655"/>
        <item x="656"/>
        <item x="662"/>
        <item x="663"/>
        <item x="648"/>
        <item x="351"/>
        <item x="342"/>
        <item x="649"/>
        <item x="668"/>
        <item x="669"/>
        <item x="667"/>
        <item x="660"/>
        <item x="657"/>
        <item x="670"/>
        <item x="650"/>
        <item x="791"/>
        <item x="664"/>
        <item x="666"/>
        <item x="658"/>
        <item x="671"/>
        <item x="651"/>
        <item x="652"/>
        <item x="659"/>
        <item x="661"/>
        <item x="665"/>
        <item x="653"/>
        <item x="336"/>
        <item x="339"/>
        <item x="340"/>
        <item x="341"/>
        <item x="325"/>
        <item x="350"/>
        <item x="326"/>
        <item x="346"/>
        <item x="347"/>
        <item x="348"/>
        <item x="345"/>
        <item x="343"/>
        <item x="344"/>
        <item x="349"/>
        <item x="337"/>
        <item x="338"/>
        <item x="327"/>
        <item x="324"/>
        <item x="330"/>
        <item x="553"/>
        <item x="552"/>
        <item x="539"/>
        <item x="133"/>
        <item x="287"/>
        <item x="228"/>
        <item x="229"/>
        <item x="230"/>
        <item x="197"/>
        <item x="115"/>
        <item x="92"/>
        <item x="93"/>
        <item x="489"/>
        <item x="485"/>
        <item x="487"/>
        <item x="488"/>
        <item x="486"/>
        <item x="797"/>
        <item x="94"/>
        <item x="116"/>
        <item x="12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109"/>
        <item x="103"/>
        <item x="44"/>
        <item x="354"/>
        <item x="32"/>
        <item x="3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398"/>
        <item x="117"/>
        <item x="119"/>
        <item x="120"/>
        <item x="40"/>
        <item x="38"/>
        <item x="95"/>
        <item x="394"/>
        <item x="395"/>
        <item x="41"/>
        <item x="416"/>
        <item x="4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399"/>
        <item x="118"/>
        <item x="121"/>
        <item x="122"/>
        <item x="42"/>
        <item x="37"/>
        <item x="96"/>
        <item x="396"/>
        <item x="397"/>
        <item x="30"/>
        <item x="61"/>
        <item x="355"/>
        <item x="373"/>
        <item x="374"/>
        <item x="375"/>
        <item x="376"/>
        <item x="377"/>
        <item x="378"/>
        <item x="379"/>
        <item x="380"/>
        <item x="381"/>
        <item x="382"/>
        <item x="360"/>
        <item x="793"/>
        <item x="110"/>
        <item x="17"/>
        <item x="13"/>
        <item x="104"/>
        <item x="14"/>
        <item x="11"/>
        <item x="25"/>
        <item x="154"/>
        <item x="62"/>
        <item x="357"/>
        <item x="356"/>
        <item x="113"/>
        <item x="387"/>
        <item x="388"/>
        <item x="389"/>
        <item x="383"/>
        <item x="390"/>
        <item x="391"/>
        <item x="384"/>
        <item x="63"/>
        <item x="392"/>
        <item x="393"/>
        <item x="385"/>
        <item x="386"/>
        <item x="358"/>
        <item x="537"/>
        <item x="799"/>
        <item x="535"/>
        <item x="15"/>
        <item x="534"/>
        <item x="89"/>
        <item x="798"/>
        <item x="105"/>
        <item x="112"/>
        <item x="111"/>
        <item x="16"/>
        <item x="352"/>
        <item x="353"/>
        <item x="694"/>
        <item x="714"/>
        <item x="728"/>
        <item x="729"/>
        <item x="715"/>
        <item x="697"/>
        <item x="699"/>
        <item x="709"/>
        <item x="706"/>
        <item x="590"/>
        <item x="596"/>
        <item x="592"/>
        <item x="597"/>
        <item x="600"/>
        <item x="586"/>
        <item x="587"/>
        <item x="598"/>
        <item x="591"/>
        <item x="589"/>
        <item x="588"/>
        <item x="601"/>
        <item x="593"/>
        <item x="594"/>
        <item x="595"/>
        <item x="599"/>
        <item x="741"/>
        <item x="745"/>
        <item x="763"/>
        <item x="742"/>
        <item x="760"/>
        <item x="761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66"/>
        <item x="743"/>
        <item x="764"/>
        <item x="765"/>
        <item x="767"/>
        <item x="758"/>
        <item x="762"/>
        <item x="740"/>
        <item x="744"/>
        <item x="43"/>
        <item x="536"/>
        <item x="564"/>
        <item x="484"/>
        <item x="585"/>
        <item x="430"/>
        <item x="646"/>
        <item x="645"/>
        <item x="730"/>
        <item x="679"/>
        <item x="688"/>
        <item x="689"/>
        <item x="695"/>
        <item x="696"/>
        <item x="813"/>
        <item x="700"/>
        <item x="701"/>
        <item x="702"/>
        <item x="690"/>
        <item x="716"/>
        <item x="680"/>
        <item x="717"/>
        <item x="814"/>
        <item x="806"/>
        <item x="698"/>
        <item x="718"/>
        <item x="719"/>
        <item x="720"/>
        <item x="721"/>
        <item x="722"/>
        <item x="692"/>
        <item x="731"/>
        <item x="732"/>
        <item x="723"/>
        <item x="703"/>
        <item x="724"/>
        <item x="801"/>
        <item x="725"/>
        <item x="726"/>
        <item x="693"/>
        <item x="733"/>
        <item x="727"/>
        <item x="704"/>
        <item x="707"/>
        <item x="708"/>
        <item x="678"/>
        <item x="705"/>
        <item x="710"/>
        <item x="734"/>
        <item x="792"/>
        <item x="735"/>
        <item x="736"/>
        <item x="737"/>
        <item x="738"/>
        <item x="739"/>
        <item x="684"/>
        <item x="685"/>
        <item x="686"/>
        <item x="711"/>
        <item x="712"/>
        <item x="683"/>
        <item x="674"/>
        <item x="675"/>
        <item x="195"/>
        <item x="26"/>
        <item x="233"/>
        <item x="234"/>
        <item x="64"/>
        <item x="34"/>
        <item x="768"/>
        <item x="769"/>
        <item x="770"/>
        <item x="771"/>
        <item x="772"/>
        <item x="773"/>
        <item x="461"/>
        <item x="449"/>
        <item x="452"/>
        <item x="453"/>
        <item x="454"/>
        <item x="478"/>
        <item x="462"/>
        <item x="463"/>
        <item x="455"/>
        <item x="473"/>
        <item x="474"/>
        <item x="464"/>
        <item x="458"/>
        <item x="459"/>
        <item x="465"/>
        <item x="466"/>
        <item x="460"/>
        <item x="456"/>
        <item x="467"/>
        <item x="468"/>
        <item x="469"/>
        <item x="470"/>
        <item x="457"/>
        <item x="479"/>
        <item x="475"/>
        <item x="480"/>
        <item x="476"/>
        <item x="481"/>
        <item x="482"/>
        <item x="483"/>
        <item x="477"/>
        <item x="471"/>
        <item x="472"/>
        <item x="446"/>
        <item x="440"/>
        <item x="441"/>
        <item x="442"/>
        <item x="443"/>
        <item x="444"/>
        <item x="439"/>
        <item x="445"/>
        <item x="431"/>
        <item x="432"/>
        <item x="433"/>
        <item x="434"/>
        <item x="435"/>
        <item x="447"/>
        <item x="436"/>
        <item x="437"/>
        <item x="438"/>
        <item x="314"/>
        <item x="320"/>
        <item x="315"/>
        <item x="316"/>
        <item x="310"/>
        <item x="311"/>
        <item x="312"/>
        <item x="322"/>
        <item x="323"/>
        <item x="306"/>
        <item x="307"/>
        <item x="317"/>
        <item x="795"/>
        <item x="796"/>
        <item x="309"/>
        <item x="318"/>
        <item x="313"/>
        <item x="321"/>
        <item x="319"/>
        <item x="308"/>
        <item x="291"/>
        <item x="293"/>
        <item x="294"/>
        <item x="295"/>
        <item x="296"/>
        <item x="292"/>
        <item x="789"/>
        <item x="297"/>
        <item x="299"/>
        <item x="298"/>
        <item x="289"/>
        <item x="290"/>
        <item x="568"/>
        <item x="569"/>
        <item x="563"/>
        <item x="565"/>
        <item x="566"/>
        <item x="567"/>
        <item x="570"/>
        <item x="561"/>
        <item x="562"/>
        <item x="156"/>
        <item x="157"/>
        <item x="560"/>
        <item x="558"/>
        <item x="559"/>
        <item x="574"/>
        <item x="579"/>
        <item x="578"/>
        <item x="581"/>
        <item x="582"/>
        <item x="584"/>
        <item x="583"/>
        <item x="577"/>
        <item x="580"/>
        <item x="572"/>
        <item x="571"/>
        <item x="557"/>
        <item x="573"/>
        <item x="800"/>
        <item x="576"/>
        <item x="575"/>
        <item x="556"/>
        <item x="514"/>
        <item x="526"/>
        <item x="527"/>
        <item x="528"/>
        <item x="803"/>
        <item x="510"/>
        <item x="804"/>
        <item x="509"/>
        <item x="508"/>
        <item x="513"/>
        <item x="512"/>
        <item x="519"/>
        <item x="507"/>
        <item x="515"/>
        <item x="516"/>
        <item x="517"/>
        <item x="790"/>
        <item x="524"/>
        <item x="520"/>
        <item x="518"/>
        <item x="521"/>
        <item x="522"/>
        <item x="511"/>
        <item x="523"/>
        <item x="525"/>
        <item x="529"/>
        <item x="145"/>
        <item x="146"/>
        <item x="147"/>
        <item x="641"/>
        <item x="642"/>
        <item x="643"/>
        <item x="644"/>
        <item x="639"/>
        <item x="640"/>
        <item x="148"/>
        <item x="151"/>
        <item x="152"/>
        <item x="777"/>
        <item x="149"/>
        <item x="778"/>
        <item x="779"/>
        <item x="780"/>
        <item x="150"/>
        <item x="781"/>
        <item x="153"/>
        <item x="782"/>
        <item x="141"/>
        <item x="142"/>
        <item x="144"/>
        <item x="530"/>
        <item x="531"/>
        <item x="532"/>
        <item x="180"/>
        <item x="185"/>
        <item x="186"/>
        <item x="31"/>
        <item x="65"/>
        <item x="66"/>
        <item x="106"/>
        <item x="67"/>
        <item x="108"/>
        <item x="107"/>
        <item x="97"/>
        <item x="164"/>
        <item x="163"/>
        <item x="165"/>
        <item x="68"/>
        <item x="27"/>
        <item x="69"/>
        <item x="501"/>
        <item x="499"/>
        <item x="187"/>
        <item x="676"/>
        <item x="677"/>
        <item x="687"/>
        <item x="188"/>
        <item x="182"/>
        <item x="491"/>
        <item x="490"/>
        <item x="492"/>
        <item x="495"/>
        <item x="493"/>
        <item x="496"/>
        <item x="494"/>
        <item x="189"/>
        <item x="300"/>
        <item x="301"/>
        <item x="302"/>
        <item x="303"/>
        <item x="304"/>
        <item x="305"/>
        <item x="190"/>
        <item x="174"/>
        <item x="175"/>
        <item x="183"/>
        <item x="502"/>
        <item x="503"/>
        <item x="504"/>
        <item x="506"/>
        <item x="505"/>
        <item x="500"/>
        <item x="497"/>
        <item x="498"/>
        <item x="70"/>
        <item x="253"/>
        <item x="28"/>
        <item x="251"/>
        <item x="71"/>
        <item x="72"/>
        <item x="73"/>
        <item x="74"/>
        <item x="100"/>
        <item x="75"/>
        <item x="76"/>
        <item x="776"/>
        <item x="77"/>
        <item x="78"/>
        <item x="254"/>
        <item x="260"/>
        <item x="255"/>
        <item x="256"/>
        <item x="257"/>
        <item x="258"/>
        <item x="3"/>
        <item x="2"/>
        <item x="4"/>
        <item x="6"/>
        <item x="5"/>
        <item x="8"/>
        <item x="9"/>
        <item x="10"/>
        <item x="7"/>
        <item x="259"/>
        <item x="261"/>
        <item x="1"/>
        <item x="0"/>
        <item x="774"/>
        <item x="775"/>
        <item x="252"/>
        <item x="79"/>
        <item x="29"/>
        <item x="80"/>
        <item x="81"/>
        <item x="82"/>
        <item x="83"/>
        <item x="169"/>
        <item x="166"/>
        <item x="170"/>
        <item x="171"/>
        <item x="172"/>
        <item x="167"/>
        <item x="168"/>
        <item x="84"/>
        <item x="85"/>
        <item x="86"/>
        <item x="87"/>
        <item x="35"/>
        <item x="90"/>
        <item x="36"/>
        <item x="129"/>
        <item x="125"/>
        <item x="126"/>
        <item x="127"/>
        <item x="123"/>
        <item x="124"/>
        <item x="134"/>
        <item x="131"/>
        <item x="132"/>
        <item x="130"/>
        <item x="135"/>
        <item x="158"/>
        <item x="159"/>
        <item x="162"/>
        <item x="160"/>
        <item x="783"/>
        <item x="784"/>
        <item x="785"/>
        <item x="161"/>
        <item x="802"/>
        <item x="143"/>
        <item x="328"/>
        <item x="329"/>
        <item x="448"/>
        <item x="450"/>
        <item x="331"/>
        <item x="332"/>
        <item x="451"/>
        <item x="672"/>
        <item x="673"/>
        <item x="681"/>
        <item x="713"/>
        <item x="691"/>
        <item x="807"/>
        <item x="808"/>
        <item x="809"/>
        <item x="810"/>
        <item x="811"/>
        <item x="812"/>
        <item x="682"/>
        <item x="638"/>
        <item x="626"/>
        <item x="627"/>
        <item x="628"/>
        <item x="630"/>
        <item x="634"/>
        <item x="635"/>
        <item x="633"/>
        <item x="636"/>
        <item x="637"/>
        <item x="631"/>
        <item x="632"/>
        <item x="629"/>
        <item x="155"/>
        <item x="139"/>
        <item x="101"/>
        <item x="128"/>
        <item x="7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77">
        <item x="240"/>
        <item x="399"/>
        <item x="82"/>
        <item x="81"/>
        <item x="453"/>
        <item x="204"/>
        <item x="75"/>
        <item x="449"/>
        <item x="301"/>
        <item x="447"/>
        <item x="205"/>
        <item x="446"/>
        <item x="206"/>
        <item x="6"/>
        <item x="208"/>
        <item x="219"/>
        <item x="4"/>
        <item x="3"/>
        <item x="84"/>
        <item x="13"/>
        <item x="381"/>
        <item x="225"/>
        <item x="464"/>
        <item x="463"/>
        <item x="476"/>
        <item x="317"/>
        <item x="361"/>
        <item x="456"/>
        <item x="461"/>
        <item x="457"/>
        <item x="458"/>
        <item x="8"/>
        <item x="101"/>
        <item x="9"/>
        <item x="7"/>
        <item x="238"/>
        <item x="419"/>
        <item x="237"/>
        <item x="418"/>
        <item x="150"/>
        <item x="146"/>
        <item x="115"/>
        <item x="331"/>
        <item x="332"/>
        <item x="333"/>
        <item x="334"/>
        <item x="335"/>
        <item x="336"/>
        <item x="337"/>
        <item x="373"/>
        <item x="138"/>
        <item x="370"/>
        <item x="194"/>
        <item x="307"/>
        <item x="157"/>
        <item x="147"/>
        <item x="314"/>
        <item x="315"/>
        <item x="144"/>
        <item x="349"/>
        <item x="313"/>
        <item x="417"/>
        <item x="137"/>
        <item x="145"/>
        <item x="139"/>
        <item x="182"/>
        <item x="433"/>
        <item x="140"/>
        <item x="183"/>
        <item x="184"/>
        <item x="148"/>
        <item x="151"/>
        <item x="312"/>
        <item x="371"/>
        <item x="362"/>
        <item x="374"/>
        <item x="372"/>
        <item x="473"/>
        <item x="468"/>
        <item x="365"/>
        <item x="167"/>
        <item x="426"/>
        <item x="432"/>
        <item x="425"/>
        <item x="427"/>
        <item x="428"/>
        <item x="429"/>
        <item x="93"/>
        <item x="92"/>
        <item x="448"/>
        <item x="109"/>
        <item x="215"/>
        <item x="10"/>
        <item x="440"/>
        <item x="104"/>
        <item x="94"/>
        <item x="77"/>
        <item x="87"/>
        <item x="107"/>
        <item x="113"/>
        <item x="61"/>
        <item x="64"/>
        <item x="2"/>
        <item x="66"/>
        <item x="53"/>
        <item x="406"/>
        <item x="299"/>
        <item x="59"/>
        <item x="125"/>
        <item x="46"/>
        <item x="44"/>
        <item x="45"/>
        <item x="49"/>
        <item x="263"/>
        <item x="68"/>
        <item x="112"/>
        <item x="127"/>
        <item x="57"/>
        <item x="226"/>
        <item x="391"/>
        <item x="445"/>
        <item x="442"/>
        <item x="455"/>
        <item x="294"/>
        <item x="454"/>
        <item x="323"/>
        <item x="341"/>
        <item x="195"/>
        <item x="420"/>
        <item x="1"/>
        <item x="221"/>
        <item x="470"/>
        <item x="306"/>
        <item x="471"/>
        <item x="133"/>
        <item x="76"/>
        <item x="277"/>
        <item x="98"/>
        <item x="198"/>
        <item x="462"/>
        <item x="222"/>
        <item x="78"/>
        <item x="158"/>
        <item x="79"/>
        <item x="5"/>
        <item x="192"/>
        <item x="80"/>
        <item x="324"/>
        <item x="203"/>
        <item x="43"/>
        <item x="60"/>
        <item x="37"/>
        <item x="231"/>
        <item x="65"/>
        <item x="63"/>
        <item x="120"/>
        <item x="40"/>
        <item x="41"/>
        <item x="38"/>
        <item x="62"/>
        <item x="114"/>
        <item x="51"/>
        <item x="56"/>
        <item x="97"/>
        <item x="55"/>
        <item x="122"/>
        <item x="131"/>
        <item x="129"/>
        <item x="178"/>
        <item x="175"/>
        <item x="300"/>
        <item x="413"/>
        <item x="134"/>
        <item x="369"/>
        <item x="159"/>
        <item x="160"/>
        <item x="174"/>
        <item x="218"/>
        <item x="155"/>
        <item x="156"/>
        <item x="267"/>
        <item x="135"/>
        <item x="136"/>
        <item x="438"/>
        <item x="74"/>
        <item x="33"/>
        <item x="227"/>
        <item x="58"/>
        <item x="54"/>
        <item x="124"/>
        <item x="126"/>
        <item x="50"/>
        <item x="111"/>
        <item x="128"/>
        <item x="378"/>
        <item x="377"/>
        <item x="382"/>
        <item x="383"/>
        <item x="236"/>
        <item x="27"/>
        <item x="171"/>
        <item x="17"/>
        <item x="22"/>
        <item x="403"/>
        <item x="25"/>
        <item x="23"/>
        <item x="290"/>
        <item x="235"/>
        <item x="329"/>
        <item x="298"/>
        <item x="397"/>
        <item x="234"/>
        <item x="386"/>
        <item x="108"/>
        <item x="176"/>
        <item x="42"/>
        <item x="291"/>
        <item x="364"/>
        <item x="247"/>
        <item x="117"/>
        <item x="67"/>
        <item x="177"/>
        <item x="173"/>
        <item x="202"/>
        <item x="347"/>
        <item x="292"/>
        <item x="368"/>
        <item x="439"/>
        <item x="191"/>
        <item x="14"/>
        <item x="385"/>
        <item x="181"/>
        <item x="130"/>
        <item x="190"/>
        <item x="118"/>
        <item x="123"/>
        <item x="217"/>
        <item x="18"/>
        <item x="20"/>
        <item x="311"/>
        <item x="19"/>
        <item x="71"/>
        <item x="179"/>
        <item x="24"/>
        <item x="189"/>
        <item x="21"/>
        <item x="262"/>
        <item x="266"/>
        <item x="73"/>
        <item x="26"/>
        <item x="96"/>
        <item x="119"/>
        <item x="346"/>
        <item x="310"/>
        <item x="233"/>
        <item x="367"/>
        <item x="121"/>
        <item x="110"/>
        <item x="393"/>
        <item x="437"/>
        <item x="52"/>
        <item x="408"/>
        <item x="390"/>
        <item x="47"/>
        <item x="15"/>
        <item x="16"/>
        <item x="357"/>
        <item x="99"/>
        <item x="268"/>
        <item x="469"/>
        <item x="243"/>
        <item x="100"/>
        <item x="209"/>
        <item x="210"/>
        <item x="211"/>
        <item x="212"/>
        <item x="213"/>
        <item x="214"/>
        <item x="102"/>
        <item x="452"/>
        <item x="297"/>
        <item x="450"/>
        <item x="451"/>
        <item x="280"/>
        <item x="459"/>
        <item x="197"/>
        <item x="295"/>
        <item x="257"/>
        <item x="256"/>
        <item x="154"/>
        <item x="392"/>
        <item x="281"/>
        <item x="224"/>
        <item x="278"/>
        <item x="350"/>
        <item x="223"/>
        <item x="207"/>
        <item x="293"/>
        <item x="475"/>
        <item x="474"/>
        <item x="255"/>
        <item x="289"/>
        <item x="423"/>
        <item x="249"/>
        <item x="251"/>
        <item x="252"/>
        <item x="253"/>
        <item x="254"/>
        <item x="250"/>
        <item x="441"/>
        <item x="384"/>
        <item x="90"/>
        <item x="407"/>
        <item x="282"/>
        <item x="387"/>
        <item x="394"/>
        <item x="303"/>
        <item x="396"/>
        <item x="69"/>
        <item x="31"/>
        <item x="340"/>
        <item x="245"/>
        <item x="229"/>
        <item x="356"/>
        <item x="85"/>
        <item x="11"/>
        <item x="132"/>
        <item x="411"/>
        <item x="402"/>
        <item x="193"/>
        <item x="220"/>
        <item x="412"/>
        <item x="265"/>
        <item x="272"/>
        <item x="241"/>
        <item x="228"/>
        <item x="12"/>
        <item x="379"/>
        <item x="380"/>
        <item x="264"/>
        <item x="88"/>
        <item x="421"/>
        <item x="409"/>
        <item x="465"/>
        <item x="244"/>
        <item x="434"/>
        <item x="435"/>
        <item x="248"/>
        <item x="166"/>
        <item x="163"/>
        <item x="170"/>
        <item x="169"/>
        <item x="363"/>
        <item x="32"/>
        <item x="172"/>
        <item x="30"/>
        <item x="29"/>
        <item x="232"/>
        <item x="239"/>
        <item x="309"/>
        <item x="216"/>
        <item x="286"/>
        <item x="185"/>
        <item x="260"/>
        <item x="261"/>
        <item x="83"/>
        <item x="196"/>
        <item x="376"/>
        <item x="416"/>
        <item x="404"/>
        <item x="345"/>
        <item x="400"/>
        <item x="230"/>
        <item x="466"/>
        <item x="338"/>
        <item x="348"/>
        <item x="321"/>
        <item x="322"/>
        <item x="319"/>
        <item x="320"/>
        <item x="444"/>
        <item x="443"/>
        <item x="258"/>
        <item x="180"/>
        <item x="28"/>
        <item x="95"/>
        <item x="328"/>
        <item x="388"/>
        <item x="405"/>
        <item x="410"/>
        <item x="327"/>
        <item x="359"/>
        <item x="188"/>
        <item x="342"/>
        <item x="351"/>
        <item x="86"/>
        <item x="316"/>
        <item x="142"/>
        <item x="143"/>
        <item x="360"/>
        <item x="199"/>
        <item x="318"/>
        <item x="168"/>
        <item x="162"/>
        <item x="141"/>
        <item x="161"/>
        <item x="152"/>
        <item x="153"/>
        <item x="165"/>
        <item x="164"/>
        <item x="330"/>
        <item x="467"/>
        <item x="149"/>
        <item x="354"/>
        <item x="353"/>
        <item x="352"/>
        <item x="375"/>
        <item x="395"/>
        <item x="103"/>
        <item x="339"/>
        <item x="308"/>
        <item x="116"/>
        <item x="259"/>
        <item x="89"/>
        <item x="366"/>
        <item x="358"/>
        <item x="430"/>
        <item x="70"/>
        <item x="436"/>
        <item x="271"/>
        <item x="269"/>
        <item x="274"/>
        <item x="283"/>
        <item x="273"/>
        <item x="279"/>
        <item x="284"/>
        <item x="275"/>
        <item x="270"/>
        <item x="276"/>
        <item x="72"/>
        <item x="48"/>
        <item x="36"/>
        <item x="35"/>
        <item x="34"/>
        <item x="39"/>
        <item x="431"/>
        <item x="422"/>
        <item x="424"/>
        <item x="414"/>
        <item x="415"/>
        <item x="401"/>
        <item x="472"/>
        <item x="242"/>
        <item x="302"/>
        <item x="460"/>
        <item x="285"/>
        <item x="287"/>
        <item x="288"/>
        <item x="398"/>
        <item x="91"/>
        <item x="305"/>
        <item x="0"/>
        <item x="200"/>
        <item x="201"/>
        <item x="326"/>
        <item x="186"/>
        <item x="187"/>
        <item x="344"/>
        <item x="343"/>
        <item x="105"/>
        <item x="325"/>
        <item x="106"/>
        <item x="304"/>
        <item x="246"/>
        <item x="389"/>
        <item x="355"/>
        <item x="2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ubtotalTop="0" showAll="0" defaultSubtotal="0">
      <items count="8">
        <item h="1" m="1" x="7"/>
        <item h="1" x="0"/>
        <item x="6"/>
        <item h="1" x="3"/>
        <item h="1" x="2"/>
        <item h="1" x="1"/>
        <item h="1" x="4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x="1"/>
        <item x="3"/>
        <item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13"/>
        <item x="32"/>
        <item x="14"/>
        <item x="33"/>
        <item x="77"/>
        <item x="67"/>
        <item x="15"/>
        <item x="20"/>
        <item x="16"/>
        <item x="71"/>
        <item x="26"/>
        <item x="49"/>
        <item x="50"/>
        <item x="70"/>
        <item x="75"/>
        <item x="41"/>
        <item x="51"/>
        <item x="29"/>
        <item x="30"/>
        <item x="53"/>
        <item x="35"/>
        <item x="48"/>
        <item x="66"/>
        <item x="59"/>
        <item x="54"/>
        <item x="52"/>
        <item x="42"/>
        <item x="43"/>
        <item x="44"/>
        <item x="45"/>
        <item x="46"/>
        <item x="47"/>
        <item x="58"/>
        <item x="56"/>
        <item x="57"/>
        <item x="31"/>
        <item x="34"/>
        <item x="36"/>
        <item x="69"/>
        <item x="55"/>
        <item x="68"/>
        <item x="28"/>
        <item x="27"/>
        <item x="37"/>
        <item x="72"/>
        <item x="38"/>
        <item x="40"/>
        <item x="74"/>
        <item x="17"/>
        <item x="7"/>
        <item x="18"/>
        <item x="8"/>
        <item x="9"/>
        <item x="19"/>
        <item x="25"/>
        <item x="65"/>
        <item x="76"/>
        <item x="73"/>
        <item x="39"/>
        <item x="4"/>
        <item x="64"/>
        <item x="63"/>
        <item x="11"/>
        <item x="10"/>
        <item x="22"/>
        <item x="23"/>
        <item x="62"/>
        <item x="2"/>
        <item x="78"/>
        <item x="60"/>
        <item x="61"/>
        <item x="3"/>
        <item x="24"/>
        <item x="0"/>
        <item x="21"/>
        <item x="1"/>
        <item x="12"/>
        <item x="6"/>
        <item x="7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59"/>
        <item x="26"/>
        <item x="27"/>
        <item x="63"/>
        <item x="0"/>
        <item x="21"/>
        <item x="1"/>
        <item x="12"/>
        <item x="49"/>
        <item x="50"/>
        <item x="70"/>
        <item x="75"/>
        <item x="41"/>
        <item x="54"/>
        <item x="51"/>
        <item x="52"/>
        <item x="42"/>
        <item x="43"/>
        <item x="44"/>
        <item x="45"/>
        <item x="46"/>
        <item x="47"/>
        <item x="60"/>
        <item x="61"/>
        <item x="28"/>
        <item x="29"/>
        <item x="30"/>
        <item x="53"/>
        <item x="22"/>
        <item x="10"/>
        <item x="11"/>
        <item x="23"/>
        <item x="58"/>
        <item x="56"/>
        <item x="57"/>
        <item x="31"/>
        <item x="13"/>
        <item x="32"/>
        <item x="14"/>
        <item x="33"/>
        <item x="77"/>
        <item x="67"/>
        <item x="15"/>
        <item x="20"/>
        <item x="16"/>
        <item x="2"/>
        <item x="78"/>
        <item x="71"/>
        <item x="34"/>
        <item x="35"/>
        <item x="3"/>
        <item x="24"/>
        <item x="48"/>
        <item x="36"/>
        <item x="69"/>
        <item x="64"/>
        <item x="66"/>
        <item x="62"/>
        <item x="37"/>
        <item x="73"/>
        <item x="72"/>
        <item x="38"/>
        <item x="4"/>
        <item x="39"/>
        <item x="5"/>
        <item x="6"/>
        <item x="40"/>
        <item x="74"/>
        <item x="17"/>
        <item x="7"/>
        <item x="18"/>
        <item x="8"/>
        <item x="9"/>
        <item x="19"/>
        <item x="25"/>
        <item x="65"/>
        <item x="55"/>
        <item x="79"/>
        <item x="76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">
        <item x="0"/>
        <item x="2"/>
        <item x="3"/>
        <item x="1"/>
        <item x="4"/>
        <item x="6"/>
        <item x="20"/>
        <item x="11"/>
        <item x="16"/>
        <item x="8"/>
        <item x="22"/>
        <item x="10"/>
        <item x="18"/>
        <item x="21"/>
        <item x="7"/>
        <item x="12"/>
        <item x="19"/>
        <item x="9"/>
        <item x="5"/>
        <item x="13"/>
        <item x="17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h="1" x="1"/>
        <item h="1"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18">
        <item x="17"/>
        <item x="10"/>
        <item x="11"/>
        <item x="15"/>
        <item x="0"/>
        <item x="1"/>
        <item x="9"/>
        <item x="12"/>
        <item x="16"/>
        <item x="13"/>
        <item x="3"/>
        <item x="5"/>
        <item x="14"/>
        <item x="4"/>
        <item x="6"/>
        <item x="2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6"/>
    <field x="5"/>
    <field x="2"/>
    <field x="3"/>
    <field x="8"/>
    <field x="11"/>
    <field x="12"/>
  </rowFields>
  <rowItems count="236">
    <i>
      <x v="2"/>
      <x v="3"/>
      <x v="218"/>
      <x v="353"/>
      <x v="8"/>
      <x v="44"/>
      <x/>
    </i>
    <i r="2">
      <x v="764"/>
      <x v="423"/>
      <x v="7"/>
      <x v="43"/>
      <x/>
    </i>
    <i r="2">
      <x v="765"/>
      <x v="423"/>
      <x v="7"/>
      <x v="43"/>
      <x/>
    </i>
    <i r="2">
      <x v="766"/>
      <x v="340"/>
      <x v="6"/>
      <x v="42"/>
      <x v="2"/>
    </i>
    <i r="1">
      <x v="4"/>
      <x v="7"/>
      <x v="87"/>
      <x v="68"/>
      <x v="46"/>
      <x v="7"/>
    </i>
    <i r="1">
      <x v="5"/>
      <x v="623"/>
      <x v="250"/>
      <x v="63"/>
      <x v="29"/>
      <x/>
    </i>
    <i r="4">
      <x v="71"/>
      <x v="50"/>
      <x/>
    </i>
    <i r="2">
      <x v="624"/>
      <x v="163"/>
      <x v="63"/>
      <x v="29"/>
      <x v="3"/>
    </i>
    <i r="4">
      <x v="71"/>
      <x v="50"/>
      <x v="3"/>
    </i>
    <i r="2">
      <x v="625"/>
      <x v="440"/>
      <x v="63"/>
      <x v="29"/>
      <x/>
    </i>
    <i r="4">
      <x v="71"/>
      <x v="50"/>
      <x/>
    </i>
    <i r="2">
      <x v="632"/>
      <x v="137"/>
      <x v="63"/>
      <x v="29"/>
      <x/>
    </i>
    <i r="4">
      <x v="71"/>
      <x v="50"/>
      <x/>
    </i>
    <i r="2">
      <x v="634"/>
      <x v="32"/>
      <x v="66"/>
      <x v="57"/>
      <x/>
    </i>
    <i r="2">
      <x v="636"/>
      <x v="440"/>
      <x v="63"/>
      <x v="29"/>
      <x/>
    </i>
    <i r="4">
      <x v="71"/>
      <x v="50"/>
      <x/>
    </i>
    <i r="2">
      <x v="640"/>
      <x v="267"/>
      <x v="63"/>
      <x v="29"/>
      <x/>
    </i>
    <i r="4">
      <x v="71"/>
      <x v="50"/>
      <x/>
    </i>
    <i r="2">
      <x v="642"/>
      <x v="278"/>
      <x v="66"/>
      <x v="57"/>
      <x/>
    </i>
    <i r="2">
      <x v="646"/>
      <x v="129"/>
      <x v="67"/>
      <x v="45"/>
      <x/>
    </i>
    <i r="2">
      <x v="777"/>
      <x v="385"/>
      <x v="6"/>
      <x v="42"/>
      <x/>
    </i>
    <i r="4">
      <x v="63"/>
      <x v="29"/>
      <x/>
    </i>
    <i r="4">
      <x v="71"/>
      <x v="50"/>
      <x/>
    </i>
    <i r="1">
      <x v="9"/>
      <x v="771"/>
      <x v="98"/>
      <x v="67"/>
      <x v="45"/>
      <x v="21"/>
    </i>
    <i r="2">
      <x v="775"/>
      <x v="213"/>
      <x v="63"/>
      <x v="29"/>
      <x/>
    </i>
    <i r="4">
      <x v="71"/>
      <x v="50"/>
      <x/>
    </i>
    <i r="1">
      <x v="10"/>
      <x v="661"/>
      <x v="444"/>
      <x v="63"/>
      <x v="29"/>
      <x/>
    </i>
    <i r="4">
      <x v="71"/>
      <x v="50"/>
      <x/>
    </i>
    <i r="2">
      <x v="662"/>
      <x v="257"/>
      <x v="6"/>
      <x v="42"/>
      <x/>
    </i>
    <i r="4">
      <x v="63"/>
      <x v="29"/>
      <x/>
    </i>
    <i r="4">
      <x v="71"/>
      <x v="50"/>
      <x/>
    </i>
    <i r="2">
      <x v="663"/>
      <x v="192"/>
      <x v="63"/>
      <x v="29"/>
      <x v="2"/>
    </i>
    <i r="4">
      <x v="71"/>
      <x v="50"/>
      <x v="2"/>
    </i>
    <i r="2">
      <x v="744"/>
      <x v="115"/>
      <x v="63"/>
      <x v="29"/>
      <x/>
    </i>
    <i r="4">
      <x v="71"/>
      <x v="50"/>
      <x/>
    </i>
    <i r="2">
      <x v="745"/>
      <x v="41"/>
      <x v="64"/>
      <x v="28"/>
      <x/>
    </i>
    <i r="2">
      <x v="746"/>
      <x v="41"/>
      <x v="64"/>
      <x v="28"/>
      <x/>
    </i>
    <i r="2">
      <x v="747"/>
      <x v="41"/>
      <x v="64"/>
      <x v="28"/>
      <x/>
    </i>
    <i r="2">
      <x v="748"/>
      <x v="99"/>
      <x v="63"/>
      <x v="29"/>
      <x/>
    </i>
    <i r="4">
      <x v="71"/>
      <x v="50"/>
      <x/>
    </i>
    <i r="2">
      <x v="749"/>
      <x v="160"/>
      <x v="63"/>
      <x v="29"/>
      <x/>
    </i>
    <i r="4">
      <x v="71"/>
      <x v="50"/>
      <x/>
    </i>
    <i r="1">
      <x v="11"/>
      <x v="51"/>
      <x v="62"/>
      <x v="64"/>
      <x v="28"/>
      <x/>
    </i>
    <i r="2">
      <x v="52"/>
      <x v="50"/>
      <x v="64"/>
      <x v="28"/>
      <x/>
    </i>
    <i r="2">
      <x v="53"/>
      <x v="50"/>
      <x v="64"/>
      <x v="28"/>
      <x/>
    </i>
    <i r="2">
      <x v="54"/>
      <x v="64"/>
      <x v="64"/>
      <x v="28"/>
      <x/>
    </i>
    <i r="2">
      <x v="55"/>
      <x v="67"/>
      <x v="64"/>
      <x v="28"/>
      <x/>
    </i>
    <i r="2">
      <x v="56"/>
      <x v="405"/>
      <x v="66"/>
      <x v="57"/>
      <x/>
    </i>
    <i r="2">
      <x v="57"/>
      <x v="404"/>
      <x v="64"/>
      <x v="28"/>
      <x/>
    </i>
    <i r="2">
      <x v="58"/>
      <x v="403"/>
      <x v="66"/>
      <x v="57"/>
      <x/>
    </i>
    <i r="2">
      <x v="59"/>
      <x v="349"/>
      <x v="66"/>
      <x v="57"/>
      <x/>
    </i>
    <i r="2">
      <x v="60"/>
      <x v="349"/>
      <x v="66"/>
      <x v="57"/>
      <x/>
    </i>
    <i r="2">
      <x v="61"/>
      <x v="349"/>
      <x v="66"/>
      <x v="57"/>
      <x/>
    </i>
    <i r="2">
      <x v="62"/>
      <x v="54"/>
      <x v="64"/>
      <x v="28"/>
      <x/>
    </i>
    <i r="2">
      <x v="64"/>
      <x v="397"/>
      <x v="62"/>
      <x v="30"/>
      <x/>
    </i>
    <i r="2">
      <x v="65"/>
      <x v="398"/>
      <x v="62"/>
      <x v="30"/>
      <x/>
    </i>
    <i r="2">
      <x v="66"/>
      <x v="58"/>
      <x v="64"/>
      <x v="28"/>
      <x/>
    </i>
    <i r="2">
      <x v="67"/>
      <x v="63"/>
      <x v="64"/>
      <x v="28"/>
      <x/>
    </i>
    <i r="2">
      <x v="68"/>
      <x v="63"/>
      <x v="64"/>
      <x v="28"/>
      <x/>
    </i>
    <i r="2">
      <x v="69"/>
      <x v="63"/>
      <x v="64"/>
      <x v="28"/>
      <x/>
    </i>
    <i r="2">
      <x v="70"/>
      <x v="63"/>
      <x v="64"/>
      <x v="28"/>
      <x/>
    </i>
    <i r="2">
      <x v="71"/>
      <x v="40"/>
      <x v="64"/>
      <x v="28"/>
      <x/>
    </i>
    <i r="2">
      <x v="72"/>
      <x v="40"/>
      <x v="64"/>
      <x v="28"/>
      <x/>
    </i>
    <i r="2">
      <x v="73"/>
      <x v="55"/>
      <x v="64"/>
      <x v="28"/>
      <x/>
    </i>
    <i r="2">
      <x v="74"/>
      <x v="55"/>
      <x v="64"/>
      <x v="28"/>
      <x/>
    </i>
    <i r="2">
      <x v="75"/>
      <x v="70"/>
      <x v="64"/>
      <x v="28"/>
      <x/>
    </i>
    <i r="2">
      <x v="76"/>
      <x v="409"/>
      <x v="66"/>
      <x v="57"/>
      <x/>
    </i>
    <i r="2">
      <x v="77"/>
      <x v="408"/>
      <x v="66"/>
      <x v="57"/>
      <x/>
    </i>
    <i r="2">
      <x v="78"/>
      <x v="421"/>
      <x v="62"/>
      <x v="30"/>
      <x/>
    </i>
    <i r="2">
      <x v="79"/>
      <x v="348"/>
      <x v="62"/>
      <x v="30"/>
      <x/>
    </i>
    <i r="2">
      <x v="80"/>
      <x v="402"/>
      <x v="66"/>
      <x v="57"/>
      <x/>
    </i>
    <i r="2">
      <x v="81"/>
      <x v="402"/>
      <x v="66"/>
      <x v="57"/>
      <x/>
    </i>
    <i r="2">
      <x v="82"/>
      <x v="402"/>
      <x v="66"/>
      <x v="57"/>
      <x/>
    </i>
    <i r="2">
      <x v="85"/>
      <x v="232"/>
      <x v="63"/>
      <x v="29"/>
      <x/>
    </i>
    <i r="4">
      <x v="71"/>
      <x v="50"/>
      <x/>
    </i>
    <i r="2">
      <x v="86"/>
      <x v="39"/>
      <x v="64"/>
      <x v="28"/>
      <x/>
    </i>
    <i r="2">
      <x v="87"/>
      <x v="71"/>
      <x v="64"/>
      <x v="28"/>
      <x/>
    </i>
    <i r="2">
      <x v="88"/>
      <x v="80"/>
      <x v="66"/>
      <x v="57"/>
      <x/>
    </i>
    <i r="2">
      <x v="89"/>
      <x v="351"/>
      <x v="62"/>
      <x v="30"/>
      <x/>
    </i>
    <i r="2">
      <x v="90"/>
      <x v="350"/>
      <x v="62"/>
      <x v="30"/>
      <x/>
    </i>
    <i r="2">
      <x v="91"/>
      <x v="406"/>
      <x v="64"/>
      <x v="28"/>
      <x/>
    </i>
    <i r="2">
      <x v="92"/>
      <x v="407"/>
      <x v="64"/>
      <x v="28"/>
      <x/>
    </i>
    <i r="1">
      <x v="12"/>
      <x v="702"/>
      <x v="443"/>
      <x v="63"/>
      <x v="29"/>
      <x/>
    </i>
    <i r="4">
      <x v="71"/>
      <x v="50"/>
      <x/>
    </i>
    <i r="2">
      <x v="704"/>
      <x v="200"/>
      <x v="6"/>
      <x v="42"/>
      <x/>
    </i>
    <i r="4">
      <x v="63"/>
      <x v="29"/>
      <x/>
    </i>
    <i r="4">
      <x v="71"/>
      <x v="50"/>
      <x/>
    </i>
    <i r="2">
      <x v="715"/>
      <x v="222"/>
      <x v="63"/>
      <x v="29"/>
      <x/>
    </i>
    <i r="4">
      <x v="71"/>
      <x v="50"/>
      <x/>
    </i>
    <i r="2">
      <x v="716"/>
      <x v="168"/>
      <x v="62"/>
      <x v="30"/>
      <x v="3"/>
    </i>
    <i r="4">
      <x v="71"/>
      <x v="50"/>
      <x v="3"/>
    </i>
    <i r="2">
      <x v="717"/>
      <x v="176"/>
      <x v="63"/>
      <x v="29"/>
      <x/>
    </i>
    <i r="4">
      <x v="71"/>
      <x v="50"/>
      <x/>
    </i>
    <i r="2">
      <x v="718"/>
      <x v="443"/>
      <x v="63"/>
      <x v="29"/>
      <x/>
    </i>
    <i r="4">
      <x v="71"/>
      <x v="50"/>
      <x/>
    </i>
    <i r="2">
      <x v="719"/>
      <x v="169"/>
      <x v="63"/>
      <x v="29"/>
      <x/>
    </i>
    <i r="4">
      <x v="71"/>
      <x v="50"/>
      <x/>
    </i>
    <i r="2">
      <x v="720"/>
      <x v="214"/>
      <x v="63"/>
      <x v="29"/>
      <x/>
    </i>
    <i r="4">
      <x v="71"/>
      <x v="50"/>
      <x/>
    </i>
    <i r="2">
      <x v="730"/>
      <x v="221"/>
      <x v="63"/>
      <x v="29"/>
      <x/>
    </i>
    <i r="4">
      <x v="71"/>
      <x v="50"/>
      <x/>
    </i>
    <i r="2">
      <x v="731"/>
      <x v="443"/>
      <x v="63"/>
      <x v="29"/>
      <x/>
    </i>
    <i r="2">
      <x v="736"/>
      <x v="354"/>
      <x v="8"/>
      <x v="44"/>
      <x/>
    </i>
    <i r="1">
      <x v="17"/>
      <x v="538"/>
      <x v="236"/>
      <x v="63"/>
      <x v="29"/>
      <x/>
    </i>
    <i r="4">
      <x v="71"/>
      <x v="50"/>
      <x/>
    </i>
    <i r="2">
      <x v="539"/>
      <x v="444"/>
      <x v="63"/>
      <x v="29"/>
      <x/>
    </i>
    <i r="4">
      <x v="71"/>
      <x v="50"/>
      <x/>
    </i>
    <i r="2">
      <x v="540"/>
      <x v="177"/>
      <x v="65"/>
      <x v="31"/>
      <x v="3"/>
    </i>
    <i r="4">
      <x v="71"/>
      <x v="50"/>
      <x v="3"/>
    </i>
    <i r="2">
      <x v="541"/>
      <x v="186"/>
      <x v="62"/>
      <x v="30"/>
      <x/>
    </i>
    <i r="2">
      <x v="542"/>
      <x v="129"/>
      <x v="68"/>
      <x v="46"/>
      <x/>
    </i>
    <i r="2">
      <x v="546"/>
      <x v="23"/>
      <x v="66"/>
      <x v="57"/>
      <x/>
    </i>
    <i r="2">
      <x v="547"/>
      <x v="22"/>
      <x v="66"/>
      <x v="57"/>
      <x/>
    </i>
    <i r="2">
      <x v="548"/>
      <x v="360"/>
      <x v="7"/>
      <x v="43"/>
      <x/>
    </i>
    <i r="1">
      <x v="18"/>
      <x v="140"/>
      <x v="444"/>
      <x v="63"/>
      <x v="29"/>
      <x/>
    </i>
    <i r="4">
      <x v="71"/>
      <x v="50"/>
      <x/>
    </i>
    <i r="2">
      <x v="141"/>
      <x v="254"/>
      <x v="63"/>
      <x v="29"/>
      <x/>
    </i>
    <i r="4">
      <x v="71"/>
      <x v="50"/>
      <x/>
    </i>
    <i r="2">
      <x v="142"/>
      <x v="211"/>
      <x v="63"/>
      <x v="29"/>
      <x/>
    </i>
    <i r="4">
      <x v="71"/>
      <x v="50"/>
      <x/>
    </i>
    <i r="2">
      <x v="176"/>
      <x v="358"/>
      <x v="62"/>
      <x v="30"/>
      <x/>
    </i>
    <i r="2">
      <x v="196"/>
      <x v="444"/>
      <x v="71"/>
      <x v="50"/>
      <x/>
    </i>
    <i r="2">
      <x v="197"/>
      <x v="37"/>
      <x v="64"/>
      <x v="28"/>
      <x/>
    </i>
    <i r="4">
      <x v="72"/>
      <x v="51"/>
      <x/>
    </i>
    <i r="2">
      <x v="198"/>
      <x v="35"/>
      <x v="64"/>
      <x v="28"/>
      <x/>
    </i>
    <i r="4">
      <x v="72"/>
      <x v="51"/>
      <x/>
    </i>
    <i r="2">
      <x v="199"/>
      <x v="35"/>
      <x v="64"/>
      <x v="28"/>
      <x/>
    </i>
    <i r="4">
      <x v="72"/>
      <x v="51"/>
      <x/>
    </i>
    <i r="2">
      <x v="200"/>
      <x v="322"/>
      <x v="6"/>
      <x v="42"/>
      <x/>
    </i>
    <i r="4">
      <x v="63"/>
      <x v="29"/>
      <x/>
    </i>
    <i r="2">
      <x v="201"/>
      <x v="344"/>
      <x v="66"/>
      <x v="57"/>
      <x/>
    </i>
    <i r="2">
      <x v="202"/>
      <x v="372"/>
      <x v="6"/>
      <x v="42"/>
      <x/>
    </i>
    <i r="4">
      <x v="64"/>
      <x v="28"/>
      <x/>
    </i>
    <i r="4">
      <x v="72"/>
      <x v="51"/>
      <x/>
    </i>
    <i r="2">
      <x v="205"/>
      <x v="452"/>
      <x v="62"/>
      <x v="30"/>
      <x v="5"/>
    </i>
    <i r="2">
      <x v="206"/>
      <x v="334"/>
      <x v="68"/>
      <x v="46"/>
      <x v="1"/>
    </i>
    <i r="2">
      <x v="210"/>
      <x v="207"/>
      <x v="63"/>
      <x v="29"/>
      <x/>
    </i>
    <i r="4">
      <x v="71"/>
      <x v="50"/>
      <x/>
    </i>
    <i r="2">
      <x v="211"/>
      <x v="198"/>
      <x v="63"/>
      <x v="29"/>
      <x/>
    </i>
    <i r="4">
      <x v="71"/>
      <x v="50"/>
      <x/>
    </i>
    <i r="2">
      <x v="212"/>
      <x v="152"/>
      <x v="6"/>
      <x v="42"/>
      <x/>
    </i>
    <i r="4">
      <x v="62"/>
      <x v="30"/>
      <x v="3"/>
    </i>
    <i r="4">
      <x v="71"/>
      <x v="50"/>
      <x v="3"/>
    </i>
    <i r="2">
      <x v="213"/>
      <x v="335"/>
      <x/>
      <x v="36"/>
      <x v="1"/>
    </i>
    <i r="4">
      <x v="68"/>
      <x v="46"/>
      <x/>
    </i>
    <i r="2">
      <x v="214"/>
      <x v="353"/>
      <x v="7"/>
      <x v="43"/>
      <x/>
    </i>
    <i r="2">
      <x v="778"/>
      <x v="385"/>
      <x v="6"/>
      <x v="42"/>
      <x/>
    </i>
    <i r="4">
      <x v="62"/>
      <x v="30"/>
      <x/>
    </i>
    <i r="4">
      <x v="71"/>
      <x v="50"/>
      <x/>
    </i>
    <i r="2">
      <x v="779"/>
      <x v="385"/>
      <x v="6"/>
      <x v="42"/>
      <x/>
    </i>
    <i r="4">
      <x v="62"/>
      <x v="30"/>
      <x/>
    </i>
    <i r="4">
      <x v="71"/>
      <x v="50"/>
      <x/>
    </i>
    <i r="2">
      <x v="782"/>
      <x v="357"/>
      <x v="7"/>
      <x v="43"/>
      <x/>
    </i>
    <i r="2">
      <x v="783"/>
      <x v="357"/>
      <x v="7"/>
      <x v="43"/>
      <x/>
    </i>
    <i r="1">
      <x v="21"/>
      <x v="485"/>
      <x v="332"/>
      <x v="7"/>
      <x v="43"/>
      <x/>
    </i>
    <i r="2">
      <x v="486"/>
      <x v="263"/>
      <x v="63"/>
      <x v="29"/>
      <x/>
    </i>
    <i r="4">
      <x v="71"/>
      <x v="50"/>
      <x/>
    </i>
    <i r="2">
      <x v="487"/>
      <x v="247"/>
      <x v="63"/>
      <x v="29"/>
      <x/>
    </i>
    <i r="4">
      <x v="71"/>
      <x v="50"/>
      <x/>
    </i>
    <i r="2">
      <x v="488"/>
      <x v="180"/>
      <x v="62"/>
      <x v="30"/>
      <x v="5"/>
    </i>
    <i r="4">
      <x v="71"/>
      <x v="50"/>
      <x v="1"/>
    </i>
    <i r="2">
      <x v="489"/>
      <x v="129"/>
      <x v="68"/>
      <x v="46"/>
      <x/>
    </i>
    <i r="2">
      <x v="492"/>
      <x v="322"/>
      <x v="63"/>
      <x v="29"/>
      <x/>
    </i>
    <i r="4">
      <x v="71"/>
      <x v="50"/>
      <x/>
    </i>
    <i r="2">
      <x v="501"/>
      <x v="443"/>
      <x v="63"/>
      <x v="29"/>
      <x/>
    </i>
    <i r="4">
      <x v="71"/>
      <x v="50"/>
      <x/>
    </i>
    <i r="2">
      <x v="506"/>
      <x v="268"/>
      <x v="63"/>
      <x v="29"/>
      <x/>
    </i>
    <i r="4">
      <x v="71"/>
      <x v="50"/>
      <x/>
    </i>
    <i r="2">
      <x v="508"/>
      <x v="455"/>
      <x v="62"/>
      <x v="30"/>
      <x/>
    </i>
    <i r="2">
      <x v="510"/>
      <x v="455"/>
      <x v="62"/>
      <x v="30"/>
      <x/>
    </i>
    <i r="2">
      <x v="511"/>
      <x v="456"/>
      <x v="66"/>
      <x v="57"/>
      <x/>
    </i>
    <i r="2">
      <x v="513"/>
      <x v="457"/>
      <x v="66"/>
      <x v="57"/>
      <x/>
    </i>
    <i r="2">
      <x v="514"/>
      <x v="361"/>
      <x v="66"/>
      <x v="57"/>
      <x/>
    </i>
    <i r="2">
      <x v="780"/>
      <x v="385"/>
      <x v="6"/>
      <x v="42"/>
      <x/>
    </i>
    <i r="4">
      <x v="62"/>
      <x v="30"/>
      <x/>
    </i>
    <i r="4">
      <x v="71"/>
      <x v="50"/>
      <x/>
    </i>
    <i r="2">
      <x v="781"/>
      <x v="357"/>
      <x v="7"/>
      <x v="43"/>
      <x/>
    </i>
    <i r="2">
      <x v="784"/>
      <x v="357"/>
      <x v="7"/>
      <x v="43"/>
      <x/>
    </i>
    <i r="1">
      <x v="22"/>
      <x v="228"/>
      <x v="206"/>
      <x v="6"/>
      <x v="42"/>
      <x/>
    </i>
    <i r="4">
      <x v="63"/>
      <x v="29"/>
      <x/>
    </i>
    <i r="4">
      <x v="71"/>
      <x v="50"/>
      <x/>
    </i>
    <i r="2">
      <x v="229"/>
      <x v="160"/>
      <x v="62"/>
      <x v="30"/>
      <x v="5"/>
    </i>
    <i r="4">
      <x v="71"/>
      <x v="50"/>
      <x v="5"/>
    </i>
    <i r="2">
      <x v="230"/>
      <x v="216"/>
      <x v="63"/>
      <x v="29"/>
      <x/>
    </i>
    <i r="4">
      <x v="71"/>
      <x v="50"/>
      <x/>
    </i>
    <i r="2">
      <x v="231"/>
      <x v="384"/>
      <x v="7"/>
      <x v="43"/>
      <x/>
    </i>
    <i r="2">
      <x v="232"/>
      <x v="343"/>
      <x v="66"/>
      <x v="57"/>
      <x/>
    </i>
    <i r="1">
      <x v="28"/>
      <x v="93"/>
      <x v="146"/>
      <x v="71"/>
      <x v="50"/>
      <x/>
    </i>
    <i r="2">
      <x v="94"/>
      <x v="374"/>
      <x v="62"/>
      <x v="30"/>
      <x v="1"/>
    </i>
    <i r="2">
      <x v="95"/>
      <x v="386"/>
      <x v="7"/>
      <x v="43"/>
      <x/>
    </i>
    <i r="4">
      <x v="71"/>
      <x v="50"/>
      <x/>
    </i>
    <i r="2">
      <x v="99"/>
      <x v="208"/>
      <x v="63"/>
      <x v="29"/>
      <x/>
    </i>
    <i r="4">
      <x v="71"/>
      <x v="50"/>
      <x/>
    </i>
    <i r="2">
      <x v="215"/>
      <x v="419"/>
      <x v="62"/>
      <x v="30"/>
      <x/>
    </i>
    <i r="2">
      <x v="216"/>
      <x v="419"/>
      <x v="62"/>
      <x v="30"/>
      <x/>
    </i>
    <i r="2">
      <x v="217"/>
      <x v="353"/>
      <x v="8"/>
      <x v="44"/>
      <x/>
    </i>
    <i r="1">
      <x v="31"/>
      <x v="143"/>
      <x v="255"/>
      <x v="63"/>
      <x v="29"/>
      <x/>
    </i>
    <i r="4">
      <x v="71"/>
      <x v="50"/>
      <x/>
    </i>
    <i r="2">
      <x v="144"/>
      <x v="51"/>
      <x v="64"/>
      <x v="28"/>
      <x/>
    </i>
    <i r="4">
      <x v="72"/>
      <x v="51"/>
      <x/>
    </i>
    <i r="2">
      <x v="145"/>
      <x v="73"/>
      <x v="64"/>
      <x v="28"/>
      <x/>
    </i>
    <i r="4">
      <x v="72"/>
      <x v="51"/>
      <x/>
    </i>
    <i r="2">
      <x v="146"/>
      <x v="73"/>
      <x v="64"/>
      <x v="28"/>
      <x/>
    </i>
    <i r="4">
      <x v="72"/>
      <x v="51"/>
      <x/>
    </i>
    <i r="2">
      <x v="147"/>
      <x v="73"/>
      <x v="64"/>
      <x v="28"/>
      <x/>
    </i>
    <i r="4">
      <x v="72"/>
      <x v="51"/>
      <x/>
    </i>
    <i r="2">
      <x v="149"/>
      <x v="416"/>
      <x v="62"/>
      <x v="30"/>
      <x/>
    </i>
    <i r="2">
      <x v="151"/>
      <x v="424"/>
      <x v="7"/>
      <x v="43"/>
      <x/>
    </i>
    <i r="2">
      <x v="152"/>
      <x v="424"/>
      <x v="66"/>
      <x v="57"/>
      <x/>
    </i>
    <i r="2">
      <x v="153"/>
      <x v="76"/>
      <x v="64"/>
      <x v="28"/>
      <x/>
    </i>
    <i r="4">
      <x v="72"/>
      <x v="51"/>
      <x/>
    </i>
    <i r="2">
      <x v="154"/>
      <x v="74"/>
      <x v="2"/>
      <x v="38"/>
      <x/>
    </i>
    <i r="4">
      <x v="64"/>
      <x v="28"/>
      <x/>
    </i>
    <i r="4">
      <x v="72"/>
      <x v="51"/>
      <x/>
    </i>
    <i r="2">
      <x v="155"/>
      <x v="74"/>
      <x v="2"/>
      <x v="38"/>
      <x/>
    </i>
    <i r="4">
      <x v="64"/>
      <x v="28"/>
      <x/>
    </i>
    <i r="4">
      <x v="72"/>
      <x v="51"/>
      <x/>
    </i>
    <i r="2">
      <x v="156"/>
      <x v="226"/>
      <x v="63"/>
      <x v="29"/>
      <x/>
    </i>
    <i r="4">
      <x v="71"/>
      <x v="50"/>
      <x/>
    </i>
    <i r="2">
      <x v="157"/>
      <x v="49"/>
      <x v="64"/>
      <x v="28"/>
      <x/>
    </i>
    <i r="4">
      <x v="72"/>
      <x v="51"/>
      <x/>
    </i>
    <i r="2">
      <x v="158"/>
      <x v="352"/>
      <x v="2"/>
      <x v="38"/>
      <x/>
    </i>
    <i r="2">
      <x v="159"/>
      <x v="423"/>
      <x v="7"/>
      <x v="43"/>
      <x/>
    </i>
    <i r="2">
      <x v="160"/>
      <x v="173"/>
      <x v="62"/>
      <x v="30"/>
      <x v="7"/>
    </i>
    <i r="4">
      <x v="71"/>
      <x v="50"/>
      <x v="4"/>
    </i>
    <i r="2">
      <x v="164"/>
      <x v="217"/>
      <x v="2"/>
      <x v="38"/>
      <x/>
    </i>
    <i r="4">
      <x v="64"/>
      <x v="28"/>
      <x/>
    </i>
    <i r="4">
      <x v="72"/>
      <x v="51"/>
      <x/>
    </i>
    <i r="2">
      <x v="165"/>
      <x v="79"/>
      <x v="6"/>
      <x v="42"/>
      <x/>
    </i>
    <i r="4">
      <x v="64"/>
      <x v="28"/>
      <x/>
    </i>
    <i r="4">
      <x v="72"/>
      <x v="51"/>
      <x/>
    </i>
    <i r="2">
      <x v="166"/>
      <x v="75"/>
      <x v="64"/>
      <x v="28"/>
      <x/>
    </i>
    <i r="4">
      <x v="72"/>
      <x v="51"/>
      <x/>
    </i>
    <i r="2">
      <x v="167"/>
      <x v="75"/>
      <x v="64"/>
      <x v="28"/>
      <x/>
    </i>
    <i r="4">
      <x v="72"/>
      <x v="51"/>
      <x/>
    </i>
    <i t="grand">
      <x/>
    </i>
  </rowItems>
  <colItems count="1">
    <i/>
  </colItems>
  <pageFields count="2">
    <pageField fld="15" hier="-1"/>
    <pageField fld="7" hier="-1"/>
  </pageFields>
  <formats count="80">
    <format dxfId="159">
      <pivotArea dataOnly="0" labelOnly="1" outline="0" fieldPosition="0">
        <references count="1">
          <reference field="15" count="0"/>
        </references>
      </pivotArea>
    </format>
    <format dxfId="158">
      <pivotArea outline="0" fieldPosition="0">
        <references count="2">
          <reference field="6" count="1" selected="0">
            <x v="1"/>
          </reference>
          <reference field="7" count="1" selected="0" sumSubtotal="1">
            <x v="0"/>
          </reference>
        </references>
      </pivotArea>
    </format>
    <format dxfId="157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0"/>
          </reference>
        </references>
      </pivotArea>
    </format>
    <format dxfId="156">
      <pivotArea outline="0" fieldPosition="0">
        <references count="2">
          <reference field="6" count="1" selected="0">
            <x v="1"/>
          </reference>
          <reference field="7" count="1" selected="0" sumSubtotal="1">
            <x v="1"/>
          </reference>
        </references>
      </pivotArea>
    </format>
    <format dxfId="155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1"/>
          </reference>
        </references>
      </pivotArea>
    </format>
    <format dxfId="154">
      <pivotArea outline="0" fieldPosition="0">
        <references count="2">
          <reference field="6" count="1" selected="0">
            <x v="1"/>
          </reference>
          <reference field="7" count="1" selected="0" sumSubtotal="1">
            <x v="2"/>
          </reference>
        </references>
      </pivotArea>
    </format>
    <format dxfId="153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2"/>
          </reference>
        </references>
      </pivotArea>
    </format>
    <format dxfId="152">
      <pivotArea outline="0" fieldPosition="0">
        <references count="2">
          <reference field="6" count="1" selected="0">
            <x v="1"/>
          </reference>
          <reference field="7" count="1" selected="0" sumSubtotal="1">
            <x v="3"/>
          </reference>
        </references>
      </pivotArea>
    </format>
    <format dxfId="151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3"/>
          </reference>
        </references>
      </pivotArea>
    </format>
    <format dxfId="150">
      <pivotArea outline="0" fieldPosition="0">
        <references count="2">
          <reference field="6" count="1" selected="0">
            <x v="2"/>
          </reference>
          <reference field="7" count="1" selected="0" sumSubtotal="1">
            <x v="0"/>
          </reference>
        </references>
      </pivotArea>
    </format>
    <format dxfId="149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0"/>
          </reference>
        </references>
      </pivotArea>
    </format>
    <format dxfId="148">
      <pivotArea outline="0" fieldPosition="0">
        <references count="2">
          <reference field="6" count="1" selected="0">
            <x v="2"/>
          </reference>
          <reference field="7" count="1" selected="0" sumSubtotal="1">
            <x v="2"/>
          </reference>
        </references>
      </pivotArea>
    </format>
    <format dxfId="147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2"/>
          </reference>
        </references>
      </pivotArea>
    </format>
    <format dxfId="146">
      <pivotArea outline="0" fieldPosition="0">
        <references count="2">
          <reference field="6" count="1" selected="0">
            <x v="2"/>
          </reference>
          <reference field="7" count="1" selected="0" sumSubtotal="1">
            <x v="3"/>
          </reference>
        </references>
      </pivotArea>
    </format>
    <format dxfId="145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3"/>
          </reference>
        </references>
      </pivotArea>
    </format>
    <format dxfId="144">
      <pivotArea outline="0" fieldPosition="0">
        <references count="2">
          <reference field="6" count="1" selected="0">
            <x v="3"/>
          </reference>
          <reference field="7" count="1" selected="0" sumSubtotal="1">
            <x v="0"/>
          </reference>
        </references>
      </pivotArea>
    </format>
    <format dxfId="143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0"/>
          </reference>
        </references>
      </pivotArea>
    </format>
    <format dxfId="142">
      <pivotArea outline="0" fieldPosition="0">
        <references count="2">
          <reference field="6" count="1" selected="0">
            <x v="3"/>
          </reference>
          <reference field="7" count="1" selected="0" sumSubtotal="1">
            <x v="2"/>
          </reference>
        </references>
      </pivotArea>
    </format>
    <format dxfId="141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2"/>
          </reference>
        </references>
      </pivotArea>
    </format>
    <format dxfId="140">
      <pivotArea outline="0" fieldPosition="0">
        <references count="2">
          <reference field="6" count="1" selected="0">
            <x v="3"/>
          </reference>
          <reference field="7" count="1" selected="0" sumSubtotal="1">
            <x v="3"/>
          </reference>
        </references>
      </pivotArea>
    </format>
    <format dxfId="139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3"/>
          </reference>
        </references>
      </pivotArea>
    </format>
    <format dxfId="138">
      <pivotArea outline="0" fieldPosition="0">
        <references count="2">
          <reference field="6" count="1" selected="0">
            <x v="4"/>
          </reference>
          <reference field="7" count="1" selected="0" sumSubtotal="1">
            <x v="0"/>
          </reference>
        </references>
      </pivotArea>
    </format>
    <format dxfId="137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0"/>
          </reference>
        </references>
      </pivotArea>
    </format>
    <format dxfId="136">
      <pivotArea outline="0" fieldPosition="0">
        <references count="2">
          <reference field="6" count="1" selected="0">
            <x v="4"/>
          </reference>
          <reference field="7" count="1" selected="0" sumSubtotal="1">
            <x v="2"/>
          </reference>
        </references>
      </pivotArea>
    </format>
    <format dxfId="135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2"/>
          </reference>
        </references>
      </pivotArea>
    </format>
    <format dxfId="134">
      <pivotArea outline="0" fieldPosition="0">
        <references count="2">
          <reference field="6" count="1" selected="0">
            <x v="4"/>
          </reference>
          <reference field="7" count="1" selected="0" sumSubtotal="1">
            <x v="3"/>
          </reference>
        </references>
      </pivotArea>
    </format>
    <format dxfId="133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3"/>
          </reference>
        </references>
      </pivotArea>
    </format>
    <format dxfId="132">
      <pivotArea outline="0" fieldPosition="0">
        <references count="2">
          <reference field="6" count="1" selected="0">
            <x v="5"/>
          </reference>
          <reference field="7" count="1" selected="0" sumSubtotal="1">
            <x v="0"/>
          </reference>
        </references>
      </pivotArea>
    </format>
    <format dxfId="131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0"/>
          </reference>
        </references>
      </pivotArea>
    </format>
    <format dxfId="130">
      <pivotArea outline="0" fieldPosition="0">
        <references count="2">
          <reference field="6" count="1" selected="0">
            <x v="5"/>
          </reference>
          <reference field="7" count="1" selected="0" sumSubtotal="1">
            <x v="2"/>
          </reference>
        </references>
      </pivotArea>
    </format>
    <format dxfId="129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2"/>
          </reference>
        </references>
      </pivotArea>
    </format>
    <format dxfId="128">
      <pivotArea outline="0" fieldPosition="0">
        <references count="2">
          <reference field="6" count="1" selected="0">
            <x v="5"/>
          </reference>
          <reference field="7" count="1" selected="0" sumSubtotal="1">
            <x v="3"/>
          </reference>
        </references>
      </pivotArea>
    </format>
    <format dxfId="127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3"/>
          </reference>
        </references>
      </pivotArea>
    </format>
    <format dxfId="126">
      <pivotArea outline="0" fieldPosition="0">
        <references count="2">
          <reference field="6" count="1" selected="0">
            <x v="6"/>
          </reference>
          <reference field="7" count="1" selected="0" sumSubtotal="1">
            <x v="0"/>
          </reference>
        </references>
      </pivotArea>
    </format>
    <format dxfId="125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0"/>
          </reference>
        </references>
      </pivotArea>
    </format>
    <format dxfId="124">
      <pivotArea outline="0" fieldPosition="0">
        <references count="2">
          <reference field="6" count="1" selected="0">
            <x v="6"/>
          </reference>
          <reference field="7" count="1" selected="0" sumSubtotal="1">
            <x v="2"/>
          </reference>
        </references>
      </pivotArea>
    </format>
    <format dxfId="123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2"/>
          </reference>
        </references>
      </pivotArea>
    </format>
    <format dxfId="122">
      <pivotArea outline="0" fieldPosition="0">
        <references count="2">
          <reference field="6" count="1" selected="0">
            <x v="6"/>
          </reference>
          <reference field="7" count="1" selected="0" sumSubtotal="1">
            <x v="3"/>
          </reference>
        </references>
      </pivotArea>
    </format>
    <format dxfId="121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3"/>
          </reference>
        </references>
      </pivotArea>
    </format>
    <format dxfId="120">
      <pivotArea outline="0" fieldPosition="0">
        <references count="2">
          <reference field="6" count="1" selected="0">
            <x v="7"/>
          </reference>
          <reference field="7" count="1" selected="0" sumSubtotal="1">
            <x v="0"/>
          </reference>
        </references>
      </pivotArea>
    </format>
    <format dxfId="119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0"/>
          </reference>
        </references>
      </pivotArea>
    </format>
    <format dxfId="118">
      <pivotArea outline="0" fieldPosition="0">
        <references count="2">
          <reference field="6" count="1" selected="0">
            <x v="7"/>
          </reference>
          <reference field="7" count="1" selected="0" sumSubtotal="1">
            <x v="2"/>
          </reference>
        </references>
      </pivotArea>
    </format>
    <format dxfId="117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2"/>
          </reference>
        </references>
      </pivotArea>
    </format>
    <format dxfId="116">
      <pivotArea outline="0" fieldPosition="0">
        <references count="2">
          <reference field="6" count="1" selected="0">
            <x v="7"/>
          </reference>
          <reference field="7" count="1" selected="0" sumSubtotal="1">
            <x v="3"/>
          </reference>
        </references>
      </pivotArea>
    </format>
    <format dxfId="115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3"/>
          </reference>
        </references>
      </pivotArea>
    </format>
    <format dxfId="114">
      <pivotArea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13">
      <pivotArea dataOnly="0" labelOnly="1" outline="0" fieldPosition="0">
        <references count="3">
          <reference field="6" count="1" selected="0">
            <x v="1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12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11">
      <pivotArea outline="0" fieldPosition="0">
        <references count="4">
          <reference field="6" count="1" selected="0">
            <x v="2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10">
      <pivotArea dataOnly="0" labelOnly="1" outline="0" fieldPosition="0">
        <references count="3">
          <reference field="6" count="1" selected="0">
            <x v="2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09">
      <pivotArea dataOnly="0" labelOnly="1" outline="0" fieldPosition="0">
        <references count="4">
          <reference field="6" count="1" selected="0">
            <x v="2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08">
      <pivotArea outline="0" fieldPosition="0">
        <references count="4">
          <reference field="6" count="1" selected="0">
            <x v="3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07">
      <pivotArea dataOnly="0" labelOnly="1" outline="0" fieldPosition="0">
        <references count="3">
          <reference field="6" count="1" selected="0">
            <x v="3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06">
      <pivotArea dataOnly="0" labelOnly="1" outline="0" fieldPosition="0">
        <references count="4">
          <reference field="6" count="1" selected="0">
            <x v="3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05">
      <pivotArea outline="0" fieldPosition="0">
        <references count="4">
          <reference field="6" count="1" selected="0">
            <x v="4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04">
      <pivotArea dataOnly="0" labelOnly="1" outline="0" fieldPosition="0">
        <references count="3">
          <reference field="6" count="1" selected="0">
            <x v="4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03">
      <pivotArea dataOnly="0" labelOnly="1" outline="0" fieldPosition="0">
        <references count="4">
          <reference field="6" count="1" selected="0">
            <x v="4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02">
      <pivotArea outline="0" fieldPosition="0">
        <references count="4">
          <reference field="6" count="1" selected="0">
            <x v="5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01">
      <pivotArea dataOnly="0" labelOnly="1" outline="0" fieldPosition="0">
        <references count="3">
          <reference field="6" count="1" selected="0">
            <x v="5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00">
      <pivotArea dataOnly="0" labelOnly="1" outline="0" fieldPosition="0">
        <references count="4">
          <reference field="6" count="1" selected="0">
            <x v="5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99">
      <pivotArea outline="0" fieldPosition="0">
        <references count="4">
          <reference field="6" count="1" selected="0">
            <x v="6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98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97">
      <pivotArea dataOnly="0" labelOnly="1" outline="0" fieldPosition="0">
        <references count="4">
          <reference field="6" count="1" selected="0">
            <x v="6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96">
      <pivotArea outline="0" fieldPosition="0">
        <references count="4">
          <reference field="6" count="1" selected="0">
            <x v="7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95">
      <pivotArea dataOnly="0" labelOnly="1" outline="0" fieldPosition="0">
        <references count="3">
          <reference field="6" count="1" selected="0">
            <x v="7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94">
      <pivotArea dataOnly="0" labelOnly="1" outline="0" fieldPosition="0">
        <references count="4">
          <reference field="6" count="1" selected="0">
            <x v="7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93">
      <pivotArea dataOnly="0" outline="0" fieldPosition="0">
        <references count="2">
          <reference field="8" count="1">
            <x v="59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2">
      <pivotArea outline="0" fieldPosition="0">
        <references count="4">
          <reference field="6" count="1" selected="0">
            <x v="1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91">
      <pivotArea dataOnly="0" labelOnly="1" outline="0" fieldPosition="0">
        <references count="3">
          <reference field="6" count="1" selected="0">
            <x v="1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90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89">
      <pivotArea outline="0" fieldPosition="0">
        <references count="4">
          <reference field="6" count="1" selected="0">
            <x v="2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88">
      <pivotArea dataOnly="0" labelOnly="1" outline="0" fieldPosition="0">
        <references count="3">
          <reference field="6" count="1" selected="0">
            <x v="2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87">
      <pivotArea dataOnly="0" labelOnly="1" outline="0" fieldPosition="0">
        <references count="4">
          <reference field="6" count="1" selected="0">
            <x v="2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86">
      <pivotArea outline="0" fieldPosition="0">
        <references count="4">
          <reference field="6" count="1" selected="0">
            <x v="3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85">
      <pivotArea dataOnly="0" labelOnly="1" outline="0" fieldPosition="0">
        <references count="3">
          <reference field="6" count="1" selected="0">
            <x v="3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84">
      <pivotArea dataOnly="0" labelOnly="1" outline="0" fieldPosition="0">
        <references count="4">
          <reference field="6" count="1" selected="0">
            <x v="3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83">
      <pivotArea dataOnly="0" labelOnly="1" outline="0" offset="IV3:IV256" fieldPosition="0">
        <references count="1">
          <reference field="6" count="1">
            <x v="1"/>
          </reference>
        </references>
      </pivotArea>
    </format>
    <format dxfId="82">
      <pivotArea dataOnly="0" labelOnly="1" outline="0" fieldPosition="0">
        <references count="1">
          <reference field="6" count="6">
            <x v="2"/>
            <x v="3"/>
            <x v="4"/>
            <x v="5"/>
            <x v="6"/>
            <x v="7"/>
          </reference>
        </references>
      </pivotArea>
    </format>
    <format dxfId="81">
      <pivotArea field="8" type="button" dataOnly="0" labelOnly="1" outline="0" axis="axisRow" fieldPosition="4"/>
    </format>
    <format dxfId="80">
      <pivotArea field="8" type="button" dataOnly="0" labelOnly="1" outline="0" axis="axisRow" fieldPosition="4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F0057-65DF-4EFC-A301-FECD42223F6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4:H188" firstHeaderRow="1" firstDataRow="1" firstDataCol="7" rowPageCount="2" colPageCount="1"/>
  <pivotFields count="4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15">
        <item x="91"/>
        <item x="184"/>
        <item x="199"/>
        <item x="176"/>
        <item x="177"/>
        <item x="138"/>
        <item x="137"/>
        <item x="140"/>
        <item x="136"/>
        <item x="45"/>
        <item x="114"/>
        <item x="18"/>
        <item x="46"/>
        <item x="47"/>
        <item x="19"/>
        <item x="20"/>
        <item x="178"/>
        <item x="21"/>
        <item x="48"/>
        <item x="49"/>
        <item x="50"/>
        <item x="51"/>
        <item x="52"/>
        <item x="53"/>
        <item x="88"/>
        <item x="54"/>
        <item x="22"/>
        <item x="102"/>
        <item x="55"/>
        <item x="56"/>
        <item x="57"/>
        <item x="33"/>
        <item x="58"/>
        <item x="179"/>
        <item x="235"/>
        <item x="236"/>
        <item x="194"/>
        <item x="181"/>
        <item x="191"/>
        <item x="193"/>
        <item x="98"/>
        <item x="59"/>
        <item x="23"/>
        <item x="196"/>
        <item x="200"/>
        <item x="201"/>
        <item x="202"/>
        <item x="99"/>
        <item x="60"/>
        <item x="24"/>
        <item x="198"/>
        <item x="203"/>
        <item x="204"/>
        <item x="205"/>
        <item x="206"/>
        <item x="207"/>
        <item x="237"/>
        <item x="208"/>
        <item x="238"/>
        <item x="239"/>
        <item x="240"/>
        <item x="241"/>
        <item x="231"/>
        <item x="23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42"/>
        <item x="243"/>
        <item x="173"/>
        <item x="244"/>
        <item x="246"/>
        <item x="247"/>
        <item x="248"/>
        <item x="221"/>
        <item x="222"/>
        <item x="192"/>
        <item x="223"/>
        <item x="224"/>
        <item x="245"/>
        <item x="249"/>
        <item x="250"/>
        <item x="225"/>
        <item x="226"/>
        <item x="540"/>
        <item x="551"/>
        <item x="538"/>
        <item x="555"/>
        <item x="227"/>
        <item x="550"/>
        <item x="541"/>
        <item x="543"/>
        <item x="544"/>
        <item x="545"/>
        <item x="546"/>
        <item x="547"/>
        <item x="548"/>
        <item x="549"/>
        <item x="542"/>
        <item x="554"/>
        <item x="274"/>
        <item x="279"/>
        <item x="284"/>
        <item x="285"/>
        <item x="286"/>
        <item x="282"/>
        <item x="283"/>
        <item x="280"/>
        <item x="273"/>
        <item x="275"/>
        <item x="281"/>
        <item x="288"/>
        <item x="786"/>
        <item x="271"/>
        <item x="272"/>
        <item x="533"/>
        <item x="787"/>
        <item x="788"/>
        <item x="276"/>
        <item x="277"/>
        <item x="278"/>
        <item x="262"/>
        <item x="264"/>
        <item x="263"/>
        <item x="270"/>
        <item x="265"/>
        <item x="266"/>
        <item x="267"/>
        <item x="268"/>
        <item x="269"/>
        <item x="794"/>
        <item x="333"/>
        <item x="334"/>
        <item x="335"/>
        <item x="609"/>
        <item x="612"/>
        <item x="613"/>
        <item x="614"/>
        <item x="615"/>
        <item x="625"/>
        <item x="620"/>
        <item x="805"/>
        <item x="608"/>
        <item x="624"/>
        <item x="616"/>
        <item x="603"/>
        <item x="604"/>
        <item x="610"/>
        <item x="617"/>
        <item x="605"/>
        <item x="602"/>
        <item x="611"/>
        <item x="622"/>
        <item x="623"/>
        <item x="621"/>
        <item x="606"/>
        <item x="607"/>
        <item x="618"/>
        <item x="619"/>
        <item x="647"/>
        <item x="654"/>
        <item x="655"/>
        <item x="656"/>
        <item x="662"/>
        <item x="663"/>
        <item x="648"/>
        <item x="351"/>
        <item x="342"/>
        <item x="649"/>
        <item x="668"/>
        <item x="669"/>
        <item x="667"/>
        <item x="660"/>
        <item x="657"/>
        <item x="670"/>
        <item x="650"/>
        <item x="791"/>
        <item x="664"/>
        <item x="666"/>
        <item x="658"/>
        <item x="671"/>
        <item x="651"/>
        <item x="652"/>
        <item x="659"/>
        <item x="661"/>
        <item x="665"/>
        <item x="653"/>
        <item x="336"/>
        <item x="339"/>
        <item x="340"/>
        <item x="341"/>
        <item x="325"/>
        <item x="350"/>
        <item x="326"/>
        <item x="346"/>
        <item x="347"/>
        <item x="348"/>
        <item x="345"/>
        <item x="343"/>
        <item x="344"/>
        <item x="349"/>
        <item x="337"/>
        <item x="338"/>
        <item x="327"/>
        <item x="324"/>
        <item x="330"/>
        <item x="553"/>
        <item x="552"/>
        <item x="539"/>
        <item x="133"/>
        <item x="287"/>
        <item x="228"/>
        <item x="229"/>
        <item x="230"/>
        <item x="197"/>
        <item x="115"/>
        <item x="92"/>
        <item x="93"/>
        <item x="489"/>
        <item x="485"/>
        <item x="487"/>
        <item x="488"/>
        <item x="486"/>
        <item x="797"/>
        <item x="94"/>
        <item x="116"/>
        <item x="12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109"/>
        <item x="103"/>
        <item x="44"/>
        <item x="354"/>
        <item x="32"/>
        <item x="3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398"/>
        <item x="117"/>
        <item x="119"/>
        <item x="120"/>
        <item x="40"/>
        <item x="38"/>
        <item x="95"/>
        <item x="394"/>
        <item x="395"/>
        <item x="41"/>
        <item x="416"/>
        <item x="4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399"/>
        <item x="118"/>
        <item x="121"/>
        <item x="122"/>
        <item x="42"/>
        <item x="37"/>
        <item x="96"/>
        <item x="396"/>
        <item x="397"/>
        <item x="30"/>
        <item x="61"/>
        <item x="355"/>
        <item x="373"/>
        <item x="374"/>
        <item x="375"/>
        <item x="376"/>
        <item x="377"/>
        <item x="378"/>
        <item x="379"/>
        <item x="380"/>
        <item x="381"/>
        <item x="382"/>
        <item x="360"/>
        <item x="793"/>
        <item x="110"/>
        <item x="17"/>
        <item x="13"/>
        <item x="104"/>
        <item x="14"/>
        <item x="11"/>
        <item x="25"/>
        <item x="154"/>
        <item x="62"/>
        <item x="357"/>
        <item x="356"/>
        <item x="113"/>
        <item x="387"/>
        <item x="388"/>
        <item x="389"/>
        <item x="383"/>
        <item x="390"/>
        <item x="391"/>
        <item x="384"/>
        <item x="63"/>
        <item x="392"/>
        <item x="393"/>
        <item x="385"/>
        <item x="386"/>
        <item x="358"/>
        <item x="537"/>
        <item x="799"/>
        <item x="535"/>
        <item x="15"/>
        <item x="534"/>
        <item x="89"/>
        <item x="798"/>
        <item x="105"/>
        <item x="112"/>
        <item x="111"/>
        <item x="16"/>
        <item x="352"/>
        <item x="353"/>
        <item x="694"/>
        <item x="714"/>
        <item x="728"/>
        <item x="729"/>
        <item x="715"/>
        <item x="697"/>
        <item x="699"/>
        <item x="709"/>
        <item x="706"/>
        <item x="590"/>
        <item x="596"/>
        <item x="592"/>
        <item x="597"/>
        <item x="600"/>
        <item x="586"/>
        <item x="587"/>
        <item x="598"/>
        <item x="591"/>
        <item x="589"/>
        <item x="588"/>
        <item x="601"/>
        <item x="593"/>
        <item x="594"/>
        <item x="595"/>
        <item x="599"/>
        <item x="741"/>
        <item x="745"/>
        <item x="763"/>
        <item x="742"/>
        <item x="760"/>
        <item x="761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66"/>
        <item x="743"/>
        <item x="764"/>
        <item x="765"/>
        <item x="767"/>
        <item x="758"/>
        <item x="762"/>
        <item x="740"/>
        <item x="744"/>
        <item x="43"/>
        <item x="536"/>
        <item x="564"/>
        <item x="484"/>
        <item x="585"/>
        <item x="430"/>
        <item x="646"/>
        <item x="645"/>
        <item x="730"/>
        <item x="679"/>
        <item x="688"/>
        <item x="689"/>
        <item x="695"/>
        <item x="696"/>
        <item x="813"/>
        <item x="700"/>
        <item x="701"/>
        <item x="702"/>
        <item x="690"/>
        <item x="716"/>
        <item x="680"/>
        <item x="717"/>
        <item x="814"/>
        <item x="806"/>
        <item x="698"/>
        <item x="718"/>
        <item x="719"/>
        <item x="720"/>
        <item x="721"/>
        <item x="722"/>
        <item x="692"/>
        <item x="731"/>
        <item x="732"/>
        <item x="723"/>
        <item x="703"/>
        <item x="724"/>
        <item x="801"/>
        <item x="725"/>
        <item x="726"/>
        <item x="693"/>
        <item x="733"/>
        <item x="727"/>
        <item x="704"/>
        <item x="707"/>
        <item x="708"/>
        <item x="678"/>
        <item x="705"/>
        <item x="710"/>
        <item x="734"/>
        <item x="792"/>
        <item x="735"/>
        <item x="736"/>
        <item x="737"/>
        <item x="738"/>
        <item x="739"/>
        <item x="684"/>
        <item x="685"/>
        <item x="686"/>
        <item x="711"/>
        <item x="712"/>
        <item x="683"/>
        <item x="674"/>
        <item x="675"/>
        <item x="195"/>
        <item x="26"/>
        <item x="233"/>
        <item x="234"/>
        <item x="64"/>
        <item x="34"/>
        <item x="768"/>
        <item x="769"/>
        <item x="770"/>
        <item x="771"/>
        <item x="772"/>
        <item x="773"/>
        <item x="461"/>
        <item x="449"/>
        <item x="452"/>
        <item x="453"/>
        <item x="454"/>
        <item x="478"/>
        <item x="462"/>
        <item x="463"/>
        <item x="455"/>
        <item x="473"/>
        <item x="474"/>
        <item x="464"/>
        <item x="458"/>
        <item x="459"/>
        <item x="465"/>
        <item x="466"/>
        <item x="460"/>
        <item x="456"/>
        <item x="467"/>
        <item x="468"/>
        <item x="469"/>
        <item x="470"/>
        <item x="457"/>
        <item x="479"/>
        <item x="475"/>
        <item x="480"/>
        <item x="476"/>
        <item x="481"/>
        <item x="482"/>
        <item x="483"/>
        <item x="477"/>
        <item x="471"/>
        <item x="472"/>
        <item x="446"/>
        <item x="440"/>
        <item x="441"/>
        <item x="442"/>
        <item x="443"/>
        <item x="444"/>
        <item x="439"/>
        <item x="445"/>
        <item x="431"/>
        <item x="432"/>
        <item x="433"/>
        <item x="434"/>
        <item x="435"/>
        <item x="447"/>
        <item x="436"/>
        <item x="437"/>
        <item x="438"/>
        <item x="314"/>
        <item x="320"/>
        <item x="315"/>
        <item x="316"/>
        <item x="310"/>
        <item x="311"/>
        <item x="312"/>
        <item x="322"/>
        <item x="323"/>
        <item x="306"/>
        <item x="307"/>
        <item x="317"/>
        <item x="795"/>
        <item x="796"/>
        <item x="309"/>
        <item x="318"/>
        <item x="313"/>
        <item x="321"/>
        <item x="319"/>
        <item x="308"/>
        <item x="291"/>
        <item x="293"/>
        <item x="294"/>
        <item x="295"/>
        <item x="296"/>
        <item x="292"/>
        <item x="789"/>
        <item x="297"/>
        <item x="299"/>
        <item x="298"/>
        <item x="289"/>
        <item x="290"/>
        <item x="568"/>
        <item x="569"/>
        <item x="563"/>
        <item x="565"/>
        <item x="566"/>
        <item x="567"/>
        <item x="570"/>
        <item x="561"/>
        <item x="562"/>
        <item x="156"/>
        <item x="157"/>
        <item x="560"/>
        <item x="558"/>
        <item x="559"/>
        <item x="574"/>
        <item x="579"/>
        <item x="578"/>
        <item x="581"/>
        <item x="582"/>
        <item x="584"/>
        <item x="583"/>
        <item x="577"/>
        <item x="580"/>
        <item x="572"/>
        <item x="571"/>
        <item x="557"/>
        <item x="573"/>
        <item x="800"/>
        <item x="576"/>
        <item x="575"/>
        <item x="556"/>
        <item x="514"/>
        <item x="526"/>
        <item x="527"/>
        <item x="528"/>
        <item x="803"/>
        <item x="510"/>
        <item x="804"/>
        <item x="509"/>
        <item x="508"/>
        <item x="513"/>
        <item x="512"/>
        <item x="519"/>
        <item x="507"/>
        <item x="515"/>
        <item x="516"/>
        <item x="517"/>
        <item x="790"/>
        <item x="524"/>
        <item x="520"/>
        <item x="518"/>
        <item x="521"/>
        <item x="522"/>
        <item x="511"/>
        <item x="523"/>
        <item x="525"/>
        <item x="529"/>
        <item x="145"/>
        <item x="146"/>
        <item x="147"/>
        <item x="641"/>
        <item x="642"/>
        <item x="643"/>
        <item x="644"/>
        <item x="639"/>
        <item x="640"/>
        <item x="148"/>
        <item x="151"/>
        <item x="152"/>
        <item x="777"/>
        <item x="149"/>
        <item x="778"/>
        <item x="779"/>
        <item x="780"/>
        <item x="150"/>
        <item x="781"/>
        <item x="153"/>
        <item x="782"/>
        <item x="141"/>
        <item x="142"/>
        <item x="144"/>
        <item x="530"/>
        <item x="531"/>
        <item x="532"/>
        <item x="180"/>
        <item x="185"/>
        <item x="186"/>
        <item x="31"/>
        <item x="65"/>
        <item x="66"/>
        <item x="106"/>
        <item x="67"/>
        <item x="108"/>
        <item x="107"/>
        <item x="97"/>
        <item x="164"/>
        <item x="163"/>
        <item x="165"/>
        <item x="68"/>
        <item x="27"/>
        <item x="69"/>
        <item x="501"/>
        <item x="499"/>
        <item x="187"/>
        <item x="676"/>
        <item x="677"/>
        <item x="687"/>
        <item x="188"/>
        <item x="182"/>
        <item x="491"/>
        <item x="490"/>
        <item x="492"/>
        <item x="495"/>
        <item x="493"/>
        <item x="496"/>
        <item x="494"/>
        <item x="189"/>
        <item x="300"/>
        <item x="301"/>
        <item x="302"/>
        <item x="303"/>
        <item x="304"/>
        <item x="305"/>
        <item x="190"/>
        <item x="174"/>
        <item x="175"/>
        <item x="183"/>
        <item x="502"/>
        <item x="503"/>
        <item x="504"/>
        <item x="506"/>
        <item x="505"/>
        <item x="500"/>
        <item x="497"/>
        <item x="498"/>
        <item x="70"/>
        <item x="253"/>
        <item x="28"/>
        <item x="251"/>
        <item x="71"/>
        <item x="72"/>
        <item x="73"/>
        <item x="74"/>
        <item x="100"/>
        <item x="75"/>
        <item x="76"/>
        <item x="776"/>
        <item x="77"/>
        <item x="78"/>
        <item x="254"/>
        <item x="260"/>
        <item x="255"/>
        <item x="256"/>
        <item x="257"/>
        <item x="258"/>
        <item x="3"/>
        <item x="2"/>
        <item x="4"/>
        <item x="6"/>
        <item x="5"/>
        <item x="8"/>
        <item x="9"/>
        <item x="10"/>
        <item x="7"/>
        <item x="259"/>
        <item x="261"/>
        <item x="1"/>
        <item x="0"/>
        <item x="774"/>
        <item x="775"/>
        <item x="252"/>
        <item x="79"/>
        <item x="29"/>
        <item x="80"/>
        <item x="81"/>
        <item x="82"/>
        <item x="83"/>
        <item x="169"/>
        <item x="166"/>
        <item x="170"/>
        <item x="171"/>
        <item x="172"/>
        <item x="167"/>
        <item x="168"/>
        <item x="84"/>
        <item x="85"/>
        <item x="86"/>
        <item x="87"/>
        <item x="35"/>
        <item x="90"/>
        <item x="36"/>
        <item x="129"/>
        <item x="125"/>
        <item x="126"/>
        <item x="127"/>
        <item x="123"/>
        <item x="124"/>
        <item x="134"/>
        <item x="131"/>
        <item x="132"/>
        <item x="130"/>
        <item x="135"/>
        <item x="158"/>
        <item x="159"/>
        <item x="162"/>
        <item x="160"/>
        <item x="783"/>
        <item x="784"/>
        <item x="785"/>
        <item x="161"/>
        <item x="802"/>
        <item x="143"/>
        <item x="328"/>
        <item x="329"/>
        <item x="448"/>
        <item x="450"/>
        <item x="331"/>
        <item x="332"/>
        <item x="451"/>
        <item x="672"/>
        <item x="673"/>
        <item x="681"/>
        <item x="713"/>
        <item x="691"/>
        <item x="807"/>
        <item x="808"/>
        <item x="809"/>
        <item x="810"/>
        <item x="811"/>
        <item x="812"/>
        <item x="682"/>
        <item x="638"/>
        <item x="626"/>
        <item x="627"/>
        <item x="628"/>
        <item x="630"/>
        <item x="634"/>
        <item x="635"/>
        <item x="633"/>
        <item x="636"/>
        <item x="637"/>
        <item x="631"/>
        <item x="632"/>
        <item x="629"/>
        <item x="155"/>
        <item x="139"/>
        <item x="101"/>
        <item x="128"/>
        <item x="7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77">
        <item x="240"/>
        <item x="399"/>
        <item x="82"/>
        <item x="81"/>
        <item x="453"/>
        <item x="204"/>
        <item x="75"/>
        <item x="449"/>
        <item x="301"/>
        <item x="447"/>
        <item x="205"/>
        <item x="446"/>
        <item x="206"/>
        <item x="6"/>
        <item x="208"/>
        <item x="219"/>
        <item x="4"/>
        <item x="3"/>
        <item x="84"/>
        <item x="13"/>
        <item x="381"/>
        <item x="225"/>
        <item x="464"/>
        <item x="463"/>
        <item x="476"/>
        <item x="317"/>
        <item x="361"/>
        <item x="456"/>
        <item x="461"/>
        <item x="457"/>
        <item x="458"/>
        <item x="8"/>
        <item x="101"/>
        <item x="9"/>
        <item x="7"/>
        <item x="238"/>
        <item x="419"/>
        <item x="237"/>
        <item x="418"/>
        <item x="150"/>
        <item x="146"/>
        <item x="115"/>
        <item x="331"/>
        <item x="332"/>
        <item x="333"/>
        <item x="334"/>
        <item x="335"/>
        <item x="336"/>
        <item x="337"/>
        <item x="373"/>
        <item x="138"/>
        <item x="370"/>
        <item x="194"/>
        <item x="307"/>
        <item x="157"/>
        <item x="147"/>
        <item x="314"/>
        <item x="315"/>
        <item x="144"/>
        <item x="349"/>
        <item x="313"/>
        <item x="417"/>
        <item x="137"/>
        <item x="145"/>
        <item x="139"/>
        <item x="182"/>
        <item x="433"/>
        <item x="140"/>
        <item x="183"/>
        <item x="184"/>
        <item x="148"/>
        <item x="151"/>
        <item x="312"/>
        <item x="371"/>
        <item x="362"/>
        <item x="374"/>
        <item x="372"/>
        <item x="473"/>
        <item x="468"/>
        <item x="365"/>
        <item x="167"/>
        <item x="426"/>
        <item x="432"/>
        <item x="425"/>
        <item x="427"/>
        <item x="428"/>
        <item x="429"/>
        <item x="93"/>
        <item x="92"/>
        <item x="448"/>
        <item x="109"/>
        <item x="215"/>
        <item x="10"/>
        <item x="440"/>
        <item x="104"/>
        <item x="94"/>
        <item x="77"/>
        <item x="87"/>
        <item x="107"/>
        <item x="113"/>
        <item x="61"/>
        <item x="64"/>
        <item x="2"/>
        <item x="66"/>
        <item x="53"/>
        <item x="406"/>
        <item x="299"/>
        <item x="59"/>
        <item x="125"/>
        <item x="46"/>
        <item x="44"/>
        <item x="45"/>
        <item x="49"/>
        <item x="263"/>
        <item x="68"/>
        <item x="112"/>
        <item x="127"/>
        <item x="57"/>
        <item x="226"/>
        <item x="391"/>
        <item x="445"/>
        <item x="442"/>
        <item x="455"/>
        <item x="294"/>
        <item x="454"/>
        <item x="323"/>
        <item x="341"/>
        <item x="195"/>
        <item x="420"/>
        <item x="1"/>
        <item x="221"/>
        <item x="470"/>
        <item x="306"/>
        <item x="471"/>
        <item x="133"/>
        <item x="76"/>
        <item x="277"/>
        <item x="98"/>
        <item x="198"/>
        <item x="462"/>
        <item x="222"/>
        <item x="78"/>
        <item x="158"/>
        <item x="79"/>
        <item x="5"/>
        <item x="192"/>
        <item x="80"/>
        <item x="324"/>
        <item x="203"/>
        <item x="43"/>
        <item x="60"/>
        <item x="37"/>
        <item x="231"/>
        <item x="65"/>
        <item x="63"/>
        <item x="120"/>
        <item x="40"/>
        <item x="41"/>
        <item x="38"/>
        <item x="62"/>
        <item x="114"/>
        <item x="51"/>
        <item x="56"/>
        <item x="97"/>
        <item x="55"/>
        <item x="122"/>
        <item x="131"/>
        <item x="129"/>
        <item x="178"/>
        <item x="175"/>
        <item x="300"/>
        <item x="413"/>
        <item x="134"/>
        <item x="369"/>
        <item x="159"/>
        <item x="160"/>
        <item x="174"/>
        <item x="218"/>
        <item x="155"/>
        <item x="156"/>
        <item x="267"/>
        <item x="135"/>
        <item x="136"/>
        <item x="438"/>
        <item x="74"/>
        <item x="33"/>
        <item x="227"/>
        <item x="58"/>
        <item x="54"/>
        <item x="124"/>
        <item x="126"/>
        <item x="50"/>
        <item x="111"/>
        <item x="128"/>
        <item x="378"/>
        <item x="377"/>
        <item x="382"/>
        <item x="383"/>
        <item x="236"/>
        <item x="27"/>
        <item x="171"/>
        <item x="17"/>
        <item x="22"/>
        <item x="403"/>
        <item x="25"/>
        <item x="23"/>
        <item x="290"/>
        <item x="235"/>
        <item x="329"/>
        <item x="298"/>
        <item x="397"/>
        <item x="234"/>
        <item x="386"/>
        <item x="108"/>
        <item x="176"/>
        <item x="42"/>
        <item x="291"/>
        <item x="364"/>
        <item x="247"/>
        <item x="117"/>
        <item x="67"/>
        <item x="177"/>
        <item x="173"/>
        <item x="202"/>
        <item x="347"/>
        <item x="292"/>
        <item x="368"/>
        <item x="439"/>
        <item x="191"/>
        <item x="14"/>
        <item x="385"/>
        <item x="181"/>
        <item x="130"/>
        <item x="190"/>
        <item x="118"/>
        <item x="123"/>
        <item x="217"/>
        <item x="18"/>
        <item x="20"/>
        <item x="311"/>
        <item x="19"/>
        <item x="71"/>
        <item x="179"/>
        <item x="24"/>
        <item x="189"/>
        <item x="21"/>
        <item x="262"/>
        <item x="266"/>
        <item x="73"/>
        <item x="26"/>
        <item x="96"/>
        <item x="119"/>
        <item x="346"/>
        <item x="310"/>
        <item x="233"/>
        <item x="367"/>
        <item x="121"/>
        <item x="110"/>
        <item x="393"/>
        <item x="437"/>
        <item x="52"/>
        <item x="408"/>
        <item x="390"/>
        <item x="47"/>
        <item x="15"/>
        <item x="16"/>
        <item x="357"/>
        <item x="99"/>
        <item x="268"/>
        <item x="469"/>
        <item x="243"/>
        <item x="100"/>
        <item x="209"/>
        <item x="210"/>
        <item x="211"/>
        <item x="212"/>
        <item x="213"/>
        <item x="214"/>
        <item x="102"/>
        <item x="452"/>
        <item x="297"/>
        <item x="450"/>
        <item x="451"/>
        <item x="280"/>
        <item x="459"/>
        <item x="197"/>
        <item x="295"/>
        <item x="257"/>
        <item x="256"/>
        <item x="154"/>
        <item x="392"/>
        <item x="281"/>
        <item x="224"/>
        <item x="278"/>
        <item x="350"/>
        <item x="223"/>
        <item x="207"/>
        <item x="293"/>
        <item x="475"/>
        <item x="474"/>
        <item x="255"/>
        <item x="289"/>
        <item x="423"/>
        <item x="249"/>
        <item x="251"/>
        <item x="252"/>
        <item x="253"/>
        <item x="254"/>
        <item x="250"/>
        <item x="441"/>
        <item x="384"/>
        <item x="90"/>
        <item x="407"/>
        <item x="282"/>
        <item x="387"/>
        <item x="394"/>
        <item x="303"/>
        <item x="396"/>
        <item x="69"/>
        <item x="31"/>
        <item x="340"/>
        <item x="245"/>
        <item x="229"/>
        <item x="356"/>
        <item x="85"/>
        <item x="11"/>
        <item x="132"/>
        <item x="411"/>
        <item x="402"/>
        <item x="193"/>
        <item x="220"/>
        <item x="412"/>
        <item x="265"/>
        <item x="272"/>
        <item x="241"/>
        <item x="228"/>
        <item x="12"/>
        <item x="379"/>
        <item x="380"/>
        <item x="264"/>
        <item x="88"/>
        <item x="421"/>
        <item x="409"/>
        <item x="465"/>
        <item x="244"/>
        <item x="434"/>
        <item x="435"/>
        <item x="248"/>
        <item x="166"/>
        <item x="163"/>
        <item x="170"/>
        <item x="169"/>
        <item x="363"/>
        <item x="32"/>
        <item x="172"/>
        <item x="30"/>
        <item x="29"/>
        <item x="232"/>
        <item x="239"/>
        <item x="309"/>
        <item x="216"/>
        <item x="286"/>
        <item x="185"/>
        <item x="260"/>
        <item x="261"/>
        <item x="83"/>
        <item x="196"/>
        <item x="376"/>
        <item x="416"/>
        <item x="404"/>
        <item x="345"/>
        <item x="400"/>
        <item x="230"/>
        <item x="466"/>
        <item x="338"/>
        <item x="348"/>
        <item x="321"/>
        <item x="322"/>
        <item x="319"/>
        <item x="320"/>
        <item x="444"/>
        <item x="443"/>
        <item x="258"/>
        <item x="180"/>
        <item x="28"/>
        <item x="95"/>
        <item x="328"/>
        <item x="388"/>
        <item x="405"/>
        <item x="410"/>
        <item x="327"/>
        <item x="359"/>
        <item x="188"/>
        <item x="342"/>
        <item x="351"/>
        <item x="86"/>
        <item x="316"/>
        <item x="142"/>
        <item x="143"/>
        <item x="360"/>
        <item x="199"/>
        <item x="318"/>
        <item x="168"/>
        <item x="162"/>
        <item x="141"/>
        <item x="161"/>
        <item x="152"/>
        <item x="153"/>
        <item x="165"/>
        <item x="164"/>
        <item x="330"/>
        <item x="467"/>
        <item x="149"/>
        <item x="354"/>
        <item x="353"/>
        <item x="352"/>
        <item x="375"/>
        <item x="395"/>
        <item x="103"/>
        <item x="339"/>
        <item x="308"/>
        <item x="116"/>
        <item x="259"/>
        <item x="89"/>
        <item x="366"/>
        <item x="358"/>
        <item x="430"/>
        <item x="70"/>
        <item x="436"/>
        <item x="271"/>
        <item x="269"/>
        <item x="274"/>
        <item x="283"/>
        <item x="273"/>
        <item x="279"/>
        <item x="284"/>
        <item x="275"/>
        <item x="270"/>
        <item x="276"/>
        <item x="72"/>
        <item x="48"/>
        <item x="36"/>
        <item x="35"/>
        <item x="34"/>
        <item x="39"/>
        <item x="431"/>
        <item x="422"/>
        <item x="424"/>
        <item x="414"/>
        <item x="415"/>
        <item x="401"/>
        <item x="472"/>
        <item x="242"/>
        <item x="302"/>
        <item x="460"/>
        <item x="285"/>
        <item x="287"/>
        <item x="288"/>
        <item x="398"/>
        <item x="91"/>
        <item x="305"/>
        <item x="0"/>
        <item x="200"/>
        <item x="201"/>
        <item x="326"/>
        <item x="186"/>
        <item x="187"/>
        <item x="344"/>
        <item x="343"/>
        <item x="105"/>
        <item x="325"/>
        <item x="106"/>
        <item x="304"/>
        <item x="246"/>
        <item x="389"/>
        <item x="355"/>
        <item x="2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ubtotalTop="0" showAll="0" defaultSubtotal="0">
      <items count="8">
        <item h="1" m="1" x="7"/>
        <item h="1" x="0"/>
        <item h="1" x="6"/>
        <item x="3"/>
        <item h="1" x="2"/>
        <item h="1" x="1"/>
        <item h="1" x="4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x="1"/>
        <item x="3"/>
        <item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13"/>
        <item x="32"/>
        <item x="14"/>
        <item x="33"/>
        <item x="77"/>
        <item x="67"/>
        <item x="15"/>
        <item x="20"/>
        <item x="16"/>
        <item x="71"/>
        <item x="26"/>
        <item x="49"/>
        <item x="50"/>
        <item x="70"/>
        <item x="75"/>
        <item x="41"/>
        <item x="51"/>
        <item x="29"/>
        <item x="30"/>
        <item x="53"/>
        <item x="35"/>
        <item x="48"/>
        <item x="66"/>
        <item x="59"/>
        <item x="54"/>
        <item x="52"/>
        <item x="42"/>
        <item x="43"/>
        <item x="44"/>
        <item x="45"/>
        <item x="46"/>
        <item x="47"/>
        <item x="58"/>
        <item x="56"/>
        <item x="57"/>
        <item x="31"/>
        <item x="34"/>
        <item x="36"/>
        <item x="69"/>
        <item x="55"/>
        <item x="68"/>
        <item x="28"/>
        <item x="27"/>
        <item x="37"/>
        <item x="72"/>
        <item x="38"/>
        <item x="40"/>
        <item x="74"/>
        <item x="17"/>
        <item x="7"/>
        <item x="18"/>
        <item x="8"/>
        <item x="9"/>
        <item x="19"/>
        <item x="25"/>
        <item x="65"/>
        <item x="76"/>
        <item x="73"/>
        <item x="39"/>
        <item x="4"/>
        <item x="64"/>
        <item x="63"/>
        <item x="11"/>
        <item x="10"/>
        <item x="22"/>
        <item x="23"/>
        <item x="62"/>
        <item x="2"/>
        <item x="78"/>
        <item x="60"/>
        <item x="61"/>
        <item x="3"/>
        <item x="24"/>
        <item x="0"/>
        <item x="21"/>
        <item x="1"/>
        <item x="12"/>
        <item x="6"/>
        <item x="7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0">
        <item x="59"/>
        <item x="26"/>
        <item x="27"/>
        <item x="63"/>
        <item x="0"/>
        <item x="21"/>
        <item x="1"/>
        <item x="12"/>
        <item x="49"/>
        <item x="50"/>
        <item x="70"/>
        <item x="75"/>
        <item x="41"/>
        <item x="54"/>
        <item x="51"/>
        <item x="52"/>
        <item x="42"/>
        <item x="43"/>
        <item x="44"/>
        <item x="45"/>
        <item x="46"/>
        <item x="47"/>
        <item x="60"/>
        <item x="61"/>
        <item x="28"/>
        <item x="29"/>
        <item x="30"/>
        <item x="53"/>
        <item x="22"/>
        <item x="10"/>
        <item x="11"/>
        <item x="23"/>
        <item x="58"/>
        <item x="56"/>
        <item x="57"/>
        <item x="31"/>
        <item x="13"/>
        <item x="32"/>
        <item x="14"/>
        <item x="33"/>
        <item x="77"/>
        <item x="67"/>
        <item x="15"/>
        <item x="20"/>
        <item x="16"/>
        <item x="2"/>
        <item x="78"/>
        <item x="71"/>
        <item x="34"/>
        <item x="35"/>
        <item x="3"/>
        <item x="24"/>
        <item x="48"/>
        <item x="36"/>
        <item x="69"/>
        <item x="64"/>
        <item x="66"/>
        <item x="62"/>
        <item x="37"/>
        <item x="73"/>
        <item x="72"/>
        <item x="38"/>
        <item x="4"/>
        <item x="39"/>
        <item x="5"/>
        <item x="6"/>
        <item x="40"/>
        <item x="74"/>
        <item x="17"/>
        <item x="7"/>
        <item x="18"/>
        <item x="8"/>
        <item x="9"/>
        <item x="19"/>
        <item x="25"/>
        <item x="65"/>
        <item x="55"/>
        <item x="79"/>
        <item x="76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3">
        <item x="0"/>
        <item x="2"/>
        <item x="3"/>
        <item x="1"/>
        <item x="4"/>
        <item x="6"/>
        <item x="20"/>
        <item x="11"/>
        <item x="16"/>
        <item x="8"/>
        <item x="22"/>
        <item x="10"/>
        <item x="18"/>
        <item x="21"/>
        <item x="7"/>
        <item x="12"/>
        <item x="19"/>
        <item x="9"/>
        <item x="5"/>
        <item x="13"/>
        <item x="17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h="1" x="1"/>
        <item h="1"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18">
        <item x="17"/>
        <item x="10"/>
        <item x="11"/>
        <item x="15"/>
        <item x="0"/>
        <item x="1"/>
        <item x="9"/>
        <item x="12"/>
        <item x="16"/>
        <item x="13"/>
        <item x="3"/>
        <item x="5"/>
        <item x="14"/>
        <item x="4"/>
        <item x="6"/>
        <item x="2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6"/>
    <field x="5"/>
    <field x="2"/>
    <field x="3"/>
    <field x="8"/>
    <field x="11"/>
    <field x="12"/>
  </rowFields>
  <rowItems count="184">
    <i>
      <x v="3"/>
      <x v="1"/>
      <x v="9"/>
      <x v="443"/>
      <x v="63"/>
      <x v="29"/>
      <x/>
    </i>
    <i r="4">
      <x v="71"/>
      <x v="50"/>
      <x/>
    </i>
    <i r="2">
      <x v="11"/>
      <x v="229"/>
      <x v="6"/>
      <x v="42"/>
      <x/>
    </i>
    <i r="4">
      <x v="63"/>
      <x v="29"/>
      <x/>
    </i>
    <i r="4">
      <x v="71"/>
      <x v="50"/>
      <x/>
    </i>
    <i r="2">
      <x v="12"/>
      <x v="442"/>
      <x v="71"/>
      <x v="50"/>
      <x v="1"/>
    </i>
    <i r="2">
      <x v="13"/>
      <x v="442"/>
      <x v="71"/>
      <x v="50"/>
      <x v="1"/>
    </i>
    <i r="2">
      <x v="14"/>
      <x v="264"/>
      <x v="6"/>
      <x v="42"/>
      <x/>
    </i>
    <i r="4">
      <x v="63"/>
      <x v="29"/>
      <x/>
    </i>
    <i r="4">
      <x v="71"/>
      <x v="50"/>
      <x/>
    </i>
    <i r="2">
      <x v="15"/>
      <x v="265"/>
      <x v="6"/>
      <x v="42"/>
      <x/>
    </i>
    <i r="4">
      <x v="63"/>
      <x v="29"/>
      <x/>
    </i>
    <i r="4">
      <x v="71"/>
      <x v="50"/>
      <x/>
    </i>
    <i r="2">
      <x v="17"/>
      <x v="201"/>
      <x v="6"/>
      <x v="42"/>
      <x/>
    </i>
    <i r="4">
      <x v="63"/>
      <x v="29"/>
      <x/>
    </i>
    <i r="4">
      <x v="71"/>
      <x v="50"/>
      <x/>
    </i>
    <i r="2">
      <x v="18"/>
      <x v="441"/>
      <x v="63"/>
      <x v="29"/>
      <x/>
    </i>
    <i r="4">
      <x v="71"/>
      <x v="50"/>
      <x/>
    </i>
    <i r="2">
      <x v="19"/>
      <x v="151"/>
      <x v="63"/>
      <x v="29"/>
      <x v="3"/>
    </i>
    <i r="4">
      <x v="71"/>
      <x v="50"/>
      <x v="3"/>
    </i>
    <i r="2">
      <x v="20"/>
      <x v="158"/>
      <x v="63"/>
      <x v="29"/>
      <x/>
    </i>
    <i r="4">
      <x v="71"/>
      <x v="50"/>
      <x/>
    </i>
    <i r="2">
      <x v="21"/>
      <x v="444"/>
      <x v="63"/>
      <x v="29"/>
      <x/>
    </i>
    <i r="4">
      <x v="71"/>
      <x v="50"/>
      <x/>
    </i>
    <i r="2">
      <x v="22"/>
      <x v="156"/>
      <x v="63"/>
      <x v="29"/>
      <x v="2"/>
    </i>
    <i r="4">
      <x v="71"/>
      <x v="50"/>
      <x v="2"/>
    </i>
    <i r="2">
      <x v="23"/>
      <x v="157"/>
      <x v="63"/>
      <x v="29"/>
      <x v="1"/>
    </i>
    <i r="4">
      <x v="71"/>
      <x v="50"/>
      <x v="1"/>
    </i>
    <i r="2">
      <x v="24"/>
      <x v="220"/>
      <x v="63"/>
      <x v="29"/>
      <x v="2"/>
    </i>
    <i r="4">
      <x v="71"/>
      <x v="50"/>
      <x v="2"/>
    </i>
    <i r="2">
      <x v="25"/>
      <x v="215"/>
      <x v="63"/>
      <x v="29"/>
      <x/>
    </i>
    <i r="4">
      <x v="71"/>
      <x v="50"/>
      <x/>
    </i>
    <i r="2">
      <x v="26"/>
      <x v="237"/>
      <x v="6"/>
      <x v="42"/>
      <x/>
    </i>
    <i r="4">
      <x v="63"/>
      <x v="29"/>
      <x/>
    </i>
    <i r="4">
      <x v="71"/>
      <x v="50"/>
      <x/>
    </i>
    <i r="2">
      <x v="28"/>
      <x v="149"/>
      <x v="62"/>
      <x v="30"/>
      <x/>
    </i>
    <i r="4">
      <x v="71"/>
      <x v="50"/>
      <x/>
    </i>
    <i r="2">
      <x v="29"/>
      <x v="110"/>
      <x v="63"/>
      <x v="29"/>
      <x v="1"/>
    </i>
    <i r="4">
      <x v="71"/>
      <x v="50"/>
      <x v="1"/>
    </i>
    <i r="2">
      <x v="30"/>
      <x v="111"/>
      <x v="63"/>
      <x v="29"/>
      <x/>
    </i>
    <i r="4">
      <x v="71"/>
      <x v="50"/>
      <x/>
    </i>
    <i r="2">
      <x v="31"/>
      <x v="356"/>
      <x v="8"/>
      <x v="44"/>
      <x/>
    </i>
    <i r="4">
      <x v="71"/>
      <x v="50"/>
      <x/>
    </i>
    <i r="2">
      <x v="32"/>
      <x v="109"/>
      <x v="63"/>
      <x v="29"/>
      <x/>
    </i>
    <i r="4">
      <x v="71"/>
      <x v="50"/>
      <x/>
    </i>
    <i r="2">
      <x v="41"/>
      <x v="263"/>
      <x v="63"/>
      <x v="29"/>
      <x/>
    </i>
    <i r="4">
      <x v="71"/>
      <x v="50"/>
      <x/>
    </i>
    <i r="2">
      <x v="42"/>
      <x v="240"/>
      <x v="6"/>
      <x v="42"/>
      <x/>
    </i>
    <i r="4">
      <x v="63"/>
      <x v="29"/>
      <x/>
    </i>
    <i r="4">
      <x v="71"/>
      <x v="50"/>
      <x/>
    </i>
    <i r="2">
      <x v="48"/>
      <x v="440"/>
      <x v="63"/>
      <x v="29"/>
      <x/>
    </i>
    <i r="4">
      <x v="71"/>
      <x v="50"/>
      <x/>
    </i>
    <i r="2">
      <x v="49"/>
      <x v="238"/>
      <x v="6"/>
      <x v="42"/>
      <x/>
    </i>
    <i r="4">
      <x v="63"/>
      <x v="29"/>
      <x/>
    </i>
    <i r="4">
      <x v="71"/>
      <x v="50"/>
      <x/>
    </i>
    <i r="2">
      <x v="473"/>
      <x v="202"/>
      <x v="6"/>
      <x v="42"/>
      <x/>
    </i>
    <i r="4">
      <x v="63"/>
      <x v="29"/>
      <x/>
    </i>
    <i r="4">
      <x v="71"/>
      <x v="50"/>
      <x/>
    </i>
    <i r="2">
      <x v="476"/>
      <x v="443"/>
      <x v="63"/>
      <x v="29"/>
      <x/>
    </i>
    <i r="4">
      <x v="71"/>
      <x v="50"/>
      <x/>
    </i>
    <i r="2">
      <x v="477"/>
      <x v="355"/>
      <x v="8"/>
      <x v="44"/>
      <x/>
    </i>
    <i r="4">
      <x v="71"/>
      <x v="50"/>
      <x/>
    </i>
    <i r="2">
      <x v="653"/>
      <x v="199"/>
      <x v="6"/>
      <x v="42"/>
      <x/>
    </i>
    <i r="4">
      <x v="63"/>
      <x v="29"/>
      <x/>
    </i>
    <i r="4">
      <x v="71"/>
      <x v="50"/>
      <x/>
    </i>
    <i r="2">
      <x v="654"/>
      <x v="191"/>
      <x v="63"/>
      <x v="29"/>
      <x v="3"/>
    </i>
    <i r="4">
      <x v="71"/>
      <x v="50"/>
      <x v="3"/>
    </i>
    <i r="2">
      <x v="655"/>
      <x v="161"/>
      <x v="63"/>
      <x v="29"/>
      <x/>
    </i>
    <i r="4">
      <x v="71"/>
      <x v="50"/>
      <x/>
    </i>
    <i r="2">
      <x v="657"/>
      <x v="149"/>
      <x v="63"/>
      <x v="29"/>
      <x v="1"/>
    </i>
    <i r="4">
      <x v="71"/>
      <x v="50"/>
      <x v="1"/>
    </i>
    <i r="2">
      <x v="658"/>
      <x v="2"/>
      <x v="66"/>
      <x v="57"/>
      <x/>
    </i>
    <i r="2">
      <x v="659"/>
      <x v="3"/>
      <x v="66"/>
      <x v="57"/>
      <x/>
    </i>
    <i r="2">
      <x v="660"/>
      <x v="6"/>
      <x v="62"/>
      <x v="30"/>
      <x v="1"/>
    </i>
    <i r="2">
      <x v="664"/>
      <x v="444"/>
      <x v="63"/>
      <x v="29"/>
      <x v="1"/>
    </i>
    <i r="4">
      <x v="71"/>
      <x v="50"/>
      <x v="1"/>
    </i>
    <i r="2">
      <x v="665"/>
      <x v="205"/>
      <x v="6"/>
      <x v="42"/>
      <x/>
    </i>
    <i r="4">
      <x v="63"/>
      <x v="29"/>
      <x/>
    </i>
    <i r="4">
      <x v="71"/>
      <x v="50"/>
      <x/>
    </i>
    <i r="2">
      <x v="666"/>
      <x v="260"/>
      <x v="63"/>
      <x v="29"/>
      <x/>
    </i>
    <i r="4">
      <x v="71"/>
      <x v="50"/>
      <x/>
    </i>
    <i r="2">
      <x v="701"/>
      <x v="443"/>
      <x v="63"/>
      <x v="29"/>
      <x/>
    </i>
    <i r="4">
      <x v="71"/>
      <x v="50"/>
      <x/>
    </i>
    <i r="2">
      <x v="703"/>
      <x v="243"/>
      <x v="6"/>
      <x v="42"/>
      <x/>
    </i>
    <i r="4">
      <x v="63"/>
      <x v="29"/>
      <x/>
    </i>
    <i r="4">
      <x v="71"/>
      <x v="50"/>
      <x/>
    </i>
    <i r="2">
      <x v="705"/>
      <x v="104"/>
      <x v="63"/>
      <x v="29"/>
      <x v="1"/>
    </i>
    <i r="4">
      <x v="71"/>
      <x v="50"/>
      <x v="1"/>
    </i>
    <i r="2">
      <x v="706"/>
      <x v="188"/>
      <x v="62"/>
      <x v="30"/>
      <x v="5"/>
    </i>
    <i r="4">
      <x v="71"/>
      <x v="50"/>
      <x v="3"/>
    </i>
    <i r="2">
      <x v="707"/>
      <x v="164"/>
      <x v="63"/>
      <x v="29"/>
      <x/>
    </i>
    <i r="4">
      <x v="71"/>
      <x v="50"/>
      <x/>
    </i>
    <i r="2">
      <x v="708"/>
      <x v="162"/>
      <x v="63"/>
      <x v="29"/>
      <x/>
    </i>
    <i r="4">
      <x v="71"/>
      <x v="50"/>
      <x/>
    </i>
    <i r="2">
      <x v="710"/>
      <x v="117"/>
      <x v="63"/>
      <x v="29"/>
      <x/>
    </i>
    <i r="4">
      <x v="71"/>
      <x v="50"/>
      <x/>
    </i>
    <i r="2">
      <x v="711"/>
      <x v="187"/>
      <x v="71"/>
      <x v="50"/>
      <x/>
    </i>
    <i r="2">
      <x v="713"/>
      <x v="107"/>
      <x v="63"/>
      <x v="29"/>
      <x v="1"/>
    </i>
    <i r="4">
      <x v="71"/>
      <x v="50"/>
      <x v="1"/>
    </i>
    <i r="2">
      <x v="714"/>
      <x v="150"/>
      <x v="63"/>
      <x v="29"/>
      <x v="1"/>
    </i>
    <i r="4">
      <x v="71"/>
      <x v="50"/>
      <x v="1"/>
    </i>
    <i r="2">
      <x v="737"/>
      <x v="444"/>
      <x v="63"/>
      <x v="29"/>
      <x/>
    </i>
    <i r="4">
      <x v="71"/>
      <x v="50"/>
      <x/>
    </i>
    <i r="2">
      <x v="738"/>
      <x v="204"/>
      <x v="6"/>
      <x v="42"/>
      <x/>
    </i>
    <i r="4">
      <x v="63"/>
      <x v="29"/>
      <x/>
    </i>
    <i r="4">
      <x v="71"/>
      <x v="50"/>
      <x/>
    </i>
    <i r="2">
      <x v="739"/>
      <x v="443"/>
      <x v="63"/>
      <x v="29"/>
      <x/>
    </i>
    <i r="4">
      <x v="71"/>
      <x v="50"/>
      <x/>
    </i>
    <i r="2">
      <x v="740"/>
      <x v="100"/>
      <x v="63"/>
      <x v="29"/>
      <x/>
    </i>
    <i r="4">
      <x v="71"/>
      <x v="50"/>
      <x/>
    </i>
    <i r="2">
      <x v="741"/>
      <x v="159"/>
      <x v="63"/>
      <x v="29"/>
      <x v="4"/>
    </i>
    <i r="4">
      <x v="71"/>
      <x v="50"/>
      <x v="4"/>
    </i>
    <i r="2">
      <x v="742"/>
      <x v="154"/>
      <x v="63"/>
      <x v="29"/>
      <x v="1"/>
    </i>
    <i r="4">
      <x v="71"/>
      <x v="50"/>
      <x v="1"/>
    </i>
    <i r="2">
      <x v="750"/>
      <x v="101"/>
      <x v="63"/>
      <x v="29"/>
      <x/>
    </i>
    <i r="4">
      <x v="71"/>
      <x v="50"/>
      <x/>
    </i>
    <i r="2">
      <x v="751"/>
      <x v="153"/>
      <x v="63"/>
      <x v="29"/>
      <x/>
    </i>
    <i r="4">
      <x v="71"/>
      <x v="50"/>
      <x/>
    </i>
    <i r="2">
      <x v="752"/>
      <x v="443"/>
      <x v="63"/>
      <x v="29"/>
      <x/>
    </i>
    <i r="4">
      <x v="71"/>
      <x v="50"/>
      <x/>
    </i>
    <i r="2">
      <x v="753"/>
      <x v="103"/>
      <x v="63"/>
      <x v="29"/>
      <x/>
    </i>
    <i r="4">
      <x v="71"/>
      <x v="50"/>
      <x/>
    </i>
    <i r="2">
      <x v="754"/>
      <x v="319"/>
      <x v="8"/>
      <x v="44"/>
      <x/>
    </i>
    <i r="2">
      <x v="755"/>
      <x v="318"/>
      <x v="62"/>
      <x v="30"/>
      <x/>
    </i>
    <i r="2">
      <x v="756"/>
      <x v="353"/>
      <x v="8"/>
      <x v="44"/>
      <x/>
    </i>
    <i r="1">
      <x v="2"/>
      <x v="758"/>
      <x v="18"/>
      <x v="8"/>
      <x v="44"/>
      <x/>
    </i>
    <i r="2">
      <x v="759"/>
      <x v="324"/>
      <x v="62"/>
      <x v="30"/>
      <x v="1"/>
    </i>
    <i r="2">
      <x v="760"/>
      <x v="395"/>
      <x v="62"/>
      <x v="30"/>
      <x/>
    </i>
    <i r="1">
      <x v="15"/>
      <x v="554"/>
      <x v="223"/>
      <x v="63"/>
      <x v="29"/>
      <x/>
    </i>
    <i r="4">
      <x v="71"/>
      <x v="50"/>
      <x/>
    </i>
    <i r="2">
      <x v="559"/>
      <x v="440"/>
      <x v="63"/>
      <x v="29"/>
      <x/>
    </i>
    <i r="4">
      <x v="71"/>
      <x v="50"/>
      <x/>
    </i>
    <i r="2">
      <x v="562"/>
      <x v="129"/>
      <x v="68"/>
      <x v="46"/>
      <x/>
    </i>
    <i r="1">
      <x v="24"/>
      <x v="667"/>
      <x v="444"/>
      <x v="63"/>
      <x v="29"/>
      <x/>
    </i>
    <i r="4">
      <x v="71"/>
      <x v="50"/>
      <x/>
    </i>
    <i r="2">
      <x v="668"/>
      <x v="209"/>
      <x v="6"/>
      <x v="42"/>
      <x/>
    </i>
    <i r="4">
      <x v="63"/>
      <x v="29"/>
      <x/>
    </i>
    <i r="4">
      <x v="71"/>
      <x v="50"/>
      <x/>
    </i>
    <i r="2">
      <x v="693"/>
      <x v="106"/>
      <x v="63"/>
      <x v="29"/>
      <x/>
    </i>
    <i r="4">
      <x v="71"/>
      <x v="50"/>
      <x/>
    </i>
    <i r="2">
      <x v="694"/>
      <x v="170"/>
      <x v="63"/>
      <x v="29"/>
      <x/>
    </i>
    <i r="4">
      <x v="71"/>
      <x v="50"/>
      <x/>
    </i>
    <i r="2">
      <x v="695"/>
      <x v="444"/>
      <x v="63"/>
      <x v="29"/>
      <x/>
    </i>
    <i r="4">
      <x v="71"/>
      <x v="50"/>
      <x/>
    </i>
    <i r="2">
      <x v="697"/>
      <x v="8"/>
      <x v="71"/>
      <x v="50"/>
      <x/>
    </i>
    <i r="2">
      <x v="698"/>
      <x v="355"/>
      <x v="7"/>
      <x v="43"/>
      <x/>
    </i>
    <i r="1">
      <x v="29"/>
      <x v="411"/>
      <x v="129"/>
      <x v="67"/>
      <x v="45"/>
      <x/>
    </i>
    <i r="2">
      <x v="568"/>
      <x v="370"/>
      <x v="6"/>
      <x v="42"/>
      <x/>
    </i>
    <i r="4">
      <x v="71"/>
      <x v="50"/>
      <x/>
    </i>
    <i r="2">
      <x v="569"/>
      <x v="252"/>
      <x v="63"/>
      <x v="29"/>
      <x/>
    </i>
    <i r="4">
      <x v="71"/>
      <x v="50"/>
      <x/>
    </i>
    <i r="2">
      <x v="570"/>
      <x v="224"/>
      <x v="63"/>
      <x v="29"/>
      <x/>
    </i>
    <i r="4">
      <x v="71"/>
      <x v="50"/>
      <x/>
    </i>
    <i r="2">
      <x v="571"/>
      <x v="375"/>
      <x v="62"/>
      <x v="30"/>
      <x v="2"/>
    </i>
    <i r="4">
      <x v="71"/>
      <x v="50"/>
      <x v="2"/>
    </i>
    <i r="2">
      <x v="572"/>
      <x v="59"/>
      <x v="66"/>
      <x v="57"/>
      <x/>
    </i>
    <i r="2">
      <x v="580"/>
      <x v="129"/>
      <x v="68"/>
      <x v="46"/>
      <x/>
    </i>
    <i r="2">
      <x v="593"/>
      <x v="411"/>
      <x v="66"/>
      <x v="57"/>
      <x/>
    </i>
    <i r="1">
      <x v="30"/>
      <x v="366"/>
      <x v="129"/>
      <x v="67"/>
      <x v="45"/>
      <x/>
    </i>
    <i r="2">
      <x v="368"/>
      <x v="425"/>
      <x v="62"/>
      <x v="30"/>
      <x/>
    </i>
    <i r="2">
      <x v="369"/>
      <x v="399"/>
      <x v="66"/>
      <x v="57"/>
      <x/>
    </i>
    <i r="2">
      <x v="374"/>
      <x v="266"/>
      <x v="63"/>
      <x v="29"/>
      <x/>
    </i>
    <i r="4">
      <x v="71"/>
      <x v="50"/>
      <x/>
    </i>
    <i r="2">
      <x v="375"/>
      <x v="323"/>
      <x v="6"/>
      <x v="42"/>
      <x/>
    </i>
    <i r="4">
      <x v="63"/>
      <x v="29"/>
      <x/>
    </i>
    <i r="4">
      <x v="71"/>
      <x v="50"/>
      <x/>
    </i>
    <i r="2">
      <x v="377"/>
      <x v="384"/>
      <x v="66"/>
      <x v="57"/>
      <x/>
    </i>
    <i r="2">
      <x v="378"/>
      <x v="391"/>
      <x v="66"/>
      <x v="57"/>
      <x/>
    </i>
    <i r="2">
      <x v="379"/>
      <x v="391"/>
      <x v="66"/>
      <x v="57"/>
      <x/>
    </i>
    <i r="2">
      <x v="380"/>
      <x v="391"/>
      <x v="66"/>
      <x v="57"/>
      <x/>
    </i>
    <i r="1">
      <x v="37"/>
      <x v="382"/>
      <x v="259"/>
      <x v="62"/>
      <x v="30"/>
      <x/>
    </i>
    <i r="4">
      <x v="71"/>
      <x v="50"/>
      <x/>
    </i>
    <i r="2">
      <x v="385"/>
      <x v="183"/>
      <x v="62"/>
      <x v="30"/>
      <x/>
    </i>
    <i r="4">
      <x v="71"/>
      <x v="50"/>
      <x/>
    </i>
    <i r="2">
      <x v="400"/>
      <x v="347"/>
      <x v="66"/>
      <x v="57"/>
      <x/>
    </i>
    <i r="2">
      <x v="401"/>
      <x v="227"/>
      <x v="62"/>
      <x v="30"/>
      <x/>
    </i>
    <i r="4">
      <x v="71"/>
      <x v="50"/>
      <x/>
    </i>
    <i r="2">
      <x v="402"/>
      <x v="129"/>
      <x v="68"/>
      <x v="46"/>
      <x/>
    </i>
    <i r="2">
      <x v="403"/>
      <x v="129"/>
      <x v="68"/>
      <x v="46"/>
      <x/>
    </i>
    <i r="2">
      <x v="407"/>
      <x v="335"/>
      <x/>
      <x v="36"/>
      <x v="1"/>
    </i>
    <i r="4">
      <x v="6"/>
      <x v="42"/>
      <x/>
    </i>
    <i r="2">
      <x v="408"/>
      <x v="322"/>
      <x v="63"/>
      <x v="29"/>
      <x/>
    </i>
    <i r="4">
      <x v="71"/>
      <x v="50"/>
      <x/>
    </i>
    <i t="grand">
      <x/>
    </i>
  </rowItems>
  <colItems count="1">
    <i/>
  </colItems>
  <pageFields count="2">
    <pageField fld="15" hier="-1"/>
    <pageField fld="7" hier="-1"/>
  </pageFields>
  <formats count="80">
    <format dxfId="79">
      <pivotArea dataOnly="0" labelOnly="1" outline="0" fieldPosition="0">
        <references count="1">
          <reference field="15" count="0"/>
        </references>
      </pivotArea>
    </format>
    <format dxfId="78">
      <pivotArea outline="0" fieldPosition="0">
        <references count="2">
          <reference field="6" count="1" selected="0">
            <x v="1"/>
          </reference>
          <reference field="7" count="1" selected="0" sumSubtotal="1">
            <x v="0"/>
          </reference>
        </references>
      </pivotArea>
    </format>
    <format dxfId="77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0"/>
          </reference>
        </references>
      </pivotArea>
    </format>
    <format dxfId="76">
      <pivotArea outline="0" fieldPosition="0">
        <references count="2">
          <reference field="6" count="1" selected="0">
            <x v="1"/>
          </reference>
          <reference field="7" count="1" selected="0" sumSubtotal="1">
            <x v="1"/>
          </reference>
        </references>
      </pivotArea>
    </format>
    <format dxfId="75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1"/>
          </reference>
        </references>
      </pivotArea>
    </format>
    <format dxfId="74">
      <pivotArea outline="0" fieldPosition="0">
        <references count="2">
          <reference field="6" count="1" selected="0">
            <x v="1"/>
          </reference>
          <reference field="7" count="1" selected="0" sumSubtotal="1">
            <x v="2"/>
          </reference>
        </references>
      </pivotArea>
    </format>
    <format dxfId="73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2"/>
          </reference>
        </references>
      </pivotArea>
    </format>
    <format dxfId="72">
      <pivotArea outline="0" fieldPosition="0">
        <references count="2">
          <reference field="6" count="1" selected="0">
            <x v="1"/>
          </reference>
          <reference field="7" count="1" selected="0" sumSubtotal="1">
            <x v="3"/>
          </reference>
        </references>
      </pivotArea>
    </format>
    <format dxfId="71">
      <pivotArea dataOnly="0" labelOnly="1" outline="0" fieldPosition="0">
        <references count="2">
          <reference field="6" count="1" selected="0">
            <x v="1"/>
          </reference>
          <reference field="7" count="1" sumSubtotal="1">
            <x v="3"/>
          </reference>
        </references>
      </pivotArea>
    </format>
    <format dxfId="70">
      <pivotArea outline="0" fieldPosition="0">
        <references count="2">
          <reference field="6" count="1" selected="0">
            <x v="2"/>
          </reference>
          <reference field="7" count="1" selected="0" sumSubtotal="1">
            <x v="0"/>
          </reference>
        </references>
      </pivotArea>
    </format>
    <format dxfId="69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0"/>
          </reference>
        </references>
      </pivotArea>
    </format>
    <format dxfId="68">
      <pivotArea outline="0" fieldPosition="0">
        <references count="2">
          <reference field="6" count="1" selected="0">
            <x v="2"/>
          </reference>
          <reference field="7" count="1" selected="0" sumSubtotal="1">
            <x v="2"/>
          </reference>
        </references>
      </pivotArea>
    </format>
    <format dxfId="67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2"/>
          </reference>
        </references>
      </pivotArea>
    </format>
    <format dxfId="66">
      <pivotArea outline="0" fieldPosition="0">
        <references count="2">
          <reference field="6" count="1" selected="0">
            <x v="2"/>
          </reference>
          <reference field="7" count="1" selected="0" sumSubtotal="1">
            <x v="3"/>
          </reference>
        </references>
      </pivotArea>
    </format>
    <format dxfId="65">
      <pivotArea dataOnly="0" labelOnly="1" outline="0" fieldPosition="0">
        <references count="2">
          <reference field="6" count="1" selected="0">
            <x v="2"/>
          </reference>
          <reference field="7" count="1" sumSubtotal="1">
            <x v="3"/>
          </reference>
        </references>
      </pivotArea>
    </format>
    <format dxfId="64">
      <pivotArea outline="0" fieldPosition="0">
        <references count="2">
          <reference field="6" count="1" selected="0">
            <x v="3"/>
          </reference>
          <reference field="7" count="1" selected="0" sumSubtotal="1">
            <x v="0"/>
          </reference>
        </references>
      </pivotArea>
    </format>
    <format dxfId="63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0"/>
          </reference>
        </references>
      </pivotArea>
    </format>
    <format dxfId="62">
      <pivotArea outline="0" fieldPosition="0">
        <references count="2">
          <reference field="6" count="1" selected="0">
            <x v="3"/>
          </reference>
          <reference field="7" count="1" selected="0" sumSubtotal="1">
            <x v="2"/>
          </reference>
        </references>
      </pivotArea>
    </format>
    <format dxfId="61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2"/>
          </reference>
        </references>
      </pivotArea>
    </format>
    <format dxfId="60">
      <pivotArea outline="0" fieldPosition="0">
        <references count="2">
          <reference field="6" count="1" selected="0">
            <x v="3"/>
          </reference>
          <reference field="7" count="1" selected="0" sumSubtotal="1">
            <x v="3"/>
          </reference>
        </references>
      </pivotArea>
    </format>
    <format dxfId="59">
      <pivotArea dataOnly="0" labelOnly="1" outline="0" fieldPosition="0">
        <references count="2">
          <reference field="6" count="1" selected="0">
            <x v="3"/>
          </reference>
          <reference field="7" count="1" sumSubtotal="1">
            <x v="3"/>
          </reference>
        </references>
      </pivotArea>
    </format>
    <format dxfId="58">
      <pivotArea outline="0" fieldPosition="0">
        <references count="2">
          <reference field="6" count="1" selected="0">
            <x v="4"/>
          </reference>
          <reference field="7" count="1" selected="0" sumSubtotal="1">
            <x v="0"/>
          </reference>
        </references>
      </pivotArea>
    </format>
    <format dxfId="57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0"/>
          </reference>
        </references>
      </pivotArea>
    </format>
    <format dxfId="56">
      <pivotArea outline="0" fieldPosition="0">
        <references count="2">
          <reference field="6" count="1" selected="0">
            <x v="4"/>
          </reference>
          <reference field="7" count="1" selected="0" sumSubtotal="1">
            <x v="2"/>
          </reference>
        </references>
      </pivotArea>
    </format>
    <format dxfId="55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2"/>
          </reference>
        </references>
      </pivotArea>
    </format>
    <format dxfId="54">
      <pivotArea outline="0" fieldPosition="0">
        <references count="2">
          <reference field="6" count="1" selected="0">
            <x v="4"/>
          </reference>
          <reference field="7" count="1" selected="0" sumSubtotal="1">
            <x v="3"/>
          </reference>
        </references>
      </pivotArea>
    </format>
    <format dxfId="53">
      <pivotArea dataOnly="0" labelOnly="1" outline="0" fieldPosition="0">
        <references count="2">
          <reference field="6" count="1" selected="0">
            <x v="4"/>
          </reference>
          <reference field="7" count="1" sumSubtotal="1">
            <x v="3"/>
          </reference>
        </references>
      </pivotArea>
    </format>
    <format dxfId="52">
      <pivotArea outline="0" fieldPosition="0">
        <references count="2">
          <reference field="6" count="1" selected="0">
            <x v="5"/>
          </reference>
          <reference field="7" count="1" selected="0" sumSubtotal="1">
            <x v="0"/>
          </reference>
        </references>
      </pivotArea>
    </format>
    <format dxfId="51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0"/>
          </reference>
        </references>
      </pivotArea>
    </format>
    <format dxfId="50">
      <pivotArea outline="0" fieldPosition="0">
        <references count="2">
          <reference field="6" count="1" selected="0">
            <x v="5"/>
          </reference>
          <reference field="7" count="1" selected="0" sumSubtotal="1">
            <x v="2"/>
          </reference>
        </references>
      </pivotArea>
    </format>
    <format dxfId="49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2"/>
          </reference>
        </references>
      </pivotArea>
    </format>
    <format dxfId="48">
      <pivotArea outline="0" fieldPosition="0">
        <references count="2">
          <reference field="6" count="1" selected="0">
            <x v="5"/>
          </reference>
          <reference field="7" count="1" selected="0" sumSubtotal="1">
            <x v="3"/>
          </reference>
        </references>
      </pivotArea>
    </format>
    <format dxfId="47">
      <pivotArea dataOnly="0" labelOnly="1" outline="0" fieldPosition="0">
        <references count="2">
          <reference field="6" count="1" selected="0">
            <x v="5"/>
          </reference>
          <reference field="7" count="1" sumSubtotal="1">
            <x v="3"/>
          </reference>
        </references>
      </pivotArea>
    </format>
    <format dxfId="46">
      <pivotArea outline="0" fieldPosition="0">
        <references count="2">
          <reference field="6" count="1" selected="0">
            <x v="6"/>
          </reference>
          <reference field="7" count="1" selected="0" sumSubtotal="1">
            <x v="0"/>
          </reference>
        </references>
      </pivotArea>
    </format>
    <format dxfId="45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0"/>
          </reference>
        </references>
      </pivotArea>
    </format>
    <format dxfId="44">
      <pivotArea outline="0" fieldPosition="0">
        <references count="2">
          <reference field="6" count="1" selected="0">
            <x v="6"/>
          </reference>
          <reference field="7" count="1" selected="0" sumSubtotal="1">
            <x v="2"/>
          </reference>
        </references>
      </pivotArea>
    </format>
    <format dxfId="43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2"/>
          </reference>
        </references>
      </pivotArea>
    </format>
    <format dxfId="42">
      <pivotArea outline="0" fieldPosition="0">
        <references count="2">
          <reference field="6" count="1" selected="0">
            <x v="6"/>
          </reference>
          <reference field="7" count="1" selected="0" sumSubtotal="1">
            <x v="3"/>
          </reference>
        </references>
      </pivotArea>
    </format>
    <format dxfId="41">
      <pivotArea dataOnly="0" labelOnly="1" outline="0" fieldPosition="0">
        <references count="2">
          <reference field="6" count="1" selected="0">
            <x v="6"/>
          </reference>
          <reference field="7" count="1" sumSubtotal="1">
            <x v="3"/>
          </reference>
        </references>
      </pivotArea>
    </format>
    <format dxfId="40">
      <pivotArea outline="0" fieldPosition="0">
        <references count="2">
          <reference field="6" count="1" selected="0">
            <x v="7"/>
          </reference>
          <reference field="7" count="1" selected="0" sumSubtotal="1">
            <x v="0"/>
          </reference>
        </references>
      </pivotArea>
    </format>
    <format dxfId="39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0"/>
          </reference>
        </references>
      </pivotArea>
    </format>
    <format dxfId="38">
      <pivotArea outline="0" fieldPosition="0">
        <references count="2">
          <reference field="6" count="1" selected="0">
            <x v="7"/>
          </reference>
          <reference field="7" count="1" selected="0" sumSubtotal="1">
            <x v="2"/>
          </reference>
        </references>
      </pivotArea>
    </format>
    <format dxfId="37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2"/>
          </reference>
        </references>
      </pivotArea>
    </format>
    <format dxfId="36">
      <pivotArea outline="0" fieldPosition="0">
        <references count="2">
          <reference field="6" count="1" selected="0">
            <x v="7"/>
          </reference>
          <reference field="7" count="1" selected="0" sumSubtotal="1">
            <x v="3"/>
          </reference>
        </references>
      </pivotArea>
    </format>
    <format dxfId="35">
      <pivotArea dataOnly="0" labelOnly="1" outline="0" fieldPosition="0">
        <references count="2">
          <reference field="6" count="1" selected="0">
            <x v="7"/>
          </reference>
          <reference field="7" count="1" sumSubtotal="1">
            <x v="3"/>
          </reference>
        </references>
      </pivotArea>
    </format>
    <format dxfId="34">
      <pivotArea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33">
      <pivotArea dataOnly="0" labelOnly="1" outline="0" fieldPosition="0">
        <references count="3">
          <reference field="6" count="1" selected="0">
            <x v="1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32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31">
      <pivotArea outline="0" fieldPosition="0">
        <references count="4">
          <reference field="6" count="1" selected="0">
            <x v="2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30">
      <pivotArea dataOnly="0" labelOnly="1" outline="0" fieldPosition="0">
        <references count="3">
          <reference field="6" count="1" selected="0">
            <x v="2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29">
      <pivotArea dataOnly="0" labelOnly="1" outline="0" fieldPosition="0">
        <references count="4">
          <reference field="6" count="1" selected="0">
            <x v="2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28">
      <pivotArea outline="0" fieldPosition="0">
        <references count="4">
          <reference field="6" count="1" selected="0">
            <x v="3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27">
      <pivotArea dataOnly="0" labelOnly="1" outline="0" fieldPosition="0">
        <references count="3">
          <reference field="6" count="1" selected="0">
            <x v="3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26">
      <pivotArea dataOnly="0" labelOnly="1" outline="0" fieldPosition="0">
        <references count="4">
          <reference field="6" count="1" selected="0">
            <x v="3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25">
      <pivotArea outline="0" fieldPosition="0">
        <references count="4">
          <reference field="6" count="1" selected="0">
            <x v="4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24">
      <pivotArea dataOnly="0" labelOnly="1" outline="0" fieldPosition="0">
        <references count="3">
          <reference field="6" count="1" selected="0">
            <x v="4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23">
      <pivotArea dataOnly="0" labelOnly="1" outline="0" fieldPosition="0">
        <references count="4">
          <reference field="6" count="1" selected="0">
            <x v="4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22">
      <pivotArea outline="0" fieldPosition="0">
        <references count="4">
          <reference field="6" count="1" selected="0">
            <x v="5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21">
      <pivotArea dataOnly="0" labelOnly="1" outline="0" fieldPosition="0">
        <references count="3">
          <reference field="6" count="1" selected="0">
            <x v="5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20">
      <pivotArea dataOnly="0" labelOnly="1" outline="0" fieldPosition="0">
        <references count="4">
          <reference field="6" count="1" selected="0">
            <x v="5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9">
      <pivotArea outline="0" fieldPosition="0">
        <references count="4">
          <reference field="6" count="1" selected="0">
            <x v="6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8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7">
      <pivotArea dataOnly="0" labelOnly="1" outline="0" fieldPosition="0">
        <references count="4">
          <reference field="6" count="1" selected="0">
            <x v="6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6">
      <pivotArea outline="0" fieldPosition="0">
        <references count="4">
          <reference field="6" count="1" selected="0">
            <x v="7"/>
          </reference>
          <reference field="7" count="1" selected="0">
            <x v="0"/>
          </reference>
          <reference field="8" count="1" selected="0">
            <x v="66"/>
          </reference>
          <reference field="11" count="1" selected="0">
            <x v="57"/>
          </reference>
        </references>
      </pivotArea>
    </format>
    <format dxfId="15">
      <pivotArea dataOnly="0" labelOnly="1" outline="0" fieldPosition="0">
        <references count="3">
          <reference field="6" count="1" selected="0">
            <x v="7"/>
          </reference>
          <reference field="7" count="1" selected="0">
            <x v="0"/>
          </reference>
          <reference field="8" count="1">
            <x v="66"/>
          </reference>
        </references>
      </pivotArea>
    </format>
    <format dxfId="14">
      <pivotArea dataOnly="0" labelOnly="1" outline="0" fieldPosition="0">
        <references count="4">
          <reference field="6" count="1" selected="0">
            <x v="7"/>
          </reference>
          <reference field="7" count="1" selected="0">
            <x v="0"/>
          </reference>
          <reference field="8" count="1" selected="0">
            <x v="66"/>
          </reference>
          <reference field="11" count="1">
            <x v="57"/>
          </reference>
        </references>
      </pivotArea>
    </format>
    <format dxfId="13">
      <pivotArea dataOnly="0" outline="0" fieldPosition="0">
        <references count="2">
          <reference field="8" count="1">
            <x v="59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2">
      <pivotArea outline="0" fieldPosition="0">
        <references count="4">
          <reference field="6" count="1" selected="0">
            <x v="1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11">
      <pivotArea dataOnly="0" labelOnly="1" outline="0" fieldPosition="0">
        <references count="3">
          <reference field="6" count="1" selected="0">
            <x v="1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10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9">
      <pivotArea outline="0" fieldPosition="0">
        <references count="4">
          <reference field="6" count="1" selected="0">
            <x v="2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8">
      <pivotArea dataOnly="0" labelOnly="1" outline="0" fieldPosition="0">
        <references count="3">
          <reference field="6" count="1" selected="0">
            <x v="2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7">
      <pivotArea dataOnly="0" labelOnly="1" outline="0" fieldPosition="0">
        <references count="4">
          <reference field="6" count="1" selected="0">
            <x v="2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6">
      <pivotArea outline="0" fieldPosition="0">
        <references count="4">
          <reference field="6" count="1" selected="0">
            <x v="3"/>
          </reference>
          <reference field="7" count="1" selected="0">
            <x v="3"/>
          </reference>
          <reference field="8" count="1" selected="0">
            <x v="59"/>
          </reference>
          <reference field="11" count="1" selected="0">
            <x v="62"/>
          </reference>
        </references>
      </pivotArea>
    </format>
    <format dxfId="5">
      <pivotArea dataOnly="0" labelOnly="1" outline="0" fieldPosition="0">
        <references count="3">
          <reference field="6" count="1" selected="0">
            <x v="3"/>
          </reference>
          <reference field="7" count="1" selected="0">
            <x v="3"/>
          </reference>
          <reference field="8" count="1">
            <x v="59"/>
          </reference>
        </references>
      </pivotArea>
    </format>
    <format dxfId="4">
      <pivotArea dataOnly="0" labelOnly="1" outline="0" fieldPosition="0">
        <references count="4">
          <reference field="6" count="1" selected="0">
            <x v="3"/>
          </reference>
          <reference field="7" count="1" selected="0">
            <x v="3"/>
          </reference>
          <reference field="8" count="1" selected="0">
            <x v="59"/>
          </reference>
          <reference field="11" count="1">
            <x v="62"/>
          </reference>
        </references>
      </pivotArea>
    </format>
    <format dxfId="3">
      <pivotArea dataOnly="0" labelOnly="1" outline="0" offset="IV3:IV256" fieldPosition="0">
        <references count="1">
          <reference field="6" count="1">
            <x v="1"/>
          </reference>
        </references>
      </pivotArea>
    </format>
    <format dxfId="2">
      <pivotArea dataOnly="0" labelOnly="1" outline="0" fieldPosition="0">
        <references count="1">
          <reference field="6" count="6">
            <x v="2"/>
            <x v="3"/>
            <x v="4"/>
            <x v="5"/>
            <x v="6"/>
            <x v="7"/>
          </reference>
        </references>
      </pivotArea>
    </format>
    <format dxfId="1">
      <pivotArea field="8" type="button" dataOnly="0" labelOnly="1" outline="0" axis="axisRow" fieldPosition="4"/>
    </format>
    <format dxfId="0">
      <pivotArea field="8" type="button" dataOnly="0" labelOnly="1" outline="0" axis="axisRow" fieldPosition="4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CE9B5-E54E-4A27-96B8-C15883C87EF6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1:X83" firstHeaderRow="1" firstDataRow="2" firstDataCol="2"/>
  <pivotFields count="4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815">
        <item x="91"/>
        <item x="184"/>
        <item x="199"/>
        <item x="176"/>
        <item x="177"/>
        <item x="138"/>
        <item x="137"/>
        <item x="140"/>
        <item x="136"/>
        <item x="45"/>
        <item x="114"/>
        <item x="18"/>
        <item x="46"/>
        <item x="47"/>
        <item x="19"/>
        <item x="20"/>
        <item x="178"/>
        <item x="21"/>
        <item x="48"/>
        <item x="49"/>
        <item x="50"/>
        <item x="51"/>
        <item x="52"/>
        <item x="53"/>
        <item x="88"/>
        <item x="54"/>
        <item x="22"/>
        <item x="102"/>
        <item x="55"/>
        <item x="56"/>
        <item x="57"/>
        <item x="33"/>
        <item x="58"/>
        <item x="179"/>
        <item x="235"/>
        <item x="236"/>
        <item x="194"/>
        <item x="181"/>
        <item x="191"/>
        <item x="193"/>
        <item x="98"/>
        <item x="59"/>
        <item x="23"/>
        <item x="196"/>
        <item x="200"/>
        <item x="201"/>
        <item x="202"/>
        <item x="99"/>
        <item x="60"/>
        <item x="24"/>
        <item x="198"/>
        <item x="203"/>
        <item x="204"/>
        <item x="205"/>
        <item x="206"/>
        <item x="207"/>
        <item x="237"/>
        <item x="208"/>
        <item x="238"/>
        <item x="239"/>
        <item x="240"/>
        <item x="241"/>
        <item x="231"/>
        <item x="23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42"/>
        <item x="243"/>
        <item x="173"/>
        <item x="244"/>
        <item x="246"/>
        <item x="247"/>
        <item x="248"/>
        <item x="221"/>
        <item x="222"/>
        <item x="192"/>
        <item x="223"/>
        <item x="224"/>
        <item x="245"/>
        <item x="249"/>
        <item x="250"/>
        <item x="225"/>
        <item x="226"/>
        <item x="540"/>
        <item x="551"/>
        <item x="538"/>
        <item x="555"/>
        <item x="227"/>
        <item x="550"/>
        <item x="541"/>
        <item x="543"/>
        <item x="544"/>
        <item x="545"/>
        <item x="546"/>
        <item x="547"/>
        <item x="548"/>
        <item x="549"/>
        <item x="542"/>
        <item x="554"/>
        <item x="274"/>
        <item x="279"/>
        <item x="284"/>
        <item x="285"/>
        <item x="286"/>
        <item x="282"/>
        <item x="283"/>
        <item x="280"/>
        <item x="273"/>
        <item x="275"/>
        <item x="281"/>
        <item x="288"/>
        <item x="786"/>
        <item x="271"/>
        <item x="272"/>
        <item x="533"/>
        <item x="787"/>
        <item x="788"/>
        <item x="276"/>
        <item x="277"/>
        <item x="278"/>
        <item x="262"/>
        <item x="264"/>
        <item x="263"/>
        <item x="270"/>
        <item x="265"/>
        <item x="266"/>
        <item x="267"/>
        <item x="268"/>
        <item x="269"/>
        <item x="794"/>
        <item x="333"/>
        <item x="334"/>
        <item x="335"/>
        <item x="609"/>
        <item x="612"/>
        <item x="613"/>
        <item x="614"/>
        <item x="615"/>
        <item x="625"/>
        <item x="620"/>
        <item x="805"/>
        <item x="608"/>
        <item x="624"/>
        <item x="616"/>
        <item x="603"/>
        <item x="604"/>
        <item x="610"/>
        <item x="617"/>
        <item x="605"/>
        <item x="602"/>
        <item x="611"/>
        <item x="622"/>
        <item x="623"/>
        <item x="621"/>
        <item x="606"/>
        <item x="607"/>
        <item x="618"/>
        <item x="619"/>
        <item x="647"/>
        <item x="654"/>
        <item x="655"/>
        <item x="656"/>
        <item x="662"/>
        <item x="663"/>
        <item x="648"/>
        <item x="351"/>
        <item x="342"/>
        <item x="649"/>
        <item x="668"/>
        <item x="669"/>
        <item x="667"/>
        <item x="660"/>
        <item x="657"/>
        <item x="670"/>
        <item x="650"/>
        <item x="791"/>
        <item x="664"/>
        <item x="666"/>
        <item x="658"/>
        <item x="671"/>
        <item x="651"/>
        <item x="652"/>
        <item x="659"/>
        <item x="661"/>
        <item x="665"/>
        <item x="653"/>
        <item x="336"/>
        <item x="339"/>
        <item x="340"/>
        <item x="341"/>
        <item x="325"/>
        <item x="350"/>
        <item x="326"/>
        <item x="346"/>
        <item x="347"/>
        <item x="348"/>
        <item x="345"/>
        <item x="343"/>
        <item x="344"/>
        <item x="349"/>
        <item x="337"/>
        <item x="338"/>
        <item x="327"/>
        <item x="324"/>
        <item x="330"/>
        <item x="553"/>
        <item x="552"/>
        <item x="539"/>
        <item x="133"/>
        <item x="287"/>
        <item x="228"/>
        <item x="229"/>
        <item x="230"/>
        <item x="197"/>
        <item x="115"/>
        <item x="92"/>
        <item x="93"/>
        <item x="489"/>
        <item x="485"/>
        <item x="487"/>
        <item x="488"/>
        <item x="486"/>
        <item x="797"/>
        <item x="94"/>
        <item x="116"/>
        <item x="12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109"/>
        <item x="103"/>
        <item x="44"/>
        <item x="354"/>
        <item x="32"/>
        <item x="3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398"/>
        <item x="117"/>
        <item x="119"/>
        <item x="120"/>
        <item x="40"/>
        <item x="38"/>
        <item x="95"/>
        <item x="394"/>
        <item x="395"/>
        <item x="41"/>
        <item x="416"/>
        <item x="4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399"/>
        <item x="118"/>
        <item x="121"/>
        <item x="122"/>
        <item x="42"/>
        <item x="37"/>
        <item x="96"/>
        <item x="396"/>
        <item x="397"/>
        <item x="30"/>
        <item x="61"/>
        <item x="355"/>
        <item x="373"/>
        <item x="374"/>
        <item x="375"/>
        <item x="376"/>
        <item x="377"/>
        <item x="378"/>
        <item x="379"/>
        <item x="380"/>
        <item x="381"/>
        <item x="382"/>
        <item x="360"/>
        <item x="793"/>
        <item x="110"/>
        <item x="17"/>
        <item x="13"/>
        <item x="104"/>
        <item x="14"/>
        <item x="11"/>
        <item x="25"/>
        <item x="154"/>
        <item x="62"/>
        <item x="357"/>
        <item x="356"/>
        <item x="113"/>
        <item x="387"/>
        <item x="388"/>
        <item x="389"/>
        <item x="383"/>
        <item x="390"/>
        <item x="391"/>
        <item x="384"/>
        <item x="63"/>
        <item x="392"/>
        <item x="393"/>
        <item x="385"/>
        <item x="386"/>
        <item x="358"/>
        <item x="537"/>
        <item x="799"/>
        <item x="535"/>
        <item x="15"/>
        <item x="534"/>
        <item x="89"/>
        <item x="798"/>
        <item x="105"/>
        <item x="112"/>
        <item x="111"/>
        <item x="16"/>
        <item x="352"/>
        <item x="353"/>
        <item x="694"/>
        <item x="714"/>
        <item x="728"/>
        <item x="729"/>
        <item x="715"/>
        <item x="697"/>
        <item x="699"/>
        <item x="709"/>
        <item x="706"/>
        <item x="590"/>
        <item x="596"/>
        <item x="592"/>
        <item x="597"/>
        <item x="600"/>
        <item x="586"/>
        <item x="587"/>
        <item x="598"/>
        <item x="591"/>
        <item x="589"/>
        <item x="588"/>
        <item x="601"/>
        <item x="593"/>
        <item x="594"/>
        <item x="595"/>
        <item x="599"/>
        <item x="741"/>
        <item x="745"/>
        <item x="763"/>
        <item x="742"/>
        <item x="760"/>
        <item x="761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66"/>
        <item x="743"/>
        <item x="764"/>
        <item x="765"/>
        <item x="767"/>
        <item x="758"/>
        <item x="762"/>
        <item x="740"/>
        <item x="744"/>
        <item x="43"/>
        <item x="536"/>
        <item x="564"/>
        <item x="484"/>
        <item x="585"/>
        <item x="430"/>
        <item x="646"/>
        <item x="645"/>
        <item x="730"/>
        <item x="679"/>
        <item x="688"/>
        <item x="689"/>
        <item x="695"/>
        <item x="696"/>
        <item x="813"/>
        <item x="700"/>
        <item x="701"/>
        <item x="702"/>
        <item x="690"/>
        <item x="716"/>
        <item x="680"/>
        <item x="717"/>
        <item x="814"/>
        <item x="806"/>
        <item x="698"/>
        <item x="718"/>
        <item x="719"/>
        <item x="720"/>
        <item x="721"/>
        <item x="722"/>
        <item x="692"/>
        <item x="731"/>
        <item x="732"/>
        <item x="723"/>
        <item x="703"/>
        <item x="724"/>
        <item x="801"/>
        <item x="725"/>
        <item x="726"/>
        <item x="693"/>
        <item x="733"/>
        <item x="727"/>
        <item x="704"/>
        <item x="707"/>
        <item x="708"/>
        <item x="678"/>
        <item x="705"/>
        <item x="710"/>
        <item x="734"/>
        <item x="792"/>
        <item x="735"/>
        <item x="736"/>
        <item x="737"/>
        <item x="738"/>
        <item x="739"/>
        <item x="684"/>
        <item x="685"/>
        <item x="686"/>
        <item x="711"/>
        <item x="712"/>
        <item x="683"/>
        <item x="674"/>
        <item x="675"/>
        <item x="195"/>
        <item x="26"/>
        <item x="233"/>
        <item x="234"/>
        <item x="64"/>
        <item x="34"/>
        <item x="768"/>
        <item x="769"/>
        <item x="770"/>
        <item x="771"/>
        <item x="772"/>
        <item x="773"/>
        <item x="461"/>
        <item x="449"/>
        <item x="452"/>
        <item x="453"/>
        <item x="454"/>
        <item x="478"/>
        <item x="462"/>
        <item x="463"/>
        <item x="455"/>
        <item x="473"/>
        <item x="474"/>
        <item x="464"/>
        <item x="458"/>
        <item x="459"/>
        <item x="465"/>
        <item x="466"/>
        <item x="460"/>
        <item x="456"/>
        <item x="467"/>
        <item x="468"/>
        <item x="469"/>
        <item x="470"/>
        <item x="457"/>
        <item x="479"/>
        <item x="475"/>
        <item x="480"/>
        <item x="476"/>
        <item x="481"/>
        <item x="482"/>
        <item x="483"/>
        <item x="477"/>
        <item x="471"/>
        <item x="472"/>
        <item x="446"/>
        <item x="440"/>
        <item x="441"/>
        <item x="442"/>
        <item x="443"/>
        <item x="444"/>
        <item x="439"/>
        <item x="445"/>
        <item x="431"/>
        <item x="432"/>
        <item x="433"/>
        <item x="434"/>
        <item x="435"/>
        <item x="447"/>
        <item x="436"/>
        <item x="437"/>
        <item x="438"/>
        <item x="314"/>
        <item x="320"/>
        <item x="315"/>
        <item x="316"/>
        <item x="310"/>
        <item x="311"/>
        <item x="312"/>
        <item x="322"/>
        <item x="323"/>
        <item x="306"/>
        <item x="307"/>
        <item x="317"/>
        <item x="795"/>
        <item x="796"/>
        <item x="309"/>
        <item x="318"/>
        <item x="313"/>
        <item x="321"/>
        <item x="319"/>
        <item x="308"/>
        <item x="291"/>
        <item x="293"/>
        <item x="294"/>
        <item x="295"/>
        <item x="296"/>
        <item x="292"/>
        <item x="789"/>
        <item x="297"/>
        <item x="299"/>
        <item x="298"/>
        <item x="289"/>
        <item x="290"/>
        <item x="568"/>
        <item x="569"/>
        <item x="563"/>
        <item x="565"/>
        <item x="566"/>
        <item x="567"/>
        <item x="570"/>
        <item x="561"/>
        <item x="562"/>
        <item x="156"/>
        <item x="157"/>
        <item x="560"/>
        <item x="558"/>
        <item x="559"/>
        <item x="574"/>
        <item x="579"/>
        <item x="578"/>
        <item x="581"/>
        <item x="582"/>
        <item x="584"/>
        <item x="583"/>
        <item x="577"/>
        <item x="580"/>
        <item x="572"/>
        <item x="571"/>
        <item x="557"/>
        <item x="573"/>
        <item x="800"/>
        <item x="576"/>
        <item x="575"/>
        <item x="556"/>
        <item x="514"/>
        <item x="526"/>
        <item x="527"/>
        <item x="528"/>
        <item x="803"/>
        <item x="510"/>
        <item x="804"/>
        <item x="509"/>
        <item x="508"/>
        <item x="513"/>
        <item x="512"/>
        <item x="519"/>
        <item x="507"/>
        <item x="515"/>
        <item x="516"/>
        <item x="517"/>
        <item x="790"/>
        <item x="524"/>
        <item x="520"/>
        <item x="518"/>
        <item x="521"/>
        <item x="522"/>
        <item x="511"/>
        <item x="523"/>
        <item x="525"/>
        <item x="529"/>
        <item x="145"/>
        <item x="146"/>
        <item x="147"/>
        <item x="641"/>
        <item x="642"/>
        <item x="643"/>
        <item x="644"/>
        <item x="639"/>
        <item x="640"/>
        <item x="148"/>
        <item x="151"/>
        <item x="152"/>
        <item x="777"/>
        <item x="149"/>
        <item x="778"/>
        <item x="779"/>
        <item x="780"/>
        <item x="150"/>
        <item x="781"/>
        <item x="153"/>
        <item x="782"/>
        <item x="141"/>
        <item x="142"/>
        <item x="144"/>
        <item x="530"/>
        <item x="531"/>
        <item x="532"/>
        <item x="180"/>
        <item x="185"/>
        <item x="186"/>
        <item x="31"/>
        <item x="65"/>
        <item x="66"/>
        <item x="106"/>
        <item x="67"/>
        <item x="108"/>
        <item x="107"/>
        <item x="97"/>
        <item x="164"/>
        <item x="163"/>
        <item x="165"/>
        <item x="68"/>
        <item x="27"/>
        <item x="69"/>
        <item x="501"/>
        <item x="499"/>
        <item x="187"/>
        <item x="676"/>
        <item x="677"/>
        <item x="687"/>
        <item x="188"/>
        <item x="182"/>
        <item x="491"/>
        <item x="490"/>
        <item x="492"/>
        <item x="495"/>
        <item x="493"/>
        <item x="496"/>
        <item x="494"/>
        <item x="189"/>
        <item x="300"/>
        <item x="301"/>
        <item x="302"/>
        <item x="303"/>
        <item x="304"/>
        <item x="305"/>
        <item x="190"/>
        <item x="174"/>
        <item x="175"/>
        <item x="183"/>
        <item x="502"/>
        <item x="503"/>
        <item x="504"/>
        <item x="506"/>
        <item x="505"/>
        <item x="500"/>
        <item x="497"/>
        <item x="498"/>
        <item x="70"/>
        <item x="253"/>
        <item x="28"/>
        <item x="251"/>
        <item x="71"/>
        <item x="72"/>
        <item x="73"/>
        <item x="74"/>
        <item x="100"/>
        <item x="75"/>
        <item x="76"/>
        <item x="776"/>
        <item x="77"/>
        <item x="78"/>
        <item x="254"/>
        <item x="260"/>
        <item x="255"/>
        <item x="256"/>
        <item x="257"/>
        <item x="258"/>
        <item x="3"/>
        <item x="2"/>
        <item x="4"/>
        <item x="6"/>
        <item x="5"/>
        <item x="8"/>
        <item x="9"/>
        <item x="10"/>
        <item x="7"/>
        <item x="259"/>
        <item x="261"/>
        <item x="1"/>
        <item x="0"/>
        <item x="774"/>
        <item x="775"/>
        <item x="252"/>
        <item x="79"/>
        <item x="29"/>
        <item x="80"/>
        <item x="81"/>
        <item x="82"/>
        <item x="83"/>
        <item x="169"/>
        <item x="166"/>
        <item x="170"/>
        <item x="171"/>
        <item x="172"/>
        <item x="167"/>
        <item x="168"/>
        <item x="84"/>
        <item x="85"/>
        <item x="86"/>
        <item x="87"/>
        <item x="35"/>
        <item x="90"/>
        <item x="36"/>
        <item x="129"/>
        <item x="125"/>
        <item x="126"/>
        <item x="127"/>
        <item x="123"/>
        <item x="124"/>
        <item x="134"/>
        <item x="131"/>
        <item x="132"/>
        <item x="130"/>
        <item x="135"/>
        <item x="158"/>
        <item x="159"/>
        <item x="162"/>
        <item x="160"/>
        <item x="783"/>
        <item x="784"/>
        <item x="785"/>
        <item x="161"/>
        <item x="802"/>
        <item x="143"/>
        <item x="328"/>
        <item x="329"/>
        <item x="448"/>
        <item x="450"/>
        <item x="331"/>
        <item x="332"/>
        <item x="451"/>
        <item x="672"/>
        <item x="673"/>
        <item x="681"/>
        <item x="713"/>
        <item x="691"/>
        <item x="807"/>
        <item x="808"/>
        <item x="809"/>
        <item x="810"/>
        <item x="811"/>
        <item x="812"/>
        <item x="682"/>
        <item x="638"/>
        <item x="626"/>
        <item x="627"/>
        <item x="628"/>
        <item x="630"/>
        <item x="634"/>
        <item x="635"/>
        <item x="633"/>
        <item x="636"/>
        <item x="637"/>
        <item x="631"/>
        <item x="632"/>
        <item x="629"/>
        <item x="155"/>
        <item x="139"/>
        <item x="101"/>
        <item x="128"/>
        <item x="7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77">
        <item x="240"/>
        <item x="399"/>
        <item x="82"/>
        <item x="81"/>
        <item x="453"/>
        <item x="204"/>
        <item x="75"/>
        <item x="449"/>
        <item x="301"/>
        <item x="447"/>
        <item x="205"/>
        <item x="446"/>
        <item x="206"/>
        <item x="6"/>
        <item x="208"/>
        <item x="219"/>
        <item x="4"/>
        <item x="3"/>
        <item x="84"/>
        <item x="13"/>
        <item x="381"/>
        <item x="225"/>
        <item x="464"/>
        <item x="463"/>
        <item x="476"/>
        <item x="317"/>
        <item x="361"/>
        <item x="456"/>
        <item x="461"/>
        <item x="457"/>
        <item x="458"/>
        <item x="8"/>
        <item x="101"/>
        <item x="9"/>
        <item x="7"/>
        <item x="238"/>
        <item x="419"/>
        <item x="237"/>
        <item x="418"/>
        <item x="150"/>
        <item x="146"/>
        <item x="115"/>
        <item x="331"/>
        <item x="332"/>
        <item x="333"/>
        <item x="334"/>
        <item x="335"/>
        <item x="336"/>
        <item x="337"/>
        <item x="373"/>
        <item x="138"/>
        <item x="370"/>
        <item x="194"/>
        <item x="307"/>
        <item x="157"/>
        <item x="147"/>
        <item x="314"/>
        <item x="315"/>
        <item x="144"/>
        <item x="349"/>
        <item x="313"/>
        <item x="417"/>
        <item x="137"/>
        <item x="145"/>
        <item x="139"/>
        <item x="182"/>
        <item x="433"/>
        <item x="140"/>
        <item x="183"/>
        <item x="184"/>
        <item x="148"/>
        <item x="151"/>
        <item x="312"/>
        <item x="371"/>
        <item x="362"/>
        <item x="374"/>
        <item x="372"/>
        <item x="473"/>
        <item x="468"/>
        <item x="365"/>
        <item x="167"/>
        <item x="426"/>
        <item x="432"/>
        <item x="425"/>
        <item x="427"/>
        <item x="428"/>
        <item x="429"/>
        <item x="93"/>
        <item x="92"/>
        <item x="448"/>
        <item x="109"/>
        <item x="215"/>
        <item x="10"/>
        <item x="440"/>
        <item x="104"/>
        <item x="94"/>
        <item x="77"/>
        <item x="87"/>
        <item x="107"/>
        <item x="113"/>
        <item x="61"/>
        <item x="64"/>
        <item x="2"/>
        <item x="66"/>
        <item x="53"/>
        <item x="406"/>
        <item x="299"/>
        <item x="59"/>
        <item x="125"/>
        <item x="46"/>
        <item x="44"/>
        <item x="45"/>
        <item x="49"/>
        <item x="263"/>
        <item x="68"/>
        <item x="112"/>
        <item x="127"/>
        <item x="57"/>
        <item x="226"/>
        <item x="391"/>
        <item x="445"/>
        <item x="442"/>
        <item x="455"/>
        <item x="294"/>
        <item x="454"/>
        <item x="323"/>
        <item x="341"/>
        <item x="195"/>
        <item x="420"/>
        <item x="1"/>
        <item x="221"/>
        <item x="470"/>
        <item x="306"/>
        <item x="471"/>
        <item x="133"/>
        <item x="76"/>
        <item x="277"/>
        <item x="98"/>
        <item x="198"/>
        <item x="462"/>
        <item x="222"/>
        <item x="78"/>
        <item x="158"/>
        <item x="79"/>
        <item x="5"/>
        <item x="192"/>
        <item x="80"/>
        <item x="324"/>
        <item x="203"/>
        <item x="43"/>
        <item x="60"/>
        <item x="37"/>
        <item x="231"/>
        <item x="65"/>
        <item x="63"/>
        <item x="120"/>
        <item x="40"/>
        <item x="41"/>
        <item x="38"/>
        <item x="62"/>
        <item x="114"/>
        <item x="51"/>
        <item x="56"/>
        <item x="97"/>
        <item x="55"/>
        <item x="122"/>
        <item x="131"/>
        <item x="129"/>
        <item x="178"/>
        <item x="175"/>
        <item x="300"/>
        <item x="413"/>
        <item x="134"/>
        <item x="369"/>
        <item x="159"/>
        <item x="160"/>
        <item x="174"/>
        <item x="218"/>
        <item x="155"/>
        <item x="156"/>
        <item x="267"/>
        <item x="135"/>
        <item x="136"/>
        <item x="438"/>
        <item x="74"/>
        <item x="33"/>
        <item x="227"/>
        <item x="58"/>
        <item x="54"/>
        <item x="124"/>
        <item x="126"/>
        <item x="50"/>
        <item x="111"/>
        <item x="128"/>
        <item x="378"/>
        <item x="377"/>
        <item x="382"/>
        <item x="383"/>
        <item x="236"/>
        <item x="27"/>
        <item x="171"/>
        <item x="17"/>
        <item x="22"/>
        <item x="403"/>
        <item x="25"/>
        <item x="23"/>
        <item x="290"/>
        <item x="235"/>
        <item x="329"/>
        <item x="298"/>
        <item x="397"/>
        <item x="234"/>
        <item x="386"/>
        <item x="108"/>
        <item x="176"/>
        <item x="42"/>
        <item x="291"/>
        <item x="364"/>
        <item x="247"/>
        <item x="117"/>
        <item x="67"/>
        <item x="177"/>
        <item x="173"/>
        <item x="202"/>
        <item x="347"/>
        <item x="292"/>
        <item x="368"/>
        <item x="439"/>
        <item x="191"/>
        <item x="14"/>
        <item x="385"/>
        <item x="181"/>
        <item x="130"/>
        <item x="190"/>
        <item x="118"/>
        <item x="123"/>
        <item x="217"/>
        <item x="18"/>
        <item x="20"/>
        <item x="311"/>
        <item x="19"/>
        <item x="71"/>
        <item x="179"/>
        <item x="24"/>
        <item x="189"/>
        <item x="21"/>
        <item x="262"/>
        <item x="266"/>
        <item x="73"/>
        <item x="26"/>
        <item x="96"/>
        <item x="119"/>
        <item x="346"/>
        <item x="310"/>
        <item x="233"/>
        <item x="367"/>
        <item x="121"/>
        <item x="110"/>
        <item x="393"/>
        <item x="437"/>
        <item x="52"/>
        <item x="408"/>
        <item x="390"/>
        <item x="47"/>
        <item x="15"/>
        <item x="16"/>
        <item x="357"/>
        <item x="99"/>
        <item x="268"/>
        <item x="469"/>
        <item x="243"/>
        <item x="100"/>
        <item x="209"/>
        <item x="210"/>
        <item x="211"/>
        <item x="212"/>
        <item x="213"/>
        <item x="214"/>
        <item x="102"/>
        <item x="452"/>
        <item x="297"/>
        <item x="450"/>
        <item x="451"/>
        <item x="280"/>
        <item x="459"/>
        <item x="197"/>
        <item x="295"/>
        <item x="257"/>
        <item x="256"/>
        <item x="154"/>
        <item x="392"/>
        <item x="281"/>
        <item x="224"/>
        <item x="278"/>
        <item x="350"/>
        <item x="223"/>
        <item x="207"/>
        <item x="293"/>
        <item x="475"/>
        <item x="474"/>
        <item x="255"/>
        <item x="289"/>
        <item x="423"/>
        <item x="249"/>
        <item x="251"/>
        <item x="252"/>
        <item x="253"/>
        <item x="254"/>
        <item x="250"/>
        <item x="441"/>
        <item x="384"/>
        <item x="90"/>
        <item x="407"/>
        <item x="282"/>
        <item x="387"/>
        <item x="394"/>
        <item x="303"/>
        <item x="396"/>
        <item x="69"/>
        <item x="31"/>
        <item x="340"/>
        <item x="245"/>
        <item x="229"/>
        <item x="356"/>
        <item x="85"/>
        <item x="11"/>
        <item x="132"/>
        <item x="411"/>
        <item x="402"/>
        <item x="193"/>
        <item x="220"/>
        <item x="412"/>
        <item x="265"/>
        <item x="272"/>
        <item x="241"/>
        <item x="228"/>
        <item x="12"/>
        <item x="379"/>
        <item x="380"/>
        <item x="264"/>
        <item x="88"/>
        <item x="421"/>
        <item x="409"/>
        <item x="465"/>
        <item x="244"/>
        <item x="434"/>
        <item x="435"/>
        <item x="248"/>
        <item x="166"/>
        <item x="163"/>
        <item x="170"/>
        <item x="169"/>
        <item x="363"/>
        <item x="32"/>
        <item x="172"/>
        <item x="30"/>
        <item x="29"/>
        <item x="232"/>
        <item x="239"/>
        <item x="309"/>
        <item x="216"/>
        <item x="286"/>
        <item x="185"/>
        <item x="260"/>
        <item x="261"/>
        <item x="83"/>
        <item x="196"/>
        <item x="376"/>
        <item x="416"/>
        <item x="404"/>
        <item x="345"/>
        <item x="400"/>
        <item x="230"/>
        <item x="466"/>
        <item x="338"/>
        <item x="348"/>
        <item x="321"/>
        <item x="322"/>
        <item x="319"/>
        <item x="320"/>
        <item x="444"/>
        <item x="443"/>
        <item x="258"/>
        <item x="180"/>
        <item x="28"/>
        <item x="95"/>
        <item x="328"/>
        <item x="388"/>
        <item x="405"/>
        <item x="410"/>
        <item x="327"/>
        <item x="359"/>
        <item x="188"/>
        <item x="342"/>
        <item x="351"/>
        <item x="86"/>
        <item x="316"/>
        <item x="142"/>
        <item x="143"/>
        <item x="360"/>
        <item x="199"/>
        <item x="318"/>
        <item x="168"/>
        <item x="162"/>
        <item x="141"/>
        <item x="161"/>
        <item x="152"/>
        <item x="153"/>
        <item x="165"/>
        <item x="164"/>
        <item x="330"/>
        <item x="467"/>
        <item x="149"/>
        <item x="354"/>
        <item x="353"/>
        <item x="352"/>
        <item x="375"/>
        <item x="395"/>
        <item x="103"/>
        <item x="339"/>
        <item x="308"/>
        <item x="116"/>
        <item x="259"/>
        <item x="89"/>
        <item x="366"/>
        <item x="358"/>
        <item x="430"/>
        <item x="70"/>
        <item x="436"/>
        <item x="271"/>
        <item x="269"/>
        <item x="274"/>
        <item x="283"/>
        <item x="273"/>
        <item x="279"/>
        <item x="284"/>
        <item x="275"/>
        <item x="270"/>
        <item x="276"/>
        <item x="72"/>
        <item x="48"/>
        <item x="36"/>
        <item x="35"/>
        <item x="34"/>
        <item x="39"/>
        <item x="431"/>
        <item x="422"/>
        <item x="424"/>
        <item x="414"/>
        <item x="415"/>
        <item x="401"/>
        <item x="472"/>
        <item x="242"/>
        <item x="302"/>
        <item x="460"/>
        <item x="285"/>
        <item x="287"/>
        <item x="288"/>
        <item x="398"/>
        <item x="91"/>
        <item x="305"/>
        <item x="0"/>
        <item x="200"/>
        <item x="201"/>
        <item x="326"/>
        <item x="186"/>
        <item x="187"/>
        <item x="344"/>
        <item x="343"/>
        <item x="105"/>
        <item x="325"/>
        <item x="106"/>
        <item x="304"/>
        <item x="246"/>
        <item x="389"/>
        <item x="355"/>
        <item x="2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x="26"/>
        <item x="27"/>
        <item x="28"/>
        <item x="29"/>
        <item x="30"/>
        <item x="31"/>
        <item x="32"/>
        <item x="33"/>
        <item x="34"/>
        <item h="1"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" outline="0" subtotalTop="0" multipleItemSelectionAllowed="1" showAll="0" defaultSubtotal="0">
      <items count="8">
        <item m="1" x="7"/>
        <item x="0"/>
        <item x="6"/>
        <item x="3"/>
        <item x="2"/>
        <item x="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items count="4">
        <item x="1"/>
        <item x="3"/>
        <item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80">
        <item x="13"/>
        <item x="32"/>
        <item x="14"/>
        <item x="33"/>
        <item x="77"/>
        <item x="67"/>
        <item x="15"/>
        <item x="20"/>
        <item x="16"/>
        <item x="71"/>
        <item x="26"/>
        <item x="49"/>
        <item x="50"/>
        <item x="70"/>
        <item x="75"/>
        <item x="41"/>
        <item x="51"/>
        <item x="29"/>
        <item x="30"/>
        <item x="53"/>
        <item x="35"/>
        <item x="48"/>
        <item x="66"/>
        <item x="59"/>
        <item x="54"/>
        <item x="52"/>
        <item x="42"/>
        <item x="43"/>
        <item x="44"/>
        <item x="45"/>
        <item x="46"/>
        <item x="47"/>
        <item x="58"/>
        <item x="56"/>
        <item x="57"/>
        <item x="31"/>
        <item x="34"/>
        <item x="36"/>
        <item x="69"/>
        <item x="55"/>
        <item x="68"/>
        <item x="28"/>
        <item x="27"/>
        <item x="37"/>
        <item x="72"/>
        <item x="38"/>
        <item x="40"/>
        <item x="74"/>
        <item x="17"/>
        <item x="7"/>
        <item x="18"/>
        <item x="8"/>
        <item x="9"/>
        <item x="19"/>
        <item x="25"/>
        <item x="65"/>
        <item x="76"/>
        <item x="73"/>
        <item x="39"/>
        <item x="4"/>
        <item x="64"/>
        <item x="63"/>
        <item x="11"/>
        <item x="10"/>
        <item x="22"/>
        <item x="23"/>
        <item x="62"/>
        <item x="2"/>
        <item x="78"/>
        <item x="60"/>
        <item x="61"/>
        <item x="3"/>
        <item x="24"/>
        <item x="0"/>
        <item x="21"/>
        <item x="1"/>
        <item x="12"/>
        <item x="6"/>
        <item x="79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80">
        <item x="59"/>
        <item x="26"/>
        <item x="27"/>
        <item x="63"/>
        <item x="0"/>
        <item x="21"/>
        <item x="1"/>
        <item x="12"/>
        <item x="49"/>
        <item x="50"/>
        <item x="70"/>
        <item x="75"/>
        <item x="41"/>
        <item x="54"/>
        <item x="51"/>
        <item x="52"/>
        <item x="42"/>
        <item x="43"/>
        <item x="44"/>
        <item x="45"/>
        <item x="46"/>
        <item x="47"/>
        <item x="60"/>
        <item x="61"/>
        <item x="28"/>
        <item x="29"/>
        <item x="30"/>
        <item x="53"/>
        <item x="22"/>
        <item x="10"/>
        <item x="11"/>
        <item x="23"/>
        <item x="58"/>
        <item x="56"/>
        <item x="57"/>
        <item x="31"/>
        <item x="13"/>
        <item x="32"/>
        <item x="14"/>
        <item x="33"/>
        <item x="77"/>
        <item x="67"/>
        <item x="15"/>
        <item x="20"/>
        <item x="16"/>
        <item x="2"/>
        <item x="78"/>
        <item x="71"/>
        <item x="34"/>
        <item x="35"/>
        <item x="3"/>
        <item x="24"/>
        <item x="48"/>
        <item x="36"/>
        <item x="69"/>
        <item x="64"/>
        <item x="66"/>
        <item x="62"/>
        <item x="37"/>
        <item x="73"/>
        <item x="72"/>
        <item x="38"/>
        <item x="4"/>
        <item x="39"/>
        <item x="5"/>
        <item x="6"/>
        <item x="40"/>
        <item x="74"/>
        <item x="17"/>
        <item x="7"/>
        <item x="18"/>
        <item x="8"/>
        <item x="9"/>
        <item x="19"/>
        <item x="25"/>
        <item x="65"/>
        <item x="55"/>
        <item x="79"/>
        <item x="76"/>
        <item x="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items count="23">
        <item x="0"/>
        <item x="2"/>
        <item x="3"/>
        <item x="1"/>
        <item x="4"/>
        <item x="6"/>
        <item x="20"/>
        <item x="11"/>
        <item x="16"/>
        <item x="8"/>
        <item x="22"/>
        <item x="10"/>
        <item x="18"/>
        <item x="21"/>
        <item x="7"/>
        <item x="12"/>
        <item x="19"/>
        <item x="9"/>
        <item x="5"/>
        <item x="13"/>
        <item x="17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multipleItemSelectionAllowed="1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items count="18">
        <item x="17"/>
        <item x="10"/>
        <item x="11"/>
        <item x="15"/>
        <item x="0"/>
        <item x="1"/>
        <item x="9"/>
        <item x="12"/>
        <item x="16"/>
        <item x="13"/>
        <item x="3"/>
        <item x="5"/>
        <item x="14"/>
        <item x="4"/>
        <item x="6"/>
        <item x="2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11"/>
  </rowFields>
  <rowItems count="81">
    <i>
      <x v="51"/>
      <x v="71"/>
    </i>
    <i>
      <x v="79"/>
      <x v="64"/>
    </i>
    <i>
      <x v="49"/>
      <x v="69"/>
    </i>
    <i>
      <x v="71"/>
      <x v="50"/>
    </i>
    <i>
      <x v="59"/>
      <x v="62"/>
    </i>
    <i>
      <x v="54"/>
      <x v="74"/>
    </i>
    <i>
      <x v="63"/>
      <x v="29"/>
    </i>
    <i>
      <x v="62"/>
      <x v="30"/>
    </i>
    <i>
      <x v="53"/>
      <x v="73"/>
    </i>
    <i>
      <x v="67"/>
      <x v="45"/>
    </i>
    <i>
      <x v="66"/>
      <x v="57"/>
    </i>
    <i>
      <x v="77"/>
      <x v="65"/>
    </i>
    <i>
      <x v="74"/>
      <x v="5"/>
    </i>
    <i>
      <x v="64"/>
      <x v="28"/>
    </i>
    <i>
      <x v="69"/>
      <x v="22"/>
    </i>
    <i>
      <x v="6"/>
      <x v="42"/>
    </i>
    <i>
      <x v="48"/>
      <x v="68"/>
    </i>
    <i>
      <x v="68"/>
      <x v="46"/>
    </i>
    <i>
      <x v="50"/>
      <x v="70"/>
    </i>
    <i>
      <x v="52"/>
      <x v="72"/>
    </i>
    <i>
      <x/>
      <x v="36"/>
    </i>
    <i>
      <x v="73"/>
      <x v="4"/>
    </i>
    <i>
      <x v="15"/>
      <x v="12"/>
    </i>
    <i>
      <x v="78"/>
      <x v="77"/>
    </i>
    <i>
      <x v="75"/>
      <x v="6"/>
    </i>
    <i>
      <x v="37"/>
      <x v="53"/>
    </i>
    <i>
      <x v="40"/>
      <x v="79"/>
    </i>
    <i>
      <x v="46"/>
      <x v="66"/>
    </i>
    <i>
      <x v="43"/>
      <x v="58"/>
    </i>
    <i>
      <x v="7"/>
      <x v="43"/>
    </i>
    <i>
      <x v="72"/>
      <x v="51"/>
    </i>
    <i>
      <x v="18"/>
      <x v="26"/>
    </i>
    <i>
      <x v="17"/>
      <x v="25"/>
    </i>
    <i>
      <x v="47"/>
      <x v="67"/>
    </i>
    <i>
      <x v="3"/>
      <x v="39"/>
    </i>
    <i>
      <x v="8"/>
      <x v="44"/>
    </i>
    <i>
      <x v="13"/>
      <x v="10"/>
    </i>
    <i>
      <x v="44"/>
      <x v="60"/>
    </i>
    <i>
      <x v="25"/>
      <x v="15"/>
    </i>
    <i>
      <x v="11"/>
      <x v="8"/>
    </i>
    <i>
      <x v="10"/>
      <x v="1"/>
    </i>
    <i>
      <x v="2"/>
      <x v="38"/>
    </i>
    <i>
      <x v="5"/>
      <x v="41"/>
    </i>
    <i>
      <x v="55"/>
      <x v="75"/>
    </i>
    <i>
      <x v="20"/>
      <x v="49"/>
    </i>
    <i>
      <x v="76"/>
      <x v="7"/>
    </i>
    <i>
      <x v="57"/>
      <x v="59"/>
    </i>
    <i>
      <x v="58"/>
      <x v="63"/>
    </i>
    <i>
      <x v="19"/>
      <x v="27"/>
    </i>
    <i>
      <x v="35"/>
      <x v="35"/>
    </i>
    <i>
      <x v="70"/>
      <x v="23"/>
    </i>
    <i>
      <x v="45"/>
      <x v="61"/>
    </i>
    <i>
      <x v="61"/>
      <x v="3"/>
    </i>
    <i>
      <x v="42"/>
      <x v="2"/>
    </i>
    <i>
      <x v="41"/>
      <x v="24"/>
    </i>
    <i>
      <x v="65"/>
      <x v="31"/>
    </i>
    <i>
      <x v="38"/>
      <x v="54"/>
    </i>
    <i>
      <x v="21"/>
      <x v="52"/>
    </i>
    <i>
      <x v="56"/>
      <x v="78"/>
    </i>
    <i>
      <x v="24"/>
      <x v="13"/>
    </i>
    <i>
      <x v="9"/>
      <x v="47"/>
    </i>
    <i>
      <x v="30"/>
      <x v="20"/>
    </i>
    <i>
      <x v="1"/>
      <x v="37"/>
    </i>
    <i>
      <x v="34"/>
      <x v="34"/>
    </i>
    <i>
      <x v="27"/>
      <x v="17"/>
    </i>
    <i>
      <x v="33"/>
      <x v="33"/>
    </i>
    <i>
      <x v="39"/>
      <x v="76"/>
    </i>
    <i>
      <x v="36"/>
      <x v="48"/>
    </i>
    <i>
      <x v="28"/>
      <x v="18"/>
    </i>
    <i>
      <x v="26"/>
      <x v="16"/>
    </i>
    <i>
      <x v="31"/>
      <x v="21"/>
    </i>
    <i>
      <x v="4"/>
      <x v="40"/>
    </i>
    <i>
      <x v="32"/>
      <x v="32"/>
    </i>
    <i>
      <x v="12"/>
      <x v="9"/>
    </i>
    <i>
      <x v="22"/>
      <x v="56"/>
    </i>
    <i>
      <x v="16"/>
      <x v="14"/>
    </i>
    <i>
      <x v="23"/>
      <x/>
    </i>
    <i>
      <x v="29"/>
      <x v="19"/>
    </i>
    <i>
      <x v="14"/>
      <x v="11"/>
    </i>
    <i>
      <x v="60"/>
      <x v="55"/>
    </i>
    <i t="grand">
      <x/>
    </i>
  </rowItems>
  <colFields count="1">
    <field x="6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Cantidad" fld="12" baseField="0" baseItem="0"/>
  </dataFields>
  <formats count="13">
    <format dxfId="257">
      <pivotArea dataOnly="0" outline="0" fieldPosition="0">
        <references count="2">
          <reference field="8" count="1">
            <x v="59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56">
      <pivotArea field="8" type="button" dataOnly="0" labelOnly="1" outline="0" axis="axisRow" fieldPosition="0"/>
    </format>
    <format dxfId="255">
      <pivotArea dataOnly="0" labelOnly="1" outline="0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4">
      <pivotArea dataOnly="0" labelOnly="1" outline="0" fieldPosition="0">
        <references count="1">
          <reference field="8" count="3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</reference>
        </references>
      </pivotArea>
    </format>
    <format dxfId="253">
      <pivotArea grandCol="1" outline="0" collapsedLevelsAreSubtotals="1" fieldPosition="0"/>
    </format>
    <format dxfId="252">
      <pivotArea field="6" grandRow="1" outline="0" axis="axisCol" fieldPosition="0">
        <references count="1">
          <reference field="6" count="2" selected="0">
            <x v="1"/>
            <x v="2"/>
          </reference>
        </references>
      </pivotArea>
    </format>
    <format dxfId="251">
      <pivotArea type="origin" dataOnly="0" labelOnly="1" outline="0" fieldPosition="0"/>
    </format>
    <format dxfId="250">
      <pivotArea field="6" type="button" dataOnly="0" labelOnly="1" outline="0" axis="axisCol" fieldPosition="0"/>
    </format>
    <format dxfId="249">
      <pivotArea type="topRight" dataOnly="0" labelOnly="1" outline="0" fieldPosition="0"/>
    </format>
    <format dxfId="248">
      <pivotArea field="8" type="button" dataOnly="0" labelOnly="1" outline="0" axis="axisRow" fieldPosition="0"/>
    </format>
    <format dxfId="247">
      <pivotArea field="11" type="button" dataOnly="0" labelOnly="1" outline="0" axis="axisRow" fieldPosition="1"/>
    </format>
    <format dxfId="246">
      <pivotArea dataOnly="0" labelOnly="1" outline="0" fieldPosition="0">
        <references count="1">
          <reference field="6" count="0"/>
        </references>
      </pivotArea>
    </format>
    <format dxfId="245">
      <pivotArea dataOnly="0" labelOnly="1" grandCol="1" outline="0" fieldPosition="0"/>
    </format>
  </formats>
  <conditionalFormats count="1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7" selected="0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835DFF-D8D3-4606-B6BD-3085BBCD242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433a400-1bb7-4bae-8a5a-3bb6c62434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E283-855B-4D34-95A7-5265F53881EC}">
  <dimension ref="A1:S1982"/>
  <sheetViews>
    <sheetView showGridLines="0" view="pageBreakPreview" zoomScale="70" zoomScaleNormal="40" zoomScaleSheetLayoutView="70" workbookViewId="0">
      <pane xSplit="1" ySplit="4" topLeftCell="B31" activePane="bottomRight" state="frozen"/>
      <selection pane="topRight" activeCell="C1" sqref="C1"/>
      <selection pane="bottomLeft" activeCell="A5" sqref="A5"/>
      <selection pane="bottomRight" activeCell="E5" sqref="E5:G77"/>
    </sheetView>
  </sheetViews>
  <sheetFormatPr baseColWidth="10" defaultRowHeight="15" x14ac:dyDescent="0.25"/>
  <cols>
    <col min="1" max="1" width="20" customWidth="1"/>
    <col min="2" max="2" width="36.42578125" style="1" bestFit="1" customWidth="1"/>
    <col min="3" max="3" width="30" style="1" bestFit="1" customWidth="1"/>
    <col min="4" max="4" width="86.28515625" bestFit="1" customWidth="1"/>
    <col min="5" max="5" width="27.42578125" style="2" customWidth="1"/>
    <col min="6" max="6" width="41.7109375" style="1" bestFit="1" customWidth="1"/>
    <col min="7" max="7" width="29.7109375" bestFit="1" customWidth="1"/>
    <col min="8" max="8" width="13.140625" bestFit="1" customWidth="1"/>
    <col min="9" max="9" width="10.42578125" bestFit="1" customWidth="1"/>
    <col min="10" max="10" width="20" customWidth="1"/>
    <col min="11" max="11" width="34.85546875" style="1" bestFit="1" customWidth="1"/>
    <col min="12" max="12" width="10" style="1" bestFit="1" customWidth="1"/>
    <col min="13" max="13" width="10" bestFit="1" customWidth="1"/>
    <col min="14" max="14" width="10" style="2" bestFit="1" customWidth="1"/>
    <col min="15" max="15" width="10" style="1" bestFit="1" customWidth="1"/>
    <col min="16" max="18" width="10" bestFit="1" customWidth="1"/>
    <col min="19" max="19" width="16.7109375" bestFit="1" customWidth="1"/>
  </cols>
  <sheetData>
    <row r="1" spans="1:19" x14ac:dyDescent="0.25">
      <c r="A1" s="9" t="s">
        <v>0</v>
      </c>
      <c r="B1" s="1" t="s">
        <v>83</v>
      </c>
      <c r="K1"/>
    </row>
    <row r="2" spans="1:19" x14ac:dyDescent="0.25">
      <c r="A2" s="9" t="s">
        <v>1</v>
      </c>
      <c r="B2" t="s">
        <v>828</v>
      </c>
      <c r="K2"/>
    </row>
    <row r="3" spans="1:19" x14ac:dyDescent="0.25">
      <c r="B3"/>
      <c r="C3" s="3" cm="1">
        <f t="array" ref="C3">ROUND(SUMPRODUCT((C5:C1982&lt;&gt;"")/COUNTIF(C5:C1982,C5:C1982&amp;"")),0)</f>
        <v>50</v>
      </c>
      <c r="F3"/>
      <c r="K3"/>
      <c r="L3" s="3"/>
      <c r="O3"/>
    </row>
    <row r="4" spans="1:19" x14ac:dyDescent="0.25">
      <c r="A4" s="9" t="s">
        <v>2</v>
      </c>
      <c r="B4" s="9" t="s">
        <v>3</v>
      </c>
      <c r="C4" s="9" t="s">
        <v>4</v>
      </c>
      <c r="D4" s="9" t="s">
        <v>5</v>
      </c>
      <c r="E4" s="10" t="s">
        <v>6</v>
      </c>
      <c r="F4" s="9" t="s">
        <v>7</v>
      </c>
      <c r="G4" s="9" t="s">
        <v>8</v>
      </c>
      <c r="H4" s="9" t="s">
        <v>9</v>
      </c>
      <c r="J4" s="9" t="s">
        <v>824</v>
      </c>
      <c r="K4"/>
      <c r="L4" s="9" t="s">
        <v>2</v>
      </c>
      <c r="N4"/>
      <c r="O4"/>
    </row>
    <row r="5" spans="1:19" x14ac:dyDescent="0.25">
      <c r="A5" s="4">
        <v>4</v>
      </c>
      <c r="B5" t="s">
        <v>294</v>
      </c>
      <c r="C5" t="s">
        <v>751</v>
      </c>
      <c r="D5" t="s">
        <v>752</v>
      </c>
      <c r="E5">
        <v>201008</v>
      </c>
      <c r="F5" t="s">
        <v>29</v>
      </c>
      <c r="G5">
        <v>1</v>
      </c>
      <c r="H5" s="23">
        <v>46220</v>
      </c>
      <c r="J5" s="10" t="s">
        <v>6</v>
      </c>
      <c r="K5" s="9" t="s">
        <v>7</v>
      </c>
      <c r="L5" s="4">
        <v>1</v>
      </c>
      <c r="M5" s="4">
        <v>2</v>
      </c>
      <c r="N5" s="4">
        <v>3</v>
      </c>
      <c r="O5" s="4">
        <v>4</v>
      </c>
      <c r="P5" s="4">
        <v>5</v>
      </c>
      <c r="Q5" s="4">
        <v>6</v>
      </c>
      <c r="R5" s="4">
        <v>7</v>
      </c>
      <c r="S5" s="4" t="s">
        <v>75</v>
      </c>
    </row>
    <row r="6" spans="1:19" x14ac:dyDescent="0.25">
      <c r="A6" s="4">
        <v>4</v>
      </c>
      <c r="B6" t="s">
        <v>294</v>
      </c>
      <c r="C6" t="s">
        <v>751</v>
      </c>
      <c r="D6" t="s">
        <v>752</v>
      </c>
      <c r="E6" t="s">
        <v>13</v>
      </c>
      <c r="F6" t="s">
        <v>14</v>
      </c>
      <c r="G6">
        <v>1</v>
      </c>
      <c r="H6" s="23">
        <v>46220</v>
      </c>
      <c r="J6" s="1">
        <v>201002</v>
      </c>
      <c r="K6" t="s">
        <v>70</v>
      </c>
      <c r="L6">
        <v>1</v>
      </c>
      <c r="M6">
        <v>2</v>
      </c>
      <c r="N6">
        <v>2</v>
      </c>
      <c r="O6">
        <v>6</v>
      </c>
      <c r="P6">
        <v>6</v>
      </c>
      <c r="Q6">
        <v>7</v>
      </c>
      <c r="R6">
        <v>7</v>
      </c>
      <c r="S6">
        <v>31</v>
      </c>
    </row>
    <row r="7" spans="1:19" x14ac:dyDescent="0.25">
      <c r="A7" s="4">
        <v>4</v>
      </c>
      <c r="B7" t="s">
        <v>294</v>
      </c>
      <c r="C7" t="s">
        <v>751</v>
      </c>
      <c r="D7" t="s">
        <v>752</v>
      </c>
      <c r="E7" t="s">
        <v>15</v>
      </c>
      <c r="F7" t="s">
        <v>16</v>
      </c>
      <c r="G7">
        <v>1</v>
      </c>
      <c r="H7" s="23">
        <v>46220</v>
      </c>
      <c r="J7" s="1">
        <v>201003</v>
      </c>
      <c r="K7" t="s">
        <v>236</v>
      </c>
      <c r="L7">
        <v>2</v>
      </c>
      <c r="N7"/>
      <c r="O7"/>
      <c r="S7">
        <v>2</v>
      </c>
    </row>
    <row r="8" spans="1:19" x14ac:dyDescent="0.25">
      <c r="A8" s="4">
        <v>4</v>
      </c>
      <c r="B8" t="s">
        <v>294</v>
      </c>
      <c r="C8" t="s">
        <v>753</v>
      </c>
      <c r="D8" t="s">
        <v>754</v>
      </c>
      <c r="E8" t="s">
        <v>13</v>
      </c>
      <c r="F8" t="s">
        <v>14</v>
      </c>
      <c r="G8">
        <v>1</v>
      </c>
      <c r="H8" s="23">
        <v>46220</v>
      </c>
      <c r="J8" s="1">
        <v>201004</v>
      </c>
      <c r="K8" t="s">
        <v>41</v>
      </c>
      <c r="L8">
        <v>3</v>
      </c>
      <c r="M8">
        <v>4</v>
      </c>
      <c r="N8"/>
      <c r="O8"/>
      <c r="P8">
        <v>1</v>
      </c>
      <c r="S8">
        <v>8</v>
      </c>
    </row>
    <row r="9" spans="1:19" x14ac:dyDescent="0.25">
      <c r="A9" s="4">
        <v>4</v>
      </c>
      <c r="B9" t="s">
        <v>294</v>
      </c>
      <c r="C9" t="s">
        <v>753</v>
      </c>
      <c r="D9" t="s">
        <v>754</v>
      </c>
      <c r="E9" t="s">
        <v>15</v>
      </c>
      <c r="F9" t="s">
        <v>16</v>
      </c>
      <c r="G9">
        <v>1</v>
      </c>
      <c r="H9" s="23">
        <v>46220</v>
      </c>
      <c r="J9" s="1">
        <v>201005</v>
      </c>
      <c r="K9" t="s">
        <v>212</v>
      </c>
      <c r="L9">
        <v>12</v>
      </c>
      <c r="N9"/>
      <c r="O9"/>
      <c r="S9">
        <v>12</v>
      </c>
    </row>
    <row r="10" spans="1:19" x14ac:dyDescent="0.25">
      <c r="A10" s="4">
        <v>4</v>
      </c>
      <c r="B10" t="s">
        <v>294</v>
      </c>
      <c r="C10" t="s">
        <v>755</v>
      </c>
      <c r="D10" t="s">
        <v>756</v>
      </c>
      <c r="E10" t="s">
        <v>13</v>
      </c>
      <c r="F10" t="s">
        <v>14</v>
      </c>
      <c r="G10">
        <v>1</v>
      </c>
      <c r="H10" s="23">
        <v>46220</v>
      </c>
      <c r="J10" s="1">
        <v>201006</v>
      </c>
      <c r="K10" t="s">
        <v>267</v>
      </c>
      <c r="L10">
        <v>1</v>
      </c>
      <c r="N10"/>
      <c r="O10"/>
      <c r="S10">
        <v>1</v>
      </c>
    </row>
    <row r="11" spans="1:19" x14ac:dyDescent="0.25">
      <c r="A11" s="4">
        <v>4</v>
      </c>
      <c r="B11" t="s">
        <v>294</v>
      </c>
      <c r="C11" t="s">
        <v>755</v>
      </c>
      <c r="D11" t="s">
        <v>756</v>
      </c>
      <c r="E11" t="s">
        <v>15</v>
      </c>
      <c r="F11" t="s">
        <v>16</v>
      </c>
      <c r="G11">
        <v>1</v>
      </c>
      <c r="H11" s="23">
        <v>46220</v>
      </c>
      <c r="J11" s="1">
        <v>201007</v>
      </c>
      <c r="K11" t="s">
        <v>206</v>
      </c>
      <c r="L11">
        <v>6</v>
      </c>
      <c r="M11">
        <v>2</v>
      </c>
      <c r="N11"/>
      <c r="O11"/>
      <c r="S11">
        <v>8</v>
      </c>
    </row>
    <row r="12" spans="1:19" x14ac:dyDescent="0.25">
      <c r="A12" s="4">
        <v>4</v>
      </c>
      <c r="B12" t="s">
        <v>294</v>
      </c>
      <c r="C12" t="s">
        <v>757</v>
      </c>
      <c r="D12" t="s">
        <v>169</v>
      </c>
      <c r="E12">
        <v>201002</v>
      </c>
      <c r="F12" t="s">
        <v>70</v>
      </c>
      <c r="G12">
        <v>5</v>
      </c>
      <c r="H12" s="23">
        <v>46220</v>
      </c>
      <c r="J12" s="1">
        <v>201008</v>
      </c>
      <c r="K12" t="s">
        <v>29</v>
      </c>
      <c r="L12">
        <v>19</v>
      </c>
      <c r="M12">
        <v>14</v>
      </c>
      <c r="N12">
        <v>16</v>
      </c>
      <c r="O12">
        <v>2</v>
      </c>
      <c r="P12">
        <v>2</v>
      </c>
      <c r="S12">
        <v>53</v>
      </c>
    </row>
    <row r="13" spans="1:19" x14ac:dyDescent="0.25">
      <c r="A13" s="4">
        <v>4</v>
      </c>
      <c r="B13" t="s">
        <v>294</v>
      </c>
      <c r="C13" t="s">
        <v>758</v>
      </c>
      <c r="D13" t="s">
        <v>759</v>
      </c>
      <c r="E13" t="s">
        <v>13</v>
      </c>
      <c r="F13" t="s">
        <v>14</v>
      </c>
      <c r="G13">
        <v>1</v>
      </c>
      <c r="H13" s="23">
        <v>46220</v>
      </c>
      <c r="J13" s="1">
        <v>201009</v>
      </c>
      <c r="K13" t="s">
        <v>255</v>
      </c>
      <c r="L13">
        <v>3</v>
      </c>
      <c r="M13">
        <v>13</v>
      </c>
      <c r="N13">
        <v>1</v>
      </c>
      <c r="O13"/>
      <c r="S13">
        <v>17</v>
      </c>
    </row>
    <row r="14" spans="1:19" x14ac:dyDescent="0.25">
      <c r="A14" s="4">
        <v>4</v>
      </c>
      <c r="B14" t="s">
        <v>294</v>
      </c>
      <c r="C14" t="s">
        <v>758</v>
      </c>
      <c r="D14" t="s">
        <v>759</v>
      </c>
      <c r="E14" t="s">
        <v>15</v>
      </c>
      <c r="F14" t="s">
        <v>16</v>
      </c>
      <c r="G14">
        <v>1</v>
      </c>
      <c r="H14" s="23">
        <v>46220</v>
      </c>
      <c r="J14" s="1">
        <v>201010</v>
      </c>
      <c r="K14" t="s">
        <v>44</v>
      </c>
      <c r="L14">
        <v>2</v>
      </c>
      <c r="M14">
        <v>3</v>
      </c>
      <c r="N14">
        <v>5</v>
      </c>
      <c r="O14"/>
      <c r="P14">
        <v>1</v>
      </c>
      <c r="Q14">
        <v>1</v>
      </c>
      <c r="S14">
        <v>12</v>
      </c>
    </row>
    <row r="15" spans="1:19" x14ac:dyDescent="0.25">
      <c r="A15" s="4">
        <v>4</v>
      </c>
      <c r="B15" t="s">
        <v>294</v>
      </c>
      <c r="C15" t="s">
        <v>760</v>
      </c>
      <c r="D15" t="s">
        <v>91</v>
      </c>
      <c r="E15" t="s">
        <v>118</v>
      </c>
      <c r="F15" t="s">
        <v>119</v>
      </c>
      <c r="G15">
        <v>1</v>
      </c>
      <c r="H15" s="23">
        <v>46220</v>
      </c>
      <c r="J15" s="1">
        <v>201012</v>
      </c>
      <c r="K15" t="s">
        <v>200</v>
      </c>
      <c r="L15">
        <v>3</v>
      </c>
      <c r="N15"/>
      <c r="O15"/>
      <c r="S15">
        <v>3</v>
      </c>
    </row>
    <row r="16" spans="1:19" x14ac:dyDescent="0.25">
      <c r="A16" s="4">
        <v>4</v>
      </c>
      <c r="B16" t="s">
        <v>294</v>
      </c>
      <c r="C16" t="s">
        <v>761</v>
      </c>
      <c r="D16" t="s">
        <v>91</v>
      </c>
      <c r="E16" t="s">
        <v>118</v>
      </c>
      <c r="F16" t="s">
        <v>119</v>
      </c>
      <c r="G16">
        <v>1</v>
      </c>
      <c r="H16" s="23">
        <v>46220</v>
      </c>
      <c r="J16" s="1">
        <v>202001</v>
      </c>
      <c r="K16" t="s">
        <v>213</v>
      </c>
      <c r="L16">
        <v>8</v>
      </c>
      <c r="N16"/>
      <c r="O16"/>
      <c r="S16">
        <v>8</v>
      </c>
    </row>
    <row r="17" spans="1:19" x14ac:dyDescent="0.25">
      <c r="A17" s="4">
        <v>4</v>
      </c>
      <c r="B17" t="s">
        <v>294</v>
      </c>
      <c r="C17" t="s">
        <v>762</v>
      </c>
      <c r="D17" t="s">
        <v>763</v>
      </c>
      <c r="E17">
        <v>201002</v>
      </c>
      <c r="F17" t="s">
        <v>70</v>
      </c>
      <c r="G17">
        <v>1</v>
      </c>
      <c r="H17" s="23">
        <v>46220</v>
      </c>
      <c r="J17" s="1">
        <v>202002</v>
      </c>
      <c r="K17" t="s">
        <v>142</v>
      </c>
      <c r="L17">
        <v>6</v>
      </c>
      <c r="M17">
        <v>1</v>
      </c>
      <c r="N17">
        <v>1</v>
      </c>
      <c r="O17"/>
      <c r="S17">
        <v>8</v>
      </c>
    </row>
    <row r="18" spans="1:19" x14ac:dyDescent="0.25">
      <c r="A18" s="4">
        <v>4</v>
      </c>
      <c r="B18" t="s">
        <v>294</v>
      </c>
      <c r="C18" t="s">
        <v>762</v>
      </c>
      <c r="D18" t="s">
        <v>763</v>
      </c>
      <c r="E18" t="s">
        <v>118</v>
      </c>
      <c r="F18" t="s">
        <v>119</v>
      </c>
      <c r="G18">
        <v>1</v>
      </c>
      <c r="H18" s="23">
        <v>46220</v>
      </c>
      <c r="J18" s="1">
        <v>202003</v>
      </c>
      <c r="K18" t="s">
        <v>655</v>
      </c>
      <c r="L18"/>
      <c r="N18">
        <v>1</v>
      </c>
      <c r="O18"/>
      <c r="S18">
        <v>1</v>
      </c>
    </row>
    <row r="19" spans="1:19" x14ac:dyDescent="0.25">
      <c r="A19" s="4">
        <v>4</v>
      </c>
      <c r="B19" t="s">
        <v>764</v>
      </c>
      <c r="C19" t="s">
        <v>765</v>
      </c>
      <c r="D19" t="s">
        <v>766</v>
      </c>
      <c r="E19">
        <v>201008</v>
      </c>
      <c r="F19" t="s">
        <v>29</v>
      </c>
      <c r="G19">
        <v>1</v>
      </c>
      <c r="H19" s="23">
        <v>46220</v>
      </c>
      <c r="J19" s="1">
        <v>202004</v>
      </c>
      <c r="K19" t="s">
        <v>204</v>
      </c>
      <c r="L19">
        <v>11</v>
      </c>
      <c r="N19"/>
      <c r="O19"/>
      <c r="S19">
        <v>11</v>
      </c>
    </row>
    <row r="20" spans="1:19" x14ac:dyDescent="0.25">
      <c r="A20" s="4">
        <v>4</v>
      </c>
      <c r="B20" t="s">
        <v>767</v>
      </c>
      <c r="C20" t="s">
        <v>768</v>
      </c>
      <c r="D20" t="s">
        <v>176</v>
      </c>
      <c r="E20" t="s">
        <v>103</v>
      </c>
      <c r="F20" t="s">
        <v>104</v>
      </c>
      <c r="G20">
        <v>1</v>
      </c>
      <c r="H20" s="23">
        <v>46220</v>
      </c>
      <c r="J20" s="1">
        <v>202005</v>
      </c>
      <c r="K20" t="s">
        <v>249</v>
      </c>
      <c r="L20">
        <v>1</v>
      </c>
      <c r="N20"/>
      <c r="O20"/>
      <c r="S20">
        <v>1</v>
      </c>
    </row>
    <row r="21" spans="1:19" x14ac:dyDescent="0.25">
      <c r="A21" s="4">
        <v>4</v>
      </c>
      <c r="B21" t="s">
        <v>767</v>
      </c>
      <c r="C21" t="s">
        <v>769</v>
      </c>
      <c r="D21" t="s">
        <v>770</v>
      </c>
      <c r="E21" t="s">
        <v>23</v>
      </c>
      <c r="F21" t="s">
        <v>24</v>
      </c>
      <c r="G21">
        <v>2</v>
      </c>
      <c r="H21" s="23">
        <v>46220</v>
      </c>
      <c r="J21" s="1">
        <v>202006</v>
      </c>
      <c r="K21" t="s">
        <v>214</v>
      </c>
      <c r="L21">
        <v>28</v>
      </c>
      <c r="N21"/>
      <c r="O21"/>
      <c r="S21">
        <v>28</v>
      </c>
    </row>
    <row r="22" spans="1:19" x14ac:dyDescent="0.25">
      <c r="A22" s="4">
        <v>4</v>
      </c>
      <c r="B22" t="s">
        <v>767</v>
      </c>
      <c r="C22" t="s">
        <v>769</v>
      </c>
      <c r="D22" t="s">
        <v>770</v>
      </c>
      <c r="E22" t="s">
        <v>15</v>
      </c>
      <c r="F22" t="s">
        <v>16</v>
      </c>
      <c r="G22">
        <v>2</v>
      </c>
      <c r="H22" s="23">
        <v>46220</v>
      </c>
      <c r="J22" s="1">
        <v>202007</v>
      </c>
      <c r="K22" t="s">
        <v>312</v>
      </c>
      <c r="L22"/>
      <c r="M22">
        <v>1</v>
      </c>
      <c r="N22"/>
      <c r="O22"/>
      <c r="S22">
        <v>1</v>
      </c>
    </row>
    <row r="23" spans="1:19" x14ac:dyDescent="0.25">
      <c r="A23" s="4">
        <v>4</v>
      </c>
      <c r="B23" t="s">
        <v>771</v>
      </c>
      <c r="C23" t="s">
        <v>772</v>
      </c>
      <c r="D23" t="s">
        <v>773</v>
      </c>
      <c r="E23" t="s">
        <v>103</v>
      </c>
      <c r="F23" t="s">
        <v>104</v>
      </c>
      <c r="G23">
        <v>1</v>
      </c>
      <c r="H23" s="23">
        <v>46220</v>
      </c>
      <c r="J23" s="1">
        <v>202008</v>
      </c>
      <c r="K23" t="s">
        <v>237</v>
      </c>
      <c r="L23">
        <v>14</v>
      </c>
      <c r="N23"/>
      <c r="O23"/>
      <c r="S23">
        <v>14</v>
      </c>
    </row>
    <row r="24" spans="1:19" x14ac:dyDescent="0.25">
      <c r="A24" s="4">
        <v>4</v>
      </c>
      <c r="B24" t="s">
        <v>771</v>
      </c>
      <c r="C24" t="s">
        <v>774</v>
      </c>
      <c r="D24" t="s">
        <v>469</v>
      </c>
      <c r="E24" t="s">
        <v>13</v>
      </c>
      <c r="F24" t="s">
        <v>14</v>
      </c>
      <c r="G24">
        <v>1</v>
      </c>
      <c r="H24" s="23">
        <v>46220</v>
      </c>
      <c r="J24" s="1">
        <v>202009</v>
      </c>
      <c r="K24" t="s">
        <v>238</v>
      </c>
      <c r="L24">
        <v>14</v>
      </c>
      <c r="N24"/>
      <c r="O24"/>
      <c r="S24">
        <v>14</v>
      </c>
    </row>
    <row r="25" spans="1:19" x14ac:dyDescent="0.25">
      <c r="A25" s="4">
        <v>4</v>
      </c>
      <c r="B25" t="s">
        <v>771</v>
      </c>
      <c r="C25" t="s">
        <v>774</v>
      </c>
      <c r="D25" t="s">
        <v>469</v>
      </c>
      <c r="E25" t="s">
        <v>15</v>
      </c>
      <c r="F25" t="s">
        <v>16</v>
      </c>
      <c r="G25">
        <v>1</v>
      </c>
      <c r="H25" s="23">
        <v>46220</v>
      </c>
      <c r="J25" s="1">
        <v>202010</v>
      </c>
      <c r="K25" t="s">
        <v>179</v>
      </c>
      <c r="L25">
        <v>4</v>
      </c>
      <c r="M25">
        <v>1</v>
      </c>
      <c r="N25"/>
      <c r="O25"/>
      <c r="S25">
        <v>5</v>
      </c>
    </row>
    <row r="26" spans="1:19" x14ac:dyDescent="0.25">
      <c r="A26" s="4">
        <v>4</v>
      </c>
      <c r="B26" t="s">
        <v>771</v>
      </c>
      <c r="C26" t="s">
        <v>775</v>
      </c>
      <c r="D26" t="s">
        <v>776</v>
      </c>
      <c r="E26" t="s">
        <v>103</v>
      </c>
      <c r="F26" t="s">
        <v>104</v>
      </c>
      <c r="G26">
        <v>1</v>
      </c>
      <c r="H26" s="23">
        <v>46220</v>
      </c>
      <c r="J26" s="1">
        <v>202012</v>
      </c>
      <c r="K26" t="s">
        <v>215</v>
      </c>
      <c r="L26">
        <v>8</v>
      </c>
      <c r="N26"/>
      <c r="O26"/>
      <c r="S26">
        <v>8</v>
      </c>
    </row>
    <row r="27" spans="1:19" x14ac:dyDescent="0.25">
      <c r="A27" s="4">
        <v>4</v>
      </c>
      <c r="B27" t="s">
        <v>771</v>
      </c>
      <c r="C27" t="s">
        <v>777</v>
      </c>
      <c r="D27" t="s">
        <v>91</v>
      </c>
      <c r="E27" t="s">
        <v>118</v>
      </c>
      <c r="F27" t="s">
        <v>119</v>
      </c>
      <c r="G27">
        <v>1</v>
      </c>
      <c r="H27" s="23">
        <v>46220</v>
      </c>
      <c r="J27" s="1">
        <v>202013</v>
      </c>
      <c r="K27" t="s">
        <v>115</v>
      </c>
      <c r="L27">
        <v>3</v>
      </c>
      <c r="N27"/>
      <c r="O27"/>
      <c r="S27">
        <v>3</v>
      </c>
    </row>
    <row r="28" spans="1:19" x14ac:dyDescent="0.25">
      <c r="A28" s="4">
        <v>4</v>
      </c>
      <c r="B28" t="s">
        <v>778</v>
      </c>
      <c r="C28" t="s">
        <v>779</v>
      </c>
      <c r="D28" t="s">
        <v>780</v>
      </c>
      <c r="E28" t="s">
        <v>23</v>
      </c>
      <c r="F28" t="s">
        <v>24</v>
      </c>
      <c r="G28">
        <v>1</v>
      </c>
      <c r="H28" s="23">
        <v>46220</v>
      </c>
      <c r="J28" s="1">
        <v>202014</v>
      </c>
      <c r="K28" t="s">
        <v>684</v>
      </c>
      <c r="L28"/>
      <c r="N28">
        <v>1</v>
      </c>
      <c r="O28"/>
      <c r="S28">
        <v>1</v>
      </c>
    </row>
    <row r="29" spans="1:19" x14ac:dyDescent="0.25">
      <c r="A29" s="4">
        <v>4</v>
      </c>
      <c r="B29" t="s">
        <v>778</v>
      </c>
      <c r="C29" t="s">
        <v>779</v>
      </c>
      <c r="D29" t="s">
        <v>780</v>
      </c>
      <c r="E29" t="s">
        <v>15</v>
      </c>
      <c r="F29" t="s">
        <v>16</v>
      </c>
      <c r="G29">
        <v>1</v>
      </c>
      <c r="H29" s="23">
        <v>46220</v>
      </c>
      <c r="J29" s="1">
        <v>203001</v>
      </c>
      <c r="K29" t="s">
        <v>207</v>
      </c>
      <c r="L29">
        <v>1</v>
      </c>
      <c r="N29"/>
      <c r="O29"/>
      <c r="S29">
        <v>1</v>
      </c>
    </row>
    <row r="30" spans="1:19" x14ac:dyDescent="0.25">
      <c r="A30" s="4">
        <v>4</v>
      </c>
      <c r="B30" t="s">
        <v>778</v>
      </c>
      <c r="C30" t="s">
        <v>781</v>
      </c>
      <c r="D30" t="s">
        <v>91</v>
      </c>
      <c r="E30" t="s">
        <v>118</v>
      </c>
      <c r="F30" t="s">
        <v>119</v>
      </c>
      <c r="G30">
        <v>1</v>
      </c>
      <c r="H30" s="23">
        <v>46220</v>
      </c>
      <c r="J30" s="1">
        <v>203002</v>
      </c>
      <c r="K30" t="s">
        <v>327</v>
      </c>
      <c r="L30"/>
      <c r="M30">
        <v>3</v>
      </c>
      <c r="N30"/>
      <c r="O30"/>
      <c r="S30">
        <v>3</v>
      </c>
    </row>
    <row r="31" spans="1:19" x14ac:dyDescent="0.25">
      <c r="A31" s="4">
        <v>5</v>
      </c>
      <c r="B31" t="s">
        <v>294</v>
      </c>
      <c r="C31" t="s">
        <v>782</v>
      </c>
      <c r="D31" t="s">
        <v>169</v>
      </c>
      <c r="E31">
        <v>201002</v>
      </c>
      <c r="F31" t="s">
        <v>70</v>
      </c>
      <c r="G31">
        <v>3</v>
      </c>
      <c r="H31" s="23">
        <v>46220</v>
      </c>
      <c r="J31" s="1">
        <v>203003</v>
      </c>
      <c r="K31" t="s">
        <v>313</v>
      </c>
      <c r="L31"/>
      <c r="M31">
        <v>9</v>
      </c>
      <c r="N31"/>
      <c r="O31"/>
      <c r="S31">
        <v>9</v>
      </c>
    </row>
    <row r="32" spans="1:19" x14ac:dyDescent="0.25">
      <c r="A32" s="4">
        <v>5</v>
      </c>
      <c r="B32" t="s">
        <v>294</v>
      </c>
      <c r="C32" t="s">
        <v>783</v>
      </c>
      <c r="D32" t="s">
        <v>91</v>
      </c>
      <c r="E32" t="s">
        <v>118</v>
      </c>
      <c r="F32" t="s">
        <v>119</v>
      </c>
      <c r="G32">
        <v>1</v>
      </c>
      <c r="H32" s="23">
        <v>46220</v>
      </c>
      <c r="J32" s="1">
        <v>203004</v>
      </c>
      <c r="K32" t="s">
        <v>109</v>
      </c>
      <c r="L32">
        <v>1</v>
      </c>
      <c r="N32"/>
      <c r="O32"/>
      <c r="S32">
        <v>1</v>
      </c>
    </row>
    <row r="33" spans="1:19" x14ac:dyDescent="0.25">
      <c r="A33" s="4">
        <v>5</v>
      </c>
      <c r="B33" t="s">
        <v>294</v>
      </c>
      <c r="C33" t="s">
        <v>784</v>
      </c>
      <c r="D33" t="s">
        <v>754</v>
      </c>
      <c r="E33" t="s">
        <v>23</v>
      </c>
      <c r="F33" t="s">
        <v>24</v>
      </c>
      <c r="G33">
        <v>3</v>
      </c>
      <c r="H33" s="23">
        <v>46220</v>
      </c>
      <c r="J33" s="1">
        <v>203005</v>
      </c>
      <c r="K33" t="s">
        <v>110</v>
      </c>
      <c r="L33">
        <v>2</v>
      </c>
      <c r="N33"/>
      <c r="O33"/>
      <c r="S33">
        <v>2</v>
      </c>
    </row>
    <row r="34" spans="1:19" x14ac:dyDescent="0.25">
      <c r="A34" s="4">
        <v>5</v>
      </c>
      <c r="B34" t="s">
        <v>294</v>
      </c>
      <c r="C34" t="s">
        <v>784</v>
      </c>
      <c r="D34" t="s">
        <v>754</v>
      </c>
      <c r="E34" t="s">
        <v>15</v>
      </c>
      <c r="F34" t="s">
        <v>16</v>
      </c>
      <c r="G34">
        <v>3</v>
      </c>
      <c r="H34" s="23">
        <v>46220</v>
      </c>
      <c r="J34" s="1">
        <v>203006</v>
      </c>
      <c r="K34" t="s">
        <v>111</v>
      </c>
      <c r="L34">
        <v>1</v>
      </c>
      <c r="N34"/>
      <c r="O34"/>
      <c r="S34">
        <v>1</v>
      </c>
    </row>
    <row r="35" spans="1:19" x14ac:dyDescent="0.25">
      <c r="A35" s="4">
        <v>5</v>
      </c>
      <c r="B35" t="s">
        <v>294</v>
      </c>
      <c r="C35" t="s">
        <v>785</v>
      </c>
      <c r="D35" t="s">
        <v>56</v>
      </c>
      <c r="E35">
        <v>201010</v>
      </c>
      <c r="F35" t="s">
        <v>44</v>
      </c>
      <c r="G35">
        <v>1</v>
      </c>
      <c r="H35" s="23">
        <v>46220</v>
      </c>
      <c r="J35" s="1">
        <v>203007</v>
      </c>
      <c r="K35" t="s">
        <v>112</v>
      </c>
      <c r="L35">
        <v>1</v>
      </c>
      <c r="N35"/>
      <c r="O35"/>
      <c r="S35">
        <v>1</v>
      </c>
    </row>
    <row r="36" spans="1:19" x14ac:dyDescent="0.25">
      <c r="A36" s="4">
        <v>5</v>
      </c>
      <c r="B36" t="s">
        <v>294</v>
      </c>
      <c r="C36" t="s">
        <v>786</v>
      </c>
      <c r="D36" t="s">
        <v>787</v>
      </c>
      <c r="E36">
        <v>201008</v>
      </c>
      <c r="F36" t="s">
        <v>29</v>
      </c>
      <c r="G36">
        <v>1</v>
      </c>
      <c r="H36" s="23">
        <v>46220</v>
      </c>
      <c r="J36" s="1">
        <v>203008</v>
      </c>
      <c r="K36" t="s">
        <v>113</v>
      </c>
      <c r="L36">
        <v>2</v>
      </c>
      <c r="N36"/>
      <c r="O36"/>
      <c r="S36">
        <v>2</v>
      </c>
    </row>
    <row r="37" spans="1:19" x14ac:dyDescent="0.25">
      <c r="A37" s="4">
        <v>5</v>
      </c>
      <c r="B37" t="s">
        <v>294</v>
      </c>
      <c r="C37" t="s">
        <v>786</v>
      </c>
      <c r="D37" t="s">
        <v>787</v>
      </c>
      <c r="E37" t="s">
        <v>13</v>
      </c>
      <c r="F37" t="s">
        <v>14</v>
      </c>
      <c r="G37">
        <v>1</v>
      </c>
      <c r="H37" s="23">
        <v>46220</v>
      </c>
      <c r="J37" s="1">
        <v>203009</v>
      </c>
      <c r="K37" t="s">
        <v>114</v>
      </c>
      <c r="L37">
        <v>1</v>
      </c>
      <c r="N37"/>
      <c r="O37"/>
      <c r="S37">
        <v>1</v>
      </c>
    </row>
    <row r="38" spans="1:19" x14ac:dyDescent="0.25">
      <c r="A38" s="4">
        <v>5</v>
      </c>
      <c r="B38" t="s">
        <v>294</v>
      </c>
      <c r="C38" t="s">
        <v>786</v>
      </c>
      <c r="D38" t="s">
        <v>787</v>
      </c>
      <c r="E38" t="s">
        <v>15</v>
      </c>
      <c r="F38" t="s">
        <v>16</v>
      </c>
      <c r="G38">
        <v>1</v>
      </c>
      <c r="H38" s="23">
        <v>46220</v>
      </c>
      <c r="J38" s="1">
        <v>203011</v>
      </c>
      <c r="K38" t="s">
        <v>208</v>
      </c>
      <c r="L38">
        <v>1</v>
      </c>
      <c r="N38"/>
      <c r="O38"/>
      <c r="S38">
        <v>1</v>
      </c>
    </row>
    <row r="39" spans="1:19" x14ac:dyDescent="0.25">
      <c r="A39" s="4">
        <v>5</v>
      </c>
      <c r="B39" t="s">
        <v>294</v>
      </c>
      <c r="C39" t="s">
        <v>788</v>
      </c>
      <c r="D39" t="s">
        <v>754</v>
      </c>
      <c r="E39" t="s">
        <v>23</v>
      </c>
      <c r="F39" t="s">
        <v>24</v>
      </c>
      <c r="G39">
        <v>1</v>
      </c>
      <c r="H39" s="23">
        <v>46220</v>
      </c>
      <c r="J39" s="1">
        <v>203012</v>
      </c>
      <c r="K39" t="s">
        <v>251</v>
      </c>
      <c r="L39">
        <v>1</v>
      </c>
      <c r="M39">
        <v>1</v>
      </c>
      <c r="N39"/>
      <c r="O39"/>
      <c r="S39">
        <v>2</v>
      </c>
    </row>
    <row r="40" spans="1:19" x14ac:dyDescent="0.25">
      <c r="A40" s="4">
        <v>5</v>
      </c>
      <c r="B40" t="s">
        <v>294</v>
      </c>
      <c r="C40" t="s">
        <v>788</v>
      </c>
      <c r="D40" t="s">
        <v>754</v>
      </c>
      <c r="E40" t="s">
        <v>15</v>
      </c>
      <c r="F40" t="s">
        <v>16</v>
      </c>
      <c r="G40">
        <v>1</v>
      </c>
      <c r="H40" s="23">
        <v>46220</v>
      </c>
      <c r="J40" s="1">
        <v>203013</v>
      </c>
      <c r="K40" t="s">
        <v>252</v>
      </c>
      <c r="L40">
        <v>1</v>
      </c>
      <c r="M40">
        <v>1</v>
      </c>
      <c r="N40"/>
      <c r="O40"/>
      <c r="S40">
        <v>2</v>
      </c>
    </row>
    <row r="41" spans="1:19" x14ac:dyDescent="0.25">
      <c r="A41" s="4">
        <v>5</v>
      </c>
      <c r="B41" t="s">
        <v>294</v>
      </c>
      <c r="C41" t="s">
        <v>789</v>
      </c>
      <c r="D41" t="s">
        <v>776</v>
      </c>
      <c r="E41" t="s">
        <v>103</v>
      </c>
      <c r="F41" t="s">
        <v>104</v>
      </c>
      <c r="G41">
        <v>1</v>
      </c>
      <c r="H41" s="23">
        <v>46220</v>
      </c>
      <c r="J41" s="1">
        <v>203014</v>
      </c>
      <c r="K41" t="s">
        <v>216</v>
      </c>
      <c r="L41">
        <v>4</v>
      </c>
      <c r="N41"/>
      <c r="O41"/>
      <c r="S41">
        <v>4</v>
      </c>
    </row>
    <row r="42" spans="1:19" x14ac:dyDescent="0.25">
      <c r="A42" s="4">
        <v>5</v>
      </c>
      <c r="B42" t="s">
        <v>294</v>
      </c>
      <c r="C42" t="s">
        <v>790</v>
      </c>
      <c r="D42" t="s">
        <v>91</v>
      </c>
      <c r="E42" t="s">
        <v>118</v>
      </c>
      <c r="F42" t="s">
        <v>119</v>
      </c>
      <c r="G42">
        <v>1</v>
      </c>
      <c r="H42" s="23">
        <v>46220</v>
      </c>
      <c r="J42" s="1">
        <v>203015</v>
      </c>
      <c r="K42" t="s">
        <v>229</v>
      </c>
      <c r="L42">
        <v>1</v>
      </c>
      <c r="N42"/>
      <c r="O42"/>
      <c r="S42">
        <v>1</v>
      </c>
    </row>
    <row r="43" spans="1:19" x14ac:dyDescent="0.25">
      <c r="A43" s="4">
        <v>5</v>
      </c>
      <c r="B43" t="s">
        <v>294</v>
      </c>
      <c r="C43" t="s">
        <v>791</v>
      </c>
      <c r="D43" t="s">
        <v>792</v>
      </c>
      <c r="E43">
        <v>201004</v>
      </c>
      <c r="F43" t="s">
        <v>41</v>
      </c>
      <c r="G43">
        <v>1</v>
      </c>
      <c r="H43" s="23">
        <v>46220</v>
      </c>
      <c r="J43" s="1">
        <v>203018</v>
      </c>
      <c r="K43" t="s">
        <v>217</v>
      </c>
      <c r="L43">
        <v>20</v>
      </c>
      <c r="N43"/>
      <c r="O43"/>
      <c r="S43">
        <v>20</v>
      </c>
    </row>
    <row r="44" spans="1:19" x14ac:dyDescent="0.25">
      <c r="A44" s="4">
        <v>5</v>
      </c>
      <c r="B44" t="s">
        <v>294</v>
      </c>
      <c r="C44" t="s">
        <v>791</v>
      </c>
      <c r="D44" t="s">
        <v>792</v>
      </c>
      <c r="E44">
        <v>201008</v>
      </c>
      <c r="F44" t="s">
        <v>29</v>
      </c>
      <c r="G44">
        <v>1</v>
      </c>
      <c r="H44" s="23">
        <v>46220</v>
      </c>
      <c r="J44" s="1">
        <v>203019</v>
      </c>
      <c r="K44" t="s">
        <v>201</v>
      </c>
      <c r="L44">
        <v>3</v>
      </c>
      <c r="M44">
        <v>1</v>
      </c>
      <c r="N44"/>
      <c r="O44"/>
      <c r="S44">
        <v>4</v>
      </c>
    </row>
    <row r="45" spans="1:19" x14ac:dyDescent="0.25">
      <c r="A45" s="4">
        <v>5</v>
      </c>
      <c r="B45" t="s">
        <v>294</v>
      </c>
      <c r="C45" t="s">
        <v>793</v>
      </c>
      <c r="D45" t="s">
        <v>169</v>
      </c>
      <c r="E45">
        <v>201002</v>
      </c>
      <c r="F45" t="s">
        <v>70</v>
      </c>
      <c r="G45">
        <v>2</v>
      </c>
      <c r="H45" s="23">
        <v>46220</v>
      </c>
      <c r="J45" s="1">
        <v>203020</v>
      </c>
      <c r="K45" t="s">
        <v>694</v>
      </c>
      <c r="L45"/>
      <c r="N45">
        <v>2</v>
      </c>
      <c r="O45"/>
      <c r="S45">
        <v>2</v>
      </c>
    </row>
    <row r="46" spans="1:19" x14ac:dyDescent="0.25">
      <c r="A46" s="4">
        <v>5</v>
      </c>
      <c r="B46" t="s">
        <v>294</v>
      </c>
      <c r="C46" t="s">
        <v>794</v>
      </c>
      <c r="D46" t="s">
        <v>763</v>
      </c>
      <c r="E46">
        <v>201002</v>
      </c>
      <c r="F46" t="s">
        <v>70</v>
      </c>
      <c r="G46">
        <v>1</v>
      </c>
      <c r="H46" s="23">
        <v>46220</v>
      </c>
      <c r="J46" s="1">
        <v>203021</v>
      </c>
      <c r="K46" t="s">
        <v>205</v>
      </c>
      <c r="L46">
        <v>16</v>
      </c>
      <c r="M46">
        <v>1</v>
      </c>
      <c r="N46">
        <v>2</v>
      </c>
      <c r="O46"/>
      <c r="Q46">
        <v>1</v>
      </c>
      <c r="S46">
        <v>20</v>
      </c>
    </row>
    <row r="47" spans="1:19" x14ac:dyDescent="0.25">
      <c r="A47" s="4">
        <v>5</v>
      </c>
      <c r="B47" t="s">
        <v>294</v>
      </c>
      <c r="C47" t="s">
        <v>794</v>
      </c>
      <c r="D47" t="s">
        <v>763</v>
      </c>
      <c r="E47" t="s">
        <v>118</v>
      </c>
      <c r="F47" t="s">
        <v>119</v>
      </c>
      <c r="G47">
        <v>1</v>
      </c>
      <c r="H47" s="23">
        <v>46220</v>
      </c>
      <c r="J47" s="1">
        <v>203022</v>
      </c>
      <c r="K47" t="s">
        <v>218</v>
      </c>
      <c r="L47">
        <v>4</v>
      </c>
      <c r="N47"/>
      <c r="O47"/>
      <c r="S47">
        <v>4</v>
      </c>
    </row>
    <row r="48" spans="1:19" x14ac:dyDescent="0.25">
      <c r="A48" s="4">
        <v>5</v>
      </c>
      <c r="B48" t="s">
        <v>767</v>
      </c>
      <c r="C48" t="s">
        <v>795</v>
      </c>
      <c r="D48" t="s">
        <v>176</v>
      </c>
      <c r="E48" t="s">
        <v>103</v>
      </c>
      <c r="F48" t="s">
        <v>104</v>
      </c>
      <c r="G48">
        <v>1</v>
      </c>
      <c r="H48" s="23">
        <v>46220</v>
      </c>
      <c r="J48" s="1">
        <v>204001</v>
      </c>
      <c r="K48" t="s">
        <v>224</v>
      </c>
      <c r="L48">
        <v>4</v>
      </c>
      <c r="N48"/>
      <c r="O48"/>
      <c r="S48">
        <v>4</v>
      </c>
    </row>
    <row r="49" spans="1:19" x14ac:dyDescent="0.25">
      <c r="A49" s="4">
        <v>5</v>
      </c>
      <c r="B49" t="s">
        <v>767</v>
      </c>
      <c r="C49" t="s">
        <v>796</v>
      </c>
      <c r="D49" t="s">
        <v>176</v>
      </c>
      <c r="E49" t="s">
        <v>103</v>
      </c>
      <c r="F49" t="s">
        <v>104</v>
      </c>
      <c r="G49">
        <v>1</v>
      </c>
      <c r="H49" s="23">
        <v>46220</v>
      </c>
      <c r="J49" s="1">
        <v>204003</v>
      </c>
      <c r="K49" t="s">
        <v>219</v>
      </c>
      <c r="L49">
        <v>18</v>
      </c>
      <c r="N49"/>
      <c r="O49"/>
      <c r="S49">
        <v>18</v>
      </c>
    </row>
    <row r="50" spans="1:19" x14ac:dyDescent="0.25">
      <c r="A50" s="4">
        <v>6</v>
      </c>
      <c r="B50" t="s">
        <v>294</v>
      </c>
      <c r="C50" t="s">
        <v>797</v>
      </c>
      <c r="D50" t="s">
        <v>798</v>
      </c>
      <c r="E50" t="s">
        <v>13</v>
      </c>
      <c r="F50" t="s">
        <v>14</v>
      </c>
      <c r="G50">
        <v>1</v>
      </c>
      <c r="H50" s="23">
        <v>46237</v>
      </c>
      <c r="J50" s="1">
        <v>204004</v>
      </c>
      <c r="K50" t="s">
        <v>202</v>
      </c>
      <c r="L50">
        <v>10</v>
      </c>
      <c r="N50"/>
      <c r="O50"/>
      <c r="S50">
        <v>10</v>
      </c>
    </row>
    <row r="51" spans="1:19" x14ac:dyDescent="0.25">
      <c r="A51" s="4">
        <v>6</v>
      </c>
      <c r="B51" t="s">
        <v>294</v>
      </c>
      <c r="C51" t="s">
        <v>797</v>
      </c>
      <c r="D51" t="s">
        <v>798</v>
      </c>
      <c r="E51" t="s">
        <v>15</v>
      </c>
      <c r="F51" t="s">
        <v>16</v>
      </c>
      <c r="G51">
        <v>1</v>
      </c>
      <c r="H51" s="23">
        <v>46237</v>
      </c>
      <c r="J51" s="1">
        <v>204005</v>
      </c>
      <c r="K51" t="s">
        <v>239</v>
      </c>
      <c r="L51">
        <v>4</v>
      </c>
      <c r="N51"/>
      <c r="O51"/>
      <c r="S51">
        <v>4</v>
      </c>
    </row>
    <row r="52" spans="1:19" x14ac:dyDescent="0.25">
      <c r="A52" s="4">
        <v>6</v>
      </c>
      <c r="B52" t="s">
        <v>294</v>
      </c>
      <c r="C52" t="s">
        <v>799</v>
      </c>
      <c r="D52" t="s">
        <v>800</v>
      </c>
      <c r="E52" t="s">
        <v>13</v>
      </c>
      <c r="F52" t="s">
        <v>14</v>
      </c>
      <c r="G52">
        <v>1</v>
      </c>
      <c r="H52" s="23">
        <v>46237</v>
      </c>
      <c r="J52" s="1">
        <v>204007</v>
      </c>
      <c r="K52" t="s">
        <v>240</v>
      </c>
      <c r="L52">
        <v>18</v>
      </c>
      <c r="N52"/>
      <c r="O52"/>
      <c r="S52">
        <v>18</v>
      </c>
    </row>
    <row r="53" spans="1:19" x14ac:dyDescent="0.25">
      <c r="A53" s="4">
        <v>6</v>
      </c>
      <c r="B53" t="s">
        <v>294</v>
      </c>
      <c r="C53" t="s">
        <v>799</v>
      </c>
      <c r="D53" t="s">
        <v>800</v>
      </c>
      <c r="E53" t="s">
        <v>15</v>
      </c>
      <c r="F53" t="s">
        <v>16</v>
      </c>
      <c r="G53">
        <v>1</v>
      </c>
      <c r="H53" s="23">
        <v>46237</v>
      </c>
      <c r="J53" s="1">
        <v>204008</v>
      </c>
      <c r="K53" t="s">
        <v>241</v>
      </c>
      <c r="L53">
        <v>13</v>
      </c>
      <c r="N53"/>
      <c r="O53"/>
      <c r="S53">
        <v>13</v>
      </c>
    </row>
    <row r="54" spans="1:19" x14ac:dyDescent="0.25">
      <c r="A54" s="4">
        <v>6</v>
      </c>
      <c r="B54" t="s">
        <v>294</v>
      </c>
      <c r="C54" t="s">
        <v>801</v>
      </c>
      <c r="D54" t="s">
        <v>802</v>
      </c>
      <c r="E54" t="s">
        <v>13</v>
      </c>
      <c r="F54" t="s">
        <v>14</v>
      </c>
      <c r="G54">
        <v>1</v>
      </c>
      <c r="H54" s="23">
        <v>46237</v>
      </c>
      <c r="J54" s="1">
        <v>204009</v>
      </c>
      <c r="K54" t="s">
        <v>203</v>
      </c>
      <c r="L54">
        <v>33</v>
      </c>
      <c r="M54">
        <v>15</v>
      </c>
      <c r="N54"/>
      <c r="O54"/>
      <c r="P54">
        <v>4</v>
      </c>
      <c r="S54">
        <v>52</v>
      </c>
    </row>
    <row r="55" spans="1:19" x14ac:dyDescent="0.25">
      <c r="A55" s="4">
        <v>6</v>
      </c>
      <c r="B55" t="s">
        <v>294</v>
      </c>
      <c r="C55" t="s">
        <v>801</v>
      </c>
      <c r="D55" t="s">
        <v>802</v>
      </c>
      <c r="E55" t="s">
        <v>15</v>
      </c>
      <c r="F55" t="s">
        <v>16</v>
      </c>
      <c r="G55">
        <v>1</v>
      </c>
      <c r="H55" s="23">
        <v>46237</v>
      </c>
      <c r="J55" s="1">
        <v>204010</v>
      </c>
      <c r="K55" t="s">
        <v>92</v>
      </c>
      <c r="L55">
        <v>114</v>
      </c>
      <c r="M55">
        <v>300</v>
      </c>
      <c r="N55">
        <v>28</v>
      </c>
      <c r="O55">
        <v>20</v>
      </c>
      <c r="P55">
        <v>12</v>
      </c>
      <c r="Q55">
        <v>12</v>
      </c>
      <c r="R55">
        <v>12</v>
      </c>
      <c r="S55">
        <v>498</v>
      </c>
    </row>
    <row r="56" spans="1:19" x14ac:dyDescent="0.25">
      <c r="A56" s="4">
        <v>6</v>
      </c>
      <c r="B56" t="s">
        <v>294</v>
      </c>
      <c r="C56" t="s">
        <v>803</v>
      </c>
      <c r="D56" t="s">
        <v>169</v>
      </c>
      <c r="E56">
        <v>201002</v>
      </c>
      <c r="F56" t="s">
        <v>70</v>
      </c>
      <c r="G56">
        <v>5</v>
      </c>
      <c r="H56" s="23">
        <v>46237</v>
      </c>
      <c r="J56" s="1">
        <v>204011</v>
      </c>
      <c r="K56" t="s">
        <v>459</v>
      </c>
      <c r="L56"/>
      <c r="M56">
        <v>8</v>
      </c>
      <c r="N56">
        <v>25</v>
      </c>
      <c r="O56"/>
      <c r="S56">
        <v>33</v>
      </c>
    </row>
    <row r="57" spans="1:19" x14ac:dyDescent="0.25">
      <c r="A57" s="4">
        <v>6</v>
      </c>
      <c r="B57" t="s">
        <v>294</v>
      </c>
      <c r="C57" t="s">
        <v>804</v>
      </c>
      <c r="D57" t="s">
        <v>91</v>
      </c>
      <c r="E57" t="s">
        <v>118</v>
      </c>
      <c r="F57" t="s">
        <v>119</v>
      </c>
      <c r="G57">
        <v>1</v>
      </c>
      <c r="H57" s="23">
        <v>46237</v>
      </c>
      <c r="J57" s="1">
        <v>204012</v>
      </c>
      <c r="K57" t="s">
        <v>87</v>
      </c>
      <c r="L57">
        <v>361</v>
      </c>
      <c r="M57">
        <v>488</v>
      </c>
      <c r="N57">
        <v>302</v>
      </c>
      <c r="O57">
        <v>42</v>
      </c>
      <c r="P57">
        <v>30</v>
      </c>
      <c r="Q57">
        <v>33</v>
      </c>
      <c r="R57">
        <v>9</v>
      </c>
      <c r="S57">
        <v>1265</v>
      </c>
    </row>
    <row r="58" spans="1:19" x14ac:dyDescent="0.25">
      <c r="A58" s="4">
        <v>6</v>
      </c>
      <c r="B58" t="s">
        <v>294</v>
      </c>
      <c r="C58" t="s">
        <v>805</v>
      </c>
      <c r="D58" t="s">
        <v>91</v>
      </c>
      <c r="E58" t="s">
        <v>118</v>
      </c>
      <c r="F58" t="s">
        <v>119</v>
      </c>
      <c r="G58">
        <v>1</v>
      </c>
      <c r="H58" s="23">
        <v>46237</v>
      </c>
      <c r="J58" s="1">
        <v>204013</v>
      </c>
      <c r="K58" t="s">
        <v>93</v>
      </c>
      <c r="L58">
        <v>17</v>
      </c>
      <c r="M58">
        <v>12</v>
      </c>
      <c r="N58"/>
      <c r="O58">
        <v>2</v>
      </c>
      <c r="S58">
        <v>31</v>
      </c>
    </row>
    <row r="59" spans="1:19" x14ac:dyDescent="0.25">
      <c r="A59" s="4">
        <v>6</v>
      </c>
      <c r="B59" t="s">
        <v>294</v>
      </c>
      <c r="C59" t="s">
        <v>806</v>
      </c>
      <c r="D59" t="s">
        <v>763</v>
      </c>
      <c r="E59">
        <v>201002</v>
      </c>
      <c r="F59" t="s">
        <v>70</v>
      </c>
      <c r="G59">
        <v>2</v>
      </c>
      <c r="H59" s="23">
        <v>46237</v>
      </c>
      <c r="J59" s="1">
        <v>204014</v>
      </c>
      <c r="K59" t="s">
        <v>154</v>
      </c>
      <c r="L59">
        <v>22</v>
      </c>
      <c r="M59">
        <v>13</v>
      </c>
      <c r="N59">
        <v>14</v>
      </c>
      <c r="O59">
        <v>13</v>
      </c>
      <c r="P59">
        <v>13</v>
      </c>
      <c r="Q59">
        <v>14</v>
      </c>
      <c r="R59">
        <v>14</v>
      </c>
      <c r="S59">
        <v>103</v>
      </c>
    </row>
    <row r="60" spans="1:19" x14ac:dyDescent="0.25">
      <c r="A60" s="4">
        <v>6</v>
      </c>
      <c r="B60" t="s">
        <v>294</v>
      </c>
      <c r="C60" t="s">
        <v>806</v>
      </c>
      <c r="D60" t="s">
        <v>763</v>
      </c>
      <c r="E60" t="s">
        <v>49</v>
      </c>
      <c r="F60" t="s">
        <v>50</v>
      </c>
      <c r="G60">
        <v>1</v>
      </c>
      <c r="H60" s="23">
        <v>46237</v>
      </c>
      <c r="J60" s="1">
        <v>204015</v>
      </c>
      <c r="K60" t="s">
        <v>281</v>
      </c>
      <c r="L60">
        <v>5</v>
      </c>
      <c r="M60">
        <v>1</v>
      </c>
      <c r="N60">
        <v>14</v>
      </c>
      <c r="O60">
        <v>38</v>
      </c>
      <c r="P60">
        <v>28</v>
      </c>
      <c r="Q60">
        <v>44</v>
      </c>
      <c r="R60">
        <v>55</v>
      </c>
      <c r="S60">
        <v>185</v>
      </c>
    </row>
    <row r="61" spans="1:19" x14ac:dyDescent="0.25">
      <c r="A61" s="4">
        <v>6</v>
      </c>
      <c r="B61" t="s">
        <v>294</v>
      </c>
      <c r="C61" t="s">
        <v>807</v>
      </c>
      <c r="D61" t="s">
        <v>808</v>
      </c>
      <c r="E61" t="s">
        <v>13</v>
      </c>
      <c r="F61" t="s">
        <v>14</v>
      </c>
      <c r="G61">
        <v>1</v>
      </c>
      <c r="H61" s="23">
        <v>46237</v>
      </c>
      <c r="J61" s="1">
        <v>204016</v>
      </c>
      <c r="K61" t="s">
        <v>544</v>
      </c>
      <c r="L61"/>
      <c r="M61">
        <v>2</v>
      </c>
      <c r="N61"/>
      <c r="O61">
        <v>3</v>
      </c>
      <c r="P61">
        <v>3</v>
      </c>
      <c r="S61">
        <v>8</v>
      </c>
    </row>
    <row r="62" spans="1:19" x14ac:dyDescent="0.25">
      <c r="A62" s="4">
        <v>6</v>
      </c>
      <c r="B62" t="s">
        <v>294</v>
      </c>
      <c r="C62" t="s">
        <v>807</v>
      </c>
      <c r="D62" t="s">
        <v>808</v>
      </c>
      <c r="E62" t="s">
        <v>15</v>
      </c>
      <c r="F62" t="s">
        <v>16</v>
      </c>
      <c r="G62">
        <v>1</v>
      </c>
      <c r="H62" s="23">
        <v>46237</v>
      </c>
      <c r="J62" s="1">
        <v>204017</v>
      </c>
      <c r="K62" t="s">
        <v>272</v>
      </c>
      <c r="L62">
        <v>3</v>
      </c>
      <c r="N62"/>
      <c r="O62"/>
      <c r="S62">
        <v>3</v>
      </c>
    </row>
    <row r="63" spans="1:19" x14ac:dyDescent="0.25">
      <c r="A63" s="4">
        <v>6</v>
      </c>
      <c r="B63" t="s">
        <v>294</v>
      </c>
      <c r="C63" t="s">
        <v>809</v>
      </c>
      <c r="D63" t="s">
        <v>621</v>
      </c>
      <c r="E63">
        <v>201010</v>
      </c>
      <c r="F63" t="s">
        <v>44</v>
      </c>
      <c r="G63">
        <v>1</v>
      </c>
      <c r="H63" s="23">
        <v>46237</v>
      </c>
      <c r="J63" s="1">
        <v>204018</v>
      </c>
      <c r="K63" t="s">
        <v>547</v>
      </c>
      <c r="L63"/>
      <c r="M63">
        <v>6</v>
      </c>
      <c r="N63"/>
      <c r="O63"/>
      <c r="S63">
        <v>6</v>
      </c>
    </row>
    <row r="64" spans="1:19" x14ac:dyDescent="0.25">
      <c r="A64" s="4">
        <v>6</v>
      </c>
      <c r="B64" t="s">
        <v>767</v>
      </c>
      <c r="C64" t="s">
        <v>810</v>
      </c>
      <c r="D64" t="s">
        <v>176</v>
      </c>
      <c r="E64" t="s">
        <v>103</v>
      </c>
      <c r="F64" t="s">
        <v>104</v>
      </c>
      <c r="G64">
        <v>1</v>
      </c>
      <c r="H64" s="23">
        <v>46237</v>
      </c>
      <c r="J64" s="1">
        <v>204019</v>
      </c>
      <c r="K64" t="s">
        <v>242</v>
      </c>
      <c r="L64">
        <v>5</v>
      </c>
      <c r="N64"/>
      <c r="O64"/>
      <c r="S64">
        <v>5</v>
      </c>
    </row>
    <row r="65" spans="1:19" x14ac:dyDescent="0.25">
      <c r="A65" s="4">
        <v>6</v>
      </c>
      <c r="B65" t="s">
        <v>767</v>
      </c>
      <c r="C65" t="s">
        <v>811</v>
      </c>
      <c r="D65" t="s">
        <v>748</v>
      </c>
      <c r="E65">
        <v>203021</v>
      </c>
      <c r="F65" t="s">
        <v>205</v>
      </c>
      <c r="G65">
        <v>1</v>
      </c>
      <c r="H65" s="23">
        <v>46237</v>
      </c>
      <c r="J65" s="1">
        <v>204020</v>
      </c>
      <c r="K65" t="s">
        <v>100</v>
      </c>
      <c r="L65">
        <v>100</v>
      </c>
      <c r="M65">
        <v>96</v>
      </c>
      <c r="N65">
        <v>38</v>
      </c>
      <c r="O65"/>
      <c r="Q65">
        <v>4</v>
      </c>
      <c r="S65">
        <v>238</v>
      </c>
    </row>
    <row r="66" spans="1:19" x14ac:dyDescent="0.25">
      <c r="A66" s="4">
        <v>6</v>
      </c>
      <c r="B66" t="s">
        <v>812</v>
      </c>
      <c r="C66" t="s">
        <v>813</v>
      </c>
      <c r="D66" t="s">
        <v>273</v>
      </c>
      <c r="E66" t="s">
        <v>23</v>
      </c>
      <c r="F66" t="s">
        <v>24</v>
      </c>
      <c r="G66">
        <v>1</v>
      </c>
      <c r="H66" s="23">
        <v>46237</v>
      </c>
      <c r="J66" s="1">
        <v>204021</v>
      </c>
      <c r="K66" t="s">
        <v>295</v>
      </c>
      <c r="L66"/>
      <c r="M66">
        <v>1</v>
      </c>
      <c r="N66"/>
      <c r="O66"/>
      <c r="S66">
        <v>1</v>
      </c>
    </row>
    <row r="67" spans="1:19" x14ac:dyDescent="0.25">
      <c r="A67" s="4">
        <v>6</v>
      </c>
      <c r="B67" t="s">
        <v>812</v>
      </c>
      <c r="C67" t="s">
        <v>814</v>
      </c>
      <c r="D67" t="s">
        <v>273</v>
      </c>
      <c r="E67" t="s">
        <v>23</v>
      </c>
      <c r="F67" t="s">
        <v>24</v>
      </c>
      <c r="G67">
        <v>1</v>
      </c>
      <c r="H67" s="23">
        <v>46237</v>
      </c>
      <c r="J67" s="1">
        <v>204022</v>
      </c>
      <c r="K67" t="s">
        <v>296</v>
      </c>
      <c r="L67"/>
      <c r="M67">
        <v>4</v>
      </c>
      <c r="N67"/>
      <c r="O67"/>
      <c r="S67">
        <v>4</v>
      </c>
    </row>
    <row r="68" spans="1:19" x14ac:dyDescent="0.25">
      <c r="A68" s="4">
        <v>7</v>
      </c>
      <c r="B68" t="s">
        <v>294</v>
      </c>
      <c r="C68" t="s">
        <v>815</v>
      </c>
      <c r="D68" t="s">
        <v>816</v>
      </c>
      <c r="E68" t="s">
        <v>23</v>
      </c>
      <c r="F68" t="s">
        <v>24</v>
      </c>
      <c r="G68">
        <v>3</v>
      </c>
      <c r="H68" s="23">
        <v>46237</v>
      </c>
      <c r="J68" s="1" t="s">
        <v>23</v>
      </c>
      <c r="K68" t="s">
        <v>24</v>
      </c>
      <c r="L68">
        <v>37</v>
      </c>
      <c r="M68">
        <v>52</v>
      </c>
      <c r="N68">
        <v>20</v>
      </c>
      <c r="O68">
        <v>3</v>
      </c>
      <c r="P68">
        <v>4</v>
      </c>
      <c r="Q68">
        <v>2</v>
      </c>
      <c r="R68">
        <v>4</v>
      </c>
      <c r="S68">
        <v>122</v>
      </c>
    </row>
    <row r="69" spans="1:19" x14ac:dyDescent="0.25">
      <c r="A69" s="4">
        <v>7</v>
      </c>
      <c r="B69" t="s">
        <v>294</v>
      </c>
      <c r="C69" t="s">
        <v>815</v>
      </c>
      <c r="D69" t="s">
        <v>816</v>
      </c>
      <c r="E69" t="s">
        <v>15</v>
      </c>
      <c r="F69" t="s">
        <v>16</v>
      </c>
      <c r="G69">
        <v>3</v>
      </c>
      <c r="H69" s="23">
        <v>46237</v>
      </c>
      <c r="J69" s="1" t="s">
        <v>13</v>
      </c>
      <c r="K69" t="s">
        <v>14</v>
      </c>
      <c r="L69">
        <v>38</v>
      </c>
      <c r="M69">
        <v>47</v>
      </c>
      <c r="N69">
        <v>82</v>
      </c>
      <c r="O69">
        <v>5</v>
      </c>
      <c r="P69">
        <v>1</v>
      </c>
      <c r="Q69">
        <v>4</v>
      </c>
      <c r="S69">
        <v>177</v>
      </c>
    </row>
    <row r="70" spans="1:19" x14ac:dyDescent="0.25">
      <c r="A70" s="4">
        <v>7</v>
      </c>
      <c r="B70" t="s">
        <v>294</v>
      </c>
      <c r="C70" t="s">
        <v>817</v>
      </c>
      <c r="D70" t="s">
        <v>169</v>
      </c>
      <c r="E70">
        <v>201002</v>
      </c>
      <c r="F70" t="s">
        <v>70</v>
      </c>
      <c r="G70">
        <v>5</v>
      </c>
      <c r="H70" s="23">
        <v>46237</v>
      </c>
      <c r="J70" s="1" t="s">
        <v>19</v>
      </c>
      <c r="K70" t="s">
        <v>20</v>
      </c>
      <c r="L70">
        <v>18</v>
      </c>
      <c r="M70">
        <v>40</v>
      </c>
      <c r="N70"/>
      <c r="O70"/>
      <c r="S70">
        <v>58</v>
      </c>
    </row>
    <row r="71" spans="1:19" x14ac:dyDescent="0.25">
      <c r="A71" s="4">
        <v>7</v>
      </c>
      <c r="B71" t="s">
        <v>294</v>
      </c>
      <c r="C71" t="s">
        <v>818</v>
      </c>
      <c r="D71" t="s">
        <v>91</v>
      </c>
      <c r="E71" t="s">
        <v>118</v>
      </c>
      <c r="F71" t="s">
        <v>119</v>
      </c>
      <c r="G71">
        <v>1</v>
      </c>
      <c r="H71" s="23">
        <v>46237</v>
      </c>
      <c r="J71" s="1" t="s">
        <v>440</v>
      </c>
      <c r="K71" t="s">
        <v>441</v>
      </c>
      <c r="L71"/>
      <c r="M71">
        <v>4</v>
      </c>
      <c r="N71"/>
      <c r="O71"/>
      <c r="S71">
        <v>4</v>
      </c>
    </row>
    <row r="72" spans="1:19" x14ac:dyDescent="0.25">
      <c r="A72" s="4">
        <v>7</v>
      </c>
      <c r="B72" t="s">
        <v>294</v>
      </c>
      <c r="C72" t="s">
        <v>819</v>
      </c>
      <c r="D72" t="s">
        <v>91</v>
      </c>
      <c r="E72" t="s">
        <v>118</v>
      </c>
      <c r="F72" t="s">
        <v>119</v>
      </c>
      <c r="G72">
        <v>1</v>
      </c>
      <c r="H72" s="23">
        <v>46237</v>
      </c>
      <c r="J72" s="1" t="s">
        <v>103</v>
      </c>
      <c r="K72" t="s">
        <v>104</v>
      </c>
      <c r="L72">
        <v>28</v>
      </c>
      <c r="M72">
        <v>21</v>
      </c>
      <c r="N72">
        <v>10</v>
      </c>
      <c r="O72">
        <v>3</v>
      </c>
      <c r="P72">
        <v>3</v>
      </c>
      <c r="Q72">
        <v>1</v>
      </c>
      <c r="R72">
        <v>1</v>
      </c>
      <c r="S72">
        <v>67</v>
      </c>
    </row>
    <row r="73" spans="1:19" x14ac:dyDescent="0.25">
      <c r="A73" s="4">
        <v>7</v>
      </c>
      <c r="B73" t="s">
        <v>294</v>
      </c>
      <c r="C73" t="s">
        <v>820</v>
      </c>
      <c r="D73" t="s">
        <v>763</v>
      </c>
      <c r="E73">
        <v>201002</v>
      </c>
      <c r="F73" t="s">
        <v>70</v>
      </c>
      <c r="G73">
        <v>2</v>
      </c>
      <c r="H73" s="23">
        <v>46237</v>
      </c>
      <c r="J73" s="1" t="s">
        <v>49</v>
      </c>
      <c r="K73" t="s">
        <v>50</v>
      </c>
      <c r="L73">
        <v>12</v>
      </c>
      <c r="M73">
        <v>57</v>
      </c>
      <c r="N73">
        <v>2</v>
      </c>
      <c r="O73"/>
      <c r="Q73">
        <v>1</v>
      </c>
      <c r="R73">
        <v>1</v>
      </c>
      <c r="S73">
        <v>73</v>
      </c>
    </row>
    <row r="74" spans="1:19" x14ac:dyDescent="0.25">
      <c r="A74" s="4">
        <v>7</v>
      </c>
      <c r="B74" t="s">
        <v>294</v>
      </c>
      <c r="C74" t="s">
        <v>820</v>
      </c>
      <c r="D74" t="s">
        <v>763</v>
      </c>
      <c r="E74" t="s">
        <v>49</v>
      </c>
      <c r="F74" t="s">
        <v>50</v>
      </c>
      <c r="G74">
        <v>1</v>
      </c>
      <c r="H74" s="23">
        <v>46237</v>
      </c>
      <c r="J74" s="1" t="s">
        <v>118</v>
      </c>
      <c r="K74" t="s">
        <v>119</v>
      </c>
      <c r="L74">
        <v>13</v>
      </c>
      <c r="M74">
        <v>13</v>
      </c>
      <c r="N74">
        <v>4</v>
      </c>
      <c r="O74">
        <v>5</v>
      </c>
      <c r="P74">
        <v>3</v>
      </c>
      <c r="Q74">
        <v>2</v>
      </c>
      <c r="R74">
        <v>2</v>
      </c>
      <c r="S74">
        <v>42</v>
      </c>
    </row>
    <row r="75" spans="1:19" x14ac:dyDescent="0.25">
      <c r="A75" s="4">
        <v>7</v>
      </c>
      <c r="B75" t="s">
        <v>294</v>
      </c>
      <c r="C75" t="s">
        <v>821</v>
      </c>
      <c r="D75" t="s">
        <v>754</v>
      </c>
      <c r="E75" t="s">
        <v>23</v>
      </c>
      <c r="F75" t="s">
        <v>24</v>
      </c>
      <c r="G75">
        <v>1</v>
      </c>
      <c r="H75" s="23">
        <v>46237</v>
      </c>
      <c r="J75" s="1" t="s">
        <v>220</v>
      </c>
      <c r="K75" t="s">
        <v>221</v>
      </c>
      <c r="L75">
        <v>56</v>
      </c>
      <c r="N75"/>
      <c r="O75"/>
      <c r="S75">
        <v>56</v>
      </c>
    </row>
    <row r="76" spans="1:19" x14ac:dyDescent="0.25">
      <c r="A76" s="4">
        <v>7</v>
      </c>
      <c r="B76" t="s">
        <v>294</v>
      </c>
      <c r="C76" t="s">
        <v>821</v>
      </c>
      <c r="D76" t="s">
        <v>754</v>
      </c>
      <c r="E76" t="s">
        <v>15</v>
      </c>
      <c r="F76" t="s">
        <v>16</v>
      </c>
      <c r="G76">
        <v>1</v>
      </c>
      <c r="H76" s="23">
        <v>46237</v>
      </c>
      <c r="J76" s="1" t="s">
        <v>245</v>
      </c>
      <c r="K76" t="s">
        <v>246</v>
      </c>
      <c r="L76">
        <v>4</v>
      </c>
      <c r="N76"/>
      <c r="O76"/>
      <c r="S76">
        <v>4</v>
      </c>
    </row>
    <row r="77" spans="1:19" x14ac:dyDescent="0.25">
      <c r="A77" s="4">
        <v>7</v>
      </c>
      <c r="B77" t="s">
        <v>767</v>
      </c>
      <c r="C77" t="s">
        <v>822</v>
      </c>
      <c r="D77" t="s">
        <v>176</v>
      </c>
      <c r="E77" t="s">
        <v>103</v>
      </c>
      <c r="F77" t="s">
        <v>104</v>
      </c>
      <c r="G77">
        <v>1</v>
      </c>
      <c r="H77" s="23">
        <v>46237</v>
      </c>
      <c r="J77" s="1" t="s">
        <v>15</v>
      </c>
      <c r="K77" t="s">
        <v>16</v>
      </c>
      <c r="L77">
        <v>74</v>
      </c>
      <c r="M77">
        <v>76</v>
      </c>
      <c r="N77">
        <v>102</v>
      </c>
      <c r="O77">
        <v>8</v>
      </c>
      <c r="P77">
        <v>5</v>
      </c>
      <c r="Q77">
        <v>4</v>
      </c>
      <c r="R77">
        <v>4</v>
      </c>
      <c r="S77">
        <v>273</v>
      </c>
    </row>
    <row r="78" spans="1:19" x14ac:dyDescent="0.25">
      <c r="A78" s="4" t="s">
        <v>75</v>
      </c>
      <c r="B78"/>
      <c r="C78"/>
      <c r="E78"/>
      <c r="F78"/>
      <c r="J78" s="1" t="s">
        <v>463</v>
      </c>
      <c r="K78" t="s">
        <v>464</v>
      </c>
      <c r="L78"/>
      <c r="M78">
        <v>16</v>
      </c>
      <c r="N78"/>
      <c r="O78"/>
      <c r="S78">
        <v>16</v>
      </c>
    </row>
    <row r="79" spans="1:19" x14ac:dyDescent="0.25">
      <c r="B79"/>
      <c r="C79"/>
      <c r="E79"/>
      <c r="F79"/>
      <c r="J79" s="1" t="s">
        <v>107</v>
      </c>
      <c r="K79" t="s">
        <v>108</v>
      </c>
      <c r="L79">
        <v>20</v>
      </c>
      <c r="M79">
        <v>1</v>
      </c>
      <c r="N79">
        <v>7</v>
      </c>
      <c r="O79"/>
      <c r="Q79">
        <v>1</v>
      </c>
      <c r="R79">
        <v>1</v>
      </c>
      <c r="S79">
        <v>30</v>
      </c>
    </row>
    <row r="80" spans="1:19" x14ac:dyDescent="0.25">
      <c r="B80"/>
      <c r="C80"/>
      <c r="E80"/>
      <c r="F80"/>
      <c r="J80" s="1" t="s">
        <v>286</v>
      </c>
      <c r="K80" t="s">
        <v>287</v>
      </c>
      <c r="L80">
        <v>44</v>
      </c>
      <c r="M80">
        <v>5</v>
      </c>
      <c r="N80">
        <v>10</v>
      </c>
      <c r="O80"/>
      <c r="S80">
        <v>59</v>
      </c>
    </row>
    <row r="81" spans="2:19" x14ac:dyDescent="0.25">
      <c r="B81"/>
      <c r="C81"/>
      <c r="E81"/>
      <c r="F81"/>
      <c r="J81" s="1" t="s">
        <v>105</v>
      </c>
      <c r="K81" t="s">
        <v>106</v>
      </c>
      <c r="L81">
        <v>10</v>
      </c>
      <c r="M81">
        <v>3</v>
      </c>
      <c r="N81">
        <v>6</v>
      </c>
      <c r="O81">
        <v>3</v>
      </c>
      <c r="S81">
        <v>22</v>
      </c>
    </row>
    <row r="82" spans="2:19" x14ac:dyDescent="0.25">
      <c r="B82"/>
      <c r="C82"/>
      <c r="E82"/>
      <c r="F82"/>
      <c r="J82" s="1" t="s">
        <v>159</v>
      </c>
      <c r="K82" t="s">
        <v>160</v>
      </c>
      <c r="L82">
        <v>2</v>
      </c>
      <c r="M82">
        <v>2</v>
      </c>
      <c r="N82"/>
      <c r="O82">
        <v>1</v>
      </c>
      <c r="P82">
        <v>1</v>
      </c>
      <c r="S82">
        <v>6</v>
      </c>
    </row>
    <row r="83" spans="2:19" x14ac:dyDescent="0.25">
      <c r="B83"/>
      <c r="C83"/>
      <c r="E83"/>
      <c r="F83"/>
      <c r="J83" s="1" t="s">
        <v>88</v>
      </c>
      <c r="K83" t="s">
        <v>89</v>
      </c>
      <c r="L83">
        <v>17</v>
      </c>
      <c r="M83">
        <v>16</v>
      </c>
      <c r="N83">
        <v>21</v>
      </c>
      <c r="O83">
        <v>3</v>
      </c>
      <c r="P83">
        <v>1</v>
      </c>
      <c r="Q83">
        <v>1</v>
      </c>
      <c r="R83">
        <v>1</v>
      </c>
      <c r="S83">
        <v>60</v>
      </c>
    </row>
    <row r="84" spans="2:19" x14ac:dyDescent="0.25">
      <c r="B84"/>
      <c r="C84"/>
      <c r="E84"/>
      <c r="F84"/>
      <c r="J84" s="1" t="s">
        <v>177</v>
      </c>
      <c r="K84" t="s">
        <v>178</v>
      </c>
      <c r="L84">
        <v>13</v>
      </c>
      <c r="M84">
        <v>6</v>
      </c>
      <c r="N84">
        <v>1</v>
      </c>
      <c r="O84">
        <v>3</v>
      </c>
      <c r="P84">
        <v>1</v>
      </c>
      <c r="S84">
        <v>24</v>
      </c>
    </row>
    <row r="85" spans="2:19" x14ac:dyDescent="0.25">
      <c r="B85"/>
      <c r="C85"/>
      <c r="E85"/>
      <c r="F85"/>
      <c r="J85" s="1" t="s">
        <v>96</v>
      </c>
      <c r="K85" t="s">
        <v>97</v>
      </c>
      <c r="L85">
        <v>149</v>
      </c>
      <c r="M85">
        <v>185</v>
      </c>
      <c r="N85">
        <v>138</v>
      </c>
      <c r="O85">
        <v>24</v>
      </c>
      <c r="P85">
        <v>18</v>
      </c>
      <c r="Q85">
        <v>18</v>
      </c>
      <c r="R85">
        <v>16</v>
      </c>
      <c r="S85">
        <v>548</v>
      </c>
    </row>
    <row r="86" spans="2:19" x14ac:dyDescent="0.25">
      <c r="B86"/>
      <c r="C86"/>
      <c r="E86"/>
      <c r="F86"/>
      <c r="J86" t="s">
        <v>75</v>
      </c>
      <c r="K86"/>
      <c r="L86">
        <v>1471</v>
      </c>
      <c r="M86">
        <v>1547</v>
      </c>
      <c r="N86">
        <v>855</v>
      </c>
      <c r="O86">
        <v>184</v>
      </c>
      <c r="P86">
        <v>137</v>
      </c>
      <c r="Q86">
        <v>150</v>
      </c>
      <c r="R86">
        <v>127</v>
      </c>
      <c r="S86">
        <v>4471</v>
      </c>
    </row>
    <row r="87" spans="2:19" x14ac:dyDescent="0.25">
      <c r="B87"/>
      <c r="C87"/>
      <c r="E87"/>
      <c r="F87"/>
      <c r="K87"/>
      <c r="L87"/>
      <c r="N87"/>
      <c r="O87"/>
    </row>
    <row r="88" spans="2:19" x14ac:dyDescent="0.25">
      <c r="B88"/>
      <c r="C88"/>
      <c r="E88"/>
      <c r="F88"/>
      <c r="K88"/>
      <c r="L88"/>
      <c r="N88"/>
      <c r="O88"/>
    </row>
    <row r="89" spans="2:19" x14ac:dyDescent="0.25">
      <c r="B89"/>
      <c r="C89"/>
      <c r="E89"/>
      <c r="F89"/>
      <c r="K89"/>
      <c r="L89"/>
      <c r="N89"/>
      <c r="O89"/>
    </row>
    <row r="90" spans="2:19" x14ac:dyDescent="0.25">
      <c r="B90"/>
      <c r="C90"/>
      <c r="E90"/>
      <c r="F90"/>
      <c r="K90"/>
      <c r="L90"/>
      <c r="N90"/>
      <c r="O90"/>
    </row>
    <row r="91" spans="2:19" x14ac:dyDescent="0.25">
      <c r="B91"/>
      <c r="C91"/>
      <c r="E91"/>
      <c r="F91"/>
      <c r="K91"/>
      <c r="L91"/>
      <c r="N91"/>
      <c r="O91"/>
    </row>
    <row r="92" spans="2:19" x14ac:dyDescent="0.25">
      <c r="B92"/>
      <c r="C92"/>
      <c r="E92"/>
      <c r="F92"/>
      <c r="K92"/>
      <c r="L92"/>
      <c r="N92"/>
      <c r="O92"/>
    </row>
    <row r="93" spans="2:19" x14ac:dyDescent="0.25">
      <c r="B93"/>
      <c r="C93"/>
      <c r="E93"/>
      <c r="F93"/>
      <c r="K93"/>
      <c r="L93"/>
      <c r="N93"/>
      <c r="O93"/>
    </row>
    <row r="94" spans="2:19" x14ac:dyDescent="0.25">
      <c r="B94"/>
      <c r="C94"/>
      <c r="E94"/>
      <c r="F94"/>
      <c r="K94"/>
      <c r="L94"/>
      <c r="N94"/>
      <c r="O94"/>
    </row>
    <row r="95" spans="2:19" x14ac:dyDescent="0.25">
      <c r="B95"/>
      <c r="C95"/>
      <c r="E95"/>
      <c r="F95"/>
      <c r="K95"/>
      <c r="L95"/>
      <c r="N95"/>
      <c r="O95"/>
    </row>
    <row r="96" spans="2:19" x14ac:dyDescent="0.25">
      <c r="B96"/>
      <c r="C96"/>
      <c r="E96"/>
      <c r="F96"/>
      <c r="K96"/>
      <c r="L96"/>
      <c r="N96"/>
      <c r="O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</sheetData>
  <pageMargins left="0.70866141732283472" right="0.70866141732283472" top="0.74803149606299213" bottom="0.74803149606299213" header="0.31496062992125984" footer="0.31496062992125984"/>
  <pageSetup paperSize="8" scale="42" orientation="landscape" horizontalDpi="300" verticalDpi="300" r:id="rId3"/>
  <rowBreaks count="1" manualBreakCount="1">
    <brk id="74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3C4D-A8C6-4164-9CEE-1E9200AB67C1}">
  <dimension ref="B1:L37"/>
  <sheetViews>
    <sheetView showGridLines="0" workbookViewId="0">
      <selection activeCell="D9" sqref="D9"/>
    </sheetView>
  </sheetViews>
  <sheetFormatPr baseColWidth="10" defaultRowHeight="15" x14ac:dyDescent="0.25"/>
  <cols>
    <col min="2" max="2" width="4.85546875" bestFit="1" customWidth="1"/>
    <col min="3" max="3" width="24.7109375" bestFit="1" customWidth="1"/>
    <col min="4" max="4" width="27.7109375" bestFit="1" customWidth="1"/>
    <col min="5" max="5" width="60.42578125" bestFit="1" customWidth="1"/>
    <col min="6" max="6" width="22" bestFit="1" customWidth="1"/>
    <col min="7" max="7" width="27.85546875" bestFit="1" customWidth="1"/>
    <col min="8" max="8" width="9.140625" bestFit="1" customWidth="1"/>
    <col min="10" max="10" width="8.42578125" style="1" bestFit="1" customWidth="1"/>
    <col min="11" max="11" width="35.85546875" bestFit="1" customWidth="1"/>
    <col min="12" max="12" width="9.140625" bestFit="1" customWidth="1"/>
  </cols>
  <sheetData>
    <row r="1" spans="2:12" ht="15.75" thickBot="1" x14ac:dyDescent="0.3"/>
    <row r="2" spans="2:12" ht="15.75" thickBot="1" x14ac:dyDescent="0.3">
      <c r="B2" s="5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5" t="s">
        <v>7</v>
      </c>
      <c r="H2" s="5" t="s">
        <v>8</v>
      </c>
      <c r="J2" s="56" t="s">
        <v>79</v>
      </c>
      <c r="K2" s="57"/>
      <c r="L2" s="58"/>
    </row>
    <row r="3" spans="2:12" ht="15.75" thickBot="1" x14ac:dyDescent="0.3">
      <c r="B3" s="3">
        <v>1</v>
      </c>
      <c r="C3" s="6" t="s">
        <v>10</v>
      </c>
      <c r="D3" t="s">
        <v>11</v>
      </c>
      <c r="E3" s="6" t="s">
        <v>12</v>
      </c>
      <c r="F3" s="1" t="s">
        <v>13</v>
      </c>
      <c r="G3" s="6" t="s">
        <v>14</v>
      </c>
      <c r="H3">
        <v>1</v>
      </c>
      <c r="J3" s="11" t="s">
        <v>80</v>
      </c>
      <c r="K3" s="13" t="s">
        <v>81</v>
      </c>
      <c r="L3" s="12" t="s">
        <v>8</v>
      </c>
    </row>
    <row r="4" spans="2:12" x14ac:dyDescent="0.25">
      <c r="B4" s="3">
        <v>1</v>
      </c>
      <c r="C4" s="6" t="s">
        <v>10</v>
      </c>
      <c r="D4" t="s">
        <v>11</v>
      </c>
      <c r="E4" s="6" t="s">
        <v>12</v>
      </c>
      <c r="F4" s="1" t="s">
        <v>15</v>
      </c>
      <c r="G4" s="6" t="s">
        <v>16</v>
      </c>
      <c r="H4">
        <v>1</v>
      </c>
      <c r="J4" s="14">
        <v>201002</v>
      </c>
      <c r="K4" s="20" t="s">
        <v>70</v>
      </c>
      <c r="L4" s="17">
        <v>1</v>
      </c>
    </row>
    <row r="5" spans="2:12" x14ac:dyDescent="0.25">
      <c r="B5" s="3">
        <v>1</v>
      </c>
      <c r="C5" s="6" t="s">
        <v>10</v>
      </c>
      <c r="D5" t="s">
        <v>17</v>
      </c>
      <c r="E5" s="6" t="s">
        <v>18</v>
      </c>
      <c r="F5" s="1" t="s">
        <v>19</v>
      </c>
      <c r="G5" s="6" t="s">
        <v>20</v>
      </c>
      <c r="H5">
        <v>1</v>
      </c>
      <c r="J5" s="15">
        <v>201004</v>
      </c>
      <c r="K5" s="21" t="s">
        <v>41</v>
      </c>
      <c r="L5" s="18">
        <v>2</v>
      </c>
    </row>
    <row r="6" spans="2:12" x14ac:dyDescent="0.25">
      <c r="B6" s="3">
        <v>1</v>
      </c>
      <c r="C6" s="6" t="s">
        <v>10</v>
      </c>
      <c r="D6" t="s">
        <v>21</v>
      </c>
      <c r="E6" s="6" t="s">
        <v>22</v>
      </c>
      <c r="F6" s="1" t="s">
        <v>23</v>
      </c>
      <c r="G6" s="6" t="s">
        <v>24</v>
      </c>
      <c r="H6">
        <v>1</v>
      </c>
      <c r="J6" s="15">
        <v>201008</v>
      </c>
      <c r="K6" s="21" t="s">
        <v>29</v>
      </c>
      <c r="L6" s="18">
        <v>4</v>
      </c>
    </row>
    <row r="7" spans="2:12" x14ac:dyDescent="0.25">
      <c r="B7" s="3">
        <v>1</v>
      </c>
      <c r="C7" s="6" t="s">
        <v>10</v>
      </c>
      <c r="D7" t="s">
        <v>25</v>
      </c>
      <c r="E7" s="6" t="s">
        <v>22</v>
      </c>
      <c r="F7" s="1" t="s">
        <v>23</v>
      </c>
      <c r="G7" s="6" t="s">
        <v>24</v>
      </c>
      <c r="H7">
        <v>1</v>
      </c>
      <c r="J7" s="15">
        <v>201010</v>
      </c>
      <c r="K7" s="21" t="s">
        <v>44</v>
      </c>
      <c r="L7" s="18">
        <v>1</v>
      </c>
    </row>
    <row r="8" spans="2:12" x14ac:dyDescent="0.25">
      <c r="B8" s="3">
        <v>1</v>
      </c>
      <c r="C8" s="6" t="s">
        <v>10</v>
      </c>
      <c r="D8" t="s">
        <v>26</v>
      </c>
      <c r="E8" s="6" t="s">
        <v>22</v>
      </c>
      <c r="F8" s="1" t="s">
        <v>23</v>
      </c>
      <c r="G8" s="6" t="s">
        <v>24</v>
      </c>
      <c r="H8">
        <v>1</v>
      </c>
      <c r="J8" s="15" t="s">
        <v>23</v>
      </c>
      <c r="K8" s="21" t="s">
        <v>24</v>
      </c>
      <c r="L8" s="18">
        <v>6</v>
      </c>
    </row>
    <row r="9" spans="2:12" x14ac:dyDescent="0.25">
      <c r="B9" s="3">
        <v>1</v>
      </c>
      <c r="C9" s="6" t="s">
        <v>10</v>
      </c>
      <c r="D9" t="s">
        <v>27</v>
      </c>
      <c r="E9" s="6" t="s">
        <v>28</v>
      </c>
      <c r="F9" s="1">
        <v>201008</v>
      </c>
      <c r="G9" s="6" t="s">
        <v>29</v>
      </c>
      <c r="H9">
        <v>1</v>
      </c>
      <c r="J9" s="15" t="s">
        <v>13</v>
      </c>
      <c r="K9" s="21" t="s">
        <v>78</v>
      </c>
      <c r="L9" s="18">
        <v>8</v>
      </c>
    </row>
    <row r="10" spans="2:12" x14ac:dyDescent="0.25">
      <c r="B10" s="3">
        <v>1</v>
      </c>
      <c r="C10" s="6" t="s">
        <v>10</v>
      </c>
      <c r="D10" t="s">
        <v>30</v>
      </c>
      <c r="E10" s="6" t="s">
        <v>31</v>
      </c>
      <c r="F10" s="1" t="s">
        <v>23</v>
      </c>
      <c r="G10" s="6" t="s">
        <v>24</v>
      </c>
      <c r="H10">
        <v>1</v>
      </c>
      <c r="J10" s="15" t="s">
        <v>13</v>
      </c>
      <c r="K10" s="21" t="s">
        <v>77</v>
      </c>
      <c r="L10" s="18">
        <v>4</v>
      </c>
    </row>
    <row r="11" spans="2:12" x14ac:dyDescent="0.25">
      <c r="B11" s="3">
        <v>1</v>
      </c>
      <c r="C11" s="6" t="s">
        <v>10</v>
      </c>
      <c r="D11" t="s">
        <v>30</v>
      </c>
      <c r="E11" s="6" t="s">
        <v>31</v>
      </c>
      <c r="F11" s="1" t="s">
        <v>15</v>
      </c>
      <c r="G11" s="6" t="s">
        <v>16</v>
      </c>
      <c r="H11">
        <v>1</v>
      </c>
      <c r="J11" s="15" t="s">
        <v>19</v>
      </c>
      <c r="K11" s="21" t="s">
        <v>20</v>
      </c>
      <c r="L11" s="18">
        <v>6</v>
      </c>
    </row>
    <row r="12" spans="2:12" x14ac:dyDescent="0.25">
      <c r="B12" s="3">
        <v>1</v>
      </c>
      <c r="C12" s="6" t="s">
        <v>10</v>
      </c>
      <c r="D12" t="s">
        <v>32</v>
      </c>
      <c r="E12" s="6" t="s">
        <v>33</v>
      </c>
      <c r="F12" s="1" t="s">
        <v>13</v>
      </c>
      <c r="G12" s="6" t="s">
        <v>14</v>
      </c>
      <c r="H12">
        <v>1</v>
      </c>
      <c r="J12" s="15" t="s">
        <v>49</v>
      </c>
      <c r="K12" s="21" t="s">
        <v>76</v>
      </c>
      <c r="L12" s="18">
        <v>6</v>
      </c>
    </row>
    <row r="13" spans="2:12" ht="15.75" thickBot="1" x14ac:dyDescent="0.3">
      <c r="B13" s="3">
        <v>1</v>
      </c>
      <c r="C13" s="6" t="s">
        <v>10</v>
      </c>
      <c r="D13" t="s">
        <v>32</v>
      </c>
      <c r="E13" s="6" t="s">
        <v>33</v>
      </c>
      <c r="F13" s="1" t="s">
        <v>15</v>
      </c>
      <c r="G13" s="6" t="s">
        <v>16</v>
      </c>
      <c r="H13">
        <v>1</v>
      </c>
      <c r="J13" s="16" t="s">
        <v>15</v>
      </c>
      <c r="K13" s="22" t="s">
        <v>16</v>
      </c>
      <c r="L13" s="19">
        <v>11</v>
      </c>
    </row>
    <row r="14" spans="2:12" ht="15.75" thickBot="1" x14ac:dyDescent="0.3">
      <c r="B14" s="3">
        <v>1</v>
      </c>
      <c r="C14" s="6" t="s">
        <v>10</v>
      </c>
      <c r="D14" t="s">
        <v>34</v>
      </c>
      <c r="E14" s="6" t="s">
        <v>35</v>
      </c>
      <c r="F14" s="1" t="s">
        <v>15</v>
      </c>
      <c r="G14" s="6" t="s">
        <v>16</v>
      </c>
      <c r="H14">
        <v>1</v>
      </c>
      <c r="J14" s="56" t="s">
        <v>82</v>
      </c>
      <c r="K14" s="58"/>
      <c r="L14" s="42">
        <f>SUM(L4:L13)</f>
        <v>49</v>
      </c>
    </row>
    <row r="15" spans="2:12" x14ac:dyDescent="0.25">
      <c r="B15" s="3">
        <v>1</v>
      </c>
      <c r="C15" s="6" t="s">
        <v>36</v>
      </c>
      <c r="D15" t="s">
        <v>37</v>
      </c>
      <c r="E15" s="6" t="s">
        <v>38</v>
      </c>
      <c r="F15" s="1" t="s">
        <v>15</v>
      </c>
      <c r="G15" s="6" t="s">
        <v>16</v>
      </c>
      <c r="H15">
        <v>1</v>
      </c>
    </row>
    <row r="16" spans="2:12" x14ac:dyDescent="0.25">
      <c r="B16" s="3">
        <v>1</v>
      </c>
      <c r="C16" s="6" t="s">
        <v>36</v>
      </c>
      <c r="D16" t="s">
        <v>39</v>
      </c>
      <c r="E16" s="6" t="s">
        <v>40</v>
      </c>
      <c r="F16" s="1">
        <v>201004</v>
      </c>
      <c r="G16" s="6" t="s">
        <v>41</v>
      </c>
      <c r="H16">
        <v>1</v>
      </c>
    </row>
    <row r="17" spans="2:8" x14ac:dyDescent="0.25">
      <c r="B17" s="3">
        <v>1</v>
      </c>
      <c r="C17" s="6" t="s">
        <v>36</v>
      </c>
      <c r="D17" t="s">
        <v>42</v>
      </c>
      <c r="E17" s="6" t="s">
        <v>43</v>
      </c>
      <c r="F17" s="1">
        <v>201010</v>
      </c>
      <c r="G17" s="6" t="s">
        <v>44</v>
      </c>
      <c r="H17">
        <v>1</v>
      </c>
    </row>
    <row r="18" spans="2:8" x14ac:dyDescent="0.25">
      <c r="B18" s="3">
        <v>1</v>
      </c>
      <c r="C18" s="6" t="s">
        <v>36</v>
      </c>
      <c r="D18" t="s">
        <v>42</v>
      </c>
      <c r="E18" s="6" t="s">
        <v>43</v>
      </c>
      <c r="F18" s="1" t="s">
        <v>23</v>
      </c>
      <c r="G18" s="6" t="s">
        <v>24</v>
      </c>
      <c r="H18">
        <v>1</v>
      </c>
    </row>
    <row r="19" spans="2:8" x14ac:dyDescent="0.25">
      <c r="B19" s="3">
        <v>1</v>
      </c>
      <c r="C19" s="6" t="s">
        <v>36</v>
      </c>
      <c r="D19" t="s">
        <v>45</v>
      </c>
      <c r="E19" s="6" t="s">
        <v>46</v>
      </c>
      <c r="F19" s="1">
        <v>201008</v>
      </c>
      <c r="G19" s="6" t="s">
        <v>29</v>
      </c>
      <c r="H19">
        <v>3</v>
      </c>
    </row>
    <row r="20" spans="2:8" x14ac:dyDescent="0.25">
      <c r="B20" s="3">
        <v>1</v>
      </c>
      <c r="C20" s="6" t="s">
        <v>36</v>
      </c>
      <c r="D20" t="s">
        <v>45</v>
      </c>
      <c r="E20" s="6" t="s">
        <v>46</v>
      </c>
      <c r="F20" s="1" t="s">
        <v>15</v>
      </c>
      <c r="G20" s="6" t="s">
        <v>16</v>
      </c>
      <c r="H20">
        <v>1</v>
      </c>
    </row>
    <row r="21" spans="2:8" x14ac:dyDescent="0.25">
      <c r="B21" s="3">
        <v>1</v>
      </c>
      <c r="C21" s="6" t="s">
        <v>36</v>
      </c>
      <c r="D21" t="s">
        <v>47</v>
      </c>
      <c r="E21" s="6" t="s">
        <v>48</v>
      </c>
      <c r="F21" s="1" t="s">
        <v>49</v>
      </c>
      <c r="G21" s="6" t="s">
        <v>50</v>
      </c>
      <c r="H21">
        <v>1</v>
      </c>
    </row>
    <row r="22" spans="2:8" x14ac:dyDescent="0.25">
      <c r="B22" s="3">
        <v>1</v>
      </c>
      <c r="C22" s="6" t="s">
        <v>36</v>
      </c>
      <c r="D22" t="s">
        <v>51</v>
      </c>
      <c r="E22" s="6" t="s">
        <v>52</v>
      </c>
      <c r="F22" s="1" t="s">
        <v>13</v>
      </c>
      <c r="G22" s="6" t="s">
        <v>14</v>
      </c>
      <c r="H22">
        <v>1</v>
      </c>
    </row>
    <row r="23" spans="2:8" x14ac:dyDescent="0.25">
      <c r="B23" s="3">
        <v>1</v>
      </c>
      <c r="C23" s="6" t="s">
        <v>36</v>
      </c>
      <c r="D23" t="s">
        <v>51</v>
      </c>
      <c r="E23" s="6" t="s">
        <v>52</v>
      </c>
      <c r="F23" s="1" t="s">
        <v>15</v>
      </c>
      <c r="G23" s="6" t="s">
        <v>16</v>
      </c>
      <c r="H23">
        <v>1</v>
      </c>
    </row>
    <row r="24" spans="2:8" x14ac:dyDescent="0.25">
      <c r="B24" s="3">
        <v>1</v>
      </c>
      <c r="C24" s="6" t="s">
        <v>36</v>
      </c>
      <c r="D24" t="s">
        <v>53</v>
      </c>
      <c r="E24" s="6" t="s">
        <v>54</v>
      </c>
      <c r="F24" s="1" t="s">
        <v>13</v>
      </c>
      <c r="G24" s="6" t="s">
        <v>14</v>
      </c>
      <c r="H24">
        <v>1</v>
      </c>
    </row>
    <row r="25" spans="2:8" x14ac:dyDescent="0.25">
      <c r="B25" s="3">
        <v>1</v>
      </c>
      <c r="C25" s="6" t="s">
        <v>36</v>
      </c>
      <c r="D25" t="s">
        <v>53</v>
      </c>
      <c r="E25" s="6" t="s">
        <v>54</v>
      </c>
      <c r="F25" s="1" t="s">
        <v>15</v>
      </c>
      <c r="G25" s="6" t="s">
        <v>16</v>
      </c>
      <c r="H25">
        <v>1</v>
      </c>
    </row>
    <row r="26" spans="2:8" x14ac:dyDescent="0.25">
      <c r="B26" s="3">
        <v>1</v>
      </c>
      <c r="C26" s="6" t="s">
        <v>36</v>
      </c>
      <c r="D26" t="s">
        <v>55</v>
      </c>
      <c r="E26" s="6" t="s">
        <v>56</v>
      </c>
      <c r="F26" s="1" t="s">
        <v>15</v>
      </c>
      <c r="G26" s="6" t="s">
        <v>16</v>
      </c>
      <c r="H26">
        <v>1</v>
      </c>
    </row>
    <row r="27" spans="2:8" x14ac:dyDescent="0.25">
      <c r="B27" s="3">
        <v>1</v>
      </c>
      <c r="C27" s="6" t="s">
        <v>36</v>
      </c>
      <c r="D27" t="s">
        <v>57</v>
      </c>
      <c r="E27" s="6" t="s">
        <v>58</v>
      </c>
      <c r="F27" s="1" t="s">
        <v>19</v>
      </c>
      <c r="G27" s="6" t="s">
        <v>20</v>
      </c>
      <c r="H27">
        <v>1</v>
      </c>
    </row>
    <row r="28" spans="2:8" x14ac:dyDescent="0.25">
      <c r="B28" s="3">
        <v>1</v>
      </c>
      <c r="C28" s="6" t="s">
        <v>36</v>
      </c>
      <c r="D28" t="s">
        <v>59</v>
      </c>
      <c r="E28" s="6" t="s">
        <v>60</v>
      </c>
      <c r="F28" s="1" t="s">
        <v>19</v>
      </c>
      <c r="G28" s="6" t="s">
        <v>20</v>
      </c>
      <c r="H28">
        <v>1</v>
      </c>
    </row>
    <row r="29" spans="2:8" x14ac:dyDescent="0.25">
      <c r="B29" s="3">
        <v>1</v>
      </c>
      <c r="C29" s="6" t="s">
        <v>36</v>
      </c>
      <c r="D29" t="s">
        <v>59</v>
      </c>
      <c r="E29" s="6" t="s">
        <v>60</v>
      </c>
      <c r="F29" s="1" t="s">
        <v>15</v>
      </c>
      <c r="G29" s="6" t="s">
        <v>16</v>
      </c>
      <c r="H29">
        <v>1</v>
      </c>
    </row>
    <row r="30" spans="2:8" x14ac:dyDescent="0.25">
      <c r="B30" s="3">
        <v>1</v>
      </c>
      <c r="C30" s="6" t="s">
        <v>36</v>
      </c>
      <c r="D30" t="s">
        <v>61</v>
      </c>
      <c r="E30" s="6" t="s">
        <v>62</v>
      </c>
      <c r="F30" s="1" t="s">
        <v>19</v>
      </c>
      <c r="G30" s="6" t="s">
        <v>20</v>
      </c>
      <c r="H30">
        <v>1</v>
      </c>
    </row>
    <row r="31" spans="2:8" x14ac:dyDescent="0.25">
      <c r="B31" s="3">
        <v>1</v>
      </c>
      <c r="C31" s="6" t="s">
        <v>36</v>
      </c>
      <c r="D31" t="s">
        <v>63</v>
      </c>
      <c r="E31" s="6" t="s">
        <v>64</v>
      </c>
      <c r="F31" s="1" t="s">
        <v>19</v>
      </c>
      <c r="G31" s="6" t="s">
        <v>20</v>
      </c>
      <c r="H31">
        <v>1</v>
      </c>
    </row>
    <row r="32" spans="2:8" x14ac:dyDescent="0.25">
      <c r="B32" s="3">
        <v>1</v>
      </c>
      <c r="C32" s="6" t="s">
        <v>36</v>
      </c>
      <c r="D32" t="s">
        <v>65</v>
      </c>
      <c r="E32" s="6" t="s">
        <v>66</v>
      </c>
      <c r="F32" s="1">
        <v>201004</v>
      </c>
      <c r="G32" s="6" t="s">
        <v>41</v>
      </c>
      <c r="H32">
        <v>1</v>
      </c>
    </row>
    <row r="33" spans="2:8" x14ac:dyDescent="0.25">
      <c r="B33" s="3">
        <v>1</v>
      </c>
      <c r="C33" s="6" t="s">
        <v>36</v>
      </c>
      <c r="D33" t="s">
        <v>65</v>
      </c>
      <c r="E33" s="6" t="s">
        <v>66</v>
      </c>
      <c r="F33" s="1" t="s">
        <v>19</v>
      </c>
      <c r="G33" s="6" t="s">
        <v>20</v>
      </c>
      <c r="H33">
        <v>1</v>
      </c>
    </row>
    <row r="34" spans="2:8" x14ac:dyDescent="0.25">
      <c r="B34" s="3">
        <v>1</v>
      </c>
      <c r="C34" s="6" t="s">
        <v>67</v>
      </c>
      <c r="D34" t="s">
        <v>68</v>
      </c>
      <c r="E34" s="6" t="s">
        <v>69</v>
      </c>
      <c r="F34" s="1">
        <v>201002</v>
      </c>
      <c r="G34" s="6" t="s">
        <v>70</v>
      </c>
      <c r="H34">
        <v>1</v>
      </c>
    </row>
    <row r="35" spans="2:8" x14ac:dyDescent="0.25">
      <c r="B35" s="3">
        <v>1</v>
      </c>
      <c r="C35" s="6" t="s">
        <v>67</v>
      </c>
      <c r="D35" t="s">
        <v>71</v>
      </c>
      <c r="E35" s="6" t="s">
        <v>72</v>
      </c>
      <c r="F35" s="1" t="s">
        <v>13</v>
      </c>
      <c r="G35" s="6" t="s">
        <v>14</v>
      </c>
      <c r="H35">
        <v>1</v>
      </c>
    </row>
    <row r="36" spans="2:8" x14ac:dyDescent="0.25">
      <c r="B36" s="3">
        <v>1</v>
      </c>
      <c r="C36" s="6" t="s">
        <v>67</v>
      </c>
      <c r="D36" t="s">
        <v>71</v>
      </c>
      <c r="E36" s="6" t="s">
        <v>72</v>
      </c>
      <c r="F36" s="1" t="s">
        <v>15</v>
      </c>
      <c r="G36" s="6" t="s">
        <v>16</v>
      </c>
      <c r="H36">
        <v>1</v>
      </c>
    </row>
    <row r="37" spans="2:8" x14ac:dyDescent="0.25">
      <c r="B37" s="8">
        <v>1</v>
      </c>
      <c r="C37" s="6" t="s">
        <v>67</v>
      </c>
      <c r="D37" t="s">
        <v>73</v>
      </c>
      <c r="E37" s="6" t="s">
        <v>74</v>
      </c>
      <c r="F37" s="1" t="s">
        <v>23</v>
      </c>
      <c r="G37" s="6" t="s">
        <v>24</v>
      </c>
      <c r="H37">
        <v>1</v>
      </c>
    </row>
  </sheetData>
  <mergeCells count="2">
    <mergeCell ref="J2:L2"/>
    <mergeCell ref="J14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FA27-7D0A-495E-B891-733C23ED03FF}">
  <dimension ref="B2:L128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6" sqref="J16:K16"/>
    </sheetView>
  </sheetViews>
  <sheetFormatPr baseColWidth="10" defaultRowHeight="15" x14ac:dyDescent="0.25"/>
  <cols>
    <col min="3" max="3" width="27.85546875" bestFit="1" customWidth="1"/>
    <col min="4" max="4" width="27.7109375" bestFit="1" customWidth="1"/>
    <col min="5" max="5" width="63" bestFit="1" customWidth="1"/>
    <col min="7" max="7" width="27.85546875" bestFit="1" customWidth="1"/>
    <col min="10" max="10" width="27.42578125" bestFit="1" customWidth="1"/>
    <col min="11" max="11" width="8.140625" bestFit="1" customWidth="1"/>
  </cols>
  <sheetData>
    <row r="2" spans="2:12" x14ac:dyDescent="0.25">
      <c r="B2" s="5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5" t="s">
        <v>7</v>
      </c>
      <c r="H2" s="5" t="s">
        <v>8</v>
      </c>
    </row>
    <row r="3" spans="2:12" x14ac:dyDescent="0.25">
      <c r="B3" s="3">
        <v>1</v>
      </c>
      <c r="C3" s="6" t="s">
        <v>84</v>
      </c>
      <c r="D3" t="s">
        <v>85</v>
      </c>
      <c r="E3" s="6" t="s">
        <v>86</v>
      </c>
      <c r="F3" t="s">
        <v>13</v>
      </c>
      <c r="G3" s="6" t="s">
        <v>14</v>
      </c>
      <c r="H3">
        <v>1</v>
      </c>
      <c r="J3" s="25" t="str" cm="1">
        <f t="array" ref="J3:J15">+_xlfn.UNIQUE(G3:G127)</f>
        <v>Escritorio en L administrativo</v>
      </c>
      <c r="K3" s="26" t="str">
        <f>+_xlfn.XLOOKUP(J3,$G$3:$G$127,$F$3:$F$127)</f>
        <v>201001B</v>
      </c>
      <c r="L3" s="25">
        <f>+SUMIF($G$3:$G$127,J3,$H$3:$H$127)</f>
        <v>28</v>
      </c>
    </row>
    <row r="4" spans="2:12" x14ac:dyDescent="0.25">
      <c r="B4" s="3">
        <v>1</v>
      </c>
      <c r="C4" s="6" t="s">
        <v>84</v>
      </c>
      <c r="D4" t="s">
        <v>85</v>
      </c>
      <c r="E4" s="6" t="s">
        <v>86</v>
      </c>
      <c r="F4" t="s">
        <v>15</v>
      </c>
      <c r="G4" s="6" t="s">
        <v>16</v>
      </c>
      <c r="H4">
        <v>1</v>
      </c>
      <c r="J4" s="25" t="str">
        <v>Mueble Tipo Biblioteca M45_A</v>
      </c>
      <c r="K4" s="26" t="str">
        <f t="shared" ref="K4:K15" si="0">+_xlfn.XLOOKUP(J4,$G$3:$G$127,$F$3:$F$127)</f>
        <v>203016A</v>
      </c>
      <c r="L4" s="25">
        <f t="shared" ref="L4:L15" si="1">+SUMIF($G$3:$G$127,J4,$H$3:$H$127)</f>
        <v>54</v>
      </c>
    </row>
    <row r="5" spans="2:12" x14ac:dyDescent="0.25">
      <c r="B5" s="3">
        <v>1</v>
      </c>
      <c r="C5" s="6" t="s">
        <v>84</v>
      </c>
      <c r="D5" t="s">
        <v>90</v>
      </c>
      <c r="E5" s="6" t="s">
        <v>91</v>
      </c>
      <c r="F5" t="s">
        <v>49</v>
      </c>
      <c r="G5" s="6" t="s">
        <v>50</v>
      </c>
      <c r="H5">
        <v>1</v>
      </c>
      <c r="J5" s="25" t="str">
        <v>Mesa Tipo Casino Circular</v>
      </c>
      <c r="K5" s="26" t="str">
        <f t="shared" si="0"/>
        <v>201011A</v>
      </c>
      <c r="L5" s="25">
        <f t="shared" si="1"/>
        <v>9</v>
      </c>
    </row>
    <row r="6" spans="2:12" x14ac:dyDescent="0.25">
      <c r="B6" s="3">
        <v>1</v>
      </c>
      <c r="C6" s="6" t="s">
        <v>84</v>
      </c>
      <c r="D6" t="s">
        <v>94</v>
      </c>
      <c r="E6" s="6" t="s">
        <v>95</v>
      </c>
      <c r="F6" t="s">
        <v>23</v>
      </c>
      <c r="G6" s="6" t="s">
        <v>24</v>
      </c>
      <c r="H6">
        <v>1</v>
      </c>
      <c r="J6" s="25" t="str">
        <v>Escritorio simple 120x70 cm</v>
      </c>
      <c r="K6" s="26" t="str">
        <f t="shared" si="0"/>
        <v>201001A</v>
      </c>
      <c r="L6" s="25">
        <f t="shared" si="1"/>
        <v>31</v>
      </c>
    </row>
    <row r="7" spans="2:12" x14ac:dyDescent="0.25">
      <c r="B7" s="3">
        <v>1</v>
      </c>
      <c r="C7" s="6" t="s">
        <v>84</v>
      </c>
      <c r="D7" t="s">
        <v>94</v>
      </c>
      <c r="E7" s="6" t="s">
        <v>95</v>
      </c>
      <c r="F7" t="s">
        <v>15</v>
      </c>
      <c r="G7" s="6" t="s">
        <v>16</v>
      </c>
      <c r="H7">
        <v>1</v>
      </c>
      <c r="J7" s="25" t="str">
        <v>Mesa Reuniones Tipo I</v>
      </c>
      <c r="K7" s="26">
        <f t="shared" si="0"/>
        <v>201008</v>
      </c>
      <c r="L7" s="25">
        <f t="shared" si="1"/>
        <v>10</v>
      </c>
    </row>
    <row r="8" spans="2:12" x14ac:dyDescent="0.25">
      <c r="B8" s="3">
        <v>1</v>
      </c>
      <c r="C8" s="6" t="s">
        <v>84</v>
      </c>
      <c r="D8" t="s">
        <v>98</v>
      </c>
      <c r="E8" s="6" t="s">
        <v>99</v>
      </c>
      <c r="F8" t="s">
        <v>15</v>
      </c>
      <c r="G8" s="6" t="s">
        <v>16</v>
      </c>
      <c r="H8">
        <v>1</v>
      </c>
      <c r="J8" s="25" t="str">
        <v>Escritorio de Consultas</v>
      </c>
      <c r="K8" s="26" t="str">
        <f t="shared" si="0"/>
        <v>201001C</v>
      </c>
      <c r="L8" s="25">
        <f t="shared" si="1"/>
        <v>7</v>
      </c>
    </row>
    <row r="9" spans="2:12" x14ac:dyDescent="0.25">
      <c r="B9" s="3">
        <v>1</v>
      </c>
      <c r="C9" s="6" t="s">
        <v>84</v>
      </c>
      <c r="D9" t="s">
        <v>101</v>
      </c>
      <c r="E9" s="6" t="s">
        <v>102</v>
      </c>
      <c r="F9" t="s">
        <v>23</v>
      </c>
      <c r="G9" s="6" t="s">
        <v>24</v>
      </c>
      <c r="H9">
        <v>1</v>
      </c>
      <c r="J9" s="25" t="str">
        <v>Mesa Lateral</v>
      </c>
      <c r="K9" s="26">
        <f t="shared" si="0"/>
        <v>201002</v>
      </c>
      <c r="L9" s="25">
        <f t="shared" si="1"/>
        <v>1</v>
      </c>
    </row>
    <row r="10" spans="2:12" x14ac:dyDescent="0.25">
      <c r="B10" s="3">
        <v>1</v>
      </c>
      <c r="C10" s="6" t="s">
        <v>84</v>
      </c>
      <c r="D10" t="s">
        <v>101</v>
      </c>
      <c r="E10" s="6" t="s">
        <v>102</v>
      </c>
      <c r="F10" t="s">
        <v>15</v>
      </c>
      <c r="G10" s="6" t="s">
        <v>16</v>
      </c>
      <c r="H10">
        <v>1</v>
      </c>
      <c r="J10" s="25" t="str">
        <v>Mesa Párvulo Tipo II</v>
      </c>
      <c r="K10" s="26">
        <f t="shared" si="0"/>
        <v>201005</v>
      </c>
      <c r="L10" s="25">
        <f t="shared" si="1"/>
        <v>12</v>
      </c>
    </row>
    <row r="11" spans="2:12" x14ac:dyDescent="0.25">
      <c r="B11" s="3">
        <v>1</v>
      </c>
      <c r="C11" s="6" t="s">
        <v>120</v>
      </c>
      <c r="D11" t="s">
        <v>121</v>
      </c>
      <c r="E11" s="6" t="s">
        <v>122</v>
      </c>
      <c r="F11" t="s">
        <v>13</v>
      </c>
      <c r="G11" s="6" t="s">
        <v>14</v>
      </c>
      <c r="H11">
        <v>1</v>
      </c>
      <c r="J11" s="25" t="str">
        <v>Mueble Locker</v>
      </c>
      <c r="K11" s="26">
        <f t="shared" si="0"/>
        <v>202012</v>
      </c>
      <c r="L11" s="25">
        <f t="shared" si="1"/>
        <v>8</v>
      </c>
    </row>
    <row r="12" spans="2:12" x14ac:dyDescent="0.25">
      <c r="B12" s="3">
        <v>1</v>
      </c>
      <c r="C12" s="6" t="s">
        <v>120</v>
      </c>
      <c r="D12" t="s">
        <v>121</v>
      </c>
      <c r="E12" s="6" t="s">
        <v>122</v>
      </c>
      <c r="F12" t="s">
        <v>15</v>
      </c>
      <c r="G12" s="6" t="s">
        <v>16</v>
      </c>
      <c r="H12">
        <v>1</v>
      </c>
      <c r="J12" s="25" t="str">
        <v>Mesa Párvulo Inclusión</v>
      </c>
      <c r="K12" s="26">
        <f t="shared" si="0"/>
        <v>201003</v>
      </c>
      <c r="L12" s="25">
        <f t="shared" si="1"/>
        <v>2</v>
      </c>
    </row>
    <row r="13" spans="2:12" x14ac:dyDescent="0.25">
      <c r="B13" s="3">
        <v>1</v>
      </c>
      <c r="C13" s="6" t="s">
        <v>120</v>
      </c>
      <c r="D13" t="s">
        <v>123</v>
      </c>
      <c r="E13" s="6" t="s">
        <v>124</v>
      </c>
      <c r="F13">
        <v>201008</v>
      </c>
      <c r="G13" s="6" t="s">
        <v>29</v>
      </c>
      <c r="H13">
        <v>1</v>
      </c>
      <c r="J13" s="25" t="str">
        <v>Mesa Párvulo Tipo I</v>
      </c>
      <c r="K13" s="26">
        <f t="shared" si="0"/>
        <v>201004</v>
      </c>
      <c r="L13" s="25">
        <f t="shared" si="1"/>
        <v>1</v>
      </c>
    </row>
    <row r="14" spans="2:12" x14ac:dyDescent="0.25">
      <c r="B14" s="3">
        <v>1</v>
      </c>
      <c r="C14" s="6" t="s">
        <v>120</v>
      </c>
      <c r="D14" t="s">
        <v>123</v>
      </c>
      <c r="E14" s="6" t="s">
        <v>124</v>
      </c>
      <c r="F14" t="s">
        <v>13</v>
      </c>
      <c r="G14" s="6" t="s">
        <v>14</v>
      </c>
      <c r="H14">
        <v>1</v>
      </c>
      <c r="J14" s="25" t="str">
        <v>Mesa Reuniones Tipo III</v>
      </c>
      <c r="K14" s="26">
        <f t="shared" si="0"/>
        <v>201010</v>
      </c>
      <c r="L14" s="25">
        <f t="shared" si="1"/>
        <v>1</v>
      </c>
    </row>
    <row r="15" spans="2:12" ht="15.75" thickBot="1" x14ac:dyDescent="0.3">
      <c r="B15" s="3">
        <v>1</v>
      </c>
      <c r="C15" s="6" t="s">
        <v>120</v>
      </c>
      <c r="D15" t="s">
        <v>123</v>
      </c>
      <c r="E15" s="6" t="s">
        <v>124</v>
      </c>
      <c r="F15" t="s">
        <v>15</v>
      </c>
      <c r="G15" s="6" t="s">
        <v>16</v>
      </c>
      <c r="H15">
        <v>1</v>
      </c>
      <c r="J15" s="25" t="str">
        <v>Mesa Reuniones Tipo II</v>
      </c>
      <c r="K15" s="26">
        <f t="shared" si="0"/>
        <v>201009</v>
      </c>
      <c r="L15" s="43">
        <f t="shared" si="1"/>
        <v>2</v>
      </c>
    </row>
    <row r="16" spans="2:12" ht="15.75" thickBot="1" x14ac:dyDescent="0.3">
      <c r="B16" s="3">
        <v>1</v>
      </c>
      <c r="C16" s="6" t="s">
        <v>120</v>
      </c>
      <c r="D16" t="s">
        <v>125</v>
      </c>
      <c r="E16" s="6" t="s">
        <v>126</v>
      </c>
      <c r="F16">
        <v>201008</v>
      </c>
      <c r="G16" s="6" t="s">
        <v>29</v>
      </c>
      <c r="H16">
        <v>1</v>
      </c>
      <c r="J16" s="56" t="s">
        <v>82</v>
      </c>
      <c r="K16" s="58"/>
      <c r="L16" s="44">
        <f>SUM(L3:L15)</f>
        <v>166</v>
      </c>
    </row>
    <row r="17" spans="2:8" x14ac:dyDescent="0.25">
      <c r="B17" s="3">
        <v>1</v>
      </c>
      <c r="C17" s="6" t="s">
        <v>120</v>
      </c>
      <c r="D17" t="s">
        <v>125</v>
      </c>
      <c r="E17" s="6" t="s">
        <v>126</v>
      </c>
      <c r="F17" t="s">
        <v>13</v>
      </c>
      <c r="G17" s="6" t="s">
        <v>14</v>
      </c>
      <c r="H17">
        <v>1</v>
      </c>
    </row>
    <row r="18" spans="2:8" x14ac:dyDescent="0.25">
      <c r="B18" s="3">
        <v>1</v>
      </c>
      <c r="C18" s="6" t="s">
        <v>120</v>
      </c>
      <c r="D18" t="s">
        <v>125</v>
      </c>
      <c r="E18" s="6" t="s">
        <v>126</v>
      </c>
      <c r="F18" t="s">
        <v>15</v>
      </c>
      <c r="G18" s="6" t="s">
        <v>16</v>
      </c>
      <c r="H18">
        <v>1</v>
      </c>
    </row>
    <row r="19" spans="2:8" x14ac:dyDescent="0.25">
      <c r="B19" s="3">
        <v>1</v>
      </c>
      <c r="C19" s="6" t="s">
        <v>120</v>
      </c>
      <c r="D19" t="s">
        <v>127</v>
      </c>
      <c r="E19" s="6" t="s">
        <v>128</v>
      </c>
      <c r="F19">
        <v>201008</v>
      </c>
      <c r="G19" s="6" t="s">
        <v>29</v>
      </c>
      <c r="H19">
        <v>1</v>
      </c>
    </row>
    <row r="20" spans="2:8" x14ac:dyDescent="0.25">
      <c r="B20" s="3">
        <v>1</v>
      </c>
      <c r="C20" s="6" t="s">
        <v>120</v>
      </c>
      <c r="D20" t="s">
        <v>127</v>
      </c>
      <c r="E20" s="6" t="s">
        <v>128</v>
      </c>
      <c r="F20" t="s">
        <v>13</v>
      </c>
      <c r="G20" s="6" t="s">
        <v>14</v>
      </c>
      <c r="H20">
        <v>1</v>
      </c>
    </row>
    <row r="21" spans="2:8" x14ac:dyDescent="0.25">
      <c r="B21" s="3">
        <v>1</v>
      </c>
      <c r="C21" s="6" t="s">
        <v>120</v>
      </c>
      <c r="D21" t="s">
        <v>127</v>
      </c>
      <c r="E21" s="6" t="s">
        <v>128</v>
      </c>
      <c r="F21" t="s">
        <v>15</v>
      </c>
      <c r="G21" s="6" t="s">
        <v>16</v>
      </c>
      <c r="H21">
        <v>1</v>
      </c>
    </row>
    <row r="22" spans="2:8" x14ac:dyDescent="0.25">
      <c r="B22" s="3">
        <v>1</v>
      </c>
      <c r="C22" s="6" t="s">
        <v>120</v>
      </c>
      <c r="D22" t="s">
        <v>129</v>
      </c>
      <c r="E22" s="6" t="s">
        <v>130</v>
      </c>
      <c r="F22">
        <v>201008</v>
      </c>
      <c r="G22" s="6" t="s">
        <v>29</v>
      </c>
      <c r="H22">
        <v>1</v>
      </c>
    </row>
    <row r="23" spans="2:8" x14ac:dyDescent="0.25">
      <c r="B23" s="3">
        <v>1</v>
      </c>
      <c r="C23" s="6" t="s">
        <v>120</v>
      </c>
      <c r="D23" t="s">
        <v>129</v>
      </c>
      <c r="E23" s="6" t="s">
        <v>130</v>
      </c>
      <c r="F23" t="s">
        <v>13</v>
      </c>
      <c r="G23" s="6" t="s">
        <v>14</v>
      </c>
      <c r="H23">
        <v>1</v>
      </c>
    </row>
    <row r="24" spans="2:8" x14ac:dyDescent="0.25">
      <c r="B24" s="3">
        <v>1</v>
      </c>
      <c r="C24" s="6" t="s">
        <v>120</v>
      </c>
      <c r="D24" t="s">
        <v>129</v>
      </c>
      <c r="E24" s="6" t="s">
        <v>130</v>
      </c>
      <c r="F24" t="s">
        <v>15</v>
      </c>
      <c r="G24" s="6" t="s">
        <v>16</v>
      </c>
      <c r="H24">
        <v>1</v>
      </c>
    </row>
    <row r="25" spans="2:8" x14ac:dyDescent="0.25">
      <c r="B25" s="3">
        <v>1</v>
      </c>
      <c r="C25" s="6" t="s">
        <v>120</v>
      </c>
      <c r="D25" t="s">
        <v>131</v>
      </c>
      <c r="E25" s="6" t="s">
        <v>132</v>
      </c>
      <c r="F25" t="s">
        <v>23</v>
      </c>
      <c r="G25" s="6" t="s">
        <v>24</v>
      </c>
      <c r="H25">
        <v>1</v>
      </c>
    </row>
    <row r="26" spans="2:8" x14ac:dyDescent="0.25">
      <c r="B26" s="3">
        <v>1</v>
      </c>
      <c r="C26" s="6" t="s">
        <v>120</v>
      </c>
      <c r="D26" t="s">
        <v>133</v>
      </c>
      <c r="E26" s="6" t="s">
        <v>134</v>
      </c>
      <c r="F26" t="s">
        <v>23</v>
      </c>
      <c r="G26" s="6" t="s">
        <v>24</v>
      </c>
      <c r="H26">
        <v>1</v>
      </c>
    </row>
    <row r="27" spans="2:8" x14ac:dyDescent="0.25">
      <c r="B27" s="3">
        <v>1</v>
      </c>
      <c r="C27" s="6" t="s">
        <v>120</v>
      </c>
      <c r="D27" t="s">
        <v>135</v>
      </c>
      <c r="E27" s="6" t="s">
        <v>130</v>
      </c>
      <c r="F27" t="s">
        <v>23</v>
      </c>
      <c r="G27" s="6" t="s">
        <v>24</v>
      </c>
      <c r="H27">
        <v>1</v>
      </c>
    </row>
    <row r="28" spans="2:8" x14ac:dyDescent="0.25">
      <c r="B28" s="3">
        <v>1</v>
      </c>
      <c r="C28" s="6" t="s">
        <v>120</v>
      </c>
      <c r="D28" t="s">
        <v>135</v>
      </c>
      <c r="E28" s="6" t="s">
        <v>130</v>
      </c>
      <c r="F28" t="s">
        <v>15</v>
      </c>
      <c r="G28" s="6" t="s">
        <v>16</v>
      </c>
      <c r="H28">
        <v>1</v>
      </c>
    </row>
    <row r="29" spans="2:8" x14ac:dyDescent="0.25">
      <c r="B29" s="3">
        <v>1</v>
      </c>
      <c r="C29" s="6" t="s">
        <v>120</v>
      </c>
      <c r="D29" t="s">
        <v>136</v>
      </c>
      <c r="E29" s="6" t="s">
        <v>137</v>
      </c>
      <c r="F29">
        <v>201008</v>
      </c>
      <c r="G29" s="6" t="s">
        <v>29</v>
      </c>
      <c r="H29">
        <v>1</v>
      </c>
    </row>
    <row r="30" spans="2:8" x14ac:dyDescent="0.25">
      <c r="B30" s="3">
        <v>1</v>
      </c>
      <c r="C30" s="6" t="s">
        <v>120</v>
      </c>
      <c r="D30" t="s">
        <v>136</v>
      </c>
      <c r="E30" s="6" t="s">
        <v>137</v>
      </c>
      <c r="F30" t="s">
        <v>23</v>
      </c>
      <c r="G30" s="6" t="s">
        <v>24</v>
      </c>
      <c r="H30">
        <v>3</v>
      </c>
    </row>
    <row r="31" spans="2:8" x14ac:dyDescent="0.25">
      <c r="B31" s="3">
        <v>1</v>
      </c>
      <c r="C31" s="6" t="s">
        <v>120</v>
      </c>
      <c r="D31" t="s">
        <v>136</v>
      </c>
      <c r="E31" s="6" t="s">
        <v>137</v>
      </c>
      <c r="F31" t="s">
        <v>15</v>
      </c>
      <c r="G31" s="6" t="s">
        <v>16</v>
      </c>
      <c r="H31">
        <v>3</v>
      </c>
    </row>
    <row r="32" spans="2:8" x14ac:dyDescent="0.25">
      <c r="B32" s="3">
        <v>1</v>
      </c>
      <c r="C32" s="6" t="s">
        <v>120</v>
      </c>
      <c r="D32" t="s">
        <v>138</v>
      </c>
      <c r="E32" s="6" t="s">
        <v>139</v>
      </c>
      <c r="F32" t="s">
        <v>13</v>
      </c>
      <c r="G32" s="6" t="s">
        <v>14</v>
      </c>
      <c r="H32">
        <v>2</v>
      </c>
    </row>
    <row r="33" spans="2:8" x14ac:dyDescent="0.25">
      <c r="B33" s="3">
        <v>1</v>
      </c>
      <c r="C33" s="6" t="s">
        <v>120</v>
      </c>
      <c r="D33" t="s">
        <v>138</v>
      </c>
      <c r="E33" s="6" t="s">
        <v>139</v>
      </c>
      <c r="F33" t="s">
        <v>15</v>
      </c>
      <c r="G33" s="6" t="s">
        <v>16</v>
      </c>
      <c r="H33">
        <v>2</v>
      </c>
    </row>
    <row r="34" spans="2:8" x14ac:dyDescent="0.25">
      <c r="B34" s="3">
        <v>1</v>
      </c>
      <c r="C34" s="6" t="s">
        <v>120</v>
      </c>
      <c r="D34" t="s">
        <v>140</v>
      </c>
      <c r="E34" s="6" t="s">
        <v>141</v>
      </c>
      <c r="F34" t="s">
        <v>13</v>
      </c>
      <c r="G34" s="6" t="s">
        <v>14</v>
      </c>
      <c r="H34">
        <v>2</v>
      </c>
    </row>
    <row r="35" spans="2:8" x14ac:dyDescent="0.25">
      <c r="B35" s="3">
        <v>1</v>
      </c>
      <c r="C35" s="6" t="s">
        <v>120</v>
      </c>
      <c r="D35" t="s">
        <v>140</v>
      </c>
      <c r="E35" s="6" t="s">
        <v>141</v>
      </c>
      <c r="F35" t="s">
        <v>15</v>
      </c>
      <c r="G35" s="6" t="s">
        <v>16</v>
      </c>
      <c r="H35">
        <v>2</v>
      </c>
    </row>
    <row r="36" spans="2:8" x14ac:dyDescent="0.25">
      <c r="B36" s="3">
        <v>1</v>
      </c>
      <c r="C36" s="6" t="s">
        <v>120</v>
      </c>
      <c r="D36" t="s">
        <v>143</v>
      </c>
      <c r="E36" s="6" t="s">
        <v>144</v>
      </c>
      <c r="F36">
        <v>201008</v>
      </c>
      <c r="G36" s="6" t="s">
        <v>29</v>
      </c>
      <c r="H36">
        <v>1</v>
      </c>
    </row>
    <row r="37" spans="2:8" x14ac:dyDescent="0.25">
      <c r="B37" s="3">
        <v>1</v>
      </c>
      <c r="C37" s="6" t="s">
        <v>120</v>
      </c>
      <c r="D37" t="s">
        <v>143</v>
      </c>
      <c r="E37" s="6" t="s">
        <v>144</v>
      </c>
      <c r="F37" t="s">
        <v>13</v>
      </c>
      <c r="G37" s="6" t="s">
        <v>14</v>
      </c>
      <c r="H37">
        <v>1</v>
      </c>
    </row>
    <row r="38" spans="2:8" x14ac:dyDescent="0.25">
      <c r="B38" s="3">
        <v>1</v>
      </c>
      <c r="C38" s="6" t="s">
        <v>120</v>
      </c>
      <c r="D38" t="s">
        <v>143</v>
      </c>
      <c r="E38" s="6" t="s">
        <v>144</v>
      </c>
      <c r="F38" t="s">
        <v>15</v>
      </c>
      <c r="G38" s="6" t="s">
        <v>16</v>
      </c>
      <c r="H38">
        <v>1</v>
      </c>
    </row>
    <row r="39" spans="2:8" x14ac:dyDescent="0.25">
      <c r="B39" s="3">
        <v>1</v>
      </c>
      <c r="C39" s="6" t="s">
        <v>120</v>
      </c>
      <c r="D39" t="s">
        <v>145</v>
      </c>
      <c r="E39" s="6" t="s">
        <v>146</v>
      </c>
      <c r="F39" t="s">
        <v>13</v>
      </c>
      <c r="G39" s="6" t="s">
        <v>14</v>
      </c>
      <c r="H39">
        <v>1</v>
      </c>
    </row>
    <row r="40" spans="2:8" x14ac:dyDescent="0.25">
      <c r="B40" s="3">
        <v>1</v>
      </c>
      <c r="C40" s="6" t="s">
        <v>120</v>
      </c>
      <c r="D40" t="s">
        <v>145</v>
      </c>
      <c r="E40" s="6" t="s">
        <v>146</v>
      </c>
      <c r="F40" t="s">
        <v>15</v>
      </c>
      <c r="G40" s="6" t="s">
        <v>16</v>
      </c>
      <c r="H40">
        <v>1</v>
      </c>
    </row>
    <row r="41" spans="2:8" x14ac:dyDescent="0.25">
      <c r="B41" s="3">
        <v>1</v>
      </c>
      <c r="C41" s="6" t="s">
        <v>120</v>
      </c>
      <c r="D41" t="s">
        <v>147</v>
      </c>
      <c r="E41" s="6" t="s">
        <v>148</v>
      </c>
      <c r="F41" t="s">
        <v>23</v>
      </c>
      <c r="G41" s="6" t="s">
        <v>24</v>
      </c>
      <c r="H41">
        <v>2</v>
      </c>
    </row>
    <row r="42" spans="2:8" x14ac:dyDescent="0.25">
      <c r="B42" s="3">
        <v>1</v>
      </c>
      <c r="C42" s="6" t="s">
        <v>120</v>
      </c>
      <c r="D42" t="s">
        <v>147</v>
      </c>
      <c r="E42" s="6" t="s">
        <v>148</v>
      </c>
      <c r="F42" t="s">
        <v>15</v>
      </c>
      <c r="G42" s="6" t="s">
        <v>16</v>
      </c>
      <c r="H42">
        <v>2</v>
      </c>
    </row>
    <row r="43" spans="2:8" x14ac:dyDescent="0.25">
      <c r="B43" s="3">
        <v>1</v>
      </c>
      <c r="C43" s="6" t="s">
        <v>120</v>
      </c>
      <c r="D43" t="s">
        <v>149</v>
      </c>
      <c r="E43" s="6" t="s">
        <v>150</v>
      </c>
      <c r="F43" t="s">
        <v>13</v>
      </c>
      <c r="G43" s="6" t="s">
        <v>14</v>
      </c>
      <c r="H43">
        <v>1</v>
      </c>
    </row>
    <row r="44" spans="2:8" x14ac:dyDescent="0.25">
      <c r="B44" s="3">
        <v>1</v>
      </c>
      <c r="C44" s="6" t="s">
        <v>120</v>
      </c>
      <c r="D44" t="s">
        <v>149</v>
      </c>
      <c r="E44" s="6" t="s">
        <v>150</v>
      </c>
      <c r="F44" t="s">
        <v>15</v>
      </c>
      <c r="G44" s="6" t="s">
        <v>16</v>
      </c>
      <c r="H44">
        <v>1</v>
      </c>
    </row>
    <row r="45" spans="2:8" x14ac:dyDescent="0.25">
      <c r="B45" s="3">
        <v>1</v>
      </c>
      <c r="C45" s="6" t="s">
        <v>120</v>
      </c>
      <c r="D45" t="s">
        <v>151</v>
      </c>
      <c r="E45" s="6" t="s">
        <v>152</v>
      </c>
      <c r="F45" t="s">
        <v>13</v>
      </c>
      <c r="G45" s="6" t="s">
        <v>14</v>
      </c>
      <c r="H45">
        <v>2</v>
      </c>
    </row>
    <row r="46" spans="2:8" x14ac:dyDescent="0.25">
      <c r="B46" s="3">
        <v>1</v>
      </c>
      <c r="C46" s="6" t="s">
        <v>120</v>
      </c>
      <c r="D46" t="s">
        <v>151</v>
      </c>
      <c r="E46" s="6" t="s">
        <v>152</v>
      </c>
      <c r="F46" t="s">
        <v>15</v>
      </c>
      <c r="G46" s="6" t="s">
        <v>16</v>
      </c>
      <c r="H46">
        <v>2</v>
      </c>
    </row>
    <row r="47" spans="2:8" x14ac:dyDescent="0.25">
      <c r="B47" s="3">
        <v>1</v>
      </c>
      <c r="C47" s="6" t="s">
        <v>120</v>
      </c>
      <c r="D47" t="s">
        <v>153</v>
      </c>
      <c r="E47" s="6" t="s">
        <v>91</v>
      </c>
      <c r="F47" t="s">
        <v>49</v>
      </c>
      <c r="G47" s="6" t="s">
        <v>50</v>
      </c>
      <c r="H47">
        <v>1</v>
      </c>
    </row>
    <row r="48" spans="2:8" x14ac:dyDescent="0.25">
      <c r="B48" s="3">
        <v>1</v>
      </c>
      <c r="C48" s="6" t="s">
        <v>120</v>
      </c>
      <c r="D48" t="s">
        <v>155</v>
      </c>
      <c r="E48" s="6" t="s">
        <v>156</v>
      </c>
      <c r="F48" t="s">
        <v>13</v>
      </c>
      <c r="G48" s="6" t="s">
        <v>14</v>
      </c>
      <c r="H48">
        <v>1</v>
      </c>
    </row>
    <row r="49" spans="2:8" x14ac:dyDescent="0.25">
      <c r="B49" s="3">
        <v>1</v>
      </c>
      <c r="C49" s="6" t="s">
        <v>120</v>
      </c>
      <c r="D49" t="s">
        <v>155</v>
      </c>
      <c r="E49" s="6" t="s">
        <v>156</v>
      </c>
      <c r="F49" t="s">
        <v>15</v>
      </c>
      <c r="G49" s="6" t="s">
        <v>16</v>
      </c>
      <c r="H49">
        <v>1</v>
      </c>
    </row>
    <row r="50" spans="2:8" x14ac:dyDescent="0.25">
      <c r="B50" s="3">
        <v>1</v>
      </c>
      <c r="C50" s="6" t="s">
        <v>120</v>
      </c>
      <c r="D50" t="s">
        <v>157</v>
      </c>
      <c r="E50" s="6" t="s">
        <v>158</v>
      </c>
      <c r="F50" t="s">
        <v>23</v>
      </c>
      <c r="G50" s="6" t="s">
        <v>24</v>
      </c>
      <c r="H50">
        <v>2</v>
      </c>
    </row>
    <row r="51" spans="2:8" x14ac:dyDescent="0.25">
      <c r="B51" s="3">
        <v>1</v>
      </c>
      <c r="C51" s="6" t="s">
        <v>120</v>
      </c>
      <c r="D51" t="s">
        <v>157</v>
      </c>
      <c r="E51" s="6" t="s">
        <v>158</v>
      </c>
      <c r="F51" t="s">
        <v>15</v>
      </c>
      <c r="G51" s="6" t="s">
        <v>16</v>
      </c>
      <c r="H51">
        <v>2</v>
      </c>
    </row>
    <row r="52" spans="2:8" x14ac:dyDescent="0.25">
      <c r="B52" s="3">
        <v>1</v>
      </c>
      <c r="C52" s="6" t="s">
        <v>120</v>
      </c>
      <c r="D52" t="s">
        <v>161</v>
      </c>
      <c r="E52" s="6" t="s">
        <v>91</v>
      </c>
      <c r="F52" t="s">
        <v>49</v>
      </c>
      <c r="G52" s="6" t="s">
        <v>50</v>
      </c>
      <c r="H52">
        <v>2</v>
      </c>
    </row>
    <row r="53" spans="2:8" x14ac:dyDescent="0.25">
      <c r="B53" s="3">
        <v>1</v>
      </c>
      <c r="C53" s="6" t="s">
        <v>162</v>
      </c>
      <c r="D53" t="s">
        <v>163</v>
      </c>
      <c r="E53" s="6" t="s">
        <v>164</v>
      </c>
      <c r="F53">
        <v>201008</v>
      </c>
      <c r="G53" s="6" t="s">
        <v>29</v>
      </c>
      <c r="H53">
        <v>1</v>
      </c>
    </row>
    <row r="54" spans="2:8" x14ac:dyDescent="0.25">
      <c r="B54" s="3">
        <v>1</v>
      </c>
      <c r="C54" s="6" t="s">
        <v>162</v>
      </c>
      <c r="D54" t="s">
        <v>163</v>
      </c>
      <c r="E54" s="6" t="s">
        <v>164</v>
      </c>
      <c r="F54" t="s">
        <v>13</v>
      </c>
      <c r="G54" s="6" t="s">
        <v>14</v>
      </c>
      <c r="H54">
        <v>1</v>
      </c>
    </row>
    <row r="55" spans="2:8" x14ac:dyDescent="0.25">
      <c r="B55" s="3">
        <v>1</v>
      </c>
      <c r="C55" s="6" t="s">
        <v>162</v>
      </c>
      <c r="D55" t="s">
        <v>163</v>
      </c>
      <c r="E55" s="6" t="s">
        <v>164</v>
      </c>
      <c r="F55" t="s">
        <v>15</v>
      </c>
      <c r="G55" s="6" t="s">
        <v>16</v>
      </c>
      <c r="H55">
        <v>1</v>
      </c>
    </row>
    <row r="56" spans="2:8" x14ac:dyDescent="0.25">
      <c r="B56" s="3">
        <v>1</v>
      </c>
      <c r="C56" s="6" t="s">
        <v>162</v>
      </c>
      <c r="D56" t="s">
        <v>165</v>
      </c>
      <c r="E56" s="6" t="s">
        <v>166</v>
      </c>
      <c r="F56" t="s">
        <v>13</v>
      </c>
      <c r="G56" s="6" t="s">
        <v>14</v>
      </c>
      <c r="H56">
        <v>1</v>
      </c>
    </row>
    <row r="57" spans="2:8" x14ac:dyDescent="0.25">
      <c r="B57" s="3">
        <v>1</v>
      </c>
      <c r="C57" s="6" t="s">
        <v>162</v>
      </c>
      <c r="D57" t="s">
        <v>165</v>
      </c>
      <c r="E57" s="6" t="s">
        <v>166</v>
      </c>
      <c r="F57" t="s">
        <v>15</v>
      </c>
      <c r="G57" s="6" t="s">
        <v>16</v>
      </c>
      <c r="H57">
        <v>1</v>
      </c>
    </row>
    <row r="58" spans="2:8" x14ac:dyDescent="0.25">
      <c r="B58" s="3">
        <v>1</v>
      </c>
      <c r="C58" s="6" t="s">
        <v>162</v>
      </c>
      <c r="D58" t="s">
        <v>167</v>
      </c>
      <c r="E58" s="6" t="s">
        <v>168</v>
      </c>
      <c r="F58">
        <v>201008</v>
      </c>
      <c r="G58" s="6" t="s">
        <v>29</v>
      </c>
      <c r="H58">
        <v>1</v>
      </c>
    </row>
    <row r="59" spans="2:8" x14ac:dyDescent="0.25">
      <c r="B59" s="3">
        <v>1</v>
      </c>
      <c r="C59" s="6" t="s">
        <v>162</v>
      </c>
      <c r="D59" t="s">
        <v>167</v>
      </c>
      <c r="E59" s="6" t="s">
        <v>168</v>
      </c>
      <c r="F59" t="s">
        <v>13</v>
      </c>
      <c r="G59" s="6" t="s">
        <v>14</v>
      </c>
      <c r="H59">
        <v>1</v>
      </c>
    </row>
    <row r="60" spans="2:8" x14ac:dyDescent="0.25">
      <c r="B60" s="3">
        <v>1</v>
      </c>
      <c r="C60" s="6" t="s">
        <v>162</v>
      </c>
      <c r="D60" t="s">
        <v>167</v>
      </c>
      <c r="E60" s="6" t="s">
        <v>168</v>
      </c>
      <c r="F60" t="s">
        <v>15</v>
      </c>
      <c r="G60" s="6" t="s">
        <v>16</v>
      </c>
      <c r="H60">
        <v>1</v>
      </c>
    </row>
    <row r="61" spans="2:8" x14ac:dyDescent="0.25">
      <c r="B61" s="3">
        <v>1</v>
      </c>
      <c r="C61" s="6" t="s">
        <v>162</v>
      </c>
      <c r="D61" t="s">
        <v>170</v>
      </c>
      <c r="E61" s="6" t="s">
        <v>171</v>
      </c>
      <c r="F61" t="s">
        <v>19</v>
      </c>
      <c r="G61" s="6" t="s">
        <v>20</v>
      </c>
      <c r="H61">
        <v>1</v>
      </c>
    </row>
    <row r="62" spans="2:8" x14ac:dyDescent="0.25">
      <c r="B62" s="3">
        <v>1</v>
      </c>
      <c r="C62" s="6" t="s">
        <v>162</v>
      </c>
      <c r="D62" t="s">
        <v>172</v>
      </c>
      <c r="E62" s="6" t="s">
        <v>173</v>
      </c>
      <c r="F62" t="s">
        <v>19</v>
      </c>
      <c r="G62" s="6" t="s">
        <v>20</v>
      </c>
      <c r="H62">
        <v>1</v>
      </c>
    </row>
    <row r="63" spans="2:8" x14ac:dyDescent="0.25">
      <c r="B63" s="3">
        <v>1</v>
      </c>
      <c r="C63" s="6" t="s">
        <v>162</v>
      </c>
      <c r="D63" t="s">
        <v>174</v>
      </c>
      <c r="E63" s="6" t="s">
        <v>175</v>
      </c>
      <c r="F63" t="s">
        <v>19</v>
      </c>
      <c r="G63" s="6" t="s">
        <v>20</v>
      </c>
      <c r="H63">
        <v>1</v>
      </c>
    </row>
    <row r="64" spans="2:8" x14ac:dyDescent="0.25">
      <c r="B64" s="3">
        <v>1</v>
      </c>
      <c r="C64" s="6" t="s">
        <v>180</v>
      </c>
      <c r="D64" t="s">
        <v>181</v>
      </c>
      <c r="E64" s="6" t="s">
        <v>182</v>
      </c>
      <c r="F64" t="s">
        <v>13</v>
      </c>
      <c r="G64" s="6" t="s">
        <v>14</v>
      </c>
      <c r="H64">
        <v>1</v>
      </c>
    </row>
    <row r="65" spans="2:8" x14ac:dyDescent="0.25">
      <c r="B65" s="3">
        <v>1</v>
      </c>
      <c r="C65" s="6" t="s">
        <v>180</v>
      </c>
      <c r="D65" t="s">
        <v>181</v>
      </c>
      <c r="E65" s="6" t="s">
        <v>182</v>
      </c>
      <c r="F65" t="s">
        <v>15</v>
      </c>
      <c r="G65" s="6" t="s">
        <v>16</v>
      </c>
      <c r="H65">
        <v>1</v>
      </c>
    </row>
    <row r="66" spans="2:8" x14ac:dyDescent="0.25">
      <c r="B66" s="3">
        <v>1</v>
      </c>
      <c r="C66" s="6" t="s">
        <v>180</v>
      </c>
      <c r="D66" t="s">
        <v>183</v>
      </c>
      <c r="E66" s="6" t="s">
        <v>184</v>
      </c>
      <c r="F66" t="s">
        <v>13</v>
      </c>
      <c r="G66" s="6" t="s">
        <v>14</v>
      </c>
      <c r="H66">
        <v>1</v>
      </c>
    </row>
    <row r="67" spans="2:8" x14ac:dyDescent="0.25">
      <c r="B67" s="3">
        <v>1</v>
      </c>
      <c r="C67" s="6" t="s">
        <v>180</v>
      </c>
      <c r="D67" t="s">
        <v>183</v>
      </c>
      <c r="E67" s="6" t="s">
        <v>184</v>
      </c>
      <c r="F67" t="s">
        <v>15</v>
      </c>
      <c r="G67" s="6" t="s">
        <v>16</v>
      </c>
      <c r="H67">
        <v>1</v>
      </c>
    </row>
    <row r="68" spans="2:8" x14ac:dyDescent="0.25">
      <c r="B68" s="3">
        <v>1</v>
      </c>
      <c r="C68" s="6" t="s">
        <v>180</v>
      </c>
      <c r="D68" t="s">
        <v>185</v>
      </c>
      <c r="E68" s="6" t="s">
        <v>186</v>
      </c>
      <c r="F68" t="s">
        <v>23</v>
      </c>
      <c r="G68" s="6" t="s">
        <v>24</v>
      </c>
      <c r="H68">
        <v>1</v>
      </c>
    </row>
    <row r="69" spans="2:8" x14ac:dyDescent="0.25">
      <c r="B69" s="3">
        <v>1</v>
      </c>
      <c r="C69" s="6" t="s">
        <v>180</v>
      </c>
      <c r="D69" t="s">
        <v>185</v>
      </c>
      <c r="E69" s="6" t="s">
        <v>186</v>
      </c>
      <c r="F69" t="s">
        <v>15</v>
      </c>
      <c r="G69" s="6" t="s">
        <v>16</v>
      </c>
      <c r="H69">
        <v>1</v>
      </c>
    </row>
    <row r="70" spans="2:8" x14ac:dyDescent="0.25">
      <c r="B70" s="3">
        <v>1</v>
      </c>
      <c r="C70" s="6" t="s">
        <v>180</v>
      </c>
      <c r="D70" t="s">
        <v>187</v>
      </c>
      <c r="E70" s="6" t="s">
        <v>188</v>
      </c>
      <c r="F70" t="s">
        <v>23</v>
      </c>
      <c r="G70" s="6" t="s">
        <v>24</v>
      </c>
      <c r="H70">
        <v>6</v>
      </c>
    </row>
    <row r="71" spans="2:8" x14ac:dyDescent="0.25">
      <c r="B71" s="3">
        <v>1</v>
      </c>
      <c r="C71" s="6" t="s">
        <v>180</v>
      </c>
      <c r="D71" t="s">
        <v>187</v>
      </c>
      <c r="E71" s="6" t="s">
        <v>188</v>
      </c>
      <c r="F71" t="s">
        <v>15</v>
      </c>
      <c r="G71" s="6" t="s">
        <v>16</v>
      </c>
      <c r="H71">
        <v>4</v>
      </c>
    </row>
    <row r="72" spans="2:8" x14ac:dyDescent="0.25">
      <c r="B72" s="3">
        <v>1</v>
      </c>
      <c r="C72" s="6" t="s">
        <v>180</v>
      </c>
      <c r="D72" t="s">
        <v>189</v>
      </c>
      <c r="E72" s="6" t="s">
        <v>190</v>
      </c>
      <c r="F72" t="s">
        <v>23</v>
      </c>
      <c r="G72" s="6" t="s">
        <v>24</v>
      </c>
      <c r="H72">
        <v>3</v>
      </c>
    </row>
    <row r="73" spans="2:8" x14ac:dyDescent="0.25">
      <c r="B73" s="3">
        <v>1</v>
      </c>
      <c r="C73" s="6" t="s">
        <v>180</v>
      </c>
      <c r="D73" t="s">
        <v>189</v>
      </c>
      <c r="E73" s="6" t="s">
        <v>190</v>
      </c>
      <c r="F73" t="s">
        <v>15</v>
      </c>
      <c r="G73" s="6" t="s">
        <v>16</v>
      </c>
      <c r="H73">
        <v>3</v>
      </c>
    </row>
    <row r="74" spans="2:8" x14ac:dyDescent="0.25">
      <c r="B74" s="3">
        <v>1</v>
      </c>
      <c r="C74" s="6" t="s">
        <v>180</v>
      </c>
      <c r="D74" t="s">
        <v>191</v>
      </c>
      <c r="E74" s="6" t="s">
        <v>91</v>
      </c>
      <c r="F74" t="s">
        <v>49</v>
      </c>
      <c r="G74" s="6" t="s">
        <v>50</v>
      </c>
      <c r="H74">
        <v>1</v>
      </c>
    </row>
    <row r="75" spans="2:8" x14ac:dyDescent="0.25">
      <c r="B75" s="3">
        <v>1</v>
      </c>
      <c r="C75" s="6" t="s">
        <v>180</v>
      </c>
      <c r="D75" t="s">
        <v>192</v>
      </c>
      <c r="E75" s="6" t="s">
        <v>193</v>
      </c>
      <c r="F75" t="s">
        <v>23</v>
      </c>
      <c r="G75" s="6" t="s">
        <v>24</v>
      </c>
      <c r="H75">
        <v>1</v>
      </c>
    </row>
    <row r="76" spans="2:8" x14ac:dyDescent="0.25">
      <c r="B76" s="3">
        <v>1</v>
      </c>
      <c r="C76" s="6" t="s">
        <v>180</v>
      </c>
      <c r="D76" t="s">
        <v>194</v>
      </c>
      <c r="E76" s="6" t="s">
        <v>195</v>
      </c>
      <c r="F76" t="s">
        <v>23</v>
      </c>
      <c r="G76" s="6" t="s">
        <v>24</v>
      </c>
      <c r="H76">
        <v>1</v>
      </c>
    </row>
    <row r="77" spans="2:8" x14ac:dyDescent="0.25">
      <c r="B77" s="3">
        <v>1</v>
      </c>
      <c r="C77" s="6" t="s">
        <v>180</v>
      </c>
      <c r="D77" t="s">
        <v>196</v>
      </c>
      <c r="E77" s="6" t="s">
        <v>195</v>
      </c>
      <c r="F77" t="s">
        <v>23</v>
      </c>
      <c r="G77" s="6" t="s">
        <v>24</v>
      </c>
      <c r="H77">
        <v>1</v>
      </c>
    </row>
    <row r="78" spans="2:8" x14ac:dyDescent="0.25">
      <c r="B78" s="3">
        <v>1</v>
      </c>
      <c r="C78" s="6" t="s">
        <v>197</v>
      </c>
      <c r="D78" t="s">
        <v>198</v>
      </c>
      <c r="E78" s="6" t="s">
        <v>199</v>
      </c>
      <c r="F78" t="s">
        <v>23</v>
      </c>
      <c r="G78" s="6" t="s">
        <v>24</v>
      </c>
      <c r="H78">
        <v>1</v>
      </c>
    </row>
    <row r="79" spans="2:8" x14ac:dyDescent="0.25">
      <c r="B79" s="3">
        <v>1</v>
      </c>
      <c r="C79" s="6" t="s">
        <v>197</v>
      </c>
      <c r="D79" t="s">
        <v>198</v>
      </c>
      <c r="E79" s="6" t="s">
        <v>199</v>
      </c>
      <c r="F79" t="s">
        <v>15</v>
      </c>
      <c r="G79" s="6" t="s">
        <v>16</v>
      </c>
      <c r="H79">
        <v>1</v>
      </c>
    </row>
    <row r="80" spans="2:8" x14ac:dyDescent="0.25">
      <c r="B80" s="3">
        <v>1</v>
      </c>
      <c r="C80" s="6" t="s">
        <v>67</v>
      </c>
      <c r="D80" t="s">
        <v>68</v>
      </c>
      <c r="E80" s="6" t="s">
        <v>69</v>
      </c>
      <c r="F80">
        <v>201002</v>
      </c>
      <c r="G80" s="6" t="s">
        <v>70</v>
      </c>
      <c r="H80">
        <v>1</v>
      </c>
    </row>
    <row r="81" spans="2:8" x14ac:dyDescent="0.25">
      <c r="B81" s="3">
        <v>1</v>
      </c>
      <c r="C81" s="6" t="s">
        <v>67</v>
      </c>
      <c r="D81" t="s">
        <v>71</v>
      </c>
      <c r="E81" s="6" t="s">
        <v>72</v>
      </c>
      <c r="F81" t="s">
        <v>13</v>
      </c>
      <c r="G81" s="6" t="s">
        <v>14</v>
      </c>
      <c r="H81">
        <v>1</v>
      </c>
    </row>
    <row r="82" spans="2:8" x14ac:dyDescent="0.25">
      <c r="B82" s="3">
        <v>1</v>
      </c>
      <c r="C82" s="6" t="s">
        <v>67</v>
      </c>
      <c r="D82" t="s">
        <v>71</v>
      </c>
      <c r="E82" s="6" t="s">
        <v>72</v>
      </c>
      <c r="F82" t="s">
        <v>15</v>
      </c>
      <c r="G82" s="6" t="s">
        <v>16</v>
      </c>
      <c r="H82">
        <v>1</v>
      </c>
    </row>
    <row r="83" spans="2:8" x14ac:dyDescent="0.25">
      <c r="B83" s="3">
        <v>1</v>
      </c>
      <c r="C83" s="6" t="s">
        <v>67</v>
      </c>
      <c r="D83" t="s">
        <v>73</v>
      </c>
      <c r="E83" s="6" t="s">
        <v>74</v>
      </c>
      <c r="F83" t="s">
        <v>23</v>
      </c>
      <c r="G83" s="6" t="s">
        <v>24</v>
      </c>
      <c r="H83">
        <v>1</v>
      </c>
    </row>
    <row r="84" spans="2:8" x14ac:dyDescent="0.25">
      <c r="B84" s="3">
        <v>1</v>
      </c>
      <c r="C84" s="6" t="s">
        <v>209</v>
      </c>
      <c r="D84" t="s">
        <v>210</v>
      </c>
      <c r="E84" s="6" t="s">
        <v>211</v>
      </c>
      <c r="F84">
        <v>201005</v>
      </c>
      <c r="G84" s="6" t="s">
        <v>212</v>
      </c>
      <c r="H84">
        <v>4</v>
      </c>
    </row>
    <row r="85" spans="2:8" x14ac:dyDescent="0.25">
      <c r="B85" s="3">
        <v>1</v>
      </c>
      <c r="C85" s="6" t="s">
        <v>209</v>
      </c>
      <c r="D85" t="s">
        <v>210</v>
      </c>
      <c r="E85" s="6" t="s">
        <v>211</v>
      </c>
      <c r="F85">
        <v>202012</v>
      </c>
      <c r="G85" s="6" t="s">
        <v>215</v>
      </c>
      <c r="H85">
        <v>2</v>
      </c>
    </row>
    <row r="86" spans="2:8" x14ac:dyDescent="0.25">
      <c r="B86" s="3">
        <v>1</v>
      </c>
      <c r="C86" s="6" t="s">
        <v>209</v>
      </c>
      <c r="D86" t="s">
        <v>222</v>
      </c>
      <c r="E86" s="6" t="s">
        <v>223</v>
      </c>
      <c r="F86">
        <v>201005</v>
      </c>
      <c r="G86" s="6" t="s">
        <v>212</v>
      </c>
      <c r="H86">
        <v>4</v>
      </c>
    </row>
    <row r="87" spans="2:8" x14ac:dyDescent="0.25">
      <c r="B87" s="3">
        <v>1</v>
      </c>
      <c r="C87" s="6" t="s">
        <v>209</v>
      </c>
      <c r="D87" t="s">
        <v>222</v>
      </c>
      <c r="E87" s="6" t="s">
        <v>223</v>
      </c>
      <c r="F87">
        <v>202012</v>
      </c>
      <c r="G87" s="6" t="s">
        <v>215</v>
      </c>
      <c r="H87">
        <v>2</v>
      </c>
    </row>
    <row r="88" spans="2:8" x14ac:dyDescent="0.25">
      <c r="B88" s="3">
        <v>1</v>
      </c>
      <c r="C88" s="6" t="s">
        <v>209</v>
      </c>
      <c r="D88" t="s">
        <v>225</v>
      </c>
      <c r="E88" s="6" t="s">
        <v>226</v>
      </c>
      <c r="F88" t="s">
        <v>23</v>
      </c>
      <c r="G88" s="6" t="s">
        <v>24</v>
      </c>
      <c r="H88">
        <v>1</v>
      </c>
    </row>
    <row r="89" spans="2:8" x14ac:dyDescent="0.25">
      <c r="B89" s="3">
        <v>1</v>
      </c>
      <c r="C89" s="6" t="s">
        <v>209</v>
      </c>
      <c r="D89" t="s">
        <v>225</v>
      </c>
      <c r="E89" s="6" t="s">
        <v>226</v>
      </c>
      <c r="F89" t="s">
        <v>15</v>
      </c>
      <c r="G89" s="6" t="s">
        <v>16</v>
      </c>
      <c r="H89">
        <v>1</v>
      </c>
    </row>
    <row r="90" spans="2:8" x14ac:dyDescent="0.25">
      <c r="B90" s="3">
        <v>1</v>
      </c>
      <c r="C90" s="6" t="s">
        <v>209</v>
      </c>
      <c r="D90" t="s">
        <v>227</v>
      </c>
      <c r="E90" s="6" t="s">
        <v>228</v>
      </c>
      <c r="F90" t="s">
        <v>13</v>
      </c>
      <c r="G90" s="6" t="s">
        <v>14</v>
      </c>
      <c r="H90">
        <v>2</v>
      </c>
    </row>
    <row r="91" spans="2:8" x14ac:dyDescent="0.25">
      <c r="B91" s="3">
        <v>1</v>
      </c>
      <c r="C91" s="6" t="s">
        <v>209</v>
      </c>
      <c r="D91" t="s">
        <v>227</v>
      </c>
      <c r="E91" s="6" t="s">
        <v>228</v>
      </c>
      <c r="F91" t="s">
        <v>15</v>
      </c>
      <c r="G91" s="6" t="s">
        <v>16</v>
      </c>
      <c r="H91">
        <v>2</v>
      </c>
    </row>
    <row r="92" spans="2:8" x14ac:dyDescent="0.25">
      <c r="B92" s="3">
        <v>1</v>
      </c>
      <c r="C92" s="6" t="s">
        <v>209</v>
      </c>
      <c r="D92" t="s">
        <v>230</v>
      </c>
      <c r="E92" s="6" t="s">
        <v>231</v>
      </c>
      <c r="F92" t="s">
        <v>19</v>
      </c>
      <c r="G92" s="6" t="s">
        <v>20</v>
      </c>
      <c r="H92">
        <v>1</v>
      </c>
    </row>
    <row r="93" spans="2:8" x14ac:dyDescent="0.25">
      <c r="B93" s="3">
        <v>1</v>
      </c>
      <c r="C93" s="6" t="s">
        <v>209</v>
      </c>
      <c r="D93" t="s">
        <v>230</v>
      </c>
      <c r="E93" s="6" t="s">
        <v>231</v>
      </c>
      <c r="F93" t="s">
        <v>15</v>
      </c>
      <c r="G93" s="6" t="s">
        <v>16</v>
      </c>
      <c r="H93">
        <v>1</v>
      </c>
    </row>
    <row r="94" spans="2:8" x14ac:dyDescent="0.25">
      <c r="B94" s="3">
        <v>1</v>
      </c>
      <c r="C94" s="6" t="s">
        <v>209</v>
      </c>
      <c r="D94" t="s">
        <v>232</v>
      </c>
      <c r="E94" s="6" t="s">
        <v>233</v>
      </c>
      <c r="F94" t="s">
        <v>15</v>
      </c>
      <c r="G94" s="6" t="s">
        <v>16</v>
      </c>
      <c r="H94">
        <v>1</v>
      </c>
    </row>
    <row r="95" spans="2:8" x14ac:dyDescent="0.25">
      <c r="B95" s="3">
        <v>1</v>
      </c>
      <c r="C95" s="6" t="s">
        <v>209</v>
      </c>
      <c r="D95" t="s">
        <v>234</v>
      </c>
      <c r="E95" s="6" t="s">
        <v>235</v>
      </c>
      <c r="F95">
        <v>201003</v>
      </c>
      <c r="G95" s="6" t="s">
        <v>236</v>
      </c>
      <c r="H95">
        <v>1</v>
      </c>
    </row>
    <row r="96" spans="2:8" x14ac:dyDescent="0.25">
      <c r="B96" s="3">
        <v>1</v>
      </c>
      <c r="C96" s="6" t="s">
        <v>209</v>
      </c>
      <c r="D96" t="s">
        <v>234</v>
      </c>
      <c r="E96" s="6" t="s">
        <v>235</v>
      </c>
      <c r="F96">
        <v>201005</v>
      </c>
      <c r="G96" s="6" t="s">
        <v>212</v>
      </c>
      <c r="H96">
        <v>2</v>
      </c>
    </row>
    <row r="97" spans="2:8" x14ac:dyDescent="0.25">
      <c r="B97" s="3">
        <v>1</v>
      </c>
      <c r="C97" s="6" t="s">
        <v>209</v>
      </c>
      <c r="D97" t="s">
        <v>234</v>
      </c>
      <c r="E97" s="6" t="s">
        <v>235</v>
      </c>
      <c r="F97">
        <v>202012</v>
      </c>
      <c r="G97" s="6" t="s">
        <v>215</v>
      </c>
      <c r="H97">
        <v>2</v>
      </c>
    </row>
    <row r="98" spans="2:8" x14ac:dyDescent="0.25">
      <c r="B98" s="3">
        <v>1</v>
      </c>
      <c r="C98" s="6" t="s">
        <v>209</v>
      </c>
      <c r="D98" t="s">
        <v>243</v>
      </c>
      <c r="E98" s="6" t="s">
        <v>244</v>
      </c>
      <c r="F98">
        <v>201003</v>
      </c>
      <c r="G98" s="6" t="s">
        <v>236</v>
      </c>
      <c r="H98">
        <v>1</v>
      </c>
    </row>
    <row r="99" spans="2:8" x14ac:dyDescent="0.25">
      <c r="B99" s="3">
        <v>1</v>
      </c>
      <c r="C99" s="6" t="s">
        <v>209</v>
      </c>
      <c r="D99" t="s">
        <v>243</v>
      </c>
      <c r="E99" s="6" t="s">
        <v>244</v>
      </c>
      <c r="F99">
        <v>201005</v>
      </c>
      <c r="G99" s="6" t="s">
        <v>212</v>
      </c>
      <c r="H99">
        <v>2</v>
      </c>
    </row>
    <row r="100" spans="2:8" x14ac:dyDescent="0.25">
      <c r="B100" s="3">
        <v>1</v>
      </c>
      <c r="C100" s="6" t="s">
        <v>209</v>
      </c>
      <c r="D100" t="s">
        <v>243</v>
      </c>
      <c r="E100" s="6" t="s">
        <v>244</v>
      </c>
      <c r="F100">
        <v>202012</v>
      </c>
      <c r="G100" s="6" t="s">
        <v>215</v>
      </c>
      <c r="H100">
        <v>2</v>
      </c>
    </row>
    <row r="101" spans="2:8" x14ac:dyDescent="0.25">
      <c r="B101" s="3">
        <v>1</v>
      </c>
      <c r="C101" s="6" t="s">
        <v>257</v>
      </c>
      <c r="D101" t="s">
        <v>258</v>
      </c>
      <c r="E101" s="6" t="s">
        <v>259</v>
      </c>
      <c r="F101" t="s">
        <v>19</v>
      </c>
      <c r="G101" s="6" t="s">
        <v>20</v>
      </c>
      <c r="H101">
        <v>1</v>
      </c>
    </row>
    <row r="102" spans="2:8" x14ac:dyDescent="0.25">
      <c r="B102" s="3">
        <v>1</v>
      </c>
      <c r="C102" s="6" t="s">
        <v>257</v>
      </c>
      <c r="D102" t="s">
        <v>260</v>
      </c>
      <c r="E102" s="6" t="s">
        <v>261</v>
      </c>
      <c r="F102" t="s">
        <v>19</v>
      </c>
      <c r="G102" s="6" t="s">
        <v>20</v>
      </c>
      <c r="H102">
        <v>1</v>
      </c>
    </row>
    <row r="103" spans="2:8" x14ac:dyDescent="0.25">
      <c r="B103" s="3">
        <v>1</v>
      </c>
      <c r="C103" s="6" t="s">
        <v>257</v>
      </c>
      <c r="D103" t="s">
        <v>262</v>
      </c>
      <c r="E103" s="6" t="s">
        <v>263</v>
      </c>
      <c r="F103">
        <v>201008</v>
      </c>
      <c r="G103" s="6" t="s">
        <v>29</v>
      </c>
      <c r="H103">
        <v>1</v>
      </c>
    </row>
    <row r="104" spans="2:8" x14ac:dyDescent="0.25">
      <c r="B104" s="3">
        <v>1</v>
      </c>
      <c r="C104" s="6" t="s">
        <v>257</v>
      </c>
      <c r="D104" t="s">
        <v>262</v>
      </c>
      <c r="E104" s="6" t="s">
        <v>263</v>
      </c>
      <c r="F104" t="s">
        <v>13</v>
      </c>
      <c r="G104" s="6" t="s">
        <v>14</v>
      </c>
      <c r="H104">
        <v>1</v>
      </c>
    </row>
    <row r="105" spans="2:8" x14ac:dyDescent="0.25">
      <c r="B105" s="3">
        <v>1</v>
      </c>
      <c r="C105" s="6" t="s">
        <v>257</v>
      </c>
      <c r="D105" t="s">
        <v>262</v>
      </c>
      <c r="E105" s="6" t="s">
        <v>263</v>
      </c>
      <c r="F105" t="s">
        <v>15</v>
      </c>
      <c r="G105" s="6" t="s">
        <v>16</v>
      </c>
      <c r="H105">
        <v>1</v>
      </c>
    </row>
    <row r="106" spans="2:8" x14ac:dyDescent="0.25">
      <c r="B106" s="3">
        <v>1</v>
      </c>
      <c r="C106" s="6" t="s">
        <v>257</v>
      </c>
      <c r="D106" t="s">
        <v>264</v>
      </c>
      <c r="E106" s="6" t="s">
        <v>265</v>
      </c>
      <c r="F106" t="s">
        <v>13</v>
      </c>
      <c r="G106" s="6" t="s">
        <v>14</v>
      </c>
      <c r="H106">
        <v>1</v>
      </c>
    </row>
    <row r="107" spans="2:8" x14ac:dyDescent="0.25">
      <c r="B107" s="3">
        <v>1</v>
      </c>
      <c r="C107" s="6" t="s">
        <v>257</v>
      </c>
      <c r="D107" t="s">
        <v>264</v>
      </c>
      <c r="E107" s="6" t="s">
        <v>265</v>
      </c>
      <c r="F107" t="s">
        <v>15</v>
      </c>
      <c r="G107" s="6" t="s">
        <v>16</v>
      </c>
      <c r="H107">
        <v>1</v>
      </c>
    </row>
    <row r="108" spans="2:8" x14ac:dyDescent="0.25">
      <c r="B108" s="3">
        <v>1</v>
      </c>
      <c r="C108" s="6" t="s">
        <v>257</v>
      </c>
      <c r="D108" t="s">
        <v>266</v>
      </c>
      <c r="E108" s="6" t="s">
        <v>146</v>
      </c>
      <c r="F108" t="s">
        <v>13</v>
      </c>
      <c r="G108" s="6" t="s">
        <v>14</v>
      </c>
      <c r="H108">
        <v>1</v>
      </c>
    </row>
    <row r="109" spans="2:8" x14ac:dyDescent="0.25">
      <c r="B109" s="3">
        <v>1</v>
      </c>
      <c r="C109" s="6" t="s">
        <v>257</v>
      </c>
      <c r="D109" t="s">
        <v>266</v>
      </c>
      <c r="E109" s="6" t="s">
        <v>146</v>
      </c>
      <c r="F109" t="s">
        <v>15</v>
      </c>
      <c r="G109" s="6" t="s">
        <v>16</v>
      </c>
      <c r="H109">
        <v>1</v>
      </c>
    </row>
    <row r="110" spans="2:8" x14ac:dyDescent="0.25">
      <c r="B110" s="3">
        <v>1</v>
      </c>
      <c r="C110" s="6" t="s">
        <v>257</v>
      </c>
      <c r="D110" t="s">
        <v>268</v>
      </c>
      <c r="E110" s="6" t="s">
        <v>269</v>
      </c>
      <c r="F110" t="s">
        <v>23</v>
      </c>
      <c r="G110" s="6" t="s">
        <v>24</v>
      </c>
      <c r="H110">
        <v>1</v>
      </c>
    </row>
    <row r="111" spans="2:8" x14ac:dyDescent="0.25">
      <c r="B111" s="3">
        <v>1</v>
      </c>
      <c r="C111" s="6" t="s">
        <v>257</v>
      </c>
      <c r="D111" t="s">
        <v>268</v>
      </c>
      <c r="E111" s="6" t="s">
        <v>269</v>
      </c>
      <c r="F111" t="s">
        <v>15</v>
      </c>
      <c r="G111" s="6" t="s">
        <v>16</v>
      </c>
      <c r="H111">
        <v>1</v>
      </c>
    </row>
    <row r="112" spans="2:8" x14ac:dyDescent="0.25">
      <c r="B112" s="3">
        <v>1</v>
      </c>
      <c r="C112" s="6" t="s">
        <v>257</v>
      </c>
      <c r="D112" t="s">
        <v>270</v>
      </c>
      <c r="E112" s="6" t="s">
        <v>271</v>
      </c>
      <c r="F112">
        <v>201008</v>
      </c>
      <c r="G112" s="6" t="s">
        <v>29</v>
      </c>
      <c r="H112">
        <v>1</v>
      </c>
    </row>
    <row r="113" spans="2:8" x14ac:dyDescent="0.25">
      <c r="B113" s="3">
        <v>1</v>
      </c>
      <c r="C113" s="6" t="s">
        <v>257</v>
      </c>
      <c r="D113" t="s">
        <v>270</v>
      </c>
      <c r="E113" s="6" t="s">
        <v>271</v>
      </c>
      <c r="F113" t="s">
        <v>15</v>
      </c>
      <c r="G113" s="6" t="s">
        <v>16</v>
      </c>
      <c r="H113">
        <v>1</v>
      </c>
    </row>
    <row r="114" spans="2:8" x14ac:dyDescent="0.25">
      <c r="B114" s="3">
        <v>1</v>
      </c>
      <c r="C114" s="6" t="s">
        <v>257</v>
      </c>
      <c r="D114" t="s">
        <v>274</v>
      </c>
      <c r="E114" s="6" t="s">
        <v>273</v>
      </c>
      <c r="F114" t="s">
        <v>23</v>
      </c>
      <c r="G114" s="6" t="s">
        <v>24</v>
      </c>
      <c r="H114">
        <v>1</v>
      </c>
    </row>
    <row r="115" spans="2:8" x14ac:dyDescent="0.25">
      <c r="B115" s="3">
        <v>1</v>
      </c>
      <c r="C115" s="6" t="s">
        <v>257</v>
      </c>
      <c r="D115" t="s">
        <v>275</v>
      </c>
      <c r="E115" s="6" t="s">
        <v>276</v>
      </c>
      <c r="F115">
        <v>201004</v>
      </c>
      <c r="G115" s="6" t="s">
        <v>41</v>
      </c>
      <c r="H115">
        <v>1</v>
      </c>
    </row>
    <row r="116" spans="2:8" x14ac:dyDescent="0.25">
      <c r="B116" s="3">
        <v>1</v>
      </c>
      <c r="C116" s="6" t="s">
        <v>257</v>
      </c>
      <c r="D116" t="s">
        <v>277</v>
      </c>
      <c r="E116" s="6" t="s">
        <v>278</v>
      </c>
      <c r="F116" t="s">
        <v>23</v>
      </c>
      <c r="G116" s="6" t="s">
        <v>24</v>
      </c>
      <c r="H116">
        <v>1</v>
      </c>
    </row>
    <row r="117" spans="2:8" x14ac:dyDescent="0.25">
      <c r="B117" s="3">
        <v>1</v>
      </c>
      <c r="C117" s="6" t="s">
        <v>257</v>
      </c>
      <c r="D117" t="s">
        <v>279</v>
      </c>
      <c r="E117" s="6" t="s">
        <v>280</v>
      </c>
      <c r="F117" t="s">
        <v>19</v>
      </c>
      <c r="G117" s="6" t="s">
        <v>20</v>
      </c>
      <c r="H117">
        <v>1</v>
      </c>
    </row>
    <row r="118" spans="2:8" x14ac:dyDescent="0.25">
      <c r="B118" s="3">
        <v>1</v>
      </c>
      <c r="C118" s="6" t="s">
        <v>257</v>
      </c>
      <c r="D118" t="s">
        <v>282</v>
      </c>
      <c r="E118" s="6" t="s">
        <v>91</v>
      </c>
      <c r="F118" t="s">
        <v>49</v>
      </c>
      <c r="G118" s="6" t="s">
        <v>50</v>
      </c>
      <c r="H118">
        <v>1</v>
      </c>
    </row>
    <row r="119" spans="2:8" x14ac:dyDescent="0.25">
      <c r="B119" s="3">
        <v>1</v>
      </c>
      <c r="C119" s="6" t="s">
        <v>257</v>
      </c>
      <c r="D119" t="s">
        <v>283</v>
      </c>
      <c r="E119" s="6" t="s">
        <v>91</v>
      </c>
      <c r="F119" t="s">
        <v>49</v>
      </c>
      <c r="G119" s="6" t="s">
        <v>50</v>
      </c>
      <c r="H119">
        <v>1</v>
      </c>
    </row>
    <row r="120" spans="2:8" x14ac:dyDescent="0.25">
      <c r="B120" s="3">
        <v>1</v>
      </c>
      <c r="C120" s="6" t="s">
        <v>257</v>
      </c>
      <c r="D120" t="s">
        <v>284</v>
      </c>
      <c r="E120" s="6" t="s">
        <v>91</v>
      </c>
      <c r="F120" t="s">
        <v>49</v>
      </c>
      <c r="G120" s="6" t="s">
        <v>50</v>
      </c>
      <c r="H120">
        <v>1</v>
      </c>
    </row>
    <row r="121" spans="2:8" x14ac:dyDescent="0.25">
      <c r="B121" s="3">
        <v>1</v>
      </c>
      <c r="C121" s="6" t="s">
        <v>257</v>
      </c>
      <c r="D121" t="s">
        <v>285</v>
      </c>
      <c r="E121" s="6" t="s">
        <v>254</v>
      </c>
      <c r="F121">
        <v>201010</v>
      </c>
      <c r="G121" s="6" t="s">
        <v>44</v>
      </c>
      <c r="H121">
        <v>1</v>
      </c>
    </row>
    <row r="122" spans="2:8" x14ac:dyDescent="0.25">
      <c r="B122" s="3">
        <v>1</v>
      </c>
      <c r="C122" s="6" t="s">
        <v>257</v>
      </c>
      <c r="D122" t="s">
        <v>285</v>
      </c>
      <c r="E122" s="6" t="s">
        <v>254</v>
      </c>
      <c r="F122" t="s">
        <v>15</v>
      </c>
      <c r="G122" s="6" t="s">
        <v>16</v>
      </c>
      <c r="H122">
        <v>1</v>
      </c>
    </row>
    <row r="123" spans="2:8" x14ac:dyDescent="0.25">
      <c r="B123" s="3">
        <v>1</v>
      </c>
      <c r="C123" s="6" t="s">
        <v>257</v>
      </c>
      <c r="D123" t="s">
        <v>288</v>
      </c>
      <c r="E123" s="6" t="s">
        <v>91</v>
      </c>
      <c r="F123" t="s">
        <v>49</v>
      </c>
      <c r="G123" s="6" t="s">
        <v>50</v>
      </c>
      <c r="H123">
        <v>1</v>
      </c>
    </row>
    <row r="124" spans="2:8" x14ac:dyDescent="0.25">
      <c r="B124" s="3">
        <v>1</v>
      </c>
      <c r="C124" s="6" t="s">
        <v>257</v>
      </c>
      <c r="D124" t="s">
        <v>289</v>
      </c>
      <c r="E124" s="6" t="s">
        <v>290</v>
      </c>
      <c r="F124">
        <v>201009</v>
      </c>
      <c r="G124" s="6" t="s">
        <v>255</v>
      </c>
      <c r="H124">
        <v>1</v>
      </c>
    </row>
    <row r="125" spans="2:8" x14ac:dyDescent="0.25">
      <c r="B125" s="3">
        <v>1</v>
      </c>
      <c r="C125" s="6" t="s">
        <v>257</v>
      </c>
      <c r="D125" t="s">
        <v>291</v>
      </c>
      <c r="E125" s="6" t="s">
        <v>292</v>
      </c>
      <c r="F125" t="s">
        <v>13</v>
      </c>
      <c r="G125" s="6" t="s">
        <v>14</v>
      </c>
      <c r="H125">
        <v>1</v>
      </c>
    </row>
    <row r="126" spans="2:8" x14ac:dyDescent="0.25">
      <c r="B126" s="3">
        <v>1</v>
      </c>
      <c r="C126" s="6" t="s">
        <v>257</v>
      </c>
      <c r="D126" t="s">
        <v>291</v>
      </c>
      <c r="E126" s="6" t="s">
        <v>292</v>
      </c>
      <c r="F126" t="s">
        <v>15</v>
      </c>
      <c r="G126" s="6" t="s">
        <v>16</v>
      </c>
      <c r="H126">
        <v>1</v>
      </c>
    </row>
    <row r="127" spans="2:8" x14ac:dyDescent="0.25">
      <c r="B127" s="8">
        <v>1</v>
      </c>
      <c r="C127" s="6" t="s">
        <v>257</v>
      </c>
      <c r="D127" t="s">
        <v>293</v>
      </c>
      <c r="E127" s="6" t="s">
        <v>254</v>
      </c>
      <c r="F127">
        <v>201009</v>
      </c>
      <c r="G127" s="6" t="s">
        <v>255</v>
      </c>
      <c r="H127">
        <v>1</v>
      </c>
    </row>
    <row r="128" spans="2:8" x14ac:dyDescent="0.25">
      <c r="H128">
        <f>SUM(H3:H127)</f>
        <v>166</v>
      </c>
    </row>
  </sheetData>
  <mergeCells count="1">
    <mergeCell ref="J16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DCC0-C0CC-45D8-AF57-E8FF1C388599}">
  <dimension ref="B1:L1982"/>
  <sheetViews>
    <sheetView showGridLines="0" zoomScale="85" zoomScaleNormal="85" workbookViewId="0">
      <selection activeCell="L5" sqref="L5:L18"/>
    </sheetView>
  </sheetViews>
  <sheetFormatPr baseColWidth="10" defaultRowHeight="15" x14ac:dyDescent="0.25"/>
  <cols>
    <col min="2" max="2" width="20" customWidth="1"/>
    <col min="3" max="3" width="36.42578125" style="1" bestFit="1" customWidth="1"/>
    <col min="4" max="4" width="30" style="1" customWidth="1"/>
    <col min="5" max="5" width="61.5703125" bestFit="1" customWidth="1"/>
    <col min="6" max="6" width="24.28515625" style="2" customWidth="1"/>
    <col min="7" max="7" width="41.7109375" style="1" bestFit="1" customWidth="1"/>
    <col min="8" max="8" width="11.42578125" bestFit="1" customWidth="1"/>
    <col min="9" max="9" width="10.42578125" bestFit="1" customWidth="1"/>
    <col min="10" max="10" width="30.85546875" bestFit="1" customWidth="1"/>
    <col min="11" max="11" width="11.42578125" style="2" bestFit="1" customWidth="1"/>
    <col min="12" max="12" width="11.42578125" style="1" bestFit="1" customWidth="1"/>
  </cols>
  <sheetData>
    <row r="1" spans="2:12" x14ac:dyDescent="0.25">
      <c r="B1" s="9" t="s">
        <v>0</v>
      </c>
      <c r="C1" s="1" t="s">
        <v>828</v>
      </c>
    </row>
    <row r="2" spans="2:12" x14ac:dyDescent="0.25">
      <c r="B2" s="9" t="s">
        <v>1</v>
      </c>
      <c r="C2" t="s">
        <v>828</v>
      </c>
    </row>
    <row r="3" spans="2:12" x14ac:dyDescent="0.25">
      <c r="C3"/>
      <c r="D3" s="3" cm="1">
        <f t="array" ref="D3">ROUND(SUMPRODUCT((D5:D1982&lt;&gt;"")/COUNTIF(D5:D1982,D5:D1982&amp;"")),0)</f>
        <v>154</v>
      </c>
      <c r="G3"/>
      <c r="L3"/>
    </row>
    <row r="4" spans="2:12" x14ac:dyDescent="0.25">
      <c r="B4" s="9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9" t="s">
        <v>7</v>
      </c>
      <c r="H4" s="9" t="s">
        <v>8</v>
      </c>
      <c r="K4"/>
      <c r="L4"/>
    </row>
    <row r="5" spans="2:12" x14ac:dyDescent="0.25">
      <c r="B5" s="4">
        <v>2</v>
      </c>
      <c r="C5" t="s">
        <v>297</v>
      </c>
      <c r="D5" t="s">
        <v>298</v>
      </c>
      <c r="E5" t="s">
        <v>254</v>
      </c>
      <c r="F5">
        <v>201010</v>
      </c>
      <c r="G5" t="s">
        <v>44</v>
      </c>
      <c r="H5">
        <v>1</v>
      </c>
      <c r="J5" s="25" t="str" cm="1">
        <f t="array" ref="J5:J18">+_xlfn.UNIQUE(G5:G239)</f>
        <v>Mesa Reuniones Tipo III</v>
      </c>
      <c r="K5" s="26">
        <f>+_xlfn.XLOOKUP(J5,$G$5:$G$239,$F$5:$F$239)</f>
        <v>201010</v>
      </c>
      <c r="L5" s="25">
        <f>+SUMIF($G$3:$G$239,J5,$H$3:$H$239)</f>
        <v>3</v>
      </c>
    </row>
    <row r="6" spans="2:12" x14ac:dyDescent="0.25">
      <c r="B6" s="4">
        <v>2</v>
      </c>
      <c r="C6" t="s">
        <v>297</v>
      </c>
      <c r="D6" t="s">
        <v>299</v>
      </c>
      <c r="E6" t="s">
        <v>300</v>
      </c>
      <c r="F6">
        <v>201009</v>
      </c>
      <c r="G6" t="s">
        <v>255</v>
      </c>
      <c r="H6">
        <v>1</v>
      </c>
      <c r="J6" s="25" t="str">
        <v>Mesa Reuniones Tipo II</v>
      </c>
      <c r="K6" s="26">
        <f t="shared" ref="K6:K18" si="0">+_xlfn.XLOOKUP(J6,$G$5:$G$239,$F$5:$F$239)</f>
        <v>201009</v>
      </c>
      <c r="L6" s="25">
        <f t="shared" ref="L6:L18" si="1">+SUMIF($G$3:$G$239,J6,$H$3:$H$239)</f>
        <v>13</v>
      </c>
    </row>
    <row r="7" spans="2:12" x14ac:dyDescent="0.25">
      <c r="B7" s="4">
        <v>2</v>
      </c>
      <c r="C7" t="s">
        <v>297</v>
      </c>
      <c r="D7" t="s">
        <v>301</v>
      </c>
      <c r="E7" t="s">
        <v>300</v>
      </c>
      <c r="F7">
        <v>201009</v>
      </c>
      <c r="G7" t="s">
        <v>255</v>
      </c>
      <c r="H7">
        <v>1</v>
      </c>
      <c r="J7" s="25" t="str">
        <v>Mesa Reuniones Tipo I</v>
      </c>
      <c r="K7" s="26">
        <f t="shared" si="0"/>
        <v>201008</v>
      </c>
      <c r="L7" s="25">
        <f t="shared" si="1"/>
        <v>14</v>
      </c>
    </row>
    <row r="8" spans="2:12" x14ac:dyDescent="0.25">
      <c r="B8" s="4">
        <v>2</v>
      </c>
      <c r="C8" t="s">
        <v>297</v>
      </c>
      <c r="D8" t="s">
        <v>302</v>
      </c>
      <c r="E8" t="s">
        <v>303</v>
      </c>
      <c r="F8">
        <v>201008</v>
      </c>
      <c r="G8" t="s">
        <v>29</v>
      </c>
      <c r="H8">
        <v>3</v>
      </c>
      <c r="J8" s="25" t="str">
        <v>Mesa Tipo Casino Redonda 90 cm</v>
      </c>
      <c r="K8" s="26" t="str">
        <f t="shared" si="0"/>
        <v>201011B</v>
      </c>
      <c r="L8" s="25">
        <f t="shared" si="1"/>
        <v>13</v>
      </c>
    </row>
    <row r="9" spans="2:12" x14ac:dyDescent="0.25">
      <c r="B9" s="4">
        <v>2</v>
      </c>
      <c r="C9" t="s">
        <v>116</v>
      </c>
      <c r="D9" t="s">
        <v>304</v>
      </c>
      <c r="E9" t="s">
        <v>117</v>
      </c>
      <c r="F9" t="s">
        <v>118</v>
      </c>
      <c r="G9" t="s">
        <v>119</v>
      </c>
      <c r="H9">
        <v>8</v>
      </c>
      <c r="J9" s="25" t="str">
        <v>Escritorio en L administrativo</v>
      </c>
      <c r="K9" s="26" t="str">
        <f t="shared" si="0"/>
        <v>201001B</v>
      </c>
      <c r="L9" s="25">
        <f t="shared" si="1"/>
        <v>47</v>
      </c>
    </row>
    <row r="10" spans="2:12" x14ac:dyDescent="0.25">
      <c r="B10" s="4">
        <v>2</v>
      </c>
      <c r="C10" t="s">
        <v>305</v>
      </c>
      <c r="D10" t="s">
        <v>306</v>
      </c>
      <c r="E10" t="s">
        <v>307</v>
      </c>
      <c r="F10" t="s">
        <v>13</v>
      </c>
      <c r="G10" t="s">
        <v>14</v>
      </c>
      <c r="H10">
        <v>1</v>
      </c>
      <c r="J10" s="25" t="str">
        <v>Mueble Tipo Biblioteca M45_A</v>
      </c>
      <c r="K10" s="26" t="str">
        <f t="shared" si="0"/>
        <v>203016A</v>
      </c>
      <c r="L10" s="25">
        <f t="shared" si="1"/>
        <v>76</v>
      </c>
    </row>
    <row r="11" spans="2:12" x14ac:dyDescent="0.25">
      <c r="B11" s="4">
        <v>2</v>
      </c>
      <c r="C11" t="s">
        <v>305</v>
      </c>
      <c r="D11" t="s">
        <v>306</v>
      </c>
      <c r="E11" t="s">
        <v>307</v>
      </c>
      <c r="F11" t="s">
        <v>15</v>
      </c>
      <c r="G11" t="s">
        <v>16</v>
      </c>
      <c r="H11">
        <v>1</v>
      </c>
      <c r="J11" s="25" t="str">
        <v>Punto de registro clínico</v>
      </c>
      <c r="K11" s="26" t="str">
        <f t="shared" si="0"/>
        <v>201001E</v>
      </c>
      <c r="L11" s="25">
        <f t="shared" si="1"/>
        <v>21</v>
      </c>
    </row>
    <row r="12" spans="2:12" x14ac:dyDescent="0.25">
      <c r="B12" s="4">
        <v>2</v>
      </c>
      <c r="C12" t="s">
        <v>305</v>
      </c>
      <c r="D12" t="s">
        <v>308</v>
      </c>
      <c r="E12" t="s">
        <v>188</v>
      </c>
      <c r="F12" t="s">
        <v>13</v>
      </c>
      <c r="G12" t="s">
        <v>14</v>
      </c>
      <c r="H12">
        <v>4</v>
      </c>
      <c r="J12" s="25" t="str">
        <v>Mesa Tipo Casino Circular</v>
      </c>
      <c r="K12" s="26" t="str">
        <f t="shared" si="0"/>
        <v>201011A</v>
      </c>
      <c r="L12" s="25">
        <f t="shared" si="1"/>
        <v>57</v>
      </c>
    </row>
    <row r="13" spans="2:12" x14ac:dyDescent="0.25">
      <c r="B13" s="4">
        <v>2</v>
      </c>
      <c r="C13" t="s">
        <v>305</v>
      </c>
      <c r="D13" t="s">
        <v>308</v>
      </c>
      <c r="E13" t="s">
        <v>188</v>
      </c>
      <c r="F13" t="s">
        <v>15</v>
      </c>
      <c r="G13" t="s">
        <v>16</v>
      </c>
      <c r="H13">
        <v>4</v>
      </c>
      <c r="J13" s="25" t="str">
        <v>Escritorio de Consultas</v>
      </c>
      <c r="K13" s="26" t="str">
        <f t="shared" si="0"/>
        <v>201001C</v>
      </c>
      <c r="L13" s="25">
        <f t="shared" si="1"/>
        <v>40</v>
      </c>
    </row>
    <row r="14" spans="2:12" x14ac:dyDescent="0.25">
      <c r="B14" s="4">
        <v>2</v>
      </c>
      <c r="C14" t="s">
        <v>305</v>
      </c>
      <c r="D14" t="s">
        <v>309</v>
      </c>
      <c r="E14" t="s">
        <v>146</v>
      </c>
      <c r="F14" t="s">
        <v>13</v>
      </c>
      <c r="G14" t="s">
        <v>14</v>
      </c>
      <c r="H14">
        <v>1</v>
      </c>
      <c r="J14" s="25" t="str">
        <v>Escritorio simple 120x70 cm</v>
      </c>
      <c r="K14" s="26" t="str">
        <f t="shared" si="0"/>
        <v>201001A</v>
      </c>
      <c r="L14" s="25">
        <f t="shared" si="1"/>
        <v>52</v>
      </c>
    </row>
    <row r="15" spans="2:12" x14ac:dyDescent="0.25">
      <c r="B15" s="4">
        <v>2</v>
      </c>
      <c r="C15" t="s">
        <v>305</v>
      </c>
      <c r="D15" t="s">
        <v>309</v>
      </c>
      <c r="E15" t="s">
        <v>146</v>
      </c>
      <c r="F15" t="s">
        <v>15</v>
      </c>
      <c r="G15" t="s">
        <v>16</v>
      </c>
      <c r="H15">
        <v>1</v>
      </c>
      <c r="J15" s="25" t="str">
        <v>Escritorio simple 130x70 cm</v>
      </c>
      <c r="K15" s="26" t="str">
        <f t="shared" si="0"/>
        <v>201001D</v>
      </c>
      <c r="L15" s="25">
        <f t="shared" si="1"/>
        <v>4</v>
      </c>
    </row>
    <row r="16" spans="2:12" x14ac:dyDescent="0.25">
      <c r="B16" s="4">
        <v>2</v>
      </c>
      <c r="C16" t="s">
        <v>305</v>
      </c>
      <c r="D16" t="s">
        <v>310</v>
      </c>
      <c r="E16" t="s">
        <v>311</v>
      </c>
      <c r="F16" t="s">
        <v>13</v>
      </c>
      <c r="G16" t="s">
        <v>14</v>
      </c>
      <c r="H16">
        <v>1</v>
      </c>
      <c r="J16" s="25" t="str">
        <v>Mueble Tipo Biblioteca M45_B</v>
      </c>
      <c r="K16" s="26" t="str">
        <f t="shared" si="0"/>
        <v>203016B</v>
      </c>
      <c r="L16" s="25">
        <f t="shared" si="1"/>
        <v>16</v>
      </c>
    </row>
    <row r="17" spans="2:12" x14ac:dyDescent="0.25">
      <c r="B17" s="4">
        <v>2</v>
      </c>
      <c r="C17" t="s">
        <v>305</v>
      </c>
      <c r="D17" t="s">
        <v>310</v>
      </c>
      <c r="E17" t="s">
        <v>311</v>
      </c>
      <c r="F17" t="s">
        <v>15</v>
      </c>
      <c r="G17" t="s">
        <v>16</v>
      </c>
      <c r="H17">
        <v>1</v>
      </c>
      <c r="J17" s="25" t="str">
        <v>Mesa Lateral</v>
      </c>
      <c r="K17" s="26">
        <f t="shared" si="0"/>
        <v>201002</v>
      </c>
      <c r="L17" s="25">
        <f t="shared" si="1"/>
        <v>2</v>
      </c>
    </row>
    <row r="18" spans="2:12" ht="15.75" thickBot="1" x14ac:dyDescent="0.3">
      <c r="B18" s="4">
        <v>2</v>
      </c>
      <c r="C18" t="s">
        <v>305</v>
      </c>
      <c r="D18" t="s">
        <v>314</v>
      </c>
      <c r="E18" t="s">
        <v>315</v>
      </c>
      <c r="F18" t="s">
        <v>103</v>
      </c>
      <c r="G18" t="s">
        <v>104</v>
      </c>
      <c r="H18">
        <v>1</v>
      </c>
      <c r="J18" s="43" t="str">
        <v>Mesa Párvulo Tipo I</v>
      </c>
      <c r="K18" s="45">
        <f t="shared" si="0"/>
        <v>201004</v>
      </c>
      <c r="L18" s="43">
        <f t="shared" si="1"/>
        <v>4</v>
      </c>
    </row>
    <row r="19" spans="2:12" ht="15.75" thickBot="1" x14ac:dyDescent="0.3">
      <c r="B19" s="4">
        <v>2</v>
      </c>
      <c r="C19" t="s">
        <v>305</v>
      </c>
      <c r="D19" t="s">
        <v>316</v>
      </c>
      <c r="E19" t="s">
        <v>146</v>
      </c>
      <c r="F19" t="s">
        <v>13</v>
      </c>
      <c r="G19" t="s">
        <v>14</v>
      </c>
      <c r="H19">
        <v>1</v>
      </c>
      <c r="J19" s="56" t="s">
        <v>82</v>
      </c>
      <c r="K19" s="58"/>
      <c r="L19" s="44">
        <f>SUM(L5:L18)</f>
        <v>362</v>
      </c>
    </row>
    <row r="20" spans="2:12" x14ac:dyDescent="0.25">
      <c r="B20" s="4">
        <v>2</v>
      </c>
      <c r="C20" t="s">
        <v>305</v>
      </c>
      <c r="D20" t="s">
        <v>316</v>
      </c>
      <c r="E20" t="s">
        <v>146</v>
      </c>
      <c r="F20" t="s">
        <v>15</v>
      </c>
      <c r="G20" t="s">
        <v>16</v>
      </c>
      <c r="H20">
        <v>1</v>
      </c>
      <c r="K20"/>
      <c r="L20"/>
    </row>
    <row r="21" spans="2:12" x14ac:dyDescent="0.25">
      <c r="B21" s="4">
        <v>2</v>
      </c>
      <c r="C21" t="s">
        <v>305</v>
      </c>
      <c r="D21" t="s">
        <v>317</v>
      </c>
      <c r="E21" t="s">
        <v>318</v>
      </c>
      <c r="F21" t="s">
        <v>13</v>
      </c>
      <c r="G21" t="s">
        <v>14</v>
      </c>
      <c r="H21">
        <v>1</v>
      </c>
      <c r="K21"/>
      <c r="L21"/>
    </row>
    <row r="22" spans="2:12" x14ac:dyDescent="0.25">
      <c r="B22" s="4">
        <v>2</v>
      </c>
      <c r="C22" t="s">
        <v>305</v>
      </c>
      <c r="D22" t="s">
        <v>317</v>
      </c>
      <c r="E22" t="s">
        <v>318</v>
      </c>
      <c r="F22" t="s">
        <v>15</v>
      </c>
      <c r="G22" t="s">
        <v>16</v>
      </c>
      <c r="H22">
        <v>1</v>
      </c>
      <c r="K22"/>
      <c r="L22"/>
    </row>
    <row r="23" spans="2:12" x14ac:dyDescent="0.25">
      <c r="B23" s="4">
        <v>2</v>
      </c>
      <c r="C23" t="s">
        <v>305</v>
      </c>
      <c r="D23" t="s">
        <v>319</v>
      </c>
      <c r="E23" t="s">
        <v>320</v>
      </c>
      <c r="F23" t="s">
        <v>103</v>
      </c>
      <c r="G23" t="s">
        <v>104</v>
      </c>
      <c r="H23">
        <v>1</v>
      </c>
      <c r="K23"/>
      <c r="L23"/>
    </row>
    <row r="24" spans="2:12" x14ac:dyDescent="0.25">
      <c r="B24" s="4">
        <v>2</v>
      </c>
      <c r="C24" t="s">
        <v>305</v>
      </c>
      <c r="D24" t="s">
        <v>321</v>
      </c>
      <c r="E24" t="s">
        <v>91</v>
      </c>
      <c r="F24" t="s">
        <v>49</v>
      </c>
      <c r="G24" t="s">
        <v>50</v>
      </c>
      <c r="H24">
        <v>1</v>
      </c>
      <c r="K24"/>
      <c r="L24"/>
    </row>
    <row r="25" spans="2:12" x14ac:dyDescent="0.25">
      <c r="B25" s="4">
        <v>2</v>
      </c>
      <c r="C25" t="s">
        <v>305</v>
      </c>
      <c r="D25" t="s">
        <v>322</v>
      </c>
      <c r="E25" t="s">
        <v>323</v>
      </c>
      <c r="F25">
        <v>201008</v>
      </c>
      <c r="G25" t="s">
        <v>29</v>
      </c>
      <c r="H25">
        <v>1</v>
      </c>
      <c r="K25"/>
      <c r="L25"/>
    </row>
    <row r="26" spans="2:12" x14ac:dyDescent="0.25">
      <c r="B26" s="4">
        <v>2</v>
      </c>
      <c r="C26" t="s">
        <v>305</v>
      </c>
      <c r="D26" t="s">
        <v>322</v>
      </c>
      <c r="E26" t="s">
        <v>323</v>
      </c>
      <c r="F26" t="s">
        <v>13</v>
      </c>
      <c r="G26" t="s">
        <v>14</v>
      </c>
      <c r="H26">
        <v>1</v>
      </c>
      <c r="K26"/>
      <c r="L26"/>
    </row>
    <row r="27" spans="2:12" x14ac:dyDescent="0.25">
      <c r="B27" s="4">
        <v>2</v>
      </c>
      <c r="C27" t="s">
        <v>305</v>
      </c>
      <c r="D27" t="s">
        <v>322</v>
      </c>
      <c r="E27" t="s">
        <v>323</v>
      </c>
      <c r="F27" t="s">
        <v>15</v>
      </c>
      <c r="G27" t="s">
        <v>16</v>
      </c>
      <c r="H27">
        <v>1</v>
      </c>
      <c r="K27"/>
      <c r="L27"/>
    </row>
    <row r="28" spans="2:12" x14ac:dyDescent="0.25">
      <c r="B28" s="4">
        <v>2</v>
      </c>
      <c r="C28" t="s">
        <v>324</v>
      </c>
      <c r="D28" t="s">
        <v>325</v>
      </c>
      <c r="E28" t="s">
        <v>326</v>
      </c>
      <c r="F28" t="s">
        <v>49</v>
      </c>
      <c r="G28" t="s">
        <v>50</v>
      </c>
      <c r="H28">
        <v>56</v>
      </c>
      <c r="K28"/>
      <c r="L28"/>
    </row>
    <row r="29" spans="2:12" x14ac:dyDescent="0.25">
      <c r="B29" s="4">
        <v>2</v>
      </c>
      <c r="C29" t="s">
        <v>324</v>
      </c>
      <c r="D29" t="s">
        <v>328</v>
      </c>
      <c r="E29" t="s">
        <v>329</v>
      </c>
      <c r="F29" t="s">
        <v>13</v>
      </c>
      <c r="G29" t="s">
        <v>14</v>
      </c>
      <c r="H29">
        <v>1</v>
      </c>
      <c r="K29"/>
      <c r="L29"/>
    </row>
    <row r="30" spans="2:12" x14ac:dyDescent="0.25">
      <c r="B30" s="4">
        <v>2</v>
      </c>
      <c r="C30" t="s">
        <v>324</v>
      </c>
      <c r="D30" t="s">
        <v>328</v>
      </c>
      <c r="E30" t="s">
        <v>329</v>
      </c>
      <c r="F30" t="s">
        <v>15</v>
      </c>
      <c r="G30" t="s">
        <v>16</v>
      </c>
      <c r="H30">
        <v>1</v>
      </c>
      <c r="K30"/>
      <c r="L30"/>
    </row>
    <row r="31" spans="2:12" x14ac:dyDescent="0.25">
      <c r="B31" s="4">
        <v>2</v>
      </c>
      <c r="C31" t="s">
        <v>330</v>
      </c>
      <c r="D31" t="s">
        <v>331</v>
      </c>
      <c r="E31" t="s">
        <v>182</v>
      </c>
      <c r="F31" t="s">
        <v>13</v>
      </c>
      <c r="G31" t="s">
        <v>14</v>
      </c>
      <c r="H31">
        <v>1</v>
      </c>
      <c r="K31"/>
      <c r="L31"/>
    </row>
    <row r="32" spans="2:12" x14ac:dyDescent="0.25">
      <c r="B32" s="4">
        <v>2</v>
      </c>
      <c r="C32" t="s">
        <v>330</v>
      </c>
      <c r="D32" t="s">
        <v>331</v>
      </c>
      <c r="E32" t="s">
        <v>182</v>
      </c>
      <c r="F32" t="s">
        <v>15</v>
      </c>
      <c r="G32" t="s">
        <v>16</v>
      </c>
      <c r="H32">
        <v>1</v>
      </c>
      <c r="K32"/>
      <c r="L32"/>
    </row>
    <row r="33" spans="2:12" x14ac:dyDescent="0.25">
      <c r="B33" s="4">
        <v>2</v>
      </c>
      <c r="C33" t="s">
        <v>330</v>
      </c>
      <c r="D33" t="s">
        <v>332</v>
      </c>
      <c r="E33" t="s">
        <v>333</v>
      </c>
      <c r="F33">
        <v>201008</v>
      </c>
      <c r="G33" t="s">
        <v>29</v>
      </c>
      <c r="H33">
        <v>1</v>
      </c>
      <c r="K33"/>
      <c r="L33"/>
    </row>
    <row r="34" spans="2:12" x14ac:dyDescent="0.25">
      <c r="B34" s="4">
        <v>2</v>
      </c>
      <c r="C34" t="s">
        <v>330</v>
      </c>
      <c r="D34" t="s">
        <v>332</v>
      </c>
      <c r="E34" t="s">
        <v>333</v>
      </c>
      <c r="F34" t="s">
        <v>13</v>
      </c>
      <c r="G34" t="s">
        <v>14</v>
      </c>
      <c r="H34">
        <v>1</v>
      </c>
      <c r="K34"/>
      <c r="L34"/>
    </row>
    <row r="35" spans="2:12" x14ac:dyDescent="0.25">
      <c r="B35" s="4">
        <v>2</v>
      </c>
      <c r="C35" t="s">
        <v>330</v>
      </c>
      <c r="D35" t="s">
        <v>332</v>
      </c>
      <c r="E35" t="s">
        <v>333</v>
      </c>
      <c r="F35" t="s">
        <v>15</v>
      </c>
      <c r="G35" t="s">
        <v>16</v>
      </c>
      <c r="H35">
        <v>1</v>
      </c>
      <c r="K35"/>
      <c r="L35"/>
    </row>
    <row r="36" spans="2:12" x14ac:dyDescent="0.25">
      <c r="B36" s="4">
        <v>2</v>
      </c>
      <c r="C36" t="s">
        <v>330</v>
      </c>
      <c r="D36" t="s">
        <v>334</v>
      </c>
      <c r="E36" t="s">
        <v>335</v>
      </c>
      <c r="F36" t="s">
        <v>13</v>
      </c>
      <c r="G36" t="s">
        <v>14</v>
      </c>
      <c r="H36">
        <v>3</v>
      </c>
      <c r="K36"/>
      <c r="L36"/>
    </row>
    <row r="37" spans="2:12" x14ac:dyDescent="0.25">
      <c r="B37" s="4">
        <v>2</v>
      </c>
      <c r="C37" t="s">
        <v>330</v>
      </c>
      <c r="D37" t="s">
        <v>334</v>
      </c>
      <c r="E37" t="s">
        <v>335</v>
      </c>
      <c r="F37" t="s">
        <v>15</v>
      </c>
      <c r="G37" t="s">
        <v>16</v>
      </c>
      <c r="H37">
        <v>3</v>
      </c>
      <c r="K37"/>
      <c r="L37"/>
    </row>
    <row r="38" spans="2:12" x14ac:dyDescent="0.25">
      <c r="B38" s="4">
        <v>2</v>
      </c>
      <c r="C38" t="s">
        <v>330</v>
      </c>
      <c r="D38" t="s">
        <v>336</v>
      </c>
      <c r="E38" t="s">
        <v>337</v>
      </c>
      <c r="F38" t="s">
        <v>13</v>
      </c>
      <c r="G38" t="s">
        <v>14</v>
      </c>
      <c r="H38">
        <v>1</v>
      </c>
      <c r="K38"/>
      <c r="L38"/>
    </row>
    <row r="39" spans="2:12" x14ac:dyDescent="0.25">
      <c r="B39" s="4">
        <v>2</v>
      </c>
      <c r="C39" t="s">
        <v>330</v>
      </c>
      <c r="D39" t="s">
        <v>336</v>
      </c>
      <c r="E39" t="s">
        <v>337</v>
      </c>
      <c r="F39" t="s">
        <v>15</v>
      </c>
      <c r="G39" t="s">
        <v>16</v>
      </c>
      <c r="H39">
        <v>1</v>
      </c>
      <c r="K39"/>
      <c r="L39"/>
    </row>
    <row r="40" spans="2:12" x14ac:dyDescent="0.25">
      <c r="B40" s="4">
        <v>2</v>
      </c>
      <c r="C40" t="s">
        <v>330</v>
      </c>
      <c r="D40" t="s">
        <v>338</v>
      </c>
      <c r="E40" t="s">
        <v>339</v>
      </c>
      <c r="F40" t="s">
        <v>19</v>
      </c>
      <c r="G40" t="s">
        <v>20</v>
      </c>
      <c r="H40">
        <v>1</v>
      </c>
      <c r="K40"/>
      <c r="L40"/>
    </row>
    <row r="41" spans="2:12" x14ac:dyDescent="0.25">
      <c r="B41" s="4">
        <v>2</v>
      </c>
      <c r="C41" t="s">
        <v>330</v>
      </c>
      <c r="D41" t="s">
        <v>340</v>
      </c>
      <c r="E41" t="s">
        <v>339</v>
      </c>
      <c r="F41" t="s">
        <v>19</v>
      </c>
      <c r="G41" t="s">
        <v>20</v>
      </c>
      <c r="H41">
        <v>1</v>
      </c>
      <c r="K41"/>
      <c r="L41"/>
    </row>
    <row r="42" spans="2:12" x14ac:dyDescent="0.25">
      <c r="B42" s="4">
        <v>2</v>
      </c>
      <c r="C42" t="s">
        <v>330</v>
      </c>
      <c r="D42" t="s">
        <v>341</v>
      </c>
      <c r="E42" t="s">
        <v>339</v>
      </c>
      <c r="F42" t="s">
        <v>19</v>
      </c>
      <c r="G42" t="s">
        <v>20</v>
      </c>
      <c r="H42">
        <v>1</v>
      </c>
      <c r="K42"/>
      <c r="L42"/>
    </row>
    <row r="43" spans="2:12" x14ac:dyDescent="0.25">
      <c r="B43" s="4">
        <v>2</v>
      </c>
      <c r="C43" t="s">
        <v>330</v>
      </c>
      <c r="D43" t="s">
        <v>342</v>
      </c>
      <c r="E43" t="s">
        <v>343</v>
      </c>
      <c r="F43" t="s">
        <v>13</v>
      </c>
      <c r="G43" t="s">
        <v>14</v>
      </c>
      <c r="H43">
        <v>1</v>
      </c>
      <c r="K43"/>
      <c r="L43"/>
    </row>
    <row r="44" spans="2:12" x14ac:dyDescent="0.25">
      <c r="B44" s="4">
        <v>2</v>
      </c>
      <c r="C44" t="s">
        <v>330</v>
      </c>
      <c r="D44" t="s">
        <v>342</v>
      </c>
      <c r="E44" t="s">
        <v>343</v>
      </c>
      <c r="F44" t="s">
        <v>15</v>
      </c>
      <c r="G44" t="s">
        <v>16</v>
      </c>
      <c r="H44">
        <v>1</v>
      </c>
      <c r="K44"/>
      <c r="L44"/>
    </row>
    <row r="45" spans="2:12" x14ac:dyDescent="0.25">
      <c r="B45" s="4">
        <v>2</v>
      </c>
      <c r="C45" t="s">
        <v>330</v>
      </c>
      <c r="D45" t="s">
        <v>344</v>
      </c>
      <c r="E45" t="s">
        <v>345</v>
      </c>
      <c r="F45" t="s">
        <v>13</v>
      </c>
      <c r="G45" t="s">
        <v>14</v>
      </c>
      <c r="H45">
        <v>1</v>
      </c>
      <c r="K45"/>
      <c r="L45"/>
    </row>
    <row r="46" spans="2:12" x14ac:dyDescent="0.25">
      <c r="B46" s="4">
        <v>2</v>
      </c>
      <c r="C46" t="s">
        <v>330</v>
      </c>
      <c r="D46" t="s">
        <v>344</v>
      </c>
      <c r="E46" t="s">
        <v>345</v>
      </c>
      <c r="F46" t="s">
        <v>15</v>
      </c>
      <c r="G46" t="s">
        <v>16</v>
      </c>
      <c r="H46">
        <v>1</v>
      </c>
      <c r="K46"/>
      <c r="L46"/>
    </row>
    <row r="47" spans="2:12" x14ac:dyDescent="0.25">
      <c r="B47" s="4">
        <v>2</v>
      </c>
      <c r="C47" t="s">
        <v>120</v>
      </c>
      <c r="D47" t="s">
        <v>346</v>
      </c>
      <c r="E47" t="s">
        <v>347</v>
      </c>
      <c r="F47" t="s">
        <v>19</v>
      </c>
      <c r="G47" t="s">
        <v>20</v>
      </c>
      <c r="H47">
        <v>1</v>
      </c>
      <c r="K47"/>
      <c r="L47"/>
    </row>
    <row r="48" spans="2:12" x14ac:dyDescent="0.25">
      <c r="B48" s="4">
        <v>2</v>
      </c>
      <c r="C48" t="s">
        <v>120</v>
      </c>
      <c r="D48" t="s">
        <v>348</v>
      </c>
      <c r="E48" t="s">
        <v>349</v>
      </c>
      <c r="F48" t="s">
        <v>19</v>
      </c>
      <c r="G48" t="s">
        <v>20</v>
      </c>
      <c r="H48">
        <v>1</v>
      </c>
      <c r="K48"/>
      <c r="L48"/>
    </row>
    <row r="49" spans="2:12" x14ac:dyDescent="0.25">
      <c r="B49" s="4">
        <v>2</v>
      </c>
      <c r="C49" t="s">
        <v>120</v>
      </c>
      <c r="D49" t="s">
        <v>350</v>
      </c>
      <c r="E49" t="s">
        <v>349</v>
      </c>
      <c r="F49" t="s">
        <v>19</v>
      </c>
      <c r="G49" t="s">
        <v>20</v>
      </c>
      <c r="H49">
        <v>1</v>
      </c>
      <c r="K49"/>
      <c r="L49"/>
    </row>
    <row r="50" spans="2:12" x14ac:dyDescent="0.25">
      <c r="B50" s="4">
        <v>2</v>
      </c>
      <c r="C50" t="s">
        <v>120</v>
      </c>
      <c r="D50" t="s">
        <v>351</v>
      </c>
      <c r="E50" t="s">
        <v>352</v>
      </c>
      <c r="F50" t="s">
        <v>19</v>
      </c>
      <c r="G50" t="s">
        <v>20</v>
      </c>
      <c r="H50">
        <v>1</v>
      </c>
      <c r="K50"/>
      <c r="L50"/>
    </row>
    <row r="51" spans="2:12" x14ac:dyDescent="0.25">
      <c r="B51" s="4">
        <v>2</v>
      </c>
      <c r="C51" t="s">
        <v>120</v>
      </c>
      <c r="D51" t="s">
        <v>353</v>
      </c>
      <c r="E51" t="s">
        <v>247</v>
      </c>
      <c r="F51" t="s">
        <v>19</v>
      </c>
      <c r="G51" t="s">
        <v>20</v>
      </c>
      <c r="H51">
        <v>1</v>
      </c>
      <c r="K51"/>
      <c r="L51"/>
    </row>
    <row r="52" spans="2:12" x14ac:dyDescent="0.25">
      <c r="B52" s="4">
        <v>2</v>
      </c>
      <c r="C52" t="s">
        <v>120</v>
      </c>
      <c r="D52" t="s">
        <v>354</v>
      </c>
      <c r="E52" t="s">
        <v>355</v>
      </c>
      <c r="F52" t="s">
        <v>103</v>
      </c>
      <c r="G52" t="s">
        <v>104</v>
      </c>
      <c r="H52">
        <v>1</v>
      </c>
      <c r="K52"/>
      <c r="L52"/>
    </row>
    <row r="53" spans="2:12" x14ac:dyDescent="0.25">
      <c r="B53" s="4">
        <v>2</v>
      </c>
      <c r="C53" t="s">
        <v>120</v>
      </c>
      <c r="D53" t="s">
        <v>356</v>
      </c>
      <c r="E53" t="s">
        <v>357</v>
      </c>
      <c r="F53" t="s">
        <v>19</v>
      </c>
      <c r="G53" t="s">
        <v>20</v>
      </c>
      <c r="H53">
        <v>1</v>
      </c>
      <c r="K53"/>
      <c r="L53"/>
    </row>
    <row r="54" spans="2:12" x14ac:dyDescent="0.25">
      <c r="B54" s="4">
        <v>2</v>
      </c>
      <c r="C54" t="s">
        <v>120</v>
      </c>
      <c r="D54" t="s">
        <v>358</v>
      </c>
      <c r="E54" t="s">
        <v>359</v>
      </c>
      <c r="F54" t="s">
        <v>103</v>
      </c>
      <c r="G54" t="s">
        <v>104</v>
      </c>
      <c r="H54">
        <v>1</v>
      </c>
      <c r="K54"/>
      <c r="L54"/>
    </row>
    <row r="55" spans="2:12" x14ac:dyDescent="0.25">
      <c r="B55" s="4">
        <v>2</v>
      </c>
      <c r="C55" t="s">
        <v>120</v>
      </c>
      <c r="D55" t="s">
        <v>360</v>
      </c>
      <c r="E55" t="s">
        <v>361</v>
      </c>
      <c r="F55" t="s">
        <v>103</v>
      </c>
      <c r="G55" t="s">
        <v>104</v>
      </c>
      <c r="H55">
        <v>1</v>
      </c>
      <c r="K55"/>
      <c r="L55"/>
    </row>
    <row r="56" spans="2:12" x14ac:dyDescent="0.25">
      <c r="B56" s="4">
        <v>2</v>
      </c>
      <c r="C56" t="s">
        <v>120</v>
      </c>
      <c r="D56" t="s">
        <v>362</v>
      </c>
      <c r="E56" t="s">
        <v>361</v>
      </c>
      <c r="F56" t="s">
        <v>103</v>
      </c>
      <c r="G56" t="s">
        <v>104</v>
      </c>
      <c r="H56">
        <v>1</v>
      </c>
      <c r="K56"/>
      <c r="L56"/>
    </row>
    <row r="57" spans="2:12" x14ac:dyDescent="0.25">
      <c r="B57" s="4">
        <v>2</v>
      </c>
      <c r="C57" t="s">
        <v>120</v>
      </c>
      <c r="D57" t="s">
        <v>363</v>
      </c>
      <c r="E57" t="s">
        <v>361</v>
      </c>
      <c r="F57" t="s">
        <v>103</v>
      </c>
      <c r="G57" t="s">
        <v>104</v>
      </c>
      <c r="H57">
        <v>1</v>
      </c>
      <c r="K57"/>
      <c r="L57"/>
    </row>
    <row r="58" spans="2:12" x14ac:dyDescent="0.25">
      <c r="B58" s="4">
        <v>2</v>
      </c>
      <c r="C58" t="s">
        <v>120</v>
      </c>
      <c r="D58" t="s">
        <v>364</v>
      </c>
      <c r="E58" t="s">
        <v>365</v>
      </c>
      <c r="F58" t="s">
        <v>19</v>
      </c>
      <c r="G58" t="s">
        <v>20</v>
      </c>
      <c r="H58">
        <v>1</v>
      </c>
      <c r="K58"/>
      <c r="L58"/>
    </row>
    <row r="59" spans="2:12" x14ac:dyDescent="0.25">
      <c r="B59" s="4">
        <v>2</v>
      </c>
      <c r="C59" t="s">
        <v>120</v>
      </c>
      <c r="D59" t="s">
        <v>366</v>
      </c>
      <c r="E59" t="s">
        <v>367</v>
      </c>
      <c r="F59" t="s">
        <v>23</v>
      </c>
      <c r="G59" t="s">
        <v>24</v>
      </c>
      <c r="H59">
        <v>1</v>
      </c>
      <c r="K59"/>
      <c r="L59"/>
    </row>
    <row r="60" spans="2:12" x14ac:dyDescent="0.25">
      <c r="B60" s="4">
        <v>2</v>
      </c>
      <c r="C60" t="s">
        <v>120</v>
      </c>
      <c r="D60" t="s">
        <v>368</v>
      </c>
      <c r="E60" t="s">
        <v>369</v>
      </c>
      <c r="F60" t="s">
        <v>23</v>
      </c>
      <c r="G60" t="s">
        <v>24</v>
      </c>
      <c r="H60">
        <v>1</v>
      </c>
      <c r="K60"/>
      <c r="L60"/>
    </row>
    <row r="61" spans="2:12" x14ac:dyDescent="0.25">
      <c r="B61" s="4">
        <v>2</v>
      </c>
      <c r="C61" t="s">
        <v>120</v>
      </c>
      <c r="D61" t="s">
        <v>370</v>
      </c>
      <c r="E61" t="s">
        <v>371</v>
      </c>
      <c r="F61" t="s">
        <v>19</v>
      </c>
      <c r="G61" t="s">
        <v>20</v>
      </c>
      <c r="H61">
        <v>1</v>
      </c>
      <c r="K61"/>
      <c r="L61"/>
    </row>
    <row r="62" spans="2:12" x14ac:dyDescent="0.25">
      <c r="B62" s="4">
        <v>2</v>
      </c>
      <c r="C62" t="s">
        <v>120</v>
      </c>
      <c r="D62" t="s">
        <v>372</v>
      </c>
      <c r="E62" t="s">
        <v>373</v>
      </c>
      <c r="F62" t="s">
        <v>19</v>
      </c>
      <c r="G62" t="s">
        <v>20</v>
      </c>
      <c r="H62">
        <v>1</v>
      </c>
      <c r="K62"/>
      <c r="L62"/>
    </row>
    <row r="63" spans="2:12" x14ac:dyDescent="0.25">
      <c r="B63" s="4">
        <v>2</v>
      </c>
      <c r="C63" t="s">
        <v>120</v>
      </c>
      <c r="D63" t="s">
        <v>374</v>
      </c>
      <c r="E63" t="s">
        <v>373</v>
      </c>
      <c r="F63" t="s">
        <v>19</v>
      </c>
      <c r="G63" t="s">
        <v>20</v>
      </c>
      <c r="H63">
        <v>1</v>
      </c>
      <c r="K63"/>
      <c r="L63"/>
    </row>
    <row r="64" spans="2:12" x14ac:dyDescent="0.25">
      <c r="B64" s="4">
        <v>2</v>
      </c>
      <c r="C64" t="s">
        <v>120</v>
      </c>
      <c r="D64" t="s">
        <v>375</v>
      </c>
      <c r="E64" t="s">
        <v>373</v>
      </c>
      <c r="F64" t="s">
        <v>19</v>
      </c>
      <c r="G64" t="s">
        <v>20</v>
      </c>
      <c r="H64">
        <v>1</v>
      </c>
      <c r="K64"/>
      <c r="L64"/>
    </row>
    <row r="65" spans="2:12" x14ac:dyDescent="0.25">
      <c r="B65" s="4">
        <v>2</v>
      </c>
      <c r="C65" t="s">
        <v>120</v>
      </c>
      <c r="D65" t="s">
        <v>376</v>
      </c>
      <c r="E65" t="s">
        <v>373</v>
      </c>
      <c r="F65" t="s">
        <v>19</v>
      </c>
      <c r="G65" t="s">
        <v>20</v>
      </c>
      <c r="H65">
        <v>1</v>
      </c>
      <c r="K65"/>
      <c r="L65"/>
    </row>
    <row r="66" spans="2:12" x14ac:dyDescent="0.25">
      <c r="B66" s="4">
        <v>2</v>
      </c>
      <c r="C66" t="s">
        <v>120</v>
      </c>
      <c r="D66" t="s">
        <v>377</v>
      </c>
      <c r="E66" t="s">
        <v>378</v>
      </c>
      <c r="F66" t="s">
        <v>19</v>
      </c>
      <c r="G66" t="s">
        <v>20</v>
      </c>
      <c r="H66">
        <v>1</v>
      </c>
      <c r="K66"/>
      <c r="L66"/>
    </row>
    <row r="67" spans="2:12" x14ac:dyDescent="0.25">
      <c r="B67" s="4">
        <v>2</v>
      </c>
      <c r="C67" t="s">
        <v>120</v>
      </c>
      <c r="D67" t="s">
        <v>379</v>
      </c>
      <c r="E67" t="s">
        <v>378</v>
      </c>
      <c r="F67" t="s">
        <v>19</v>
      </c>
      <c r="G67" t="s">
        <v>20</v>
      </c>
      <c r="H67">
        <v>1</v>
      </c>
      <c r="K67"/>
      <c r="L67"/>
    </row>
    <row r="68" spans="2:12" x14ac:dyDescent="0.25">
      <c r="B68" s="4">
        <v>2</v>
      </c>
      <c r="C68" t="s">
        <v>120</v>
      </c>
      <c r="D68" t="s">
        <v>380</v>
      </c>
      <c r="E68" t="s">
        <v>381</v>
      </c>
      <c r="F68" t="s">
        <v>19</v>
      </c>
      <c r="G68" t="s">
        <v>20</v>
      </c>
      <c r="H68">
        <v>1</v>
      </c>
      <c r="K68"/>
      <c r="L68"/>
    </row>
    <row r="69" spans="2:12" x14ac:dyDescent="0.25">
      <c r="B69" s="4">
        <v>2</v>
      </c>
      <c r="C69" t="s">
        <v>120</v>
      </c>
      <c r="D69" t="s">
        <v>382</v>
      </c>
      <c r="E69" t="s">
        <v>381</v>
      </c>
      <c r="F69" t="s">
        <v>19</v>
      </c>
      <c r="G69" t="s">
        <v>20</v>
      </c>
      <c r="H69">
        <v>1</v>
      </c>
      <c r="K69"/>
      <c r="L69"/>
    </row>
    <row r="70" spans="2:12" x14ac:dyDescent="0.25">
      <c r="B70" s="4">
        <v>2</v>
      </c>
      <c r="C70" t="s">
        <v>120</v>
      </c>
      <c r="D70" t="s">
        <v>383</v>
      </c>
      <c r="E70" t="s">
        <v>384</v>
      </c>
      <c r="F70" t="s">
        <v>19</v>
      </c>
      <c r="G70" t="s">
        <v>20</v>
      </c>
      <c r="H70">
        <v>1</v>
      </c>
      <c r="K70"/>
      <c r="L70"/>
    </row>
    <row r="71" spans="2:12" x14ac:dyDescent="0.25">
      <c r="B71" s="4">
        <v>2</v>
      </c>
      <c r="C71" t="s">
        <v>120</v>
      </c>
      <c r="D71" t="s">
        <v>385</v>
      </c>
      <c r="E71" t="s">
        <v>386</v>
      </c>
      <c r="F71" t="s">
        <v>103</v>
      </c>
      <c r="G71" t="s">
        <v>104</v>
      </c>
      <c r="H71">
        <v>1</v>
      </c>
      <c r="K71"/>
      <c r="L71"/>
    </row>
    <row r="72" spans="2:12" x14ac:dyDescent="0.25">
      <c r="B72" s="4">
        <v>2</v>
      </c>
      <c r="C72" t="s">
        <v>120</v>
      </c>
      <c r="D72" t="s">
        <v>387</v>
      </c>
      <c r="E72" t="s">
        <v>388</v>
      </c>
      <c r="F72" t="s">
        <v>103</v>
      </c>
      <c r="G72" t="s">
        <v>104</v>
      </c>
      <c r="H72">
        <v>1</v>
      </c>
      <c r="K72"/>
      <c r="L72"/>
    </row>
    <row r="73" spans="2:12" x14ac:dyDescent="0.25">
      <c r="B73" s="4">
        <v>2</v>
      </c>
      <c r="C73" t="s">
        <v>120</v>
      </c>
      <c r="D73" t="s">
        <v>389</v>
      </c>
      <c r="E73" t="s">
        <v>390</v>
      </c>
      <c r="F73" t="s">
        <v>23</v>
      </c>
      <c r="G73" t="s">
        <v>24</v>
      </c>
      <c r="H73">
        <v>1</v>
      </c>
      <c r="K73"/>
      <c r="L73"/>
    </row>
    <row r="74" spans="2:12" x14ac:dyDescent="0.25">
      <c r="B74" s="4">
        <v>2</v>
      </c>
      <c r="C74" t="s">
        <v>120</v>
      </c>
      <c r="D74" t="s">
        <v>391</v>
      </c>
      <c r="E74" t="s">
        <v>392</v>
      </c>
      <c r="F74" t="s">
        <v>23</v>
      </c>
      <c r="G74" t="s">
        <v>24</v>
      </c>
      <c r="H74">
        <v>1</v>
      </c>
      <c r="K74"/>
      <c r="L74"/>
    </row>
    <row r="75" spans="2:12" x14ac:dyDescent="0.25">
      <c r="B75" s="4">
        <v>2</v>
      </c>
      <c r="C75" t="s">
        <v>120</v>
      </c>
      <c r="D75" t="s">
        <v>393</v>
      </c>
      <c r="E75" t="s">
        <v>394</v>
      </c>
      <c r="F75" t="s">
        <v>103</v>
      </c>
      <c r="G75" t="s">
        <v>104</v>
      </c>
      <c r="H75">
        <v>1</v>
      </c>
      <c r="K75"/>
      <c r="L75"/>
    </row>
    <row r="76" spans="2:12" x14ac:dyDescent="0.25">
      <c r="B76" s="4">
        <v>2</v>
      </c>
      <c r="C76" t="s">
        <v>120</v>
      </c>
      <c r="D76" t="s">
        <v>395</v>
      </c>
      <c r="E76" t="s">
        <v>394</v>
      </c>
      <c r="F76" t="s">
        <v>103</v>
      </c>
      <c r="G76" t="s">
        <v>104</v>
      </c>
      <c r="H76">
        <v>1</v>
      </c>
      <c r="K76"/>
      <c r="L76"/>
    </row>
    <row r="77" spans="2:12" x14ac:dyDescent="0.25">
      <c r="B77" s="4">
        <v>2</v>
      </c>
      <c r="C77" t="s">
        <v>120</v>
      </c>
      <c r="D77" t="s">
        <v>396</v>
      </c>
      <c r="E77" t="s">
        <v>394</v>
      </c>
      <c r="F77" t="s">
        <v>103</v>
      </c>
      <c r="G77" t="s">
        <v>104</v>
      </c>
      <c r="H77">
        <v>1</v>
      </c>
      <c r="K77"/>
      <c r="L77"/>
    </row>
    <row r="78" spans="2:12" x14ac:dyDescent="0.25">
      <c r="B78" s="4">
        <v>2</v>
      </c>
      <c r="C78" t="s">
        <v>120</v>
      </c>
      <c r="D78" t="s">
        <v>398</v>
      </c>
      <c r="E78" t="s">
        <v>250</v>
      </c>
      <c r="F78" t="s">
        <v>13</v>
      </c>
      <c r="G78" t="s">
        <v>14</v>
      </c>
      <c r="H78">
        <v>1</v>
      </c>
      <c r="K78"/>
      <c r="L78"/>
    </row>
    <row r="79" spans="2:12" x14ac:dyDescent="0.25">
      <c r="B79" s="4">
        <v>2</v>
      </c>
      <c r="C79" t="s">
        <v>120</v>
      </c>
      <c r="D79" t="s">
        <v>398</v>
      </c>
      <c r="E79" t="s">
        <v>250</v>
      </c>
      <c r="F79" t="s">
        <v>15</v>
      </c>
      <c r="G79" t="s">
        <v>16</v>
      </c>
      <c r="H79">
        <v>1</v>
      </c>
      <c r="K79"/>
      <c r="L79"/>
    </row>
    <row r="80" spans="2:12" x14ac:dyDescent="0.25">
      <c r="B80" s="4">
        <v>2</v>
      </c>
      <c r="C80" t="s">
        <v>120</v>
      </c>
      <c r="D80" t="s">
        <v>399</v>
      </c>
      <c r="E80" t="s">
        <v>400</v>
      </c>
      <c r="F80" t="s">
        <v>19</v>
      </c>
      <c r="G80" t="s">
        <v>20</v>
      </c>
      <c r="H80">
        <v>1</v>
      </c>
      <c r="K80"/>
      <c r="L80"/>
    </row>
    <row r="81" spans="2:12" x14ac:dyDescent="0.25">
      <c r="B81" s="4">
        <v>2</v>
      </c>
      <c r="C81" t="s">
        <v>120</v>
      </c>
      <c r="D81" t="s">
        <v>401</v>
      </c>
      <c r="E81" t="s">
        <v>402</v>
      </c>
      <c r="F81" t="s">
        <v>19</v>
      </c>
      <c r="G81" t="s">
        <v>20</v>
      </c>
      <c r="H81">
        <v>1</v>
      </c>
      <c r="K81"/>
      <c r="L81"/>
    </row>
    <row r="82" spans="2:12" x14ac:dyDescent="0.25">
      <c r="B82" s="4">
        <v>2</v>
      </c>
      <c r="C82" t="s">
        <v>120</v>
      </c>
      <c r="D82" t="s">
        <v>403</v>
      </c>
      <c r="E82" t="s">
        <v>404</v>
      </c>
      <c r="F82" t="s">
        <v>103</v>
      </c>
      <c r="G82" t="s">
        <v>104</v>
      </c>
      <c r="H82">
        <v>1</v>
      </c>
      <c r="K82"/>
      <c r="L82"/>
    </row>
    <row r="83" spans="2:12" x14ac:dyDescent="0.25">
      <c r="B83" s="4">
        <v>2</v>
      </c>
      <c r="C83" t="s">
        <v>120</v>
      </c>
      <c r="D83" t="s">
        <v>405</v>
      </c>
      <c r="E83" t="s">
        <v>406</v>
      </c>
      <c r="F83" t="s">
        <v>23</v>
      </c>
      <c r="G83" t="s">
        <v>24</v>
      </c>
      <c r="H83">
        <v>1</v>
      </c>
      <c r="K83"/>
      <c r="L83"/>
    </row>
    <row r="84" spans="2:12" x14ac:dyDescent="0.25">
      <c r="B84" s="4">
        <v>2</v>
      </c>
      <c r="C84" t="s">
        <v>120</v>
      </c>
      <c r="D84" t="s">
        <v>407</v>
      </c>
      <c r="E84" t="s">
        <v>408</v>
      </c>
      <c r="F84" t="s">
        <v>23</v>
      </c>
      <c r="G84" t="s">
        <v>24</v>
      </c>
      <c r="H84">
        <v>1</v>
      </c>
      <c r="K84"/>
      <c r="L84"/>
    </row>
    <row r="85" spans="2:12" x14ac:dyDescent="0.25">
      <c r="B85" s="4">
        <v>2</v>
      </c>
      <c r="C85" t="s">
        <v>120</v>
      </c>
      <c r="D85" t="s">
        <v>409</v>
      </c>
      <c r="E85" t="s">
        <v>410</v>
      </c>
      <c r="F85" t="s">
        <v>19</v>
      </c>
      <c r="G85" t="s">
        <v>20</v>
      </c>
      <c r="H85">
        <v>1</v>
      </c>
      <c r="K85"/>
      <c r="L85"/>
    </row>
    <row r="86" spans="2:12" x14ac:dyDescent="0.25">
      <c r="B86" s="4">
        <v>2</v>
      </c>
      <c r="C86" t="s">
        <v>120</v>
      </c>
      <c r="D86" t="s">
        <v>411</v>
      </c>
      <c r="E86" t="s">
        <v>412</v>
      </c>
      <c r="F86" t="s">
        <v>19</v>
      </c>
      <c r="G86" t="s">
        <v>20</v>
      </c>
      <c r="H86">
        <v>1</v>
      </c>
      <c r="K86"/>
      <c r="L86"/>
    </row>
    <row r="87" spans="2:12" x14ac:dyDescent="0.25">
      <c r="B87" s="4">
        <v>2</v>
      </c>
      <c r="C87" t="s">
        <v>413</v>
      </c>
      <c r="D87" t="s">
        <v>414</v>
      </c>
      <c r="E87" t="s">
        <v>415</v>
      </c>
      <c r="F87" t="s">
        <v>13</v>
      </c>
      <c r="G87" t="s">
        <v>14</v>
      </c>
      <c r="H87">
        <v>1</v>
      </c>
      <c r="K87"/>
      <c r="L87"/>
    </row>
    <row r="88" spans="2:12" x14ac:dyDescent="0.25">
      <c r="B88" s="4">
        <v>2</v>
      </c>
      <c r="C88" t="s">
        <v>413</v>
      </c>
      <c r="D88" t="s">
        <v>414</v>
      </c>
      <c r="E88" t="s">
        <v>415</v>
      </c>
      <c r="F88" t="s">
        <v>15</v>
      </c>
      <c r="G88" t="s">
        <v>16</v>
      </c>
      <c r="H88">
        <v>1</v>
      </c>
      <c r="K88"/>
      <c r="L88"/>
    </row>
    <row r="89" spans="2:12" x14ac:dyDescent="0.25">
      <c r="B89" s="4">
        <v>2</v>
      </c>
      <c r="C89" t="s">
        <v>413</v>
      </c>
      <c r="D89" t="s">
        <v>416</v>
      </c>
      <c r="E89" t="s">
        <v>417</v>
      </c>
      <c r="F89">
        <v>201008</v>
      </c>
      <c r="G89" t="s">
        <v>29</v>
      </c>
      <c r="H89">
        <v>1</v>
      </c>
      <c r="K89"/>
      <c r="L89"/>
    </row>
    <row r="90" spans="2:12" x14ac:dyDescent="0.25">
      <c r="B90" s="4">
        <v>2</v>
      </c>
      <c r="C90" t="s">
        <v>413</v>
      </c>
      <c r="D90" t="s">
        <v>416</v>
      </c>
      <c r="E90" t="s">
        <v>417</v>
      </c>
      <c r="F90" t="s">
        <v>13</v>
      </c>
      <c r="G90" t="s">
        <v>14</v>
      </c>
      <c r="H90">
        <v>1</v>
      </c>
      <c r="K90"/>
      <c r="L90"/>
    </row>
    <row r="91" spans="2:12" x14ac:dyDescent="0.25">
      <c r="B91" s="4">
        <v>2</v>
      </c>
      <c r="C91" t="s">
        <v>413</v>
      </c>
      <c r="D91" t="s">
        <v>416</v>
      </c>
      <c r="E91" t="s">
        <v>417</v>
      </c>
      <c r="F91" t="s">
        <v>15</v>
      </c>
      <c r="G91" t="s">
        <v>16</v>
      </c>
      <c r="H91">
        <v>1</v>
      </c>
      <c r="K91"/>
      <c r="L91"/>
    </row>
    <row r="92" spans="2:12" x14ac:dyDescent="0.25">
      <c r="B92" s="4">
        <v>2</v>
      </c>
      <c r="C92" t="s">
        <v>413</v>
      </c>
      <c r="D92" t="s">
        <v>418</v>
      </c>
      <c r="E92" t="s">
        <v>419</v>
      </c>
      <c r="F92" t="s">
        <v>13</v>
      </c>
      <c r="G92" t="s">
        <v>14</v>
      </c>
      <c r="H92">
        <v>1</v>
      </c>
      <c r="K92"/>
      <c r="L92"/>
    </row>
    <row r="93" spans="2:12" x14ac:dyDescent="0.25">
      <c r="B93" s="4">
        <v>2</v>
      </c>
      <c r="C93" t="s">
        <v>413</v>
      </c>
      <c r="D93" t="s">
        <v>418</v>
      </c>
      <c r="E93" t="s">
        <v>419</v>
      </c>
      <c r="F93" t="s">
        <v>15</v>
      </c>
      <c r="G93" t="s">
        <v>16</v>
      </c>
      <c r="H93">
        <v>1</v>
      </c>
      <c r="K93"/>
      <c r="L93"/>
    </row>
    <row r="94" spans="2:12" x14ac:dyDescent="0.25">
      <c r="B94" s="4">
        <v>2</v>
      </c>
      <c r="C94" t="s">
        <v>413</v>
      </c>
      <c r="D94" t="s">
        <v>420</v>
      </c>
      <c r="E94" t="s">
        <v>421</v>
      </c>
      <c r="F94" t="s">
        <v>23</v>
      </c>
      <c r="G94" t="s">
        <v>24</v>
      </c>
      <c r="H94">
        <v>4</v>
      </c>
      <c r="K94"/>
      <c r="L94"/>
    </row>
    <row r="95" spans="2:12" x14ac:dyDescent="0.25">
      <c r="B95" s="4">
        <v>2</v>
      </c>
      <c r="C95" t="s">
        <v>413</v>
      </c>
      <c r="D95" t="s">
        <v>420</v>
      </c>
      <c r="E95" t="s">
        <v>421</v>
      </c>
      <c r="F95" t="s">
        <v>15</v>
      </c>
      <c r="G95" t="s">
        <v>16</v>
      </c>
      <c r="H95">
        <v>4</v>
      </c>
      <c r="K95"/>
      <c r="L95"/>
    </row>
    <row r="96" spans="2:12" x14ac:dyDescent="0.25">
      <c r="B96" s="4">
        <v>2</v>
      </c>
      <c r="C96" t="s">
        <v>413</v>
      </c>
      <c r="D96" t="s">
        <v>422</v>
      </c>
      <c r="E96" t="s">
        <v>423</v>
      </c>
      <c r="F96" t="s">
        <v>13</v>
      </c>
      <c r="G96" t="s">
        <v>14</v>
      </c>
      <c r="H96">
        <v>1</v>
      </c>
      <c r="K96"/>
      <c r="L96"/>
    </row>
    <row r="97" spans="2:12" x14ac:dyDescent="0.25">
      <c r="B97" s="4">
        <v>2</v>
      </c>
      <c r="C97" t="s">
        <v>413</v>
      </c>
      <c r="D97" t="s">
        <v>422</v>
      </c>
      <c r="E97" t="s">
        <v>423</v>
      </c>
      <c r="F97" t="s">
        <v>15</v>
      </c>
      <c r="G97" t="s">
        <v>16</v>
      </c>
      <c r="H97">
        <v>1</v>
      </c>
      <c r="K97"/>
      <c r="L97"/>
    </row>
    <row r="98" spans="2:12" x14ac:dyDescent="0.25">
      <c r="B98" s="4">
        <v>2</v>
      </c>
      <c r="C98" t="s">
        <v>413</v>
      </c>
      <c r="D98" t="s">
        <v>424</v>
      </c>
      <c r="E98" t="s">
        <v>415</v>
      </c>
      <c r="F98" t="s">
        <v>13</v>
      </c>
      <c r="G98" t="s">
        <v>14</v>
      </c>
      <c r="H98">
        <v>1</v>
      </c>
      <c r="K98"/>
      <c r="L98"/>
    </row>
    <row r="99" spans="2:12" x14ac:dyDescent="0.25">
      <c r="B99" s="4">
        <v>2</v>
      </c>
      <c r="C99" t="s">
        <v>413</v>
      </c>
      <c r="D99" t="s">
        <v>424</v>
      </c>
      <c r="E99" t="s">
        <v>415</v>
      </c>
      <c r="F99" t="s">
        <v>15</v>
      </c>
      <c r="G99" t="s">
        <v>16</v>
      </c>
      <c r="H99">
        <v>1</v>
      </c>
      <c r="K99"/>
      <c r="L99"/>
    </row>
    <row r="100" spans="2:12" x14ac:dyDescent="0.25">
      <c r="B100" s="4">
        <v>2</v>
      </c>
      <c r="C100" t="s">
        <v>413</v>
      </c>
      <c r="D100" t="s">
        <v>425</v>
      </c>
      <c r="E100" t="s">
        <v>426</v>
      </c>
      <c r="F100" t="s">
        <v>13</v>
      </c>
      <c r="G100" t="s">
        <v>14</v>
      </c>
      <c r="H100">
        <v>1</v>
      </c>
      <c r="K100"/>
      <c r="L100"/>
    </row>
    <row r="101" spans="2:12" x14ac:dyDescent="0.25">
      <c r="B101" s="4">
        <v>2</v>
      </c>
      <c r="C101" t="s">
        <v>413</v>
      </c>
      <c r="D101" t="s">
        <v>425</v>
      </c>
      <c r="E101" t="s">
        <v>426</v>
      </c>
      <c r="F101" t="s">
        <v>15</v>
      </c>
      <c r="G101" t="s">
        <v>16</v>
      </c>
      <c r="H101">
        <v>1</v>
      </c>
      <c r="K101"/>
      <c r="L101"/>
    </row>
    <row r="102" spans="2:12" x14ac:dyDescent="0.25">
      <c r="B102" s="4">
        <v>2</v>
      </c>
      <c r="C102" t="s">
        <v>413</v>
      </c>
      <c r="D102" t="s">
        <v>427</v>
      </c>
      <c r="E102" t="s">
        <v>428</v>
      </c>
      <c r="F102" t="s">
        <v>13</v>
      </c>
      <c r="G102" t="s">
        <v>14</v>
      </c>
      <c r="H102">
        <v>1</v>
      </c>
      <c r="K102"/>
      <c r="L102"/>
    </row>
    <row r="103" spans="2:12" x14ac:dyDescent="0.25">
      <c r="B103" s="4">
        <v>2</v>
      </c>
      <c r="C103" t="s">
        <v>413</v>
      </c>
      <c r="D103" t="s">
        <v>427</v>
      </c>
      <c r="E103" t="s">
        <v>428</v>
      </c>
      <c r="F103" t="s">
        <v>15</v>
      </c>
      <c r="G103" t="s">
        <v>16</v>
      </c>
      <c r="H103">
        <v>1</v>
      </c>
      <c r="K103"/>
      <c r="L103"/>
    </row>
    <row r="104" spans="2:12" x14ac:dyDescent="0.25">
      <c r="B104" s="4">
        <v>2</v>
      </c>
      <c r="C104" t="s">
        <v>413</v>
      </c>
      <c r="D104" t="s">
        <v>429</v>
      </c>
      <c r="E104" t="s">
        <v>430</v>
      </c>
      <c r="F104" t="s">
        <v>13</v>
      </c>
      <c r="G104" t="s">
        <v>14</v>
      </c>
      <c r="H104">
        <v>1</v>
      </c>
      <c r="K104"/>
      <c r="L104"/>
    </row>
    <row r="105" spans="2:12" x14ac:dyDescent="0.25">
      <c r="B105" s="4">
        <v>2</v>
      </c>
      <c r="C105" t="s">
        <v>413</v>
      </c>
      <c r="D105" t="s">
        <v>429</v>
      </c>
      <c r="E105" t="s">
        <v>430</v>
      </c>
      <c r="F105" t="s">
        <v>15</v>
      </c>
      <c r="G105" t="s">
        <v>16</v>
      </c>
      <c r="H105">
        <v>1</v>
      </c>
      <c r="K105"/>
      <c r="L105"/>
    </row>
    <row r="106" spans="2:12" x14ac:dyDescent="0.25">
      <c r="B106" s="4">
        <v>2</v>
      </c>
      <c r="C106" t="s">
        <v>413</v>
      </c>
      <c r="D106" t="s">
        <v>431</v>
      </c>
      <c r="E106" t="s">
        <v>415</v>
      </c>
      <c r="F106" t="s">
        <v>13</v>
      </c>
      <c r="G106" t="s">
        <v>14</v>
      </c>
      <c r="H106">
        <v>1</v>
      </c>
      <c r="K106"/>
      <c r="L106"/>
    </row>
    <row r="107" spans="2:12" x14ac:dyDescent="0.25">
      <c r="B107" s="4">
        <v>2</v>
      </c>
      <c r="C107" t="s">
        <v>413</v>
      </c>
      <c r="D107" t="s">
        <v>432</v>
      </c>
      <c r="E107" t="s">
        <v>433</v>
      </c>
      <c r="F107">
        <v>201010</v>
      </c>
      <c r="G107" t="s">
        <v>44</v>
      </c>
      <c r="H107">
        <v>1</v>
      </c>
      <c r="K107"/>
      <c r="L107"/>
    </row>
    <row r="108" spans="2:12" x14ac:dyDescent="0.25">
      <c r="B108" s="4">
        <v>2</v>
      </c>
      <c r="C108" t="s">
        <v>434</v>
      </c>
      <c r="D108" t="s">
        <v>435</v>
      </c>
      <c r="E108" t="s">
        <v>436</v>
      </c>
      <c r="F108" t="s">
        <v>13</v>
      </c>
      <c r="G108" t="s">
        <v>14</v>
      </c>
      <c r="H108">
        <v>1</v>
      </c>
      <c r="K108"/>
      <c r="L108"/>
    </row>
    <row r="109" spans="2:12" x14ac:dyDescent="0.25">
      <c r="B109" s="4">
        <v>2</v>
      </c>
      <c r="C109" t="s">
        <v>434</v>
      </c>
      <c r="D109" t="s">
        <v>435</v>
      </c>
      <c r="E109" t="s">
        <v>436</v>
      </c>
      <c r="F109" t="s">
        <v>15</v>
      </c>
      <c r="G109" t="s">
        <v>16</v>
      </c>
      <c r="H109">
        <v>1</v>
      </c>
      <c r="K109"/>
      <c r="L109"/>
    </row>
    <row r="110" spans="2:12" x14ac:dyDescent="0.25">
      <c r="B110" s="4">
        <v>2</v>
      </c>
      <c r="C110" t="s">
        <v>434</v>
      </c>
      <c r="D110" t="s">
        <v>437</v>
      </c>
      <c r="E110" t="s">
        <v>182</v>
      </c>
      <c r="F110" t="s">
        <v>13</v>
      </c>
      <c r="G110" t="s">
        <v>14</v>
      </c>
      <c r="H110">
        <v>1</v>
      </c>
      <c r="K110"/>
      <c r="L110"/>
    </row>
    <row r="111" spans="2:12" x14ac:dyDescent="0.25">
      <c r="B111" s="4">
        <v>2</v>
      </c>
      <c r="C111" t="s">
        <v>434</v>
      </c>
      <c r="D111" t="s">
        <v>437</v>
      </c>
      <c r="E111" t="s">
        <v>182</v>
      </c>
      <c r="F111" t="s">
        <v>15</v>
      </c>
      <c r="G111" t="s">
        <v>16</v>
      </c>
      <c r="H111">
        <v>1</v>
      </c>
      <c r="K111"/>
      <c r="L111"/>
    </row>
    <row r="112" spans="2:12" x14ac:dyDescent="0.25">
      <c r="B112" s="4">
        <v>2</v>
      </c>
      <c r="C112" t="s">
        <v>434</v>
      </c>
      <c r="D112" t="s">
        <v>438</v>
      </c>
      <c r="E112" t="s">
        <v>439</v>
      </c>
      <c r="F112" t="s">
        <v>440</v>
      </c>
      <c r="G112" t="s">
        <v>441</v>
      </c>
      <c r="H112">
        <v>4</v>
      </c>
      <c r="K112"/>
      <c r="L112"/>
    </row>
    <row r="113" spans="2:12" x14ac:dyDescent="0.25">
      <c r="B113" s="4">
        <v>2</v>
      </c>
      <c r="C113" t="s">
        <v>434</v>
      </c>
      <c r="D113" t="s">
        <v>438</v>
      </c>
      <c r="E113" t="s">
        <v>439</v>
      </c>
      <c r="F113" t="s">
        <v>15</v>
      </c>
      <c r="G113" t="s">
        <v>16</v>
      </c>
      <c r="H113">
        <v>4</v>
      </c>
      <c r="K113"/>
      <c r="L113"/>
    </row>
    <row r="114" spans="2:12" x14ac:dyDescent="0.25">
      <c r="B114" s="4">
        <v>2</v>
      </c>
      <c r="C114" t="s">
        <v>434</v>
      </c>
      <c r="D114" t="s">
        <v>442</v>
      </c>
      <c r="E114" t="s">
        <v>443</v>
      </c>
      <c r="F114" t="s">
        <v>23</v>
      </c>
      <c r="G114" t="s">
        <v>24</v>
      </c>
      <c r="H114">
        <v>1</v>
      </c>
      <c r="K114"/>
      <c r="L114"/>
    </row>
    <row r="115" spans="2:12" x14ac:dyDescent="0.25">
      <c r="B115" s="4">
        <v>2</v>
      </c>
      <c r="C115" t="s">
        <v>434</v>
      </c>
      <c r="D115" t="s">
        <v>444</v>
      </c>
      <c r="E115" t="s">
        <v>91</v>
      </c>
      <c r="F115" t="s">
        <v>118</v>
      </c>
      <c r="G115" t="s">
        <v>119</v>
      </c>
      <c r="H115">
        <v>1</v>
      </c>
      <c r="K115"/>
      <c r="L115"/>
    </row>
    <row r="116" spans="2:12" x14ac:dyDescent="0.25">
      <c r="B116" s="4">
        <v>2</v>
      </c>
      <c r="C116" t="s">
        <v>434</v>
      </c>
      <c r="D116" t="s">
        <v>445</v>
      </c>
      <c r="E116" t="s">
        <v>446</v>
      </c>
      <c r="F116" t="s">
        <v>103</v>
      </c>
      <c r="G116" t="s">
        <v>104</v>
      </c>
      <c r="H116">
        <v>1</v>
      </c>
      <c r="K116"/>
      <c r="L116"/>
    </row>
    <row r="117" spans="2:12" x14ac:dyDescent="0.25">
      <c r="B117" s="4">
        <v>2</v>
      </c>
      <c r="C117" t="s">
        <v>434</v>
      </c>
      <c r="D117" t="s">
        <v>447</v>
      </c>
      <c r="E117" t="s">
        <v>448</v>
      </c>
      <c r="F117" t="s">
        <v>103</v>
      </c>
      <c r="G117" t="s">
        <v>104</v>
      </c>
      <c r="H117">
        <v>1</v>
      </c>
      <c r="K117"/>
      <c r="L117"/>
    </row>
    <row r="118" spans="2:12" x14ac:dyDescent="0.25">
      <c r="B118" s="4">
        <v>2</v>
      </c>
      <c r="C118" t="s">
        <v>434</v>
      </c>
      <c r="D118" t="s">
        <v>449</v>
      </c>
      <c r="E118" t="s">
        <v>450</v>
      </c>
      <c r="F118">
        <v>201009</v>
      </c>
      <c r="G118" t="s">
        <v>255</v>
      </c>
      <c r="H118">
        <v>1</v>
      </c>
      <c r="K118"/>
      <c r="L118"/>
    </row>
    <row r="119" spans="2:12" x14ac:dyDescent="0.25">
      <c r="B119" s="4">
        <v>2</v>
      </c>
      <c r="C119" t="s">
        <v>451</v>
      </c>
      <c r="D119" t="s">
        <v>452</v>
      </c>
      <c r="E119" t="s">
        <v>182</v>
      </c>
      <c r="F119" t="s">
        <v>13</v>
      </c>
      <c r="G119" t="s">
        <v>14</v>
      </c>
      <c r="H119">
        <v>1</v>
      </c>
      <c r="K119"/>
      <c r="L119"/>
    </row>
    <row r="120" spans="2:12" x14ac:dyDescent="0.25">
      <c r="B120" s="4">
        <v>2</v>
      </c>
      <c r="C120" t="s">
        <v>451</v>
      </c>
      <c r="D120" t="s">
        <v>452</v>
      </c>
      <c r="E120" t="s">
        <v>182</v>
      </c>
      <c r="F120" t="s">
        <v>15</v>
      </c>
      <c r="G120" t="s">
        <v>16</v>
      </c>
      <c r="H120">
        <v>1</v>
      </c>
      <c r="K120"/>
      <c r="L120"/>
    </row>
    <row r="121" spans="2:12" x14ac:dyDescent="0.25">
      <c r="B121" s="4">
        <v>2</v>
      </c>
      <c r="C121" t="s">
        <v>451</v>
      </c>
      <c r="D121" t="s">
        <v>453</v>
      </c>
      <c r="E121" t="s">
        <v>454</v>
      </c>
      <c r="F121" t="s">
        <v>13</v>
      </c>
      <c r="G121" t="s">
        <v>14</v>
      </c>
      <c r="H121">
        <v>1</v>
      </c>
      <c r="K121"/>
      <c r="L121"/>
    </row>
    <row r="122" spans="2:12" x14ac:dyDescent="0.25">
      <c r="B122" s="4">
        <v>2</v>
      </c>
      <c r="C122" t="s">
        <v>451</v>
      </c>
      <c r="D122" t="s">
        <v>453</v>
      </c>
      <c r="E122" t="s">
        <v>454</v>
      </c>
      <c r="F122" t="s">
        <v>15</v>
      </c>
      <c r="G122" t="s">
        <v>16</v>
      </c>
      <c r="H122">
        <v>1</v>
      </c>
      <c r="K122"/>
      <c r="L122"/>
    </row>
    <row r="123" spans="2:12" x14ac:dyDescent="0.25">
      <c r="B123" s="4">
        <v>2</v>
      </c>
      <c r="C123" t="s">
        <v>451</v>
      </c>
      <c r="D123" t="s">
        <v>455</v>
      </c>
      <c r="E123" t="s">
        <v>456</v>
      </c>
      <c r="F123" t="s">
        <v>13</v>
      </c>
      <c r="G123" t="s">
        <v>14</v>
      </c>
      <c r="H123">
        <v>1</v>
      </c>
      <c r="K123"/>
      <c r="L123"/>
    </row>
    <row r="124" spans="2:12" x14ac:dyDescent="0.25">
      <c r="B124" s="4">
        <v>2</v>
      </c>
      <c r="C124" t="s">
        <v>451</v>
      </c>
      <c r="D124" t="s">
        <v>455</v>
      </c>
      <c r="E124" t="s">
        <v>456</v>
      </c>
      <c r="F124" t="s">
        <v>15</v>
      </c>
      <c r="G124" t="s">
        <v>16</v>
      </c>
      <c r="H124">
        <v>1</v>
      </c>
      <c r="K124"/>
      <c r="L124"/>
    </row>
    <row r="125" spans="2:12" x14ac:dyDescent="0.25">
      <c r="B125" s="4">
        <v>2</v>
      </c>
      <c r="C125" t="s">
        <v>451</v>
      </c>
      <c r="D125" t="s">
        <v>457</v>
      </c>
      <c r="E125" t="s">
        <v>458</v>
      </c>
      <c r="F125" t="s">
        <v>23</v>
      </c>
      <c r="G125" t="s">
        <v>24</v>
      </c>
      <c r="H125">
        <v>1</v>
      </c>
      <c r="K125"/>
      <c r="L125"/>
    </row>
    <row r="126" spans="2:12" x14ac:dyDescent="0.25">
      <c r="B126" s="4">
        <v>2</v>
      </c>
      <c r="C126" t="s">
        <v>451</v>
      </c>
      <c r="D126" t="s">
        <v>460</v>
      </c>
      <c r="E126" t="s">
        <v>182</v>
      </c>
      <c r="F126" t="s">
        <v>15</v>
      </c>
      <c r="G126" t="s">
        <v>16</v>
      </c>
      <c r="H126">
        <v>1</v>
      </c>
      <c r="K126"/>
      <c r="L126"/>
    </row>
    <row r="127" spans="2:12" x14ac:dyDescent="0.25">
      <c r="B127" s="4">
        <v>2</v>
      </c>
      <c r="C127" t="s">
        <v>451</v>
      </c>
      <c r="D127" t="s">
        <v>461</v>
      </c>
      <c r="E127" t="s">
        <v>462</v>
      </c>
      <c r="F127" t="s">
        <v>19</v>
      </c>
      <c r="G127" t="s">
        <v>20</v>
      </c>
      <c r="H127">
        <v>1</v>
      </c>
      <c r="K127"/>
      <c r="L127"/>
    </row>
    <row r="128" spans="2:12" x14ac:dyDescent="0.25">
      <c r="B128" s="4">
        <v>2</v>
      </c>
      <c r="C128" t="s">
        <v>451</v>
      </c>
      <c r="D128" t="s">
        <v>461</v>
      </c>
      <c r="E128" t="s">
        <v>462</v>
      </c>
      <c r="F128" t="s">
        <v>463</v>
      </c>
      <c r="G128" t="s">
        <v>464</v>
      </c>
      <c r="H128">
        <v>1</v>
      </c>
      <c r="K128"/>
      <c r="L128"/>
    </row>
    <row r="129" spans="2:12" x14ac:dyDescent="0.25">
      <c r="B129" s="4">
        <v>2</v>
      </c>
      <c r="C129" t="s">
        <v>451</v>
      </c>
      <c r="D129" t="s">
        <v>465</v>
      </c>
      <c r="E129" t="s">
        <v>466</v>
      </c>
      <c r="F129" t="s">
        <v>19</v>
      </c>
      <c r="G129" t="s">
        <v>20</v>
      </c>
      <c r="H129">
        <v>1</v>
      </c>
      <c r="K129"/>
      <c r="L129"/>
    </row>
    <row r="130" spans="2:12" x14ac:dyDescent="0.25">
      <c r="B130" s="4">
        <v>2</v>
      </c>
      <c r="C130" t="s">
        <v>451</v>
      </c>
      <c r="D130" t="s">
        <v>465</v>
      </c>
      <c r="E130" t="s">
        <v>466</v>
      </c>
      <c r="F130" t="s">
        <v>463</v>
      </c>
      <c r="G130" t="s">
        <v>464</v>
      </c>
      <c r="H130">
        <v>1</v>
      </c>
      <c r="K130"/>
      <c r="L130"/>
    </row>
    <row r="131" spans="2:12" x14ac:dyDescent="0.25">
      <c r="B131" s="4">
        <v>2</v>
      </c>
      <c r="C131" t="s">
        <v>451</v>
      </c>
      <c r="D131" t="s">
        <v>467</v>
      </c>
      <c r="E131" t="s">
        <v>466</v>
      </c>
      <c r="F131" t="s">
        <v>19</v>
      </c>
      <c r="G131" t="s">
        <v>20</v>
      </c>
      <c r="H131">
        <v>1</v>
      </c>
      <c r="K131"/>
      <c r="L131"/>
    </row>
    <row r="132" spans="2:12" x14ac:dyDescent="0.25">
      <c r="B132" s="4">
        <v>2</v>
      </c>
      <c r="C132" t="s">
        <v>451</v>
      </c>
      <c r="D132" t="s">
        <v>467</v>
      </c>
      <c r="E132" t="s">
        <v>466</v>
      </c>
      <c r="F132" t="s">
        <v>463</v>
      </c>
      <c r="G132" t="s">
        <v>464</v>
      </c>
      <c r="H132">
        <v>1</v>
      </c>
      <c r="K132"/>
      <c r="L132"/>
    </row>
    <row r="133" spans="2:12" x14ac:dyDescent="0.25">
      <c r="B133" s="4">
        <v>2</v>
      </c>
      <c r="C133" t="s">
        <v>451</v>
      </c>
      <c r="D133" t="s">
        <v>468</v>
      </c>
      <c r="E133" t="s">
        <v>469</v>
      </c>
      <c r="F133">
        <v>201008</v>
      </c>
      <c r="G133" t="s">
        <v>29</v>
      </c>
      <c r="H133">
        <v>1</v>
      </c>
      <c r="K133"/>
      <c r="L133"/>
    </row>
    <row r="134" spans="2:12" x14ac:dyDescent="0.25">
      <c r="B134" s="4">
        <v>2</v>
      </c>
      <c r="C134" t="s">
        <v>451</v>
      </c>
      <c r="D134" t="s">
        <v>468</v>
      </c>
      <c r="E134" t="s">
        <v>469</v>
      </c>
      <c r="F134" t="s">
        <v>13</v>
      </c>
      <c r="G134" t="s">
        <v>14</v>
      </c>
      <c r="H134">
        <v>1</v>
      </c>
      <c r="K134"/>
      <c r="L134"/>
    </row>
    <row r="135" spans="2:12" x14ac:dyDescent="0.25">
      <c r="B135" s="4">
        <v>2</v>
      </c>
      <c r="C135" t="s">
        <v>451</v>
      </c>
      <c r="D135" t="s">
        <v>470</v>
      </c>
      <c r="E135" t="s">
        <v>253</v>
      </c>
      <c r="F135" t="s">
        <v>103</v>
      </c>
      <c r="G135" t="s">
        <v>104</v>
      </c>
      <c r="H135">
        <v>1</v>
      </c>
      <c r="K135"/>
      <c r="L135"/>
    </row>
    <row r="136" spans="2:12" x14ac:dyDescent="0.25">
      <c r="B136" s="4">
        <v>2</v>
      </c>
      <c r="C136" t="s">
        <v>451</v>
      </c>
      <c r="D136" t="s">
        <v>471</v>
      </c>
      <c r="E136" t="s">
        <v>248</v>
      </c>
      <c r="F136">
        <v>201008</v>
      </c>
      <c r="G136" t="s">
        <v>29</v>
      </c>
      <c r="H136">
        <v>1</v>
      </c>
      <c r="K136"/>
      <c r="L136"/>
    </row>
    <row r="137" spans="2:12" x14ac:dyDescent="0.25">
      <c r="B137" s="4">
        <v>2</v>
      </c>
      <c r="C137" t="s">
        <v>451</v>
      </c>
      <c r="D137" t="s">
        <v>471</v>
      </c>
      <c r="E137" t="s">
        <v>248</v>
      </c>
      <c r="F137" t="s">
        <v>19</v>
      </c>
      <c r="G137" t="s">
        <v>20</v>
      </c>
      <c r="H137">
        <v>1</v>
      </c>
      <c r="K137"/>
      <c r="L137"/>
    </row>
    <row r="138" spans="2:12" x14ac:dyDescent="0.25">
      <c r="B138" s="4">
        <v>2</v>
      </c>
      <c r="C138" t="s">
        <v>451</v>
      </c>
      <c r="D138" t="s">
        <v>471</v>
      </c>
      <c r="E138" t="s">
        <v>248</v>
      </c>
      <c r="F138" t="s">
        <v>463</v>
      </c>
      <c r="G138" t="s">
        <v>464</v>
      </c>
      <c r="H138">
        <v>1</v>
      </c>
      <c r="K138"/>
      <c r="L138"/>
    </row>
    <row r="139" spans="2:12" x14ac:dyDescent="0.25">
      <c r="B139" s="4">
        <v>2</v>
      </c>
      <c r="C139" t="s">
        <v>451</v>
      </c>
      <c r="D139" t="s">
        <v>472</v>
      </c>
      <c r="E139" t="s">
        <v>473</v>
      </c>
      <c r="F139" t="s">
        <v>23</v>
      </c>
      <c r="G139" t="s">
        <v>24</v>
      </c>
      <c r="H139">
        <v>6</v>
      </c>
      <c r="K139"/>
      <c r="L139"/>
    </row>
    <row r="140" spans="2:12" x14ac:dyDescent="0.25">
      <c r="B140" s="4">
        <v>2</v>
      </c>
      <c r="C140" t="s">
        <v>451</v>
      </c>
      <c r="D140" t="s">
        <v>474</v>
      </c>
      <c r="E140" t="s">
        <v>475</v>
      </c>
      <c r="F140" t="s">
        <v>118</v>
      </c>
      <c r="G140" t="s">
        <v>119</v>
      </c>
      <c r="H140">
        <v>2</v>
      </c>
      <c r="K140"/>
      <c r="L140"/>
    </row>
    <row r="141" spans="2:12" x14ac:dyDescent="0.25">
      <c r="B141" s="4">
        <v>2</v>
      </c>
      <c r="C141" t="s">
        <v>451</v>
      </c>
      <c r="D141" t="s">
        <v>476</v>
      </c>
      <c r="E141" t="s">
        <v>477</v>
      </c>
      <c r="F141" t="s">
        <v>13</v>
      </c>
      <c r="G141" t="s">
        <v>14</v>
      </c>
      <c r="H141">
        <v>1</v>
      </c>
      <c r="K141"/>
      <c r="L141"/>
    </row>
    <row r="142" spans="2:12" x14ac:dyDescent="0.25">
      <c r="B142" s="4">
        <v>2</v>
      </c>
      <c r="C142" t="s">
        <v>451</v>
      </c>
      <c r="D142" t="s">
        <v>476</v>
      </c>
      <c r="E142" t="s">
        <v>477</v>
      </c>
      <c r="F142" t="s">
        <v>15</v>
      </c>
      <c r="G142" t="s">
        <v>16</v>
      </c>
      <c r="H142">
        <v>1</v>
      </c>
      <c r="K142"/>
      <c r="L142"/>
    </row>
    <row r="143" spans="2:12" x14ac:dyDescent="0.25">
      <c r="B143" s="4">
        <v>2</v>
      </c>
      <c r="C143" t="s">
        <v>451</v>
      </c>
      <c r="D143" t="s">
        <v>478</v>
      </c>
      <c r="E143" t="s">
        <v>479</v>
      </c>
      <c r="F143" t="s">
        <v>13</v>
      </c>
      <c r="G143" t="s">
        <v>14</v>
      </c>
      <c r="H143">
        <v>1</v>
      </c>
      <c r="K143"/>
      <c r="L143"/>
    </row>
    <row r="144" spans="2:12" x14ac:dyDescent="0.25">
      <c r="B144" s="4">
        <v>2</v>
      </c>
      <c r="C144" t="s">
        <v>451</v>
      </c>
      <c r="D144" t="s">
        <v>478</v>
      </c>
      <c r="E144" t="s">
        <v>479</v>
      </c>
      <c r="F144" t="s">
        <v>15</v>
      </c>
      <c r="G144" t="s">
        <v>16</v>
      </c>
      <c r="H144">
        <v>1</v>
      </c>
      <c r="K144"/>
      <c r="L144"/>
    </row>
    <row r="145" spans="2:12" x14ac:dyDescent="0.25">
      <c r="B145" s="4">
        <v>2</v>
      </c>
      <c r="C145" t="s">
        <v>451</v>
      </c>
      <c r="D145" t="s">
        <v>480</v>
      </c>
      <c r="E145" t="s">
        <v>481</v>
      </c>
      <c r="F145">
        <v>201008</v>
      </c>
      <c r="G145" t="s">
        <v>29</v>
      </c>
      <c r="H145">
        <v>1</v>
      </c>
      <c r="K145"/>
      <c r="L145"/>
    </row>
    <row r="146" spans="2:12" x14ac:dyDescent="0.25">
      <c r="B146" s="4">
        <v>2</v>
      </c>
      <c r="C146" t="s">
        <v>451</v>
      </c>
      <c r="D146" t="s">
        <v>480</v>
      </c>
      <c r="E146" t="s">
        <v>481</v>
      </c>
      <c r="F146" t="s">
        <v>23</v>
      </c>
      <c r="G146" t="s">
        <v>24</v>
      </c>
      <c r="H146">
        <v>4</v>
      </c>
      <c r="K146"/>
      <c r="L146"/>
    </row>
    <row r="147" spans="2:12" x14ac:dyDescent="0.25">
      <c r="B147" s="4">
        <v>2</v>
      </c>
      <c r="C147" t="s">
        <v>451</v>
      </c>
      <c r="D147" t="s">
        <v>480</v>
      </c>
      <c r="E147" t="s">
        <v>481</v>
      </c>
      <c r="F147" t="s">
        <v>15</v>
      </c>
      <c r="G147" t="s">
        <v>16</v>
      </c>
      <c r="H147">
        <v>4</v>
      </c>
      <c r="K147"/>
      <c r="L147"/>
    </row>
    <row r="148" spans="2:12" x14ac:dyDescent="0.25">
      <c r="B148" s="4">
        <v>2</v>
      </c>
      <c r="C148" t="s">
        <v>451</v>
      </c>
      <c r="D148" t="s">
        <v>482</v>
      </c>
      <c r="E148" t="s">
        <v>256</v>
      </c>
      <c r="F148">
        <v>201002</v>
      </c>
      <c r="G148" t="s">
        <v>70</v>
      </c>
      <c r="H148">
        <v>2</v>
      </c>
      <c r="K148"/>
      <c r="L148"/>
    </row>
    <row r="149" spans="2:12" x14ac:dyDescent="0.25">
      <c r="B149" s="4">
        <v>2</v>
      </c>
      <c r="C149" t="s">
        <v>451</v>
      </c>
      <c r="D149" t="s">
        <v>482</v>
      </c>
      <c r="E149" t="s">
        <v>256</v>
      </c>
      <c r="F149" t="s">
        <v>118</v>
      </c>
      <c r="G149" t="s">
        <v>119</v>
      </c>
      <c r="H149">
        <v>1</v>
      </c>
      <c r="K149"/>
      <c r="L149"/>
    </row>
    <row r="150" spans="2:12" x14ac:dyDescent="0.25">
      <c r="B150" s="4">
        <v>2</v>
      </c>
      <c r="C150" t="s">
        <v>451</v>
      </c>
      <c r="D150" t="s">
        <v>483</v>
      </c>
      <c r="E150" t="s">
        <v>254</v>
      </c>
      <c r="F150">
        <v>201009</v>
      </c>
      <c r="G150" t="s">
        <v>255</v>
      </c>
      <c r="H150">
        <v>1</v>
      </c>
      <c r="K150"/>
      <c r="L150"/>
    </row>
    <row r="151" spans="2:12" x14ac:dyDescent="0.25">
      <c r="B151" s="4">
        <v>2</v>
      </c>
      <c r="C151" t="s">
        <v>451</v>
      </c>
      <c r="D151" t="s">
        <v>484</v>
      </c>
      <c r="E151" t="s">
        <v>323</v>
      </c>
      <c r="F151">
        <v>201008</v>
      </c>
      <c r="G151" t="s">
        <v>29</v>
      </c>
      <c r="H151">
        <v>1</v>
      </c>
      <c r="K151"/>
      <c r="L151"/>
    </row>
    <row r="152" spans="2:12" x14ac:dyDescent="0.25">
      <c r="B152" s="4">
        <v>2</v>
      </c>
      <c r="C152" t="s">
        <v>451</v>
      </c>
      <c r="D152" t="s">
        <v>484</v>
      </c>
      <c r="E152" t="s">
        <v>323</v>
      </c>
      <c r="F152" t="s">
        <v>23</v>
      </c>
      <c r="G152" t="s">
        <v>24</v>
      </c>
      <c r="H152">
        <v>1</v>
      </c>
      <c r="K152"/>
      <c r="L152"/>
    </row>
    <row r="153" spans="2:12" x14ac:dyDescent="0.25">
      <c r="B153" s="4">
        <v>2</v>
      </c>
      <c r="C153" t="s">
        <v>451</v>
      </c>
      <c r="D153" t="s">
        <v>484</v>
      </c>
      <c r="E153" t="s">
        <v>323</v>
      </c>
      <c r="F153" t="s">
        <v>15</v>
      </c>
      <c r="G153" t="s">
        <v>16</v>
      </c>
      <c r="H153">
        <v>1</v>
      </c>
      <c r="K153"/>
      <c r="L153"/>
    </row>
    <row r="154" spans="2:12" x14ac:dyDescent="0.25">
      <c r="B154" s="4">
        <v>2</v>
      </c>
      <c r="C154" t="s">
        <v>451</v>
      </c>
      <c r="D154" t="s">
        <v>485</v>
      </c>
      <c r="E154" t="s">
        <v>323</v>
      </c>
      <c r="F154">
        <v>201008</v>
      </c>
      <c r="G154" t="s">
        <v>29</v>
      </c>
      <c r="H154">
        <v>1</v>
      </c>
      <c r="K154"/>
      <c r="L154"/>
    </row>
    <row r="155" spans="2:12" x14ac:dyDescent="0.25">
      <c r="B155" s="4">
        <v>2</v>
      </c>
      <c r="C155" t="s">
        <v>451</v>
      </c>
      <c r="D155" t="s">
        <v>485</v>
      </c>
      <c r="E155" t="s">
        <v>323</v>
      </c>
      <c r="F155" t="s">
        <v>23</v>
      </c>
      <c r="G155" t="s">
        <v>24</v>
      </c>
      <c r="H155">
        <v>1</v>
      </c>
      <c r="K155"/>
      <c r="L155"/>
    </row>
    <row r="156" spans="2:12" x14ac:dyDescent="0.25">
      <c r="B156" s="4">
        <v>2</v>
      </c>
      <c r="C156" t="s">
        <v>451</v>
      </c>
      <c r="D156" t="s">
        <v>485</v>
      </c>
      <c r="E156" t="s">
        <v>323</v>
      </c>
      <c r="F156" t="s">
        <v>15</v>
      </c>
      <c r="G156" t="s">
        <v>16</v>
      </c>
      <c r="H156">
        <v>1</v>
      </c>
      <c r="K156"/>
      <c r="L156"/>
    </row>
    <row r="157" spans="2:12" x14ac:dyDescent="0.25">
      <c r="B157" s="4">
        <v>2</v>
      </c>
      <c r="C157" t="s">
        <v>451</v>
      </c>
      <c r="D157" t="s">
        <v>486</v>
      </c>
      <c r="E157" t="s">
        <v>487</v>
      </c>
      <c r="F157">
        <v>201009</v>
      </c>
      <c r="G157" t="s">
        <v>255</v>
      </c>
      <c r="H157">
        <v>1</v>
      </c>
      <c r="K157"/>
      <c r="L157"/>
    </row>
    <row r="158" spans="2:12" x14ac:dyDescent="0.25">
      <c r="B158" s="4">
        <v>2</v>
      </c>
      <c r="C158" t="s">
        <v>451</v>
      </c>
      <c r="D158" t="s">
        <v>488</v>
      </c>
      <c r="E158" t="s">
        <v>487</v>
      </c>
      <c r="F158">
        <v>201009</v>
      </c>
      <c r="G158" t="s">
        <v>255</v>
      </c>
      <c r="H158">
        <v>1</v>
      </c>
      <c r="K158"/>
      <c r="L158"/>
    </row>
    <row r="159" spans="2:12" x14ac:dyDescent="0.25">
      <c r="B159" s="4">
        <v>2</v>
      </c>
      <c r="C159" t="s">
        <v>489</v>
      </c>
      <c r="D159" t="s">
        <v>490</v>
      </c>
      <c r="E159" t="s">
        <v>491</v>
      </c>
      <c r="F159">
        <v>201009</v>
      </c>
      <c r="G159" t="s">
        <v>255</v>
      </c>
      <c r="H159">
        <v>1</v>
      </c>
      <c r="K159"/>
      <c r="L159"/>
    </row>
    <row r="160" spans="2:12" x14ac:dyDescent="0.25">
      <c r="B160" s="4">
        <v>2</v>
      </c>
      <c r="C160" t="s">
        <v>489</v>
      </c>
      <c r="D160" t="s">
        <v>492</v>
      </c>
      <c r="E160" t="s">
        <v>493</v>
      </c>
      <c r="F160" t="s">
        <v>13</v>
      </c>
      <c r="G160" t="s">
        <v>14</v>
      </c>
      <c r="H160">
        <v>1</v>
      </c>
      <c r="K160"/>
      <c r="L160"/>
    </row>
    <row r="161" spans="2:12" x14ac:dyDescent="0.25">
      <c r="B161" s="4">
        <v>2</v>
      </c>
      <c r="C161" t="s">
        <v>489</v>
      </c>
      <c r="D161" t="s">
        <v>492</v>
      </c>
      <c r="E161" t="s">
        <v>493</v>
      </c>
      <c r="F161" t="s">
        <v>15</v>
      </c>
      <c r="G161" t="s">
        <v>16</v>
      </c>
      <c r="H161">
        <v>1</v>
      </c>
      <c r="K161"/>
      <c r="L161"/>
    </row>
    <row r="162" spans="2:12" x14ac:dyDescent="0.25">
      <c r="B162" s="4">
        <v>2</v>
      </c>
      <c r="C162" t="s">
        <v>489</v>
      </c>
      <c r="D162" t="s">
        <v>494</v>
      </c>
      <c r="E162" t="s">
        <v>495</v>
      </c>
      <c r="F162" t="s">
        <v>13</v>
      </c>
      <c r="G162" t="s">
        <v>14</v>
      </c>
      <c r="H162">
        <v>1</v>
      </c>
      <c r="K162"/>
      <c r="L162"/>
    </row>
    <row r="163" spans="2:12" x14ac:dyDescent="0.25">
      <c r="B163" s="4">
        <v>2</v>
      </c>
      <c r="C163" t="s">
        <v>489</v>
      </c>
      <c r="D163" t="s">
        <v>494</v>
      </c>
      <c r="E163" t="s">
        <v>495</v>
      </c>
      <c r="F163" t="s">
        <v>15</v>
      </c>
      <c r="G163" t="s">
        <v>16</v>
      </c>
      <c r="H163">
        <v>1</v>
      </c>
      <c r="K163"/>
      <c r="L163"/>
    </row>
    <row r="164" spans="2:12" x14ac:dyDescent="0.25">
      <c r="B164" s="4">
        <v>2</v>
      </c>
      <c r="C164" t="s">
        <v>489</v>
      </c>
      <c r="D164" t="s">
        <v>496</v>
      </c>
      <c r="E164" t="s">
        <v>497</v>
      </c>
      <c r="F164" t="s">
        <v>23</v>
      </c>
      <c r="G164" t="s">
        <v>24</v>
      </c>
      <c r="H164">
        <v>6</v>
      </c>
      <c r="K164"/>
      <c r="L164"/>
    </row>
    <row r="165" spans="2:12" x14ac:dyDescent="0.25">
      <c r="B165" s="4">
        <v>2</v>
      </c>
      <c r="C165" t="s">
        <v>489</v>
      </c>
      <c r="D165" t="s">
        <v>496</v>
      </c>
      <c r="E165" t="s">
        <v>497</v>
      </c>
      <c r="F165" t="s">
        <v>15</v>
      </c>
      <c r="G165" t="s">
        <v>16</v>
      </c>
      <c r="H165">
        <v>2</v>
      </c>
      <c r="K165"/>
      <c r="L165"/>
    </row>
    <row r="166" spans="2:12" x14ac:dyDescent="0.25">
      <c r="B166" s="4">
        <v>2</v>
      </c>
      <c r="C166" t="s">
        <v>489</v>
      </c>
      <c r="D166" t="s">
        <v>498</v>
      </c>
      <c r="E166" t="s">
        <v>91</v>
      </c>
      <c r="F166" t="s">
        <v>118</v>
      </c>
      <c r="G166" t="s">
        <v>119</v>
      </c>
      <c r="H166">
        <v>1</v>
      </c>
      <c r="K166"/>
      <c r="L166"/>
    </row>
    <row r="167" spans="2:12" x14ac:dyDescent="0.25">
      <c r="B167" s="4">
        <v>2</v>
      </c>
      <c r="C167" t="s">
        <v>489</v>
      </c>
      <c r="D167" t="s">
        <v>499</v>
      </c>
      <c r="E167" t="s">
        <v>469</v>
      </c>
      <c r="F167" t="s">
        <v>13</v>
      </c>
      <c r="G167" t="s">
        <v>14</v>
      </c>
      <c r="H167">
        <v>1</v>
      </c>
      <c r="K167"/>
      <c r="L167"/>
    </row>
    <row r="168" spans="2:12" x14ac:dyDescent="0.25">
      <c r="B168" s="4">
        <v>2</v>
      </c>
      <c r="C168" t="s">
        <v>489</v>
      </c>
      <c r="D168" t="s">
        <v>499</v>
      </c>
      <c r="E168" t="s">
        <v>469</v>
      </c>
      <c r="F168" t="s">
        <v>15</v>
      </c>
      <c r="G168" t="s">
        <v>16</v>
      </c>
      <c r="H168">
        <v>1</v>
      </c>
      <c r="K168"/>
      <c r="L168"/>
    </row>
    <row r="169" spans="2:12" x14ac:dyDescent="0.25">
      <c r="B169" s="4">
        <v>2</v>
      </c>
      <c r="C169" t="s">
        <v>489</v>
      </c>
      <c r="D169" t="s">
        <v>500</v>
      </c>
      <c r="E169" t="s">
        <v>415</v>
      </c>
      <c r="F169" t="s">
        <v>13</v>
      </c>
      <c r="G169" t="s">
        <v>14</v>
      </c>
      <c r="H169">
        <v>1</v>
      </c>
      <c r="K169"/>
      <c r="L169"/>
    </row>
    <row r="170" spans="2:12" x14ac:dyDescent="0.25">
      <c r="B170" s="4">
        <v>2</v>
      </c>
      <c r="C170" t="s">
        <v>489</v>
      </c>
      <c r="D170" t="s">
        <v>500</v>
      </c>
      <c r="E170" t="s">
        <v>415</v>
      </c>
      <c r="F170" t="s">
        <v>15</v>
      </c>
      <c r="G170" t="s">
        <v>16</v>
      </c>
      <c r="H170">
        <v>1</v>
      </c>
      <c r="K170"/>
      <c r="L170"/>
    </row>
    <row r="171" spans="2:12" x14ac:dyDescent="0.25">
      <c r="B171" s="4">
        <v>2</v>
      </c>
      <c r="C171" t="s">
        <v>489</v>
      </c>
      <c r="D171" t="s">
        <v>501</v>
      </c>
      <c r="E171" t="s">
        <v>502</v>
      </c>
      <c r="F171" t="s">
        <v>13</v>
      </c>
      <c r="G171" t="s">
        <v>14</v>
      </c>
      <c r="H171">
        <v>1</v>
      </c>
      <c r="K171"/>
      <c r="L171"/>
    </row>
    <row r="172" spans="2:12" x14ac:dyDescent="0.25">
      <c r="B172" s="4">
        <v>2</v>
      </c>
      <c r="C172" t="s">
        <v>489</v>
      </c>
      <c r="D172" t="s">
        <v>501</v>
      </c>
      <c r="E172" t="s">
        <v>502</v>
      </c>
      <c r="F172" t="s">
        <v>15</v>
      </c>
      <c r="G172" t="s">
        <v>16</v>
      </c>
      <c r="H172">
        <v>1</v>
      </c>
      <c r="K172"/>
      <c r="L172"/>
    </row>
    <row r="173" spans="2:12" x14ac:dyDescent="0.25">
      <c r="B173" s="4">
        <v>2</v>
      </c>
      <c r="C173" t="s">
        <v>489</v>
      </c>
      <c r="D173" t="s">
        <v>504</v>
      </c>
      <c r="E173" t="s">
        <v>503</v>
      </c>
      <c r="F173" t="s">
        <v>23</v>
      </c>
      <c r="G173" t="s">
        <v>24</v>
      </c>
      <c r="H173">
        <v>1</v>
      </c>
      <c r="K173"/>
      <c r="L173"/>
    </row>
    <row r="174" spans="2:12" x14ac:dyDescent="0.25">
      <c r="B174" s="4">
        <v>2</v>
      </c>
      <c r="C174" t="s">
        <v>489</v>
      </c>
      <c r="D174" t="s">
        <v>505</v>
      </c>
      <c r="E174" t="s">
        <v>503</v>
      </c>
      <c r="F174" t="s">
        <v>23</v>
      </c>
      <c r="G174" t="s">
        <v>24</v>
      </c>
      <c r="H174">
        <v>1</v>
      </c>
      <c r="K174"/>
      <c r="L174"/>
    </row>
    <row r="175" spans="2:12" x14ac:dyDescent="0.25">
      <c r="B175" s="4">
        <v>2</v>
      </c>
      <c r="C175" t="s">
        <v>489</v>
      </c>
      <c r="D175" t="s">
        <v>506</v>
      </c>
      <c r="E175" t="s">
        <v>507</v>
      </c>
      <c r="F175" t="s">
        <v>103</v>
      </c>
      <c r="G175" t="s">
        <v>104</v>
      </c>
      <c r="H175">
        <v>1</v>
      </c>
      <c r="K175"/>
      <c r="L175"/>
    </row>
    <row r="176" spans="2:12" x14ac:dyDescent="0.25">
      <c r="B176" s="4">
        <v>2</v>
      </c>
      <c r="C176" t="s">
        <v>489</v>
      </c>
      <c r="D176" t="s">
        <v>508</v>
      </c>
      <c r="E176" t="s">
        <v>509</v>
      </c>
      <c r="F176" t="s">
        <v>103</v>
      </c>
      <c r="G176" t="s">
        <v>104</v>
      </c>
      <c r="H176">
        <v>1</v>
      </c>
      <c r="K176"/>
      <c r="L176"/>
    </row>
    <row r="177" spans="2:12" x14ac:dyDescent="0.25">
      <c r="B177" s="4">
        <v>2</v>
      </c>
      <c r="C177" t="s">
        <v>489</v>
      </c>
      <c r="D177" t="s">
        <v>510</v>
      </c>
      <c r="E177" t="s">
        <v>511</v>
      </c>
      <c r="F177" t="s">
        <v>103</v>
      </c>
      <c r="G177" t="s">
        <v>104</v>
      </c>
      <c r="H177">
        <v>1</v>
      </c>
      <c r="K177"/>
      <c r="L177"/>
    </row>
    <row r="178" spans="2:12" x14ac:dyDescent="0.25">
      <c r="B178" s="4">
        <v>2</v>
      </c>
      <c r="C178" t="s">
        <v>489</v>
      </c>
      <c r="D178" t="s">
        <v>512</v>
      </c>
      <c r="E178" t="s">
        <v>323</v>
      </c>
      <c r="F178">
        <v>201008</v>
      </c>
      <c r="G178" t="s">
        <v>29</v>
      </c>
      <c r="H178">
        <v>1</v>
      </c>
      <c r="K178"/>
      <c r="L178"/>
    </row>
    <row r="179" spans="2:12" x14ac:dyDescent="0.25">
      <c r="B179" s="4">
        <v>2</v>
      </c>
      <c r="C179" t="s">
        <v>489</v>
      </c>
      <c r="D179" t="s">
        <v>512</v>
      </c>
      <c r="E179" t="s">
        <v>323</v>
      </c>
      <c r="F179" t="s">
        <v>23</v>
      </c>
      <c r="G179" t="s">
        <v>24</v>
      </c>
      <c r="H179">
        <v>1</v>
      </c>
      <c r="K179"/>
      <c r="L179"/>
    </row>
    <row r="180" spans="2:12" x14ac:dyDescent="0.25">
      <c r="B180" s="4">
        <v>2</v>
      </c>
      <c r="C180" t="s">
        <v>489</v>
      </c>
      <c r="D180" t="s">
        <v>512</v>
      </c>
      <c r="E180" t="s">
        <v>323</v>
      </c>
      <c r="F180" t="s">
        <v>15</v>
      </c>
      <c r="G180" t="s">
        <v>16</v>
      </c>
      <c r="H180">
        <v>1</v>
      </c>
      <c r="K180"/>
      <c r="L180"/>
    </row>
    <row r="181" spans="2:12" x14ac:dyDescent="0.25">
      <c r="B181" s="4">
        <v>2</v>
      </c>
      <c r="C181" t="s">
        <v>489</v>
      </c>
      <c r="D181" t="s">
        <v>513</v>
      </c>
      <c r="E181" t="s">
        <v>487</v>
      </c>
      <c r="F181">
        <v>201009</v>
      </c>
      <c r="G181" t="s">
        <v>255</v>
      </c>
      <c r="H181">
        <v>1</v>
      </c>
      <c r="K181"/>
      <c r="L181"/>
    </row>
    <row r="182" spans="2:12" x14ac:dyDescent="0.25">
      <c r="B182" s="4">
        <v>2</v>
      </c>
      <c r="C182" t="s">
        <v>489</v>
      </c>
      <c r="D182" t="s">
        <v>514</v>
      </c>
      <c r="E182" t="s">
        <v>487</v>
      </c>
      <c r="F182">
        <v>201009</v>
      </c>
      <c r="G182" t="s">
        <v>255</v>
      </c>
      <c r="H182">
        <v>1</v>
      </c>
      <c r="K182"/>
      <c r="L182"/>
    </row>
    <row r="183" spans="2:12" x14ac:dyDescent="0.25">
      <c r="B183" s="4">
        <v>2</v>
      </c>
      <c r="C183" t="s">
        <v>515</v>
      </c>
      <c r="D183" t="s">
        <v>516</v>
      </c>
      <c r="E183" t="s">
        <v>517</v>
      </c>
      <c r="F183">
        <v>201008</v>
      </c>
      <c r="G183" t="s">
        <v>29</v>
      </c>
      <c r="H183">
        <v>1</v>
      </c>
      <c r="K183"/>
      <c r="L183"/>
    </row>
    <row r="184" spans="2:12" x14ac:dyDescent="0.25">
      <c r="B184" s="4">
        <v>2</v>
      </c>
      <c r="C184" t="s">
        <v>515</v>
      </c>
      <c r="D184" t="s">
        <v>516</v>
      </c>
      <c r="E184" t="s">
        <v>517</v>
      </c>
      <c r="F184" t="s">
        <v>13</v>
      </c>
      <c r="G184" t="s">
        <v>14</v>
      </c>
      <c r="H184">
        <v>1</v>
      </c>
      <c r="K184"/>
      <c r="L184"/>
    </row>
    <row r="185" spans="2:12" x14ac:dyDescent="0.25">
      <c r="B185" s="4">
        <v>2</v>
      </c>
      <c r="C185" t="s">
        <v>515</v>
      </c>
      <c r="D185" t="s">
        <v>516</v>
      </c>
      <c r="E185" t="s">
        <v>517</v>
      </c>
      <c r="F185" t="s">
        <v>15</v>
      </c>
      <c r="G185" t="s">
        <v>16</v>
      </c>
      <c r="H185">
        <v>1</v>
      </c>
      <c r="K185"/>
      <c r="L185"/>
    </row>
    <row r="186" spans="2:12" x14ac:dyDescent="0.25">
      <c r="B186" s="4">
        <v>2</v>
      </c>
      <c r="C186" t="s">
        <v>515</v>
      </c>
      <c r="D186" t="s">
        <v>518</v>
      </c>
      <c r="E186" t="s">
        <v>345</v>
      </c>
      <c r="F186" t="s">
        <v>23</v>
      </c>
      <c r="G186" t="s">
        <v>24</v>
      </c>
      <c r="H186">
        <v>6</v>
      </c>
      <c r="K186"/>
      <c r="L186"/>
    </row>
    <row r="187" spans="2:12" x14ac:dyDescent="0.25">
      <c r="B187" s="4">
        <v>2</v>
      </c>
      <c r="C187" t="s">
        <v>515</v>
      </c>
      <c r="D187" t="s">
        <v>518</v>
      </c>
      <c r="E187" t="s">
        <v>345</v>
      </c>
      <c r="F187" t="s">
        <v>15</v>
      </c>
      <c r="G187" t="s">
        <v>16</v>
      </c>
      <c r="H187">
        <v>6</v>
      </c>
      <c r="K187"/>
      <c r="L187"/>
    </row>
    <row r="188" spans="2:12" x14ac:dyDescent="0.25">
      <c r="B188" s="4">
        <v>2</v>
      </c>
      <c r="C188" t="s">
        <v>515</v>
      </c>
      <c r="D188" t="s">
        <v>519</v>
      </c>
      <c r="E188" t="s">
        <v>520</v>
      </c>
      <c r="F188" t="s">
        <v>13</v>
      </c>
      <c r="G188" t="s">
        <v>14</v>
      </c>
      <c r="H188">
        <v>1</v>
      </c>
      <c r="K188"/>
      <c r="L188"/>
    </row>
    <row r="189" spans="2:12" x14ac:dyDescent="0.25">
      <c r="B189" s="4">
        <v>2</v>
      </c>
      <c r="C189" t="s">
        <v>515</v>
      </c>
      <c r="D189" t="s">
        <v>519</v>
      </c>
      <c r="E189" t="s">
        <v>520</v>
      </c>
      <c r="F189" t="s">
        <v>15</v>
      </c>
      <c r="G189" t="s">
        <v>16</v>
      </c>
      <c r="H189">
        <v>1</v>
      </c>
      <c r="K189"/>
      <c r="L189"/>
    </row>
    <row r="190" spans="2:12" x14ac:dyDescent="0.25">
      <c r="B190" s="4">
        <v>2</v>
      </c>
      <c r="C190" t="s">
        <v>515</v>
      </c>
      <c r="D190" t="s">
        <v>521</v>
      </c>
      <c r="E190" t="s">
        <v>56</v>
      </c>
      <c r="F190">
        <v>201009</v>
      </c>
      <c r="G190" t="s">
        <v>255</v>
      </c>
      <c r="H190">
        <v>1</v>
      </c>
      <c r="K190"/>
      <c r="L190"/>
    </row>
    <row r="191" spans="2:12" x14ac:dyDescent="0.25">
      <c r="B191" s="4">
        <v>2</v>
      </c>
      <c r="C191" t="s">
        <v>515</v>
      </c>
      <c r="D191" t="s">
        <v>522</v>
      </c>
      <c r="E191" t="s">
        <v>523</v>
      </c>
      <c r="F191" t="s">
        <v>103</v>
      </c>
      <c r="G191" t="s">
        <v>104</v>
      </c>
      <c r="H191">
        <v>1</v>
      </c>
      <c r="K191"/>
      <c r="L191"/>
    </row>
    <row r="192" spans="2:12" x14ac:dyDescent="0.25">
      <c r="B192" s="4">
        <v>2</v>
      </c>
      <c r="C192" t="s">
        <v>524</v>
      </c>
      <c r="D192" t="s">
        <v>525</v>
      </c>
      <c r="E192" t="s">
        <v>397</v>
      </c>
      <c r="F192" t="s">
        <v>15</v>
      </c>
      <c r="G192" t="s">
        <v>16</v>
      </c>
      <c r="H192">
        <v>1</v>
      </c>
      <c r="K192"/>
      <c r="L192"/>
    </row>
    <row r="193" spans="2:12" x14ac:dyDescent="0.25">
      <c r="B193" s="4">
        <v>2</v>
      </c>
      <c r="C193" t="s">
        <v>524</v>
      </c>
      <c r="D193" t="s">
        <v>526</v>
      </c>
      <c r="E193" t="s">
        <v>527</v>
      </c>
      <c r="F193" t="s">
        <v>23</v>
      </c>
      <c r="G193" t="s">
        <v>24</v>
      </c>
      <c r="H193">
        <v>2</v>
      </c>
      <c r="K193"/>
      <c r="L193"/>
    </row>
    <row r="194" spans="2:12" x14ac:dyDescent="0.25">
      <c r="B194" s="4">
        <v>2</v>
      </c>
      <c r="C194" t="s">
        <v>524</v>
      </c>
      <c r="D194" t="s">
        <v>528</v>
      </c>
      <c r="E194" t="s">
        <v>529</v>
      </c>
      <c r="F194">
        <v>201009</v>
      </c>
      <c r="G194" t="s">
        <v>255</v>
      </c>
      <c r="H194">
        <v>1</v>
      </c>
      <c r="K194"/>
      <c r="L194"/>
    </row>
    <row r="195" spans="2:12" x14ac:dyDescent="0.25">
      <c r="B195" s="4">
        <v>2</v>
      </c>
      <c r="C195" t="s">
        <v>524</v>
      </c>
      <c r="D195" t="s">
        <v>528</v>
      </c>
      <c r="E195" t="s">
        <v>529</v>
      </c>
      <c r="F195" t="s">
        <v>15</v>
      </c>
      <c r="G195" t="s">
        <v>16</v>
      </c>
      <c r="H195">
        <v>1</v>
      </c>
      <c r="K195"/>
      <c r="L195"/>
    </row>
    <row r="196" spans="2:12" x14ac:dyDescent="0.25">
      <c r="B196" s="4">
        <v>2</v>
      </c>
      <c r="C196" t="s">
        <v>524</v>
      </c>
      <c r="D196" t="s">
        <v>530</v>
      </c>
      <c r="E196" t="s">
        <v>531</v>
      </c>
      <c r="F196" t="s">
        <v>13</v>
      </c>
      <c r="G196" t="s">
        <v>14</v>
      </c>
      <c r="H196">
        <v>1</v>
      </c>
      <c r="K196"/>
      <c r="L196"/>
    </row>
    <row r="197" spans="2:12" x14ac:dyDescent="0.25">
      <c r="B197" s="4">
        <v>2</v>
      </c>
      <c r="C197" t="s">
        <v>524</v>
      </c>
      <c r="D197" t="s">
        <v>530</v>
      </c>
      <c r="E197" t="s">
        <v>531</v>
      </c>
      <c r="F197" t="s">
        <v>15</v>
      </c>
      <c r="G197" t="s">
        <v>16</v>
      </c>
      <c r="H197">
        <v>1</v>
      </c>
      <c r="K197"/>
      <c r="L197"/>
    </row>
    <row r="198" spans="2:12" x14ac:dyDescent="0.25">
      <c r="B198" s="4">
        <v>2</v>
      </c>
      <c r="C198" t="s">
        <v>524</v>
      </c>
      <c r="D198" t="s">
        <v>532</v>
      </c>
      <c r="E198" t="s">
        <v>273</v>
      </c>
      <c r="F198" t="s">
        <v>23</v>
      </c>
      <c r="G198" t="s">
        <v>24</v>
      </c>
      <c r="H198">
        <v>1</v>
      </c>
      <c r="K198"/>
      <c r="L198"/>
    </row>
    <row r="199" spans="2:12" x14ac:dyDescent="0.25">
      <c r="B199" s="4">
        <v>2</v>
      </c>
      <c r="C199" t="s">
        <v>524</v>
      </c>
      <c r="D199" t="s">
        <v>533</v>
      </c>
      <c r="E199" t="s">
        <v>273</v>
      </c>
      <c r="F199" t="s">
        <v>23</v>
      </c>
      <c r="G199" t="s">
        <v>24</v>
      </c>
      <c r="H199">
        <v>1</v>
      </c>
      <c r="K199"/>
      <c r="L199"/>
    </row>
    <row r="200" spans="2:12" x14ac:dyDescent="0.25">
      <c r="B200" s="4">
        <v>2</v>
      </c>
      <c r="C200" t="s">
        <v>524</v>
      </c>
      <c r="D200" t="s">
        <v>534</v>
      </c>
      <c r="E200" t="s">
        <v>254</v>
      </c>
      <c r="F200">
        <v>201010</v>
      </c>
      <c r="G200" t="s">
        <v>44</v>
      </c>
      <c r="H200">
        <v>1</v>
      </c>
      <c r="K200"/>
      <c r="L200"/>
    </row>
    <row r="201" spans="2:12" x14ac:dyDescent="0.25">
      <c r="B201" s="4">
        <v>2</v>
      </c>
      <c r="C201" t="s">
        <v>535</v>
      </c>
      <c r="D201" t="s">
        <v>536</v>
      </c>
      <c r="E201" t="s">
        <v>537</v>
      </c>
      <c r="F201" t="s">
        <v>13</v>
      </c>
      <c r="G201" t="s">
        <v>14</v>
      </c>
      <c r="H201">
        <v>1</v>
      </c>
      <c r="K201"/>
      <c r="L201"/>
    </row>
    <row r="202" spans="2:12" x14ac:dyDescent="0.25">
      <c r="B202" s="4">
        <v>2</v>
      </c>
      <c r="C202" t="s">
        <v>535</v>
      </c>
      <c r="D202" t="s">
        <v>536</v>
      </c>
      <c r="E202" t="s">
        <v>537</v>
      </c>
      <c r="F202" t="s">
        <v>15</v>
      </c>
      <c r="G202" t="s">
        <v>16</v>
      </c>
      <c r="H202">
        <v>1</v>
      </c>
      <c r="K202"/>
      <c r="L202"/>
    </row>
    <row r="203" spans="2:12" x14ac:dyDescent="0.25">
      <c r="B203" s="4">
        <v>2</v>
      </c>
      <c r="C203" t="s">
        <v>535</v>
      </c>
      <c r="D203" t="s">
        <v>538</v>
      </c>
      <c r="E203" t="s">
        <v>539</v>
      </c>
      <c r="F203" t="s">
        <v>19</v>
      </c>
      <c r="G203" t="s">
        <v>20</v>
      </c>
      <c r="H203">
        <v>1</v>
      </c>
      <c r="K203"/>
      <c r="L203"/>
    </row>
    <row r="204" spans="2:12" x14ac:dyDescent="0.25">
      <c r="B204" s="4">
        <v>2</v>
      </c>
      <c r="C204" t="s">
        <v>535</v>
      </c>
      <c r="D204" t="s">
        <v>538</v>
      </c>
      <c r="E204" t="s">
        <v>539</v>
      </c>
      <c r="F204" t="s">
        <v>463</v>
      </c>
      <c r="G204" t="s">
        <v>464</v>
      </c>
      <c r="H204">
        <v>1</v>
      </c>
      <c r="K204"/>
      <c r="L204"/>
    </row>
    <row r="205" spans="2:12" x14ac:dyDescent="0.25">
      <c r="B205" s="4">
        <v>2</v>
      </c>
      <c r="C205" t="s">
        <v>535</v>
      </c>
      <c r="D205" t="s">
        <v>540</v>
      </c>
      <c r="E205" t="s">
        <v>541</v>
      </c>
      <c r="F205" t="s">
        <v>19</v>
      </c>
      <c r="G205" t="s">
        <v>20</v>
      </c>
      <c r="H205">
        <v>1</v>
      </c>
      <c r="K205"/>
      <c r="L205"/>
    </row>
    <row r="206" spans="2:12" x14ac:dyDescent="0.25">
      <c r="B206" s="4">
        <v>2</v>
      </c>
      <c r="C206" t="s">
        <v>535</v>
      </c>
      <c r="D206" t="s">
        <v>540</v>
      </c>
      <c r="E206" t="s">
        <v>541</v>
      </c>
      <c r="F206" t="s">
        <v>463</v>
      </c>
      <c r="G206" t="s">
        <v>464</v>
      </c>
      <c r="H206">
        <v>1</v>
      </c>
      <c r="K206"/>
      <c r="L206"/>
    </row>
    <row r="207" spans="2:12" x14ac:dyDescent="0.25">
      <c r="B207" s="4">
        <v>2</v>
      </c>
      <c r="C207" t="s">
        <v>535</v>
      </c>
      <c r="D207" t="s">
        <v>542</v>
      </c>
      <c r="E207" t="s">
        <v>541</v>
      </c>
      <c r="F207" t="s">
        <v>19</v>
      </c>
      <c r="G207" t="s">
        <v>20</v>
      </c>
      <c r="H207">
        <v>1</v>
      </c>
      <c r="K207"/>
      <c r="L207"/>
    </row>
    <row r="208" spans="2:12" x14ac:dyDescent="0.25">
      <c r="B208" s="4">
        <v>2</v>
      </c>
      <c r="C208" t="s">
        <v>535</v>
      </c>
      <c r="D208" t="s">
        <v>542</v>
      </c>
      <c r="E208" t="s">
        <v>541</v>
      </c>
      <c r="F208" t="s">
        <v>463</v>
      </c>
      <c r="G208" t="s">
        <v>464</v>
      </c>
      <c r="H208">
        <v>1</v>
      </c>
      <c r="K208"/>
      <c r="L208"/>
    </row>
    <row r="209" spans="2:12" x14ac:dyDescent="0.25">
      <c r="B209" s="4">
        <v>2</v>
      </c>
      <c r="C209" t="s">
        <v>535</v>
      </c>
      <c r="D209" t="s">
        <v>543</v>
      </c>
      <c r="E209" t="s">
        <v>541</v>
      </c>
      <c r="F209" t="s">
        <v>19</v>
      </c>
      <c r="G209" t="s">
        <v>20</v>
      </c>
      <c r="H209">
        <v>1</v>
      </c>
      <c r="K209"/>
      <c r="L209"/>
    </row>
    <row r="210" spans="2:12" x14ac:dyDescent="0.25">
      <c r="B210" s="4">
        <v>2</v>
      </c>
      <c r="C210" t="s">
        <v>535</v>
      </c>
      <c r="D210" t="s">
        <v>543</v>
      </c>
      <c r="E210" t="s">
        <v>541</v>
      </c>
      <c r="F210" t="s">
        <v>463</v>
      </c>
      <c r="G210" t="s">
        <v>464</v>
      </c>
      <c r="H210">
        <v>1</v>
      </c>
      <c r="K210"/>
      <c r="L210"/>
    </row>
    <row r="211" spans="2:12" x14ac:dyDescent="0.25">
      <c r="B211" s="4">
        <v>2</v>
      </c>
      <c r="C211" t="s">
        <v>535</v>
      </c>
      <c r="D211" t="s">
        <v>545</v>
      </c>
      <c r="E211" t="s">
        <v>546</v>
      </c>
      <c r="F211" t="s">
        <v>23</v>
      </c>
      <c r="G211" t="s">
        <v>24</v>
      </c>
      <c r="H211">
        <v>1</v>
      </c>
      <c r="K211"/>
      <c r="L211"/>
    </row>
    <row r="212" spans="2:12" x14ac:dyDescent="0.25">
      <c r="B212" s="4">
        <v>2</v>
      </c>
      <c r="C212" t="s">
        <v>535</v>
      </c>
      <c r="D212" t="s">
        <v>548</v>
      </c>
      <c r="E212" t="s">
        <v>549</v>
      </c>
      <c r="F212">
        <v>201009</v>
      </c>
      <c r="G212" t="s">
        <v>255</v>
      </c>
      <c r="H212">
        <v>1</v>
      </c>
      <c r="K212"/>
      <c r="L212"/>
    </row>
    <row r="213" spans="2:12" x14ac:dyDescent="0.25">
      <c r="B213" s="4">
        <v>2</v>
      </c>
      <c r="C213" t="s">
        <v>535</v>
      </c>
      <c r="D213" t="s">
        <v>550</v>
      </c>
      <c r="E213" t="s">
        <v>549</v>
      </c>
      <c r="F213" t="s">
        <v>103</v>
      </c>
      <c r="G213" t="s">
        <v>104</v>
      </c>
      <c r="H213">
        <v>1</v>
      </c>
      <c r="K213"/>
      <c r="L213"/>
    </row>
    <row r="214" spans="2:12" x14ac:dyDescent="0.25">
      <c r="B214" s="4">
        <v>2</v>
      </c>
      <c r="C214" t="s">
        <v>535</v>
      </c>
      <c r="D214" t="s">
        <v>551</v>
      </c>
      <c r="E214" t="s">
        <v>552</v>
      </c>
      <c r="F214" t="s">
        <v>19</v>
      </c>
      <c r="G214" t="s">
        <v>20</v>
      </c>
      <c r="H214">
        <v>1</v>
      </c>
      <c r="K214"/>
      <c r="L214"/>
    </row>
    <row r="215" spans="2:12" x14ac:dyDescent="0.25">
      <c r="B215" s="4">
        <v>2</v>
      </c>
      <c r="C215" t="s">
        <v>535</v>
      </c>
      <c r="D215" t="s">
        <v>551</v>
      </c>
      <c r="E215" t="s">
        <v>552</v>
      </c>
      <c r="F215" t="s">
        <v>463</v>
      </c>
      <c r="G215" t="s">
        <v>464</v>
      </c>
      <c r="H215">
        <v>1</v>
      </c>
      <c r="K215"/>
      <c r="L215"/>
    </row>
    <row r="216" spans="2:12" x14ac:dyDescent="0.25">
      <c r="B216" s="4">
        <v>2</v>
      </c>
      <c r="C216" t="s">
        <v>535</v>
      </c>
      <c r="D216" t="s">
        <v>553</v>
      </c>
      <c r="E216" t="s">
        <v>554</v>
      </c>
      <c r="F216">
        <v>201004</v>
      </c>
      <c r="G216" t="s">
        <v>41</v>
      </c>
      <c r="H216">
        <v>1</v>
      </c>
      <c r="K216"/>
      <c r="L216"/>
    </row>
    <row r="217" spans="2:12" x14ac:dyDescent="0.25">
      <c r="B217" s="4">
        <v>2</v>
      </c>
      <c r="C217" t="s">
        <v>535</v>
      </c>
      <c r="D217" t="s">
        <v>553</v>
      </c>
      <c r="E217" t="s">
        <v>554</v>
      </c>
      <c r="F217" t="s">
        <v>19</v>
      </c>
      <c r="G217" t="s">
        <v>20</v>
      </c>
      <c r="H217">
        <v>1</v>
      </c>
      <c r="K217"/>
      <c r="L217"/>
    </row>
    <row r="218" spans="2:12" x14ac:dyDescent="0.25">
      <c r="B218" s="4">
        <v>2</v>
      </c>
      <c r="C218" t="s">
        <v>535</v>
      </c>
      <c r="D218" t="s">
        <v>553</v>
      </c>
      <c r="E218" t="s">
        <v>554</v>
      </c>
      <c r="F218" t="s">
        <v>463</v>
      </c>
      <c r="G218" t="s">
        <v>464</v>
      </c>
      <c r="H218">
        <v>1</v>
      </c>
      <c r="K218"/>
      <c r="L218"/>
    </row>
    <row r="219" spans="2:12" x14ac:dyDescent="0.25">
      <c r="B219" s="4">
        <v>2</v>
      </c>
      <c r="C219" t="s">
        <v>535</v>
      </c>
      <c r="D219" t="s">
        <v>555</v>
      </c>
      <c r="E219" t="s">
        <v>554</v>
      </c>
      <c r="F219">
        <v>201004</v>
      </c>
      <c r="G219" t="s">
        <v>41</v>
      </c>
      <c r="H219">
        <v>1</v>
      </c>
      <c r="K219"/>
      <c r="L219"/>
    </row>
    <row r="220" spans="2:12" x14ac:dyDescent="0.25">
      <c r="B220" s="4">
        <v>2</v>
      </c>
      <c r="C220" t="s">
        <v>535</v>
      </c>
      <c r="D220" t="s">
        <v>555</v>
      </c>
      <c r="E220" t="s">
        <v>554</v>
      </c>
      <c r="F220" t="s">
        <v>19</v>
      </c>
      <c r="G220" t="s">
        <v>20</v>
      </c>
      <c r="H220">
        <v>1</v>
      </c>
      <c r="K220"/>
      <c r="L220"/>
    </row>
    <row r="221" spans="2:12" x14ac:dyDescent="0.25">
      <c r="B221" s="4">
        <v>2</v>
      </c>
      <c r="C221" t="s">
        <v>535</v>
      </c>
      <c r="D221" t="s">
        <v>555</v>
      </c>
      <c r="E221" t="s">
        <v>554</v>
      </c>
      <c r="F221" t="s">
        <v>463</v>
      </c>
      <c r="G221" t="s">
        <v>464</v>
      </c>
      <c r="H221">
        <v>1</v>
      </c>
      <c r="K221"/>
      <c r="L221"/>
    </row>
    <row r="222" spans="2:12" x14ac:dyDescent="0.25">
      <c r="B222" s="4">
        <v>2</v>
      </c>
      <c r="C222" t="s">
        <v>535</v>
      </c>
      <c r="D222" t="s">
        <v>556</v>
      </c>
      <c r="E222" t="s">
        <v>557</v>
      </c>
      <c r="F222" t="s">
        <v>13</v>
      </c>
      <c r="G222" t="s">
        <v>14</v>
      </c>
      <c r="H222">
        <v>1</v>
      </c>
      <c r="K222"/>
      <c r="L222"/>
    </row>
    <row r="223" spans="2:12" x14ac:dyDescent="0.25">
      <c r="B223" s="4">
        <v>2</v>
      </c>
      <c r="C223" t="s">
        <v>535</v>
      </c>
      <c r="D223" t="s">
        <v>556</v>
      </c>
      <c r="E223" t="s">
        <v>557</v>
      </c>
      <c r="F223" t="s">
        <v>15</v>
      </c>
      <c r="G223" t="s">
        <v>16</v>
      </c>
      <c r="H223">
        <v>1</v>
      </c>
      <c r="K223"/>
      <c r="L223"/>
    </row>
    <row r="224" spans="2:12" x14ac:dyDescent="0.25">
      <c r="B224" s="4">
        <v>2</v>
      </c>
      <c r="C224" t="s">
        <v>535</v>
      </c>
      <c r="D224" t="s">
        <v>558</v>
      </c>
      <c r="E224" t="s">
        <v>559</v>
      </c>
      <c r="F224" t="s">
        <v>19</v>
      </c>
      <c r="G224" t="s">
        <v>20</v>
      </c>
      <c r="H224">
        <v>1</v>
      </c>
      <c r="K224"/>
      <c r="L224"/>
    </row>
    <row r="225" spans="2:12" x14ac:dyDescent="0.25">
      <c r="B225" s="4">
        <v>2</v>
      </c>
      <c r="C225" t="s">
        <v>535</v>
      </c>
      <c r="D225" t="s">
        <v>558</v>
      </c>
      <c r="E225" t="s">
        <v>559</v>
      </c>
      <c r="F225" t="s">
        <v>463</v>
      </c>
      <c r="G225" t="s">
        <v>464</v>
      </c>
      <c r="H225">
        <v>1</v>
      </c>
      <c r="K225"/>
      <c r="L225"/>
    </row>
    <row r="226" spans="2:12" x14ac:dyDescent="0.25">
      <c r="B226" s="4">
        <v>2</v>
      </c>
      <c r="C226" t="s">
        <v>535</v>
      </c>
      <c r="D226" t="s">
        <v>560</v>
      </c>
      <c r="E226" t="s">
        <v>561</v>
      </c>
      <c r="F226">
        <v>201004</v>
      </c>
      <c r="G226" t="s">
        <v>41</v>
      </c>
      <c r="H226">
        <v>1</v>
      </c>
      <c r="K226"/>
      <c r="L226"/>
    </row>
    <row r="227" spans="2:12" x14ac:dyDescent="0.25">
      <c r="B227" s="4">
        <v>2</v>
      </c>
      <c r="C227" t="s">
        <v>535</v>
      </c>
      <c r="D227" t="s">
        <v>562</v>
      </c>
      <c r="E227" t="s">
        <v>300</v>
      </c>
      <c r="F227">
        <v>201009</v>
      </c>
      <c r="G227" t="s">
        <v>255</v>
      </c>
      <c r="H227">
        <v>1</v>
      </c>
      <c r="K227"/>
      <c r="L227"/>
    </row>
    <row r="228" spans="2:12" x14ac:dyDescent="0.25">
      <c r="B228" s="4">
        <v>2</v>
      </c>
      <c r="C228" t="s">
        <v>535</v>
      </c>
      <c r="D228" t="s">
        <v>563</v>
      </c>
      <c r="E228" t="s">
        <v>564</v>
      </c>
      <c r="F228" t="s">
        <v>23</v>
      </c>
      <c r="G228" t="s">
        <v>24</v>
      </c>
      <c r="H228">
        <v>8</v>
      </c>
      <c r="K228"/>
      <c r="L228"/>
    </row>
    <row r="229" spans="2:12" x14ac:dyDescent="0.25">
      <c r="B229" s="4">
        <v>2</v>
      </c>
      <c r="C229" t="s">
        <v>535</v>
      </c>
      <c r="D229" t="s">
        <v>563</v>
      </c>
      <c r="E229" t="s">
        <v>564</v>
      </c>
      <c r="F229" t="s">
        <v>15</v>
      </c>
      <c r="G229" t="s">
        <v>16</v>
      </c>
      <c r="H229">
        <v>5</v>
      </c>
      <c r="K229"/>
      <c r="L229"/>
    </row>
    <row r="230" spans="2:12" x14ac:dyDescent="0.25">
      <c r="B230" s="4">
        <v>2</v>
      </c>
      <c r="C230" t="s">
        <v>535</v>
      </c>
      <c r="D230" t="s">
        <v>565</v>
      </c>
      <c r="E230" t="s">
        <v>566</v>
      </c>
      <c r="F230">
        <v>201004</v>
      </c>
      <c r="G230" t="s">
        <v>41</v>
      </c>
      <c r="H230">
        <v>1</v>
      </c>
      <c r="K230"/>
      <c r="L230"/>
    </row>
    <row r="231" spans="2:12" x14ac:dyDescent="0.25">
      <c r="B231" s="4">
        <v>2</v>
      </c>
      <c r="C231" t="s">
        <v>535</v>
      </c>
      <c r="D231" t="s">
        <v>565</v>
      </c>
      <c r="E231" t="s">
        <v>566</v>
      </c>
      <c r="F231" t="s">
        <v>19</v>
      </c>
      <c r="G231" t="s">
        <v>20</v>
      </c>
      <c r="H231">
        <v>1</v>
      </c>
      <c r="K231"/>
      <c r="L231"/>
    </row>
    <row r="232" spans="2:12" x14ac:dyDescent="0.25">
      <c r="B232" s="4">
        <v>2</v>
      </c>
      <c r="C232" t="s">
        <v>535</v>
      </c>
      <c r="D232" t="s">
        <v>565</v>
      </c>
      <c r="E232" t="s">
        <v>566</v>
      </c>
      <c r="F232" t="s">
        <v>463</v>
      </c>
      <c r="G232" t="s">
        <v>464</v>
      </c>
      <c r="H232">
        <v>1</v>
      </c>
      <c r="K232"/>
      <c r="L232"/>
    </row>
    <row r="233" spans="2:12" x14ac:dyDescent="0.25">
      <c r="B233" s="4">
        <v>2</v>
      </c>
      <c r="C233" t="s">
        <v>535</v>
      </c>
      <c r="D233" t="s">
        <v>567</v>
      </c>
      <c r="E233" t="s">
        <v>568</v>
      </c>
      <c r="F233">
        <v>201008</v>
      </c>
      <c r="G233" t="s">
        <v>29</v>
      </c>
      <c r="H233">
        <v>1</v>
      </c>
      <c r="K233"/>
      <c r="L233"/>
    </row>
    <row r="234" spans="2:12" x14ac:dyDescent="0.25">
      <c r="B234" s="4">
        <v>2</v>
      </c>
      <c r="C234" t="s">
        <v>535</v>
      </c>
      <c r="D234" t="s">
        <v>567</v>
      </c>
      <c r="E234" t="s">
        <v>568</v>
      </c>
      <c r="F234" t="s">
        <v>19</v>
      </c>
      <c r="G234" t="s">
        <v>20</v>
      </c>
      <c r="H234">
        <v>1</v>
      </c>
      <c r="K234"/>
      <c r="L234"/>
    </row>
    <row r="235" spans="2:12" x14ac:dyDescent="0.25">
      <c r="B235" s="4">
        <v>2</v>
      </c>
      <c r="C235" t="s">
        <v>535</v>
      </c>
      <c r="D235" t="s">
        <v>567</v>
      </c>
      <c r="E235" t="s">
        <v>568</v>
      </c>
      <c r="F235" t="s">
        <v>463</v>
      </c>
      <c r="G235" t="s">
        <v>464</v>
      </c>
      <c r="H235">
        <v>1</v>
      </c>
      <c r="K235"/>
      <c r="L235"/>
    </row>
    <row r="236" spans="2:12" x14ac:dyDescent="0.25">
      <c r="B236" s="4">
        <v>2</v>
      </c>
      <c r="C236" t="s">
        <v>535</v>
      </c>
      <c r="D236" t="s">
        <v>569</v>
      </c>
      <c r="E236" t="s">
        <v>570</v>
      </c>
      <c r="F236" t="s">
        <v>19</v>
      </c>
      <c r="G236" t="s">
        <v>20</v>
      </c>
      <c r="H236">
        <v>1</v>
      </c>
      <c r="K236"/>
      <c r="L236"/>
    </row>
    <row r="237" spans="2:12" x14ac:dyDescent="0.25">
      <c r="B237" s="4">
        <v>2</v>
      </c>
      <c r="C237" t="s">
        <v>535</v>
      </c>
      <c r="D237" t="s">
        <v>569</v>
      </c>
      <c r="E237" t="s">
        <v>570</v>
      </c>
      <c r="F237" t="s">
        <v>463</v>
      </c>
      <c r="G237" t="s">
        <v>464</v>
      </c>
      <c r="H237">
        <v>1</v>
      </c>
      <c r="K237"/>
      <c r="L237"/>
    </row>
    <row r="238" spans="2:12" x14ac:dyDescent="0.25">
      <c r="B238" s="4">
        <v>2</v>
      </c>
      <c r="C238" t="s">
        <v>535</v>
      </c>
      <c r="D238" t="s">
        <v>571</v>
      </c>
      <c r="E238" t="s">
        <v>570</v>
      </c>
      <c r="F238" t="s">
        <v>19</v>
      </c>
      <c r="G238" t="s">
        <v>20</v>
      </c>
      <c r="H238">
        <v>1</v>
      </c>
      <c r="K238"/>
      <c r="L238"/>
    </row>
    <row r="239" spans="2:12" x14ac:dyDescent="0.25">
      <c r="B239" s="4">
        <v>2</v>
      </c>
      <c r="C239" t="s">
        <v>535</v>
      </c>
      <c r="D239" t="s">
        <v>571</v>
      </c>
      <c r="E239" t="s">
        <v>570</v>
      </c>
      <c r="F239" t="s">
        <v>463</v>
      </c>
      <c r="G239" t="s">
        <v>464</v>
      </c>
      <c r="H239">
        <v>1</v>
      </c>
      <c r="K239"/>
      <c r="L239"/>
    </row>
    <row r="240" spans="2:12" x14ac:dyDescent="0.25">
      <c r="B240" s="4" t="s">
        <v>75</v>
      </c>
      <c r="C240"/>
      <c r="D240"/>
      <c r="F240"/>
      <c r="G240"/>
      <c r="K240"/>
      <c r="L240"/>
    </row>
    <row r="241" spans="6:6" customFormat="1" x14ac:dyDescent="0.25">
      <c r="F241" s="1"/>
    </row>
    <row r="242" spans="6:6" customFormat="1" x14ac:dyDescent="0.25">
      <c r="F242" s="1"/>
    </row>
    <row r="243" spans="6:6" customFormat="1" x14ac:dyDescent="0.25">
      <c r="F243" s="1"/>
    </row>
    <row r="244" spans="6:6" customFormat="1" x14ac:dyDescent="0.25">
      <c r="F244" s="1"/>
    </row>
    <row r="245" spans="6:6" customFormat="1" x14ac:dyDescent="0.25">
      <c r="F245" s="1"/>
    </row>
    <row r="246" spans="6:6" customFormat="1" x14ac:dyDescent="0.25">
      <c r="F246" s="1"/>
    </row>
    <row r="247" spans="6:6" customFormat="1" x14ac:dyDescent="0.25">
      <c r="F247" s="1"/>
    </row>
    <row r="248" spans="6:6" customFormat="1" x14ac:dyDescent="0.25">
      <c r="F248" s="1"/>
    </row>
    <row r="249" spans="6:6" customFormat="1" x14ac:dyDescent="0.25">
      <c r="F249" s="1"/>
    </row>
    <row r="250" spans="6:6" customFormat="1" x14ac:dyDescent="0.25">
      <c r="F250" s="1"/>
    </row>
    <row r="251" spans="6:6" customFormat="1" x14ac:dyDescent="0.25">
      <c r="F251" s="1"/>
    </row>
    <row r="252" spans="6:6" customFormat="1" x14ac:dyDescent="0.25">
      <c r="F252" s="1"/>
    </row>
    <row r="253" spans="6:6" customFormat="1" x14ac:dyDescent="0.25">
      <c r="F253" s="1"/>
    </row>
    <row r="254" spans="6:6" customFormat="1" x14ac:dyDescent="0.25">
      <c r="F254" s="1"/>
    </row>
    <row r="255" spans="6:6" customFormat="1" x14ac:dyDescent="0.25">
      <c r="F255" s="1"/>
    </row>
    <row r="256" spans="6:6" customFormat="1" x14ac:dyDescent="0.25">
      <c r="F256" s="1"/>
    </row>
    <row r="257" spans="6:6" customFormat="1" x14ac:dyDescent="0.25">
      <c r="F257" s="1"/>
    </row>
    <row r="258" spans="6:6" customFormat="1" x14ac:dyDescent="0.25">
      <c r="F258" s="1"/>
    </row>
    <row r="259" spans="6:6" customFormat="1" x14ac:dyDescent="0.25">
      <c r="F259" s="1"/>
    </row>
    <row r="260" spans="6:6" customFormat="1" x14ac:dyDescent="0.25">
      <c r="F260" s="1"/>
    </row>
    <row r="261" spans="6:6" customFormat="1" x14ac:dyDescent="0.25">
      <c r="F261" s="1"/>
    </row>
    <row r="262" spans="6:6" customFormat="1" x14ac:dyDescent="0.25">
      <c r="F262" s="1"/>
    </row>
    <row r="263" spans="6:6" customFormat="1" x14ac:dyDescent="0.25">
      <c r="F263" s="1"/>
    </row>
    <row r="264" spans="6:6" customFormat="1" x14ac:dyDescent="0.25">
      <c r="F264" s="1"/>
    </row>
    <row r="265" spans="6:6" customFormat="1" x14ac:dyDescent="0.25">
      <c r="F265" s="1"/>
    </row>
    <row r="266" spans="6:6" customFormat="1" x14ac:dyDescent="0.25">
      <c r="F266" s="1"/>
    </row>
    <row r="267" spans="6:6" customFormat="1" x14ac:dyDescent="0.25">
      <c r="F267" s="1"/>
    </row>
    <row r="268" spans="6:6" customFormat="1" x14ac:dyDescent="0.25">
      <c r="F268" s="1"/>
    </row>
    <row r="269" spans="6:6" customFormat="1" x14ac:dyDescent="0.25">
      <c r="F269" s="1"/>
    </row>
    <row r="270" spans="6:6" customFormat="1" x14ac:dyDescent="0.25">
      <c r="F270" s="1"/>
    </row>
    <row r="271" spans="6:6" customFormat="1" x14ac:dyDescent="0.25">
      <c r="F271" s="1"/>
    </row>
    <row r="272" spans="6:6" customFormat="1" x14ac:dyDescent="0.25">
      <c r="F272" s="1"/>
    </row>
    <row r="273" spans="6:6" customFormat="1" x14ac:dyDescent="0.25">
      <c r="F273" s="1"/>
    </row>
    <row r="274" spans="6:6" customFormat="1" x14ac:dyDescent="0.25">
      <c r="F274" s="1"/>
    </row>
    <row r="275" spans="6:6" customFormat="1" x14ac:dyDescent="0.25">
      <c r="F275" s="1"/>
    </row>
    <row r="276" spans="6:6" customFormat="1" x14ac:dyDescent="0.25">
      <c r="F276" s="1"/>
    </row>
    <row r="277" spans="6:6" customFormat="1" x14ac:dyDescent="0.25">
      <c r="F277" s="1"/>
    </row>
    <row r="278" spans="6:6" customFormat="1" x14ac:dyDescent="0.25">
      <c r="F278" s="1"/>
    </row>
    <row r="279" spans="6:6" customFormat="1" x14ac:dyDescent="0.25">
      <c r="F279" s="1"/>
    </row>
    <row r="280" spans="6:6" customFormat="1" x14ac:dyDescent="0.25">
      <c r="F280" s="1"/>
    </row>
    <row r="281" spans="6:6" customFormat="1" x14ac:dyDescent="0.25">
      <c r="F281" s="1"/>
    </row>
    <row r="282" spans="6:6" customFormat="1" x14ac:dyDescent="0.25">
      <c r="F282" s="1"/>
    </row>
    <row r="283" spans="6:6" customFormat="1" x14ac:dyDescent="0.25">
      <c r="F283" s="1"/>
    </row>
    <row r="284" spans="6:6" customFormat="1" x14ac:dyDescent="0.25">
      <c r="F284" s="1"/>
    </row>
    <row r="285" spans="6:6" customFormat="1" x14ac:dyDescent="0.25">
      <c r="F285" s="1"/>
    </row>
    <row r="286" spans="6:6" customFormat="1" x14ac:dyDescent="0.25">
      <c r="F286" s="1"/>
    </row>
    <row r="287" spans="6:6" customFormat="1" x14ac:dyDescent="0.25">
      <c r="F287" s="1"/>
    </row>
    <row r="288" spans="6:6" customFormat="1" x14ac:dyDescent="0.25">
      <c r="F288" s="1"/>
    </row>
    <row r="289" spans="6:6" customFormat="1" x14ac:dyDescent="0.25">
      <c r="F289" s="1"/>
    </row>
    <row r="290" spans="6:6" customFormat="1" x14ac:dyDescent="0.25">
      <c r="F290" s="1"/>
    </row>
    <row r="291" spans="6:6" customFormat="1" x14ac:dyDescent="0.25">
      <c r="F291" s="1"/>
    </row>
    <row r="292" spans="6:6" customFormat="1" x14ac:dyDescent="0.25">
      <c r="F292" s="1"/>
    </row>
    <row r="293" spans="6:6" customFormat="1" x14ac:dyDescent="0.25">
      <c r="F293" s="1"/>
    </row>
    <row r="294" spans="6:6" customFormat="1" x14ac:dyDescent="0.25">
      <c r="F294" s="1"/>
    </row>
    <row r="295" spans="6:6" customFormat="1" x14ac:dyDescent="0.25">
      <c r="F295" s="1"/>
    </row>
    <row r="296" spans="6:6" customFormat="1" x14ac:dyDescent="0.25">
      <c r="F296" s="1"/>
    </row>
    <row r="297" spans="6:6" customFormat="1" x14ac:dyDescent="0.25">
      <c r="F297" s="1"/>
    </row>
    <row r="298" spans="6:6" customFormat="1" x14ac:dyDescent="0.25">
      <c r="F298" s="1"/>
    </row>
    <row r="299" spans="6:6" customFormat="1" x14ac:dyDescent="0.25">
      <c r="F299" s="1"/>
    </row>
    <row r="300" spans="6:6" customFormat="1" x14ac:dyDescent="0.25">
      <c r="F300" s="1"/>
    </row>
    <row r="301" spans="6:6" customFormat="1" x14ac:dyDescent="0.25">
      <c r="F301" s="1"/>
    </row>
    <row r="302" spans="6:6" customFormat="1" x14ac:dyDescent="0.25">
      <c r="F302" s="1"/>
    </row>
    <row r="303" spans="6:6" customFormat="1" x14ac:dyDescent="0.25">
      <c r="F303" s="1"/>
    </row>
    <row r="304" spans="6:6" customFormat="1" x14ac:dyDescent="0.25">
      <c r="F304" s="1"/>
    </row>
    <row r="305" spans="6:6" customFormat="1" x14ac:dyDescent="0.25">
      <c r="F305" s="1"/>
    </row>
    <row r="306" spans="6:6" customFormat="1" x14ac:dyDescent="0.25">
      <c r="F306" s="1"/>
    </row>
    <row r="307" spans="6:6" customFormat="1" x14ac:dyDescent="0.25">
      <c r="F307" s="1"/>
    </row>
    <row r="308" spans="6:6" customFormat="1" x14ac:dyDescent="0.25">
      <c r="F308" s="1"/>
    </row>
    <row r="309" spans="6:6" customFormat="1" x14ac:dyDescent="0.25">
      <c r="F309" s="1"/>
    </row>
    <row r="310" spans="6:6" customFormat="1" x14ac:dyDescent="0.25">
      <c r="F310" s="1"/>
    </row>
    <row r="311" spans="6:6" customFormat="1" x14ac:dyDescent="0.25">
      <c r="F311" s="1"/>
    </row>
    <row r="312" spans="6:6" customFormat="1" x14ac:dyDescent="0.25">
      <c r="F312" s="1"/>
    </row>
    <row r="313" spans="6:6" customFormat="1" x14ac:dyDescent="0.25">
      <c r="F313" s="1"/>
    </row>
    <row r="314" spans="6:6" customFormat="1" x14ac:dyDescent="0.25">
      <c r="F314" s="1"/>
    </row>
    <row r="315" spans="6:6" customFormat="1" x14ac:dyDescent="0.25">
      <c r="F315" s="1"/>
    </row>
    <row r="316" spans="6:6" customFormat="1" x14ac:dyDescent="0.25">
      <c r="F316" s="1"/>
    </row>
    <row r="317" spans="6:6" customFormat="1" x14ac:dyDescent="0.25">
      <c r="F317" s="1"/>
    </row>
    <row r="318" spans="6:6" customFormat="1" x14ac:dyDescent="0.25">
      <c r="F318" s="1"/>
    </row>
    <row r="319" spans="6:6" customFormat="1" x14ac:dyDescent="0.25">
      <c r="F319" s="1"/>
    </row>
    <row r="320" spans="6:6" customFormat="1" x14ac:dyDescent="0.25">
      <c r="F320" s="1"/>
    </row>
    <row r="321" spans="6:6" customFormat="1" x14ac:dyDescent="0.25">
      <c r="F321" s="1"/>
    </row>
    <row r="322" spans="6:6" customFormat="1" x14ac:dyDescent="0.25">
      <c r="F322" s="1"/>
    </row>
    <row r="323" spans="6:6" customFormat="1" x14ac:dyDescent="0.25">
      <c r="F323" s="1"/>
    </row>
    <row r="324" spans="6:6" customFormat="1" x14ac:dyDescent="0.25">
      <c r="F324" s="1"/>
    </row>
    <row r="325" spans="6:6" customFormat="1" x14ac:dyDescent="0.25">
      <c r="F325" s="1"/>
    </row>
    <row r="326" spans="6:6" customFormat="1" x14ac:dyDescent="0.25">
      <c r="F326" s="1"/>
    </row>
    <row r="327" spans="6:6" customFormat="1" x14ac:dyDescent="0.25">
      <c r="F327" s="1"/>
    </row>
    <row r="328" spans="6:6" customFormat="1" x14ac:dyDescent="0.25">
      <c r="F328" s="1"/>
    </row>
    <row r="329" spans="6:6" customFormat="1" x14ac:dyDescent="0.25">
      <c r="F329" s="1"/>
    </row>
    <row r="330" spans="6:6" customFormat="1" x14ac:dyDescent="0.25">
      <c r="F330" s="1"/>
    </row>
    <row r="331" spans="6:6" customFormat="1" x14ac:dyDescent="0.25">
      <c r="F331" s="1"/>
    </row>
    <row r="332" spans="6:6" customFormat="1" x14ac:dyDescent="0.25">
      <c r="F332" s="1"/>
    </row>
    <row r="333" spans="6:6" customFormat="1" x14ac:dyDescent="0.25">
      <c r="F333" s="1"/>
    </row>
    <row r="334" spans="6:6" customFormat="1" x14ac:dyDescent="0.25">
      <c r="F334" s="1"/>
    </row>
    <row r="335" spans="6:6" customFormat="1" x14ac:dyDescent="0.25">
      <c r="F335" s="1"/>
    </row>
    <row r="336" spans="6:6" customFormat="1" x14ac:dyDescent="0.25">
      <c r="F336" s="1"/>
    </row>
    <row r="337" spans="6:6" customFormat="1" x14ac:dyDescent="0.25">
      <c r="F337" s="1"/>
    </row>
    <row r="338" spans="6:6" customFormat="1" x14ac:dyDescent="0.25">
      <c r="F338" s="1"/>
    </row>
    <row r="339" spans="6:6" customFormat="1" x14ac:dyDescent="0.25">
      <c r="F339" s="1"/>
    </row>
    <row r="340" spans="6:6" customFormat="1" x14ac:dyDescent="0.25">
      <c r="F340" s="1"/>
    </row>
    <row r="341" spans="6:6" customFormat="1" x14ac:dyDescent="0.25">
      <c r="F341" s="1"/>
    </row>
    <row r="342" spans="6:6" customFormat="1" x14ac:dyDescent="0.25">
      <c r="F342" s="1"/>
    </row>
    <row r="343" spans="6:6" customFormat="1" x14ac:dyDescent="0.25">
      <c r="F343" s="1"/>
    </row>
    <row r="344" spans="6:6" customFormat="1" x14ac:dyDescent="0.25">
      <c r="F344" s="1"/>
    </row>
    <row r="345" spans="6:6" customFormat="1" x14ac:dyDescent="0.25">
      <c r="F345" s="1"/>
    </row>
    <row r="346" spans="6:6" customFormat="1" x14ac:dyDescent="0.25">
      <c r="F346" s="1"/>
    </row>
    <row r="347" spans="6:6" customFormat="1" x14ac:dyDescent="0.25">
      <c r="F347" s="1"/>
    </row>
    <row r="348" spans="6:6" customFormat="1" x14ac:dyDescent="0.25">
      <c r="F348" s="1"/>
    </row>
    <row r="349" spans="6:6" customFormat="1" x14ac:dyDescent="0.25">
      <c r="F349" s="1"/>
    </row>
    <row r="350" spans="6:6" customFormat="1" x14ac:dyDescent="0.25">
      <c r="F350" s="1"/>
    </row>
    <row r="351" spans="6:6" customFormat="1" x14ac:dyDescent="0.25">
      <c r="F351" s="1"/>
    </row>
    <row r="352" spans="6:6" customFormat="1" x14ac:dyDescent="0.25">
      <c r="F352" s="1"/>
    </row>
    <row r="353" spans="6:6" customFormat="1" x14ac:dyDescent="0.25">
      <c r="F353" s="1"/>
    </row>
    <row r="354" spans="6:6" customFormat="1" x14ac:dyDescent="0.25">
      <c r="F354" s="1"/>
    </row>
    <row r="355" spans="6:6" customFormat="1" x14ac:dyDescent="0.25">
      <c r="F355" s="1"/>
    </row>
    <row r="356" spans="6:6" customFormat="1" x14ac:dyDescent="0.25">
      <c r="F356" s="1"/>
    </row>
    <row r="357" spans="6:6" customFormat="1" x14ac:dyDescent="0.25">
      <c r="F357" s="1"/>
    </row>
    <row r="358" spans="6:6" customFormat="1" x14ac:dyDescent="0.25">
      <c r="F358" s="1"/>
    </row>
    <row r="359" spans="6:6" customFormat="1" x14ac:dyDescent="0.25">
      <c r="F359" s="1"/>
    </row>
    <row r="360" spans="6:6" customFormat="1" x14ac:dyDescent="0.25">
      <c r="F360" s="1"/>
    </row>
    <row r="361" spans="6:6" customFormat="1" x14ac:dyDescent="0.25">
      <c r="F361" s="1"/>
    </row>
    <row r="362" spans="6:6" customFormat="1" x14ac:dyDescent="0.25">
      <c r="F362" s="1"/>
    </row>
    <row r="363" spans="6:6" customFormat="1" x14ac:dyDescent="0.25">
      <c r="F363" s="1"/>
    </row>
    <row r="364" spans="6:6" customFormat="1" x14ac:dyDescent="0.25">
      <c r="F364" s="1"/>
    </row>
    <row r="365" spans="6:6" customFormat="1" x14ac:dyDescent="0.25">
      <c r="F365" s="1"/>
    </row>
    <row r="366" spans="6:6" customFormat="1" x14ac:dyDescent="0.25">
      <c r="F366" s="1"/>
    </row>
    <row r="367" spans="6:6" customFormat="1" x14ac:dyDescent="0.25">
      <c r="F367" s="1"/>
    </row>
    <row r="368" spans="6:6" customFormat="1" x14ac:dyDescent="0.25">
      <c r="F368" s="1"/>
    </row>
    <row r="369" spans="6:6" customFormat="1" x14ac:dyDescent="0.25">
      <c r="F369" s="1"/>
    </row>
    <row r="370" spans="6:6" customFormat="1" x14ac:dyDescent="0.25">
      <c r="F370" s="1"/>
    </row>
    <row r="371" spans="6:6" customFormat="1" x14ac:dyDescent="0.25">
      <c r="F371" s="1"/>
    </row>
    <row r="372" spans="6:6" customFormat="1" x14ac:dyDescent="0.25">
      <c r="F372" s="1"/>
    </row>
    <row r="373" spans="6:6" customFormat="1" x14ac:dyDescent="0.25">
      <c r="F373" s="1"/>
    </row>
    <row r="374" spans="6:6" customFormat="1" x14ac:dyDescent="0.25">
      <c r="F374" s="1"/>
    </row>
    <row r="375" spans="6:6" customFormat="1" x14ac:dyDescent="0.25">
      <c r="F375" s="1"/>
    </row>
    <row r="376" spans="6:6" customFormat="1" x14ac:dyDescent="0.25">
      <c r="F376" s="1"/>
    </row>
    <row r="377" spans="6:6" customFormat="1" x14ac:dyDescent="0.25">
      <c r="F377" s="1"/>
    </row>
    <row r="378" spans="6:6" customFormat="1" x14ac:dyDescent="0.25">
      <c r="F378" s="1"/>
    </row>
    <row r="379" spans="6:6" customFormat="1" x14ac:dyDescent="0.25">
      <c r="F379" s="1"/>
    </row>
    <row r="380" spans="6:6" customFormat="1" x14ac:dyDescent="0.25">
      <c r="F380" s="1"/>
    </row>
    <row r="381" spans="6:6" customFormat="1" x14ac:dyDescent="0.25">
      <c r="F381" s="1"/>
    </row>
    <row r="382" spans="6:6" customFormat="1" x14ac:dyDescent="0.25">
      <c r="F382" s="1"/>
    </row>
    <row r="383" spans="6:6" customFormat="1" x14ac:dyDescent="0.25">
      <c r="F383" s="1"/>
    </row>
    <row r="384" spans="6:6" customFormat="1" x14ac:dyDescent="0.25">
      <c r="F384" s="1"/>
    </row>
    <row r="385" spans="6:6" customFormat="1" x14ac:dyDescent="0.25">
      <c r="F385" s="1"/>
    </row>
    <row r="386" spans="6:6" customFormat="1" x14ac:dyDescent="0.25">
      <c r="F386" s="1"/>
    </row>
    <row r="387" spans="6:6" customFormat="1" x14ac:dyDescent="0.25">
      <c r="F387" s="1"/>
    </row>
    <row r="388" spans="6:6" customFormat="1" x14ac:dyDescent="0.25">
      <c r="F388" s="1"/>
    </row>
    <row r="389" spans="6:6" customFormat="1" x14ac:dyDescent="0.25">
      <c r="F389" s="1"/>
    </row>
    <row r="390" spans="6:6" customFormat="1" x14ac:dyDescent="0.25">
      <c r="F390" s="1"/>
    </row>
    <row r="391" spans="6:6" customFormat="1" x14ac:dyDescent="0.25">
      <c r="F391" s="1"/>
    </row>
    <row r="392" spans="6:6" customFormat="1" x14ac:dyDescent="0.25">
      <c r="F392" s="1"/>
    </row>
    <row r="393" spans="6:6" customFormat="1" x14ac:dyDescent="0.25">
      <c r="F393" s="1"/>
    </row>
    <row r="394" spans="6:6" customFormat="1" x14ac:dyDescent="0.25">
      <c r="F394" s="1"/>
    </row>
    <row r="395" spans="6:6" customFormat="1" x14ac:dyDescent="0.25">
      <c r="F395" s="1"/>
    </row>
    <row r="396" spans="6:6" customFormat="1" x14ac:dyDescent="0.25">
      <c r="F396" s="1"/>
    </row>
    <row r="397" spans="6:6" customFormat="1" x14ac:dyDescent="0.25">
      <c r="F397" s="1"/>
    </row>
    <row r="398" spans="6:6" customFormat="1" x14ac:dyDescent="0.25">
      <c r="F398" s="1"/>
    </row>
    <row r="399" spans="6:6" customFormat="1" x14ac:dyDescent="0.25">
      <c r="F399" s="1"/>
    </row>
    <row r="400" spans="6:6" customFormat="1" x14ac:dyDescent="0.25">
      <c r="F400" s="1"/>
    </row>
    <row r="401" spans="6:6" customFormat="1" x14ac:dyDescent="0.25">
      <c r="F401" s="1"/>
    </row>
    <row r="402" spans="6:6" customFormat="1" x14ac:dyDescent="0.25">
      <c r="F402" s="1"/>
    </row>
    <row r="403" spans="6:6" customFormat="1" x14ac:dyDescent="0.25">
      <c r="F403" s="1"/>
    </row>
    <row r="404" spans="6:6" customFormat="1" x14ac:dyDescent="0.25">
      <c r="F404" s="1"/>
    </row>
    <row r="405" spans="6:6" customFormat="1" x14ac:dyDescent="0.25">
      <c r="F405" s="1"/>
    </row>
    <row r="406" spans="6:6" customFormat="1" x14ac:dyDescent="0.25">
      <c r="F406" s="1"/>
    </row>
    <row r="407" spans="6:6" customFormat="1" x14ac:dyDescent="0.25">
      <c r="F407" s="1"/>
    </row>
    <row r="408" spans="6:6" customFormat="1" x14ac:dyDescent="0.25">
      <c r="F408" s="1"/>
    </row>
    <row r="409" spans="6:6" customFormat="1" x14ac:dyDescent="0.25">
      <c r="F409" s="1"/>
    </row>
    <row r="410" spans="6:6" customFormat="1" x14ac:dyDescent="0.25">
      <c r="F410" s="1"/>
    </row>
    <row r="411" spans="6:6" customFormat="1" x14ac:dyDescent="0.25">
      <c r="F411" s="1"/>
    </row>
    <row r="412" spans="6:6" customFormat="1" x14ac:dyDescent="0.25">
      <c r="F412" s="1"/>
    </row>
    <row r="413" spans="6:6" customFormat="1" x14ac:dyDescent="0.25">
      <c r="F413" s="1"/>
    </row>
    <row r="414" spans="6:6" customFormat="1" x14ac:dyDescent="0.25">
      <c r="F414" s="1"/>
    </row>
    <row r="415" spans="6:6" customFormat="1" x14ac:dyDescent="0.25">
      <c r="F415" s="1"/>
    </row>
    <row r="416" spans="6:6" customFormat="1" x14ac:dyDescent="0.25">
      <c r="F416" s="1"/>
    </row>
    <row r="417" spans="6:6" customFormat="1" x14ac:dyDescent="0.25">
      <c r="F417" s="1"/>
    </row>
    <row r="418" spans="6:6" customFormat="1" x14ac:dyDescent="0.25">
      <c r="F418" s="1"/>
    </row>
    <row r="419" spans="6:6" customFormat="1" x14ac:dyDescent="0.25">
      <c r="F419" s="1"/>
    </row>
    <row r="420" spans="6:6" customFormat="1" x14ac:dyDescent="0.25">
      <c r="F420" s="1"/>
    </row>
    <row r="421" spans="6:6" customFormat="1" x14ac:dyDescent="0.25">
      <c r="F421" s="1"/>
    </row>
    <row r="422" spans="6:6" customFormat="1" x14ac:dyDescent="0.25">
      <c r="F422" s="1"/>
    </row>
    <row r="423" spans="6:6" customFormat="1" x14ac:dyDescent="0.25">
      <c r="F423" s="1"/>
    </row>
    <row r="424" spans="6:6" customFormat="1" x14ac:dyDescent="0.25">
      <c r="F424" s="1"/>
    </row>
    <row r="425" spans="6:6" customFormat="1" x14ac:dyDescent="0.25">
      <c r="F425" s="1"/>
    </row>
    <row r="426" spans="6:6" customFormat="1" x14ac:dyDescent="0.25">
      <c r="F426" s="1"/>
    </row>
    <row r="427" spans="6:6" customFormat="1" x14ac:dyDescent="0.25">
      <c r="F427" s="1"/>
    </row>
    <row r="428" spans="6:6" customFormat="1" x14ac:dyDescent="0.25">
      <c r="F428" s="1"/>
    </row>
    <row r="429" spans="6:6" customFormat="1" x14ac:dyDescent="0.25">
      <c r="F429" s="1"/>
    </row>
    <row r="430" spans="6:6" customFormat="1" x14ac:dyDescent="0.25">
      <c r="F430" s="1"/>
    </row>
    <row r="431" spans="6:6" customFormat="1" x14ac:dyDescent="0.25">
      <c r="F431" s="1"/>
    </row>
    <row r="432" spans="6:6" customFormat="1" x14ac:dyDescent="0.25">
      <c r="F432" s="1"/>
    </row>
    <row r="433" spans="6:6" customFormat="1" x14ac:dyDescent="0.25">
      <c r="F433" s="1"/>
    </row>
    <row r="434" spans="6:6" customFormat="1" x14ac:dyDescent="0.25">
      <c r="F434" s="1"/>
    </row>
    <row r="435" spans="6:6" customFormat="1" x14ac:dyDescent="0.25">
      <c r="F435" s="1"/>
    </row>
    <row r="436" spans="6:6" customFormat="1" x14ac:dyDescent="0.25">
      <c r="F436" s="1"/>
    </row>
    <row r="437" spans="6:6" customFormat="1" x14ac:dyDescent="0.25">
      <c r="F437" s="1"/>
    </row>
    <row r="438" spans="6:6" customFormat="1" x14ac:dyDescent="0.25">
      <c r="F438" s="1"/>
    </row>
    <row r="439" spans="6:6" customFormat="1" x14ac:dyDescent="0.25">
      <c r="F439" s="1"/>
    </row>
    <row r="440" spans="6:6" customFormat="1" x14ac:dyDescent="0.25">
      <c r="F440" s="1"/>
    </row>
    <row r="441" spans="6:6" customFormat="1" x14ac:dyDescent="0.25">
      <c r="F441" s="1"/>
    </row>
    <row r="442" spans="6:6" customFormat="1" x14ac:dyDescent="0.25">
      <c r="F442" s="1"/>
    </row>
    <row r="443" spans="6:6" customFormat="1" x14ac:dyDescent="0.25">
      <c r="F443" s="1"/>
    </row>
    <row r="444" spans="6:6" customFormat="1" x14ac:dyDescent="0.25">
      <c r="F444" s="1"/>
    </row>
    <row r="445" spans="6:6" customFormat="1" x14ac:dyDescent="0.25">
      <c r="F445" s="1"/>
    </row>
    <row r="446" spans="6:6" customFormat="1" x14ac:dyDescent="0.25">
      <c r="F446" s="1"/>
    </row>
    <row r="447" spans="6:6" customFormat="1" x14ac:dyDescent="0.25">
      <c r="F447" s="1"/>
    </row>
    <row r="448" spans="6:6" customFormat="1" x14ac:dyDescent="0.25">
      <c r="F448" s="1"/>
    </row>
    <row r="449" spans="6:6" customFormat="1" x14ac:dyDescent="0.25">
      <c r="F449" s="1"/>
    </row>
    <row r="450" spans="6:6" customFormat="1" x14ac:dyDescent="0.25">
      <c r="F450" s="1"/>
    </row>
    <row r="451" spans="6:6" customFormat="1" x14ac:dyDescent="0.25">
      <c r="F451" s="1"/>
    </row>
    <row r="452" spans="6:6" customFormat="1" x14ac:dyDescent="0.25">
      <c r="F452" s="1"/>
    </row>
    <row r="453" spans="6:6" customFormat="1" x14ac:dyDescent="0.25">
      <c r="F453" s="1"/>
    </row>
    <row r="454" spans="6:6" customFormat="1" x14ac:dyDescent="0.25">
      <c r="F454" s="1"/>
    </row>
    <row r="455" spans="6:6" customFormat="1" x14ac:dyDescent="0.25">
      <c r="F455" s="1"/>
    </row>
    <row r="456" spans="6:6" customFormat="1" x14ac:dyDescent="0.25">
      <c r="F456" s="1"/>
    </row>
    <row r="457" spans="6:6" customFormat="1" x14ac:dyDescent="0.25">
      <c r="F457" s="1"/>
    </row>
    <row r="458" spans="6:6" customFormat="1" x14ac:dyDescent="0.25">
      <c r="F458" s="1"/>
    </row>
    <row r="459" spans="6:6" customFormat="1" x14ac:dyDescent="0.25">
      <c r="F459" s="1"/>
    </row>
    <row r="460" spans="6:6" customFormat="1" x14ac:dyDescent="0.25">
      <c r="F460" s="1"/>
    </row>
    <row r="461" spans="6:6" customFormat="1" x14ac:dyDescent="0.25">
      <c r="F461" s="1"/>
    </row>
    <row r="462" spans="6:6" customFormat="1" x14ac:dyDescent="0.25">
      <c r="F462" s="1"/>
    </row>
    <row r="463" spans="6:6" customFormat="1" x14ac:dyDescent="0.25">
      <c r="F463" s="1"/>
    </row>
    <row r="464" spans="6:6" customFormat="1" x14ac:dyDescent="0.25">
      <c r="F464" s="1"/>
    </row>
    <row r="465" spans="6:6" customFormat="1" x14ac:dyDescent="0.25">
      <c r="F465" s="1"/>
    </row>
    <row r="466" spans="6:6" customFormat="1" x14ac:dyDescent="0.25">
      <c r="F466" s="1"/>
    </row>
    <row r="467" spans="6:6" customFormat="1" x14ac:dyDescent="0.25">
      <c r="F467" s="1"/>
    </row>
    <row r="468" spans="6:6" customFormat="1" x14ac:dyDescent="0.25">
      <c r="F468" s="1"/>
    </row>
    <row r="469" spans="6:6" customFormat="1" x14ac:dyDescent="0.25">
      <c r="F469" s="1"/>
    </row>
    <row r="470" spans="6:6" customFormat="1" x14ac:dyDescent="0.25">
      <c r="F470" s="1"/>
    </row>
    <row r="471" spans="6:6" customFormat="1" x14ac:dyDescent="0.25">
      <c r="F471" s="1"/>
    </row>
    <row r="472" spans="6:6" customFormat="1" x14ac:dyDescent="0.25">
      <c r="F472" s="1"/>
    </row>
    <row r="473" spans="6:6" customFormat="1" x14ac:dyDescent="0.25">
      <c r="F473" s="1"/>
    </row>
    <row r="474" spans="6:6" customFormat="1" x14ac:dyDescent="0.25">
      <c r="F474" s="1"/>
    </row>
    <row r="475" spans="6:6" customFormat="1" x14ac:dyDescent="0.25">
      <c r="F475" s="1"/>
    </row>
    <row r="476" spans="6:6" customFormat="1" x14ac:dyDescent="0.25">
      <c r="F476" s="1"/>
    </row>
    <row r="477" spans="6:6" customFormat="1" x14ac:dyDescent="0.25">
      <c r="F477" s="1"/>
    </row>
    <row r="478" spans="6:6" customFormat="1" x14ac:dyDescent="0.25">
      <c r="F478" s="1"/>
    </row>
    <row r="479" spans="6:6" customFormat="1" x14ac:dyDescent="0.25">
      <c r="F479" s="1"/>
    </row>
    <row r="480" spans="6:6" customFormat="1" x14ac:dyDescent="0.25">
      <c r="F480" s="1"/>
    </row>
    <row r="481" spans="6:6" customFormat="1" x14ac:dyDescent="0.25">
      <c r="F481" s="1"/>
    </row>
    <row r="482" spans="6:6" customFormat="1" x14ac:dyDescent="0.25">
      <c r="F482" s="1"/>
    </row>
    <row r="483" spans="6:6" customFormat="1" x14ac:dyDescent="0.25">
      <c r="F483" s="1"/>
    </row>
    <row r="484" spans="6:6" customFormat="1" x14ac:dyDescent="0.25">
      <c r="F484" s="1"/>
    </row>
    <row r="485" spans="6:6" customFormat="1" x14ac:dyDescent="0.25">
      <c r="F485" s="1"/>
    </row>
    <row r="486" spans="6:6" customFormat="1" x14ac:dyDescent="0.25">
      <c r="F486" s="1"/>
    </row>
    <row r="487" spans="6:6" customFormat="1" x14ac:dyDescent="0.25">
      <c r="F487" s="1"/>
    </row>
    <row r="488" spans="6:6" customFormat="1" x14ac:dyDescent="0.25">
      <c r="F488" s="1"/>
    </row>
    <row r="489" spans="6:6" customFormat="1" x14ac:dyDescent="0.25">
      <c r="F489" s="1"/>
    </row>
    <row r="490" spans="6:6" customFormat="1" x14ac:dyDescent="0.25">
      <c r="F490" s="1"/>
    </row>
    <row r="491" spans="6:6" customFormat="1" x14ac:dyDescent="0.25">
      <c r="F491" s="1"/>
    </row>
    <row r="492" spans="6:6" customFormat="1" x14ac:dyDescent="0.25">
      <c r="F492" s="1"/>
    </row>
    <row r="493" spans="6:6" customFormat="1" x14ac:dyDescent="0.25">
      <c r="F493" s="1"/>
    </row>
    <row r="494" spans="6:6" customFormat="1" x14ac:dyDescent="0.25">
      <c r="F494" s="1"/>
    </row>
    <row r="495" spans="6:6" customFormat="1" x14ac:dyDescent="0.25">
      <c r="F495" s="1"/>
    </row>
    <row r="496" spans="6:6" customFormat="1" x14ac:dyDescent="0.25">
      <c r="F496" s="1"/>
    </row>
    <row r="497" spans="6:6" customFormat="1" x14ac:dyDescent="0.25">
      <c r="F497" s="1"/>
    </row>
    <row r="498" spans="6:6" customFormat="1" x14ac:dyDescent="0.25">
      <c r="F498" s="1"/>
    </row>
    <row r="499" spans="6:6" customFormat="1" x14ac:dyDescent="0.25">
      <c r="F499" s="1"/>
    </row>
    <row r="500" spans="6:6" customFormat="1" x14ac:dyDescent="0.25">
      <c r="F500" s="1"/>
    </row>
    <row r="501" spans="6:6" customFormat="1" x14ac:dyDescent="0.25">
      <c r="F501" s="1"/>
    </row>
    <row r="502" spans="6:6" customFormat="1" x14ac:dyDescent="0.25">
      <c r="F502" s="1"/>
    </row>
    <row r="503" spans="6:6" customFormat="1" x14ac:dyDescent="0.25">
      <c r="F503" s="1"/>
    </row>
    <row r="504" spans="6:6" customFormat="1" x14ac:dyDescent="0.25">
      <c r="F504" s="1"/>
    </row>
    <row r="505" spans="6:6" customFormat="1" x14ac:dyDescent="0.25">
      <c r="F505" s="1"/>
    </row>
    <row r="506" spans="6:6" customFormat="1" x14ac:dyDescent="0.25">
      <c r="F506" s="1"/>
    </row>
    <row r="507" spans="6:6" customFormat="1" x14ac:dyDescent="0.25">
      <c r="F507" s="1"/>
    </row>
    <row r="508" spans="6:6" customFormat="1" x14ac:dyDescent="0.25">
      <c r="F508" s="1"/>
    </row>
    <row r="509" spans="6:6" customFormat="1" x14ac:dyDescent="0.25">
      <c r="F509" s="1"/>
    </row>
    <row r="510" spans="6:6" customFormat="1" x14ac:dyDescent="0.25">
      <c r="F510" s="1"/>
    </row>
    <row r="511" spans="6:6" customFormat="1" x14ac:dyDescent="0.25">
      <c r="F511" s="1"/>
    </row>
    <row r="512" spans="6:6" customFormat="1" x14ac:dyDescent="0.25">
      <c r="F512" s="1"/>
    </row>
    <row r="513" spans="6:6" customFormat="1" x14ac:dyDescent="0.25">
      <c r="F513" s="1"/>
    </row>
    <row r="514" spans="6:6" customFormat="1" x14ac:dyDescent="0.25">
      <c r="F514" s="1"/>
    </row>
    <row r="515" spans="6:6" customFormat="1" x14ac:dyDescent="0.25">
      <c r="F515" s="1"/>
    </row>
    <row r="516" spans="6:6" customFormat="1" x14ac:dyDescent="0.25">
      <c r="F516" s="1"/>
    </row>
    <row r="517" spans="6:6" customFormat="1" x14ac:dyDescent="0.25">
      <c r="F517" s="1"/>
    </row>
    <row r="518" spans="6:6" customFormat="1" x14ac:dyDescent="0.25">
      <c r="F518" s="1"/>
    </row>
    <row r="519" spans="6:6" customFormat="1" x14ac:dyDescent="0.25">
      <c r="F519" s="1"/>
    </row>
    <row r="520" spans="6:6" customFormat="1" x14ac:dyDescent="0.25">
      <c r="F520" s="1"/>
    </row>
    <row r="521" spans="6:6" customFormat="1" x14ac:dyDescent="0.25">
      <c r="F521" s="1"/>
    </row>
    <row r="522" spans="6:6" customFormat="1" x14ac:dyDescent="0.25">
      <c r="F522" s="1"/>
    </row>
    <row r="523" spans="6:6" customFormat="1" x14ac:dyDescent="0.25">
      <c r="F523" s="1"/>
    </row>
    <row r="524" spans="6:6" customFormat="1" x14ac:dyDescent="0.25">
      <c r="F524" s="1"/>
    </row>
    <row r="525" spans="6:6" customFormat="1" x14ac:dyDescent="0.25">
      <c r="F525" s="1"/>
    </row>
    <row r="526" spans="6:6" customFormat="1" x14ac:dyDescent="0.25">
      <c r="F526" s="1"/>
    </row>
    <row r="527" spans="6:6" customFormat="1" x14ac:dyDescent="0.25">
      <c r="F527" s="1"/>
    </row>
    <row r="528" spans="6:6" customFormat="1" x14ac:dyDescent="0.25">
      <c r="F528" s="1"/>
    </row>
    <row r="529" spans="6:6" customFormat="1" x14ac:dyDescent="0.25">
      <c r="F529" s="1"/>
    </row>
    <row r="530" spans="6:6" customFormat="1" x14ac:dyDescent="0.25">
      <c r="F530" s="1"/>
    </row>
    <row r="531" spans="6:6" customFormat="1" x14ac:dyDescent="0.25">
      <c r="F531" s="1"/>
    </row>
    <row r="532" spans="6:6" customFormat="1" x14ac:dyDescent="0.25">
      <c r="F532" s="1"/>
    </row>
    <row r="533" spans="6:6" customFormat="1" x14ac:dyDescent="0.25">
      <c r="F533" s="1"/>
    </row>
    <row r="534" spans="6:6" customFormat="1" x14ac:dyDescent="0.25">
      <c r="F534" s="1"/>
    </row>
    <row r="535" spans="6:6" customFormat="1" x14ac:dyDescent="0.25">
      <c r="F535" s="1"/>
    </row>
    <row r="536" spans="6:6" customFormat="1" x14ac:dyDescent="0.25">
      <c r="F536" s="1"/>
    </row>
    <row r="537" spans="6:6" customFormat="1" x14ac:dyDescent="0.25">
      <c r="F537" s="1"/>
    </row>
    <row r="538" spans="6:6" customFormat="1" x14ac:dyDescent="0.25">
      <c r="F538" s="1"/>
    </row>
    <row r="539" spans="6:6" customFormat="1" x14ac:dyDescent="0.25">
      <c r="F539" s="1"/>
    </row>
    <row r="540" spans="6:6" customFormat="1" x14ac:dyDescent="0.25">
      <c r="F540" s="1"/>
    </row>
    <row r="541" spans="6:6" customFormat="1" x14ac:dyDescent="0.25">
      <c r="F541" s="1"/>
    </row>
    <row r="542" spans="6:6" customFormat="1" x14ac:dyDescent="0.25">
      <c r="F542" s="1"/>
    </row>
    <row r="543" spans="6:6" customFormat="1" x14ac:dyDescent="0.25">
      <c r="F543" s="1"/>
    </row>
    <row r="544" spans="6:6" customFormat="1" x14ac:dyDescent="0.25">
      <c r="F544" s="1"/>
    </row>
    <row r="545" spans="6:6" customFormat="1" x14ac:dyDescent="0.25">
      <c r="F545" s="1"/>
    </row>
    <row r="546" spans="6:6" customFormat="1" x14ac:dyDescent="0.25">
      <c r="F546" s="1"/>
    </row>
    <row r="547" spans="6:6" customFormat="1" x14ac:dyDescent="0.25">
      <c r="F547" s="1"/>
    </row>
    <row r="548" spans="6:6" customFormat="1" x14ac:dyDescent="0.25">
      <c r="F548" s="1"/>
    </row>
    <row r="549" spans="6:6" customFormat="1" x14ac:dyDescent="0.25">
      <c r="F549" s="1"/>
    </row>
    <row r="550" spans="6:6" customFormat="1" x14ac:dyDescent="0.25">
      <c r="F550" s="1"/>
    </row>
    <row r="551" spans="6:6" customFormat="1" x14ac:dyDescent="0.25">
      <c r="F551" s="1"/>
    </row>
    <row r="552" spans="6:6" customFormat="1" x14ac:dyDescent="0.25">
      <c r="F552" s="1"/>
    </row>
    <row r="553" spans="6:6" customFormat="1" x14ac:dyDescent="0.25">
      <c r="F553" s="1"/>
    </row>
    <row r="554" spans="6:6" customFormat="1" x14ac:dyDescent="0.25">
      <c r="F554" s="1"/>
    </row>
    <row r="555" spans="6:6" customFormat="1" x14ac:dyDescent="0.25">
      <c r="F555" s="1"/>
    </row>
    <row r="556" spans="6:6" customFormat="1" x14ac:dyDescent="0.25">
      <c r="F556" s="1"/>
    </row>
    <row r="557" spans="6:6" customFormat="1" x14ac:dyDescent="0.25">
      <c r="F557" s="1"/>
    </row>
    <row r="558" spans="6:6" customFormat="1" x14ac:dyDescent="0.25">
      <c r="F558" s="1"/>
    </row>
    <row r="559" spans="6:6" customFormat="1" x14ac:dyDescent="0.25">
      <c r="F559" s="1"/>
    </row>
    <row r="560" spans="6:6" customFormat="1" x14ac:dyDescent="0.25">
      <c r="F560" s="1"/>
    </row>
    <row r="561" spans="6:6" customFormat="1" x14ac:dyDescent="0.25">
      <c r="F561" s="1"/>
    </row>
    <row r="562" spans="6:6" customFormat="1" x14ac:dyDescent="0.25">
      <c r="F562" s="1"/>
    </row>
    <row r="563" spans="6:6" customFormat="1" x14ac:dyDescent="0.25">
      <c r="F563" s="1"/>
    </row>
    <row r="564" spans="6:6" customFormat="1" x14ac:dyDescent="0.25">
      <c r="F564" s="1"/>
    </row>
    <row r="565" spans="6:6" customFormat="1" x14ac:dyDescent="0.25">
      <c r="F565" s="1"/>
    </row>
    <row r="566" spans="6:6" customFormat="1" x14ac:dyDescent="0.25">
      <c r="F566" s="1"/>
    </row>
    <row r="567" spans="6:6" customFormat="1" x14ac:dyDescent="0.25">
      <c r="F567" s="1"/>
    </row>
    <row r="568" spans="6:6" customFormat="1" x14ac:dyDescent="0.25">
      <c r="F568" s="1"/>
    </row>
    <row r="569" spans="6:6" customFormat="1" x14ac:dyDescent="0.25">
      <c r="F569" s="1"/>
    </row>
    <row r="570" spans="6:6" customFormat="1" x14ac:dyDescent="0.25">
      <c r="F570" s="1"/>
    </row>
    <row r="571" spans="6:6" customFormat="1" x14ac:dyDescent="0.25">
      <c r="F571" s="1"/>
    </row>
    <row r="572" spans="6:6" customFormat="1" x14ac:dyDescent="0.25">
      <c r="F572" s="1"/>
    </row>
    <row r="573" spans="6:6" customFormat="1" x14ac:dyDescent="0.25">
      <c r="F573" s="1"/>
    </row>
    <row r="574" spans="6:6" customFormat="1" x14ac:dyDescent="0.25">
      <c r="F574" s="1"/>
    </row>
    <row r="575" spans="6:6" customFormat="1" x14ac:dyDescent="0.25">
      <c r="F575" s="1"/>
    </row>
    <row r="576" spans="6:6" customFormat="1" x14ac:dyDescent="0.25">
      <c r="F576" s="1"/>
    </row>
    <row r="577" spans="6:6" customFormat="1" x14ac:dyDescent="0.25">
      <c r="F577" s="1"/>
    </row>
    <row r="578" spans="6:6" customFormat="1" x14ac:dyDescent="0.25">
      <c r="F578" s="1"/>
    </row>
    <row r="579" spans="6:6" customFormat="1" x14ac:dyDescent="0.25">
      <c r="F579" s="1"/>
    </row>
    <row r="580" spans="6:6" customFormat="1" x14ac:dyDescent="0.25">
      <c r="F580" s="1"/>
    </row>
    <row r="581" spans="6:6" customFormat="1" x14ac:dyDescent="0.25">
      <c r="F581" s="1"/>
    </row>
    <row r="582" spans="6:6" customFormat="1" x14ac:dyDescent="0.25">
      <c r="F582" s="1"/>
    </row>
    <row r="583" spans="6:6" customFormat="1" x14ac:dyDescent="0.25">
      <c r="F583" s="1"/>
    </row>
    <row r="584" spans="6:6" customFormat="1" x14ac:dyDescent="0.25">
      <c r="F584" s="1"/>
    </row>
    <row r="585" spans="6:6" customFormat="1" x14ac:dyDescent="0.25">
      <c r="F585" s="1"/>
    </row>
    <row r="586" spans="6:6" customFormat="1" x14ac:dyDescent="0.25">
      <c r="F586" s="1"/>
    </row>
    <row r="587" spans="6:6" customFormat="1" x14ac:dyDescent="0.25">
      <c r="F587" s="1"/>
    </row>
    <row r="588" spans="6:6" customFormat="1" x14ac:dyDescent="0.25">
      <c r="F588" s="1"/>
    </row>
    <row r="589" spans="6:6" customFormat="1" x14ac:dyDescent="0.25">
      <c r="F589" s="1"/>
    </row>
    <row r="590" spans="6:6" customFormat="1" x14ac:dyDescent="0.25">
      <c r="F590" s="1"/>
    </row>
    <row r="591" spans="6:6" customFormat="1" x14ac:dyDescent="0.25">
      <c r="F591" s="1"/>
    </row>
    <row r="592" spans="6:6" customFormat="1" x14ac:dyDescent="0.25">
      <c r="F592" s="1"/>
    </row>
    <row r="593" spans="6:6" customFormat="1" x14ac:dyDescent="0.25">
      <c r="F593" s="1"/>
    </row>
    <row r="594" spans="6:6" customFormat="1" x14ac:dyDescent="0.25">
      <c r="F594" s="1"/>
    </row>
    <row r="595" spans="6:6" customFormat="1" x14ac:dyDescent="0.25">
      <c r="F595" s="1"/>
    </row>
    <row r="596" spans="6:6" customFormat="1" x14ac:dyDescent="0.25">
      <c r="F596" s="1"/>
    </row>
    <row r="597" spans="6:6" customFormat="1" x14ac:dyDescent="0.25">
      <c r="F597" s="1"/>
    </row>
    <row r="598" spans="6:6" customFormat="1" x14ac:dyDescent="0.25">
      <c r="F598" s="1"/>
    </row>
    <row r="599" spans="6:6" customFormat="1" x14ac:dyDescent="0.25">
      <c r="F599" s="1"/>
    </row>
    <row r="600" spans="6:6" customFormat="1" x14ac:dyDescent="0.25">
      <c r="F600" s="1"/>
    </row>
    <row r="601" spans="6:6" customFormat="1" x14ac:dyDescent="0.25">
      <c r="F601" s="1"/>
    </row>
    <row r="602" spans="6:6" customFormat="1" x14ac:dyDescent="0.25">
      <c r="F602" s="1"/>
    </row>
    <row r="603" spans="6:6" customFormat="1" x14ac:dyDescent="0.25">
      <c r="F603" s="1"/>
    </row>
    <row r="604" spans="6:6" customFormat="1" x14ac:dyDescent="0.25">
      <c r="F604" s="1"/>
    </row>
    <row r="605" spans="6:6" customFormat="1" x14ac:dyDescent="0.25">
      <c r="F605" s="1"/>
    </row>
    <row r="606" spans="6:6" customFormat="1" x14ac:dyDescent="0.25">
      <c r="F606" s="1"/>
    </row>
    <row r="607" spans="6:6" customFormat="1" x14ac:dyDescent="0.25">
      <c r="F607" s="1"/>
    </row>
    <row r="608" spans="6:6" customFormat="1" x14ac:dyDescent="0.25">
      <c r="F608" s="1"/>
    </row>
    <row r="609" spans="6:6" customFormat="1" x14ac:dyDescent="0.25">
      <c r="F609" s="1"/>
    </row>
    <row r="610" spans="6:6" customFormat="1" x14ac:dyDescent="0.25">
      <c r="F610" s="1"/>
    </row>
    <row r="611" spans="6:6" customFormat="1" x14ac:dyDescent="0.25">
      <c r="F611" s="1"/>
    </row>
    <row r="612" spans="6:6" customFormat="1" x14ac:dyDescent="0.25">
      <c r="F612" s="1"/>
    </row>
    <row r="613" spans="6:6" customFormat="1" x14ac:dyDescent="0.25">
      <c r="F613" s="1"/>
    </row>
    <row r="614" spans="6:6" customFormat="1" x14ac:dyDescent="0.25">
      <c r="F614" s="1"/>
    </row>
    <row r="615" spans="6:6" customFormat="1" x14ac:dyDescent="0.25">
      <c r="F615" s="1"/>
    </row>
    <row r="616" spans="6:6" customFormat="1" x14ac:dyDescent="0.25">
      <c r="F616" s="1"/>
    </row>
    <row r="617" spans="6:6" customFormat="1" x14ac:dyDescent="0.25">
      <c r="F617" s="1"/>
    </row>
    <row r="618" spans="6:6" customFormat="1" x14ac:dyDescent="0.25">
      <c r="F618" s="1"/>
    </row>
    <row r="619" spans="6:6" customFormat="1" x14ac:dyDescent="0.25">
      <c r="F619" s="1"/>
    </row>
    <row r="620" spans="6:6" customFormat="1" x14ac:dyDescent="0.25">
      <c r="F620" s="1"/>
    </row>
    <row r="621" spans="6:6" customFormat="1" x14ac:dyDescent="0.25">
      <c r="F621" s="1"/>
    </row>
    <row r="622" spans="6:6" customFormat="1" x14ac:dyDescent="0.25">
      <c r="F622" s="1"/>
    </row>
    <row r="623" spans="6:6" customFormat="1" x14ac:dyDescent="0.25">
      <c r="F623" s="1"/>
    </row>
    <row r="624" spans="6:6" customFormat="1" x14ac:dyDescent="0.25">
      <c r="F624" s="1"/>
    </row>
    <row r="625" spans="6:6" customFormat="1" x14ac:dyDescent="0.25">
      <c r="F625" s="1"/>
    </row>
    <row r="626" spans="6:6" customFormat="1" x14ac:dyDescent="0.25">
      <c r="F626" s="1"/>
    </row>
    <row r="627" spans="6:6" customFormat="1" x14ac:dyDescent="0.25">
      <c r="F627" s="1"/>
    </row>
    <row r="628" spans="6:6" customFormat="1" x14ac:dyDescent="0.25">
      <c r="F628" s="1"/>
    </row>
    <row r="629" spans="6:6" customFormat="1" x14ac:dyDescent="0.25">
      <c r="F629" s="1"/>
    </row>
    <row r="630" spans="6:6" customFormat="1" x14ac:dyDescent="0.25">
      <c r="F630" s="1"/>
    </row>
    <row r="631" spans="6:6" customFormat="1" x14ac:dyDescent="0.25">
      <c r="F631" s="1"/>
    </row>
    <row r="632" spans="6:6" customFormat="1" x14ac:dyDescent="0.25">
      <c r="F632" s="1"/>
    </row>
    <row r="633" spans="6:6" customFormat="1" x14ac:dyDescent="0.25">
      <c r="F633" s="1"/>
    </row>
    <row r="634" spans="6:6" customFormat="1" x14ac:dyDescent="0.25">
      <c r="F634" s="1"/>
    </row>
    <row r="635" spans="6:6" customFormat="1" x14ac:dyDescent="0.25">
      <c r="F635" s="1"/>
    </row>
    <row r="636" spans="6:6" customFormat="1" x14ac:dyDescent="0.25">
      <c r="F636" s="1"/>
    </row>
    <row r="637" spans="6:6" customFormat="1" x14ac:dyDescent="0.25">
      <c r="F637" s="1"/>
    </row>
    <row r="638" spans="6:6" customFormat="1" x14ac:dyDescent="0.25">
      <c r="F638" s="1"/>
    </row>
    <row r="639" spans="6:6" customFormat="1" x14ac:dyDescent="0.25">
      <c r="F639" s="1"/>
    </row>
    <row r="640" spans="6:6" customFormat="1" x14ac:dyDescent="0.25">
      <c r="F640" s="1"/>
    </row>
    <row r="641" spans="6:6" customFormat="1" x14ac:dyDescent="0.25">
      <c r="F641" s="1"/>
    </row>
    <row r="642" spans="6:6" customFormat="1" x14ac:dyDescent="0.25">
      <c r="F642" s="1"/>
    </row>
    <row r="643" spans="6:6" customFormat="1" x14ac:dyDescent="0.25">
      <c r="F643" s="1"/>
    </row>
    <row r="644" spans="6:6" customFormat="1" x14ac:dyDescent="0.25">
      <c r="F644" s="1"/>
    </row>
    <row r="645" spans="6:6" customFormat="1" x14ac:dyDescent="0.25">
      <c r="F645" s="1"/>
    </row>
    <row r="646" spans="6:6" customFormat="1" x14ac:dyDescent="0.25">
      <c r="F646" s="1"/>
    </row>
    <row r="647" spans="6:6" customFormat="1" x14ac:dyDescent="0.25">
      <c r="F647" s="1"/>
    </row>
    <row r="648" spans="6:6" customFormat="1" x14ac:dyDescent="0.25">
      <c r="F648" s="1"/>
    </row>
    <row r="649" spans="6:6" customFormat="1" x14ac:dyDescent="0.25">
      <c r="F649" s="1"/>
    </row>
    <row r="650" spans="6:6" customFormat="1" x14ac:dyDescent="0.25">
      <c r="F650" s="1"/>
    </row>
    <row r="651" spans="6:6" customFormat="1" x14ac:dyDescent="0.25">
      <c r="F651" s="1"/>
    </row>
    <row r="652" spans="6:6" customFormat="1" x14ac:dyDescent="0.25">
      <c r="F652" s="1"/>
    </row>
    <row r="653" spans="6:6" customFormat="1" x14ac:dyDescent="0.25">
      <c r="F653" s="1"/>
    </row>
    <row r="654" spans="6:6" customFormat="1" x14ac:dyDescent="0.25">
      <c r="F654" s="1"/>
    </row>
    <row r="655" spans="6:6" customFormat="1" x14ac:dyDescent="0.25">
      <c r="F655" s="1"/>
    </row>
    <row r="656" spans="6:6" customFormat="1" x14ac:dyDescent="0.25">
      <c r="F656" s="1"/>
    </row>
    <row r="657" spans="6:6" customFormat="1" x14ac:dyDescent="0.25">
      <c r="F657" s="1"/>
    </row>
    <row r="658" spans="6:6" customFormat="1" x14ac:dyDescent="0.25">
      <c r="F658" s="1"/>
    </row>
    <row r="659" spans="6:6" customFormat="1" x14ac:dyDescent="0.25">
      <c r="F659" s="1"/>
    </row>
    <row r="660" spans="6:6" customFormat="1" x14ac:dyDescent="0.25">
      <c r="F660" s="1"/>
    </row>
    <row r="661" spans="6:6" customFormat="1" x14ac:dyDescent="0.25">
      <c r="F661" s="1"/>
    </row>
    <row r="662" spans="6:6" customFormat="1" x14ac:dyDescent="0.25">
      <c r="F662" s="1"/>
    </row>
    <row r="663" spans="6:6" customFormat="1" x14ac:dyDescent="0.25">
      <c r="F663" s="1"/>
    </row>
    <row r="664" spans="6:6" customFormat="1" x14ac:dyDescent="0.25">
      <c r="F664" s="1"/>
    </row>
    <row r="665" spans="6:6" customFormat="1" x14ac:dyDescent="0.25">
      <c r="F665" s="1"/>
    </row>
    <row r="666" spans="6:6" customFormat="1" x14ac:dyDescent="0.25">
      <c r="F666" s="1"/>
    </row>
    <row r="667" spans="6:6" customFormat="1" x14ac:dyDescent="0.25">
      <c r="F667" s="1"/>
    </row>
    <row r="668" spans="6:6" customFormat="1" x14ac:dyDescent="0.25">
      <c r="F668" s="1"/>
    </row>
    <row r="669" spans="6:6" customFormat="1" x14ac:dyDescent="0.25">
      <c r="F669" s="1"/>
    </row>
    <row r="670" spans="6:6" customFormat="1" x14ac:dyDescent="0.25">
      <c r="F670" s="1"/>
    </row>
    <row r="671" spans="6:6" customFormat="1" x14ac:dyDescent="0.25">
      <c r="F671" s="1"/>
    </row>
    <row r="672" spans="6:6" customFormat="1" x14ac:dyDescent="0.25">
      <c r="F672" s="1"/>
    </row>
    <row r="673" spans="6:6" customFormat="1" x14ac:dyDescent="0.25">
      <c r="F673" s="1"/>
    </row>
    <row r="674" spans="6:6" customFormat="1" x14ac:dyDescent="0.25">
      <c r="F674" s="1"/>
    </row>
    <row r="675" spans="6:6" customFormat="1" x14ac:dyDescent="0.25">
      <c r="F675" s="1"/>
    </row>
    <row r="676" spans="6:6" customFormat="1" x14ac:dyDescent="0.25">
      <c r="F676" s="1"/>
    </row>
    <row r="677" spans="6:6" customFormat="1" x14ac:dyDescent="0.25">
      <c r="F677" s="1"/>
    </row>
    <row r="678" spans="6:6" customFormat="1" x14ac:dyDescent="0.25">
      <c r="F678" s="1"/>
    </row>
    <row r="679" spans="6:6" customFormat="1" x14ac:dyDescent="0.25">
      <c r="F679" s="1"/>
    </row>
    <row r="680" spans="6:6" customFormat="1" x14ac:dyDescent="0.25">
      <c r="F680" s="1"/>
    </row>
    <row r="681" spans="6:6" customFormat="1" x14ac:dyDescent="0.25">
      <c r="F681" s="1"/>
    </row>
    <row r="682" spans="6:6" customFormat="1" x14ac:dyDescent="0.25">
      <c r="F682" s="1"/>
    </row>
    <row r="683" spans="6:6" customFormat="1" x14ac:dyDescent="0.25">
      <c r="F683" s="1"/>
    </row>
    <row r="684" spans="6:6" customFormat="1" x14ac:dyDescent="0.25">
      <c r="F684" s="1"/>
    </row>
    <row r="685" spans="6:6" customFormat="1" x14ac:dyDescent="0.25">
      <c r="F685" s="1"/>
    </row>
    <row r="686" spans="6:6" customFormat="1" x14ac:dyDescent="0.25">
      <c r="F686" s="1"/>
    </row>
    <row r="687" spans="6:6" customFormat="1" x14ac:dyDescent="0.25">
      <c r="F687" s="1"/>
    </row>
    <row r="688" spans="6:6" customFormat="1" x14ac:dyDescent="0.25">
      <c r="F688" s="1"/>
    </row>
    <row r="689" spans="6:6" customFormat="1" x14ac:dyDescent="0.25">
      <c r="F689" s="1"/>
    </row>
    <row r="690" spans="6:6" customFormat="1" x14ac:dyDescent="0.25">
      <c r="F690" s="1"/>
    </row>
    <row r="691" spans="6:6" customFormat="1" x14ac:dyDescent="0.25">
      <c r="F691" s="1"/>
    </row>
    <row r="692" spans="6:6" customFormat="1" x14ac:dyDescent="0.25">
      <c r="F692" s="1"/>
    </row>
    <row r="693" spans="6:6" customFormat="1" x14ac:dyDescent="0.25">
      <c r="F693" s="1"/>
    </row>
    <row r="694" spans="6:6" customFormat="1" x14ac:dyDescent="0.25">
      <c r="F694" s="1"/>
    </row>
    <row r="695" spans="6:6" customFormat="1" x14ac:dyDescent="0.25">
      <c r="F695" s="1"/>
    </row>
    <row r="696" spans="6:6" customFormat="1" x14ac:dyDescent="0.25">
      <c r="F696" s="1"/>
    </row>
    <row r="697" spans="6:6" customFormat="1" x14ac:dyDescent="0.25">
      <c r="F697" s="1"/>
    </row>
    <row r="698" spans="6:6" customFormat="1" x14ac:dyDescent="0.25">
      <c r="F698" s="1"/>
    </row>
    <row r="699" spans="6:6" customFormat="1" x14ac:dyDescent="0.25">
      <c r="F699" s="1"/>
    </row>
    <row r="700" spans="6:6" customFormat="1" x14ac:dyDescent="0.25">
      <c r="F700" s="1"/>
    </row>
    <row r="701" spans="6:6" customFormat="1" x14ac:dyDescent="0.25">
      <c r="F701" s="1"/>
    </row>
    <row r="702" spans="6:6" customFormat="1" x14ac:dyDescent="0.25">
      <c r="F702" s="1"/>
    </row>
    <row r="703" spans="6:6" customFormat="1" x14ac:dyDescent="0.25">
      <c r="F703" s="1"/>
    </row>
    <row r="704" spans="6:6" customFormat="1" x14ac:dyDescent="0.25">
      <c r="F704" s="1"/>
    </row>
    <row r="705" spans="6:6" customFormat="1" x14ac:dyDescent="0.25">
      <c r="F705" s="1"/>
    </row>
    <row r="706" spans="6:6" customFormat="1" x14ac:dyDescent="0.25">
      <c r="F706" s="1"/>
    </row>
    <row r="707" spans="6:6" customFormat="1" x14ac:dyDescent="0.25">
      <c r="F707" s="1"/>
    </row>
    <row r="708" spans="6:6" customFormat="1" x14ac:dyDescent="0.25">
      <c r="F708" s="1"/>
    </row>
    <row r="709" spans="6:6" customFormat="1" x14ac:dyDescent="0.25">
      <c r="F709" s="1"/>
    </row>
    <row r="710" spans="6:6" customFormat="1" x14ac:dyDescent="0.25">
      <c r="F710" s="1"/>
    </row>
    <row r="711" spans="6:6" customFormat="1" x14ac:dyDescent="0.25">
      <c r="F711" s="1"/>
    </row>
    <row r="712" spans="6:6" customFormat="1" x14ac:dyDescent="0.25">
      <c r="F712" s="1"/>
    </row>
    <row r="713" spans="6:6" customFormat="1" x14ac:dyDescent="0.25">
      <c r="F713" s="1"/>
    </row>
    <row r="714" spans="6:6" customFormat="1" x14ac:dyDescent="0.25">
      <c r="F714" s="1"/>
    </row>
    <row r="715" spans="6:6" customFormat="1" x14ac:dyDescent="0.25">
      <c r="F715" s="1"/>
    </row>
    <row r="716" spans="6:6" customFormat="1" x14ac:dyDescent="0.25">
      <c r="F716" s="1"/>
    </row>
    <row r="717" spans="6:6" customFormat="1" x14ac:dyDescent="0.25">
      <c r="F717" s="1"/>
    </row>
    <row r="718" spans="6:6" customFormat="1" x14ac:dyDescent="0.25">
      <c r="F718" s="1"/>
    </row>
    <row r="719" spans="6:6" customFormat="1" x14ac:dyDescent="0.25">
      <c r="F719" s="1"/>
    </row>
    <row r="720" spans="6:6" customFormat="1" x14ac:dyDescent="0.25">
      <c r="F720" s="1"/>
    </row>
    <row r="721" spans="3:12" customFormat="1" x14ac:dyDescent="0.25">
      <c r="F721" s="1"/>
    </row>
    <row r="722" spans="3:12" customFormat="1" x14ac:dyDescent="0.25">
      <c r="F722" s="1"/>
    </row>
    <row r="723" spans="3:12" customFormat="1" x14ac:dyDescent="0.25">
      <c r="F723" s="1"/>
    </row>
    <row r="724" spans="3:12" customFormat="1" x14ac:dyDescent="0.25">
      <c r="F724" s="1"/>
    </row>
    <row r="725" spans="3:12" customFormat="1" x14ac:dyDescent="0.25">
      <c r="F725" s="1"/>
    </row>
    <row r="726" spans="3:12" customFormat="1" x14ac:dyDescent="0.25">
      <c r="F726" s="1"/>
    </row>
    <row r="727" spans="3:12" customFormat="1" x14ac:dyDescent="0.25">
      <c r="F727" s="1"/>
    </row>
    <row r="728" spans="3:12" customFormat="1" x14ac:dyDescent="0.25">
      <c r="F728" s="1"/>
    </row>
    <row r="729" spans="3:12" customFormat="1" x14ac:dyDescent="0.25">
      <c r="F729" s="1"/>
    </row>
    <row r="730" spans="3:12" customFormat="1" x14ac:dyDescent="0.25">
      <c r="F730" s="1"/>
    </row>
    <row r="731" spans="3:12" customFormat="1" x14ac:dyDescent="0.25">
      <c r="F731" s="1"/>
    </row>
    <row r="732" spans="3:12" customFormat="1" x14ac:dyDescent="0.25">
      <c r="F732" s="1"/>
    </row>
    <row r="733" spans="3:12" customFormat="1" x14ac:dyDescent="0.25">
      <c r="F733" s="1"/>
    </row>
    <row r="734" spans="3:12" customFormat="1" x14ac:dyDescent="0.25">
      <c r="F734" s="1"/>
    </row>
    <row r="735" spans="3:12" customFormat="1" x14ac:dyDescent="0.25">
      <c r="F735" s="1"/>
    </row>
    <row r="736" spans="3:12" x14ac:dyDescent="0.25">
      <c r="C736"/>
      <c r="D736"/>
      <c r="F736" s="1"/>
      <c r="G736"/>
      <c r="K736" s="1"/>
      <c r="L736"/>
    </row>
    <row r="737" spans="3:12" x14ac:dyDescent="0.25">
      <c r="C737"/>
      <c r="D737"/>
      <c r="F737" s="1"/>
      <c r="G737"/>
      <c r="K737" s="1"/>
      <c r="L737"/>
    </row>
    <row r="738" spans="3:12" x14ac:dyDescent="0.25">
      <c r="C738"/>
      <c r="D738"/>
      <c r="F738" s="1"/>
      <c r="G738"/>
      <c r="K738" s="1"/>
      <c r="L738"/>
    </row>
    <row r="739" spans="3:12" x14ac:dyDescent="0.25">
      <c r="C739"/>
      <c r="D739"/>
      <c r="F739" s="1"/>
      <c r="G739"/>
      <c r="K739" s="1"/>
      <c r="L739"/>
    </row>
    <row r="740" spans="3:12" x14ac:dyDescent="0.25">
      <c r="C740"/>
      <c r="D740"/>
      <c r="F740" s="1"/>
      <c r="G740"/>
      <c r="K740" s="1"/>
      <c r="L740"/>
    </row>
    <row r="741" spans="3:12" x14ac:dyDescent="0.25">
      <c r="C741"/>
      <c r="D741"/>
      <c r="F741" s="1"/>
      <c r="G741"/>
      <c r="K741" s="1"/>
      <c r="L741"/>
    </row>
    <row r="742" spans="3:12" x14ac:dyDescent="0.25">
      <c r="C742"/>
      <c r="D742"/>
      <c r="F742" s="1"/>
      <c r="G742"/>
      <c r="K742" s="1"/>
      <c r="L742"/>
    </row>
    <row r="743" spans="3:12" x14ac:dyDescent="0.25">
      <c r="C743"/>
      <c r="D743"/>
      <c r="F743" s="1"/>
      <c r="G743"/>
      <c r="K743" s="1"/>
      <c r="L743"/>
    </row>
    <row r="744" spans="3:12" x14ac:dyDescent="0.25">
      <c r="C744"/>
      <c r="D744"/>
      <c r="F744" s="1"/>
      <c r="G744"/>
      <c r="K744" s="1"/>
      <c r="L744"/>
    </row>
    <row r="745" spans="3:12" x14ac:dyDescent="0.25">
      <c r="C745"/>
      <c r="D745"/>
      <c r="F745" s="1"/>
      <c r="G745"/>
      <c r="K745" s="1"/>
      <c r="L745"/>
    </row>
    <row r="746" spans="3:12" x14ac:dyDescent="0.25">
      <c r="C746"/>
      <c r="D746"/>
      <c r="F746" s="1"/>
      <c r="G746"/>
      <c r="K746" s="1"/>
      <c r="L746"/>
    </row>
    <row r="747" spans="3:12" x14ac:dyDescent="0.25">
      <c r="C747"/>
      <c r="D747"/>
      <c r="F747" s="1"/>
      <c r="G747"/>
      <c r="K747" s="1"/>
      <c r="L747"/>
    </row>
    <row r="748" spans="3:12" x14ac:dyDescent="0.25">
      <c r="C748"/>
      <c r="D748"/>
      <c r="F748" s="1"/>
      <c r="G748"/>
      <c r="K748" s="1"/>
      <c r="L748"/>
    </row>
    <row r="749" spans="3:12" x14ac:dyDescent="0.25">
      <c r="C749"/>
      <c r="D749"/>
      <c r="F749" s="1"/>
      <c r="G749"/>
      <c r="K749" s="1"/>
      <c r="L749"/>
    </row>
    <row r="750" spans="3:12" x14ac:dyDescent="0.25">
      <c r="C750"/>
      <c r="D750"/>
      <c r="F750" s="1"/>
      <c r="G750"/>
      <c r="K750" s="1"/>
      <c r="L750"/>
    </row>
    <row r="751" spans="3:12" x14ac:dyDescent="0.25">
      <c r="C751"/>
      <c r="D751"/>
      <c r="F751" s="1"/>
      <c r="G751"/>
      <c r="K751" s="1"/>
      <c r="L751"/>
    </row>
    <row r="752" spans="3:12" x14ac:dyDescent="0.25">
      <c r="C752"/>
      <c r="D752"/>
      <c r="F752" s="1"/>
      <c r="G752"/>
      <c r="K752" s="1"/>
      <c r="L752"/>
    </row>
    <row r="753" spans="3:12" x14ac:dyDescent="0.25">
      <c r="C753"/>
      <c r="D753"/>
      <c r="F753" s="1"/>
      <c r="G753"/>
      <c r="K753" s="1"/>
      <c r="L753"/>
    </row>
    <row r="754" spans="3:12" x14ac:dyDescent="0.25">
      <c r="C754"/>
      <c r="D754"/>
      <c r="F754" s="1"/>
      <c r="G754"/>
      <c r="K754" s="1"/>
      <c r="L754"/>
    </row>
    <row r="755" spans="3:12" x14ac:dyDescent="0.25">
      <c r="C755"/>
      <c r="D755"/>
      <c r="F755" s="1"/>
      <c r="G755"/>
      <c r="K755" s="1"/>
      <c r="L755"/>
    </row>
    <row r="756" spans="3:12" x14ac:dyDescent="0.25">
      <c r="C756"/>
      <c r="D756"/>
      <c r="F756" s="1"/>
      <c r="G756"/>
      <c r="K756" s="1"/>
      <c r="L756"/>
    </row>
    <row r="757" spans="3:12" x14ac:dyDescent="0.25">
      <c r="C757"/>
      <c r="D757"/>
      <c r="F757" s="1"/>
      <c r="G757"/>
      <c r="K757" s="1"/>
      <c r="L757"/>
    </row>
    <row r="758" spans="3:12" x14ac:dyDescent="0.25">
      <c r="C758"/>
      <c r="D758"/>
      <c r="F758" s="1"/>
      <c r="G758"/>
      <c r="K758" s="1"/>
      <c r="L758"/>
    </row>
    <row r="759" spans="3:12" x14ac:dyDescent="0.25">
      <c r="C759"/>
      <c r="D759"/>
      <c r="F759" s="1"/>
      <c r="G759"/>
      <c r="K759" s="1"/>
      <c r="L759"/>
    </row>
    <row r="760" spans="3:12" x14ac:dyDescent="0.25">
      <c r="C760"/>
      <c r="D760"/>
      <c r="F760" s="1"/>
      <c r="G760"/>
      <c r="K760" s="1"/>
      <c r="L760"/>
    </row>
    <row r="761" spans="3:12" x14ac:dyDescent="0.25">
      <c r="C761"/>
      <c r="D761"/>
      <c r="F761" s="1"/>
      <c r="G761"/>
      <c r="K761" s="1"/>
      <c r="L761"/>
    </row>
    <row r="762" spans="3:12" x14ac:dyDescent="0.25">
      <c r="C762"/>
      <c r="D762"/>
      <c r="F762" s="1"/>
      <c r="G762"/>
      <c r="K762" s="1"/>
      <c r="L762"/>
    </row>
    <row r="763" spans="3:12" x14ac:dyDescent="0.25">
      <c r="C763"/>
      <c r="D763"/>
      <c r="F763" s="1"/>
      <c r="G763"/>
      <c r="K763" s="1"/>
      <c r="L763"/>
    </row>
    <row r="764" spans="3:12" x14ac:dyDescent="0.25">
      <c r="C764"/>
      <c r="D764"/>
      <c r="F764" s="1"/>
      <c r="G764"/>
      <c r="K764" s="1"/>
      <c r="L764"/>
    </row>
    <row r="765" spans="3:12" x14ac:dyDescent="0.25">
      <c r="C765"/>
      <c r="D765"/>
      <c r="F765" s="1"/>
      <c r="G765"/>
      <c r="K765" s="1"/>
      <c r="L765"/>
    </row>
    <row r="766" spans="3:12" x14ac:dyDescent="0.25">
      <c r="C766"/>
      <c r="D766"/>
      <c r="F766" s="1"/>
      <c r="G766"/>
      <c r="K766" s="1"/>
      <c r="L766"/>
    </row>
    <row r="767" spans="3:12" x14ac:dyDescent="0.25">
      <c r="C767"/>
      <c r="D767"/>
      <c r="F767" s="1"/>
      <c r="G767"/>
      <c r="K767" s="1"/>
      <c r="L767"/>
    </row>
    <row r="768" spans="3:12" x14ac:dyDescent="0.25">
      <c r="C768"/>
      <c r="D768"/>
      <c r="F768" s="1"/>
      <c r="G768"/>
      <c r="K768" s="1"/>
      <c r="L768"/>
    </row>
    <row r="769" spans="3:12" x14ac:dyDescent="0.25">
      <c r="C769"/>
      <c r="D769"/>
      <c r="F769" s="1"/>
      <c r="G769"/>
      <c r="K769" s="1"/>
      <c r="L769"/>
    </row>
    <row r="770" spans="3:12" x14ac:dyDescent="0.25">
      <c r="C770"/>
      <c r="D770"/>
      <c r="F770" s="1"/>
      <c r="G770"/>
      <c r="K770" s="1"/>
      <c r="L770"/>
    </row>
    <row r="771" spans="3:12" x14ac:dyDescent="0.25">
      <c r="C771"/>
      <c r="D771"/>
      <c r="F771" s="1"/>
      <c r="G771"/>
      <c r="K771" s="1"/>
      <c r="L771"/>
    </row>
    <row r="772" spans="3:12" x14ac:dyDescent="0.25">
      <c r="C772"/>
      <c r="D772"/>
      <c r="F772" s="1"/>
      <c r="G772"/>
      <c r="K772" s="1"/>
      <c r="L772"/>
    </row>
    <row r="773" spans="3:12" x14ac:dyDescent="0.25">
      <c r="C773"/>
      <c r="D773"/>
      <c r="F773" s="1"/>
      <c r="G773"/>
      <c r="K773" s="1"/>
      <c r="L773"/>
    </row>
    <row r="774" spans="3:12" x14ac:dyDescent="0.25">
      <c r="C774"/>
      <c r="D774"/>
      <c r="F774" s="1"/>
      <c r="G774"/>
      <c r="K774" s="1"/>
      <c r="L774"/>
    </row>
    <row r="775" spans="3:12" x14ac:dyDescent="0.25">
      <c r="C775"/>
      <c r="D775"/>
      <c r="F775" s="1"/>
      <c r="G775"/>
      <c r="K775" s="1"/>
      <c r="L775"/>
    </row>
    <row r="776" spans="3:12" x14ac:dyDescent="0.25">
      <c r="C776"/>
      <c r="D776"/>
      <c r="F776" s="1"/>
      <c r="G776"/>
      <c r="K776" s="1"/>
      <c r="L776"/>
    </row>
    <row r="777" spans="3:12" x14ac:dyDescent="0.25">
      <c r="C777"/>
      <c r="D777"/>
      <c r="F777" s="1"/>
      <c r="G777"/>
      <c r="K777" s="1"/>
      <c r="L777"/>
    </row>
    <row r="778" spans="3:12" x14ac:dyDescent="0.25">
      <c r="C778"/>
      <c r="D778"/>
      <c r="F778" s="1"/>
      <c r="G778"/>
      <c r="K778" s="1"/>
      <c r="L778"/>
    </row>
    <row r="779" spans="3:12" x14ac:dyDescent="0.25">
      <c r="C779"/>
      <c r="D779"/>
      <c r="F779" s="1"/>
      <c r="G779"/>
      <c r="K779" s="1"/>
      <c r="L779"/>
    </row>
    <row r="780" spans="3:12" x14ac:dyDescent="0.25">
      <c r="C780"/>
      <c r="D780"/>
      <c r="F780" s="1"/>
      <c r="G780"/>
      <c r="K780" s="1"/>
      <c r="L780"/>
    </row>
    <row r="781" spans="3:12" x14ac:dyDescent="0.25">
      <c r="C781"/>
      <c r="D781"/>
      <c r="F781" s="1"/>
      <c r="G781"/>
      <c r="K781" s="1"/>
      <c r="L781"/>
    </row>
    <row r="782" spans="3:12" x14ac:dyDescent="0.25">
      <c r="C782"/>
      <c r="D782"/>
      <c r="F782" s="1"/>
      <c r="G782"/>
      <c r="K782" s="1"/>
      <c r="L782"/>
    </row>
    <row r="783" spans="3:12" x14ac:dyDescent="0.25">
      <c r="C783"/>
      <c r="D783"/>
      <c r="F783" s="1"/>
      <c r="G783"/>
      <c r="K783" s="1"/>
      <c r="L783"/>
    </row>
    <row r="784" spans="3:12" x14ac:dyDescent="0.25">
      <c r="C784"/>
      <c r="D784"/>
      <c r="F784" s="1"/>
      <c r="G784"/>
      <c r="K784" s="1"/>
      <c r="L784"/>
    </row>
    <row r="785" spans="3:12" x14ac:dyDescent="0.25">
      <c r="C785"/>
      <c r="D785"/>
      <c r="F785" s="1"/>
      <c r="G785"/>
      <c r="K785" s="1"/>
      <c r="L785"/>
    </row>
    <row r="786" spans="3:12" x14ac:dyDescent="0.25">
      <c r="C786"/>
      <c r="D786"/>
      <c r="F786" s="1"/>
      <c r="G786"/>
      <c r="K786" s="1"/>
      <c r="L786"/>
    </row>
    <row r="787" spans="3:12" x14ac:dyDescent="0.25">
      <c r="C787"/>
      <c r="D787"/>
      <c r="F787" s="1"/>
      <c r="G787"/>
      <c r="K787" s="1"/>
      <c r="L787"/>
    </row>
    <row r="788" spans="3:12" x14ac:dyDescent="0.25">
      <c r="C788"/>
      <c r="D788"/>
      <c r="F788" s="1"/>
      <c r="G788"/>
      <c r="K788" s="1"/>
      <c r="L788"/>
    </row>
    <row r="789" spans="3:12" x14ac:dyDescent="0.25">
      <c r="C789"/>
      <c r="D789"/>
      <c r="F789" s="1"/>
      <c r="G789"/>
      <c r="K789" s="1"/>
      <c r="L789"/>
    </row>
    <row r="790" spans="3:12" x14ac:dyDescent="0.25">
      <c r="C790"/>
      <c r="D790"/>
      <c r="F790" s="1"/>
      <c r="G790"/>
      <c r="K790" s="1"/>
      <c r="L790"/>
    </row>
    <row r="791" spans="3:12" x14ac:dyDescent="0.25">
      <c r="C791"/>
      <c r="D791"/>
      <c r="F791" s="1"/>
      <c r="G791"/>
      <c r="K791" s="1"/>
      <c r="L791"/>
    </row>
    <row r="792" spans="3:12" x14ac:dyDescent="0.25">
      <c r="C792"/>
      <c r="D792"/>
      <c r="F792" s="1"/>
      <c r="G792"/>
      <c r="K792" s="1"/>
      <c r="L792"/>
    </row>
    <row r="793" spans="3:12" x14ac:dyDescent="0.25">
      <c r="C793"/>
      <c r="D793"/>
      <c r="F793" s="1"/>
      <c r="G793"/>
      <c r="K793" s="1"/>
      <c r="L793"/>
    </row>
    <row r="794" spans="3:12" x14ac:dyDescent="0.25">
      <c r="C794"/>
      <c r="D794"/>
      <c r="F794" s="1"/>
      <c r="G794"/>
      <c r="K794" s="1"/>
      <c r="L794"/>
    </row>
    <row r="795" spans="3:12" x14ac:dyDescent="0.25">
      <c r="C795"/>
      <c r="D795"/>
      <c r="F795" s="1"/>
      <c r="G795"/>
      <c r="K795" s="1"/>
      <c r="L795"/>
    </row>
    <row r="796" spans="3:12" x14ac:dyDescent="0.25">
      <c r="C796"/>
      <c r="D796"/>
      <c r="F796" s="1"/>
      <c r="G796"/>
      <c r="K796" s="1"/>
      <c r="L796"/>
    </row>
    <row r="797" spans="3:12" x14ac:dyDescent="0.25">
      <c r="C797"/>
      <c r="D797"/>
      <c r="F797" s="1"/>
      <c r="G797"/>
      <c r="K797" s="1"/>
      <c r="L797"/>
    </row>
    <row r="798" spans="3:12" x14ac:dyDescent="0.25">
      <c r="C798"/>
      <c r="D798"/>
      <c r="F798" s="1"/>
      <c r="G798"/>
      <c r="K798" s="1"/>
      <c r="L798"/>
    </row>
    <row r="799" spans="3:12" x14ac:dyDescent="0.25">
      <c r="C799"/>
      <c r="D799"/>
      <c r="F799" s="1"/>
      <c r="G799"/>
      <c r="K799" s="1"/>
      <c r="L799"/>
    </row>
    <row r="800" spans="3:12" x14ac:dyDescent="0.25">
      <c r="C800"/>
      <c r="D800"/>
      <c r="F800" s="1"/>
      <c r="G800"/>
      <c r="K800" s="1"/>
      <c r="L800"/>
    </row>
    <row r="801" spans="3:12" x14ac:dyDescent="0.25">
      <c r="C801"/>
      <c r="D801"/>
      <c r="F801" s="1"/>
      <c r="G801"/>
      <c r="K801" s="1"/>
      <c r="L801"/>
    </row>
    <row r="802" spans="3:12" x14ac:dyDescent="0.25">
      <c r="C802"/>
      <c r="D802"/>
      <c r="F802" s="1"/>
      <c r="G802"/>
      <c r="K802" s="1"/>
      <c r="L802"/>
    </row>
    <row r="803" spans="3:12" x14ac:dyDescent="0.25">
      <c r="C803"/>
      <c r="D803"/>
      <c r="F803" s="1"/>
      <c r="G803"/>
      <c r="K803" s="1"/>
      <c r="L803"/>
    </row>
    <row r="804" spans="3:12" x14ac:dyDescent="0.25">
      <c r="C804"/>
      <c r="D804"/>
      <c r="F804" s="1"/>
      <c r="G804"/>
      <c r="K804" s="1"/>
      <c r="L804"/>
    </row>
    <row r="805" spans="3:12" x14ac:dyDescent="0.25">
      <c r="C805"/>
      <c r="D805"/>
      <c r="F805" s="1"/>
      <c r="G805"/>
      <c r="K805" s="1"/>
      <c r="L805"/>
    </row>
    <row r="806" spans="3:12" x14ac:dyDescent="0.25">
      <c r="C806"/>
      <c r="D806"/>
      <c r="F806" s="1"/>
      <c r="G806"/>
      <c r="K806" s="1"/>
      <c r="L806"/>
    </row>
    <row r="807" spans="3:12" x14ac:dyDescent="0.25">
      <c r="C807"/>
      <c r="D807"/>
      <c r="F807" s="1"/>
      <c r="G807"/>
      <c r="K807" s="1"/>
      <c r="L807"/>
    </row>
    <row r="808" spans="3:12" x14ac:dyDescent="0.25">
      <c r="C808"/>
      <c r="D808"/>
      <c r="F808" s="1"/>
      <c r="G808"/>
      <c r="K808" s="1"/>
      <c r="L808"/>
    </row>
    <row r="809" spans="3:12" x14ac:dyDescent="0.25">
      <c r="C809"/>
      <c r="D809"/>
      <c r="F809" s="1"/>
      <c r="G809"/>
      <c r="K809" s="1"/>
      <c r="L809"/>
    </row>
    <row r="810" spans="3:12" x14ac:dyDescent="0.25">
      <c r="C810"/>
      <c r="D810"/>
      <c r="F810" s="1"/>
      <c r="G810"/>
      <c r="K810" s="1"/>
      <c r="L810"/>
    </row>
    <row r="811" spans="3:12" x14ac:dyDescent="0.25">
      <c r="C811"/>
      <c r="D811"/>
      <c r="F811" s="1"/>
      <c r="G811"/>
      <c r="K811" s="1"/>
      <c r="L811"/>
    </row>
    <row r="812" spans="3:12" x14ac:dyDescent="0.25">
      <c r="C812"/>
      <c r="D812"/>
      <c r="F812" s="1"/>
      <c r="G812"/>
      <c r="K812" s="1"/>
      <c r="L812"/>
    </row>
    <row r="813" spans="3:12" x14ac:dyDescent="0.25">
      <c r="C813"/>
      <c r="D813"/>
      <c r="F813" s="1"/>
      <c r="G813"/>
      <c r="K813" s="1"/>
      <c r="L813"/>
    </row>
    <row r="814" spans="3:12" x14ac:dyDescent="0.25">
      <c r="C814"/>
      <c r="D814"/>
      <c r="F814" s="1"/>
      <c r="G814"/>
      <c r="K814" s="1"/>
      <c r="L814"/>
    </row>
    <row r="815" spans="3:12" x14ac:dyDescent="0.25">
      <c r="C815"/>
      <c r="D815"/>
      <c r="F815" s="1"/>
      <c r="G815"/>
      <c r="K815" s="1"/>
      <c r="L815"/>
    </row>
    <row r="816" spans="3:12" x14ac:dyDescent="0.25">
      <c r="C816"/>
      <c r="D816"/>
      <c r="F816" s="1"/>
      <c r="G816"/>
      <c r="K816" s="1"/>
      <c r="L816"/>
    </row>
    <row r="817" spans="3:12" x14ac:dyDescent="0.25">
      <c r="C817"/>
      <c r="D817"/>
      <c r="F817" s="1"/>
      <c r="G817"/>
      <c r="K817" s="1"/>
      <c r="L817"/>
    </row>
    <row r="818" spans="3:12" x14ac:dyDescent="0.25">
      <c r="C818"/>
      <c r="D818"/>
      <c r="F818" s="1"/>
      <c r="G818"/>
      <c r="K818" s="1"/>
      <c r="L818"/>
    </row>
    <row r="819" spans="3:12" x14ac:dyDescent="0.25">
      <c r="C819"/>
      <c r="D819"/>
      <c r="F819" s="1"/>
      <c r="G819"/>
      <c r="K819" s="1"/>
      <c r="L819"/>
    </row>
    <row r="820" spans="3:12" x14ac:dyDescent="0.25">
      <c r="C820"/>
      <c r="D820"/>
      <c r="F820" s="1"/>
      <c r="G820"/>
      <c r="K820" s="1"/>
      <c r="L820"/>
    </row>
    <row r="821" spans="3:12" x14ac:dyDescent="0.25">
      <c r="C821"/>
      <c r="D821"/>
      <c r="F821" s="1"/>
      <c r="G821"/>
      <c r="K821" s="1"/>
      <c r="L821"/>
    </row>
    <row r="822" spans="3:12" x14ac:dyDescent="0.25">
      <c r="C822"/>
      <c r="D822"/>
      <c r="F822" s="1"/>
      <c r="G822"/>
      <c r="K822" s="1"/>
      <c r="L822"/>
    </row>
    <row r="823" spans="3:12" x14ac:dyDescent="0.25">
      <c r="C823"/>
      <c r="D823"/>
      <c r="F823" s="1"/>
      <c r="G823"/>
      <c r="K823" s="1"/>
      <c r="L823"/>
    </row>
    <row r="824" spans="3:12" x14ac:dyDescent="0.25">
      <c r="C824"/>
      <c r="D824"/>
      <c r="F824" s="1"/>
      <c r="G824"/>
      <c r="K824" s="1"/>
      <c r="L824"/>
    </row>
    <row r="825" spans="3:12" x14ac:dyDescent="0.25">
      <c r="C825"/>
      <c r="D825"/>
      <c r="F825" s="1"/>
      <c r="G825"/>
      <c r="K825" s="1"/>
      <c r="L825"/>
    </row>
    <row r="826" spans="3:12" x14ac:dyDescent="0.25">
      <c r="C826"/>
      <c r="D826"/>
      <c r="F826" s="1"/>
      <c r="G826"/>
      <c r="K826" s="1"/>
      <c r="L826"/>
    </row>
    <row r="827" spans="3:12" x14ac:dyDescent="0.25">
      <c r="C827"/>
      <c r="D827"/>
      <c r="F827" s="1"/>
      <c r="G827"/>
      <c r="K827" s="1"/>
      <c r="L827"/>
    </row>
    <row r="828" spans="3:12" x14ac:dyDescent="0.25">
      <c r="C828"/>
      <c r="D828"/>
      <c r="F828" s="1"/>
      <c r="G828"/>
      <c r="K828" s="1"/>
      <c r="L828"/>
    </row>
    <row r="829" spans="3:12" x14ac:dyDescent="0.25">
      <c r="C829"/>
      <c r="D829"/>
      <c r="F829" s="1"/>
      <c r="G829"/>
      <c r="K829" s="1"/>
      <c r="L829"/>
    </row>
    <row r="830" spans="3:12" x14ac:dyDescent="0.25">
      <c r="C830"/>
      <c r="D830"/>
      <c r="F830" s="1"/>
      <c r="G830"/>
      <c r="K830" s="1"/>
      <c r="L830"/>
    </row>
    <row r="831" spans="3:12" x14ac:dyDescent="0.25">
      <c r="C831"/>
      <c r="D831"/>
      <c r="F831" s="1"/>
      <c r="G831"/>
      <c r="K831" s="1"/>
      <c r="L831"/>
    </row>
    <row r="832" spans="3:12" x14ac:dyDescent="0.25">
      <c r="C832"/>
      <c r="D832"/>
      <c r="F832" s="1"/>
      <c r="G832"/>
      <c r="K832" s="1"/>
      <c r="L832"/>
    </row>
    <row r="833" spans="3:12" x14ac:dyDescent="0.25">
      <c r="C833"/>
      <c r="D833"/>
      <c r="F833" s="1"/>
      <c r="G833"/>
      <c r="K833" s="1"/>
      <c r="L833"/>
    </row>
    <row r="834" spans="3:12" x14ac:dyDescent="0.25">
      <c r="C834"/>
      <c r="D834"/>
      <c r="F834" s="1"/>
      <c r="G834"/>
      <c r="K834" s="1"/>
      <c r="L834"/>
    </row>
    <row r="835" spans="3:12" x14ac:dyDescent="0.25">
      <c r="C835"/>
      <c r="D835"/>
      <c r="F835" s="1"/>
      <c r="G835"/>
      <c r="K835" s="1"/>
      <c r="L835"/>
    </row>
    <row r="836" spans="3:12" x14ac:dyDescent="0.25">
      <c r="C836"/>
      <c r="D836"/>
      <c r="F836" s="1"/>
      <c r="G836"/>
      <c r="K836" s="1"/>
      <c r="L836"/>
    </row>
    <row r="837" spans="3:12" x14ac:dyDescent="0.25">
      <c r="C837"/>
      <c r="D837"/>
      <c r="F837" s="1"/>
      <c r="G837"/>
      <c r="K837" s="1"/>
      <c r="L837"/>
    </row>
    <row r="838" spans="3:12" x14ac:dyDescent="0.25">
      <c r="C838"/>
      <c r="D838"/>
      <c r="F838" s="1"/>
      <c r="G838"/>
      <c r="K838" s="1"/>
      <c r="L838"/>
    </row>
    <row r="839" spans="3:12" x14ac:dyDescent="0.25">
      <c r="C839"/>
      <c r="D839"/>
      <c r="F839" s="1"/>
      <c r="G839"/>
      <c r="K839" s="1"/>
      <c r="L839"/>
    </row>
    <row r="840" spans="3:12" x14ac:dyDescent="0.25">
      <c r="C840"/>
      <c r="D840"/>
      <c r="F840" s="1"/>
      <c r="G840"/>
      <c r="K840" s="1"/>
      <c r="L840"/>
    </row>
    <row r="841" spans="3:12" x14ac:dyDescent="0.25">
      <c r="C841"/>
      <c r="D841"/>
      <c r="F841" s="1"/>
      <c r="G841"/>
      <c r="K841" s="1"/>
      <c r="L841"/>
    </row>
    <row r="842" spans="3:12" x14ac:dyDescent="0.25">
      <c r="C842"/>
      <c r="D842"/>
      <c r="F842" s="1"/>
      <c r="G842"/>
      <c r="K842" s="1"/>
      <c r="L842"/>
    </row>
    <row r="843" spans="3:12" x14ac:dyDescent="0.25">
      <c r="C843"/>
      <c r="D843"/>
      <c r="F843" s="1"/>
      <c r="G843"/>
      <c r="K843" s="1"/>
      <c r="L843"/>
    </row>
    <row r="844" spans="3:12" x14ac:dyDescent="0.25">
      <c r="C844"/>
      <c r="D844"/>
      <c r="F844" s="1"/>
      <c r="G844"/>
      <c r="K844" s="1"/>
      <c r="L844"/>
    </row>
    <row r="845" spans="3:12" x14ac:dyDescent="0.25">
      <c r="C845"/>
      <c r="D845"/>
      <c r="F845" s="1"/>
      <c r="G845"/>
      <c r="K845" s="1"/>
      <c r="L845"/>
    </row>
    <row r="846" spans="3:12" x14ac:dyDescent="0.25">
      <c r="C846"/>
      <c r="D846"/>
      <c r="F846" s="1"/>
      <c r="G846"/>
      <c r="K846" s="1"/>
      <c r="L846"/>
    </row>
    <row r="847" spans="3:12" x14ac:dyDescent="0.25">
      <c r="C847"/>
      <c r="D847"/>
      <c r="F847" s="1"/>
      <c r="G847"/>
      <c r="K847" s="1"/>
      <c r="L847"/>
    </row>
    <row r="848" spans="3:12" x14ac:dyDescent="0.25">
      <c r="C848"/>
      <c r="D848"/>
      <c r="F848" s="1"/>
      <c r="G848"/>
      <c r="K848" s="1"/>
      <c r="L848"/>
    </row>
    <row r="849" spans="3:12" x14ac:dyDescent="0.25">
      <c r="C849"/>
      <c r="D849"/>
      <c r="F849" s="1"/>
      <c r="G849"/>
      <c r="K849" s="1"/>
      <c r="L849"/>
    </row>
    <row r="850" spans="3:12" x14ac:dyDescent="0.25">
      <c r="C850"/>
      <c r="D850"/>
      <c r="F850" s="1"/>
      <c r="G850"/>
      <c r="K850" s="1"/>
      <c r="L850"/>
    </row>
    <row r="851" spans="3:12" x14ac:dyDescent="0.25">
      <c r="C851"/>
      <c r="D851"/>
      <c r="F851" s="1"/>
      <c r="G851"/>
      <c r="K851" s="1"/>
      <c r="L851"/>
    </row>
    <row r="852" spans="3:12" x14ac:dyDescent="0.25">
      <c r="C852"/>
      <c r="D852"/>
      <c r="F852" s="1"/>
      <c r="G852"/>
      <c r="K852" s="1"/>
      <c r="L852"/>
    </row>
    <row r="853" spans="3:12" x14ac:dyDescent="0.25">
      <c r="C853"/>
      <c r="D853"/>
      <c r="F853" s="1"/>
      <c r="G853"/>
      <c r="K853" s="1"/>
      <c r="L853"/>
    </row>
    <row r="854" spans="3:12" x14ac:dyDescent="0.25">
      <c r="C854"/>
      <c r="D854"/>
      <c r="F854" s="1"/>
      <c r="G854"/>
      <c r="K854" s="1"/>
      <c r="L854"/>
    </row>
    <row r="855" spans="3:12" x14ac:dyDescent="0.25">
      <c r="C855"/>
      <c r="D855"/>
      <c r="F855" s="1"/>
      <c r="G855"/>
      <c r="K855" s="1"/>
      <c r="L855"/>
    </row>
    <row r="856" spans="3:12" x14ac:dyDescent="0.25">
      <c r="C856"/>
      <c r="D856"/>
      <c r="F856" s="1"/>
      <c r="G856"/>
      <c r="K856" s="1"/>
      <c r="L856"/>
    </row>
    <row r="857" spans="3:12" x14ac:dyDescent="0.25">
      <c r="C857"/>
      <c r="D857"/>
      <c r="F857" s="1"/>
      <c r="G857"/>
      <c r="K857" s="1"/>
      <c r="L857"/>
    </row>
    <row r="858" spans="3:12" x14ac:dyDescent="0.25">
      <c r="C858"/>
      <c r="D858"/>
      <c r="F858" s="1"/>
      <c r="G858"/>
      <c r="K858" s="1"/>
      <c r="L858"/>
    </row>
    <row r="859" spans="3:12" x14ac:dyDescent="0.25">
      <c r="C859"/>
      <c r="D859"/>
      <c r="F859" s="1"/>
      <c r="G859"/>
      <c r="K859" s="1"/>
      <c r="L859"/>
    </row>
    <row r="860" spans="3:12" x14ac:dyDescent="0.25">
      <c r="C860"/>
      <c r="D860"/>
      <c r="F860" s="1"/>
      <c r="G860"/>
      <c r="K860" s="1"/>
      <c r="L860"/>
    </row>
    <row r="861" spans="3:12" x14ac:dyDescent="0.25">
      <c r="C861"/>
      <c r="D861"/>
      <c r="F861" s="1"/>
      <c r="G861"/>
      <c r="K861" s="1"/>
      <c r="L861"/>
    </row>
    <row r="862" spans="3:12" x14ac:dyDescent="0.25">
      <c r="C862"/>
      <c r="D862"/>
      <c r="F862" s="1"/>
      <c r="G862"/>
      <c r="K862" s="1"/>
      <c r="L862"/>
    </row>
    <row r="863" spans="3:12" x14ac:dyDescent="0.25">
      <c r="C863"/>
      <c r="D863"/>
      <c r="F863" s="1"/>
      <c r="G863"/>
      <c r="K863" s="1"/>
      <c r="L863"/>
    </row>
    <row r="864" spans="3:12" x14ac:dyDescent="0.25">
      <c r="C864"/>
      <c r="D864"/>
      <c r="F864" s="1"/>
      <c r="G864"/>
      <c r="K864" s="1"/>
      <c r="L864"/>
    </row>
    <row r="865" spans="3:12" x14ac:dyDescent="0.25">
      <c r="C865"/>
      <c r="D865"/>
      <c r="F865" s="1"/>
      <c r="G865"/>
      <c r="K865" s="1"/>
      <c r="L865"/>
    </row>
    <row r="866" spans="3:12" x14ac:dyDescent="0.25">
      <c r="C866"/>
      <c r="D866"/>
      <c r="F866" s="1"/>
      <c r="G866"/>
      <c r="K866" s="1"/>
      <c r="L866"/>
    </row>
    <row r="867" spans="3:12" x14ac:dyDescent="0.25">
      <c r="C867"/>
      <c r="D867"/>
      <c r="F867" s="1"/>
      <c r="G867"/>
      <c r="K867" s="1"/>
      <c r="L867"/>
    </row>
    <row r="868" spans="3:12" x14ac:dyDescent="0.25">
      <c r="C868"/>
      <c r="D868"/>
      <c r="F868" s="1"/>
      <c r="G868"/>
      <c r="K868" s="1"/>
      <c r="L868"/>
    </row>
    <row r="869" spans="3:12" x14ac:dyDescent="0.25">
      <c r="C869"/>
      <c r="D869"/>
      <c r="F869" s="1"/>
      <c r="G869"/>
      <c r="K869" s="1"/>
      <c r="L869"/>
    </row>
    <row r="870" spans="3:12" x14ac:dyDescent="0.25">
      <c r="C870"/>
      <c r="D870"/>
      <c r="F870" s="1"/>
      <c r="G870"/>
      <c r="K870" s="1"/>
      <c r="L870"/>
    </row>
    <row r="871" spans="3:12" x14ac:dyDescent="0.25">
      <c r="C871"/>
      <c r="D871"/>
      <c r="F871" s="1"/>
      <c r="G871"/>
      <c r="K871" s="1"/>
      <c r="L871"/>
    </row>
    <row r="872" spans="3:12" x14ac:dyDescent="0.25">
      <c r="C872"/>
      <c r="D872"/>
      <c r="F872" s="1"/>
      <c r="G872"/>
      <c r="K872" s="1"/>
      <c r="L872"/>
    </row>
    <row r="873" spans="3:12" x14ac:dyDescent="0.25">
      <c r="C873"/>
      <c r="D873"/>
      <c r="F873" s="1"/>
      <c r="G873"/>
      <c r="K873" s="1"/>
      <c r="L873"/>
    </row>
    <row r="874" spans="3:12" x14ac:dyDescent="0.25">
      <c r="C874"/>
      <c r="D874"/>
      <c r="F874" s="1"/>
      <c r="G874"/>
      <c r="K874" s="1"/>
      <c r="L874"/>
    </row>
    <row r="875" spans="3:12" x14ac:dyDescent="0.25">
      <c r="C875"/>
      <c r="D875"/>
      <c r="F875" s="1"/>
      <c r="G875"/>
      <c r="K875" s="1"/>
      <c r="L875"/>
    </row>
    <row r="876" spans="3:12" x14ac:dyDescent="0.25">
      <c r="C876"/>
      <c r="D876"/>
      <c r="F876" s="1"/>
      <c r="G876"/>
      <c r="K876" s="1"/>
      <c r="L876"/>
    </row>
    <row r="877" spans="3:12" x14ac:dyDescent="0.25">
      <c r="C877"/>
      <c r="D877"/>
      <c r="F877" s="1"/>
      <c r="G877"/>
      <c r="K877" s="1"/>
      <c r="L877"/>
    </row>
    <row r="878" spans="3:12" x14ac:dyDescent="0.25">
      <c r="C878"/>
      <c r="D878"/>
      <c r="F878" s="1"/>
      <c r="G878"/>
      <c r="K878" s="1"/>
      <c r="L878"/>
    </row>
    <row r="879" spans="3:12" x14ac:dyDescent="0.25">
      <c r="C879"/>
      <c r="D879"/>
      <c r="F879" s="1"/>
      <c r="G879"/>
      <c r="K879" s="1"/>
      <c r="L879"/>
    </row>
    <row r="880" spans="3:12" x14ac:dyDescent="0.25">
      <c r="C880"/>
      <c r="D880"/>
      <c r="F880" s="1"/>
      <c r="G880"/>
      <c r="K880" s="1"/>
      <c r="L880"/>
    </row>
    <row r="881" spans="3:12" x14ac:dyDescent="0.25">
      <c r="C881"/>
      <c r="D881"/>
      <c r="F881" s="1"/>
      <c r="G881"/>
      <c r="K881" s="1"/>
      <c r="L881"/>
    </row>
    <row r="882" spans="3:12" x14ac:dyDescent="0.25">
      <c r="C882"/>
      <c r="D882"/>
      <c r="F882" s="1"/>
      <c r="G882"/>
      <c r="K882" s="1"/>
      <c r="L882"/>
    </row>
    <row r="883" spans="3:12" x14ac:dyDescent="0.25">
      <c r="C883"/>
      <c r="D883"/>
      <c r="F883" s="1"/>
      <c r="G883"/>
      <c r="K883" s="1"/>
      <c r="L883"/>
    </row>
    <row r="884" spans="3:12" x14ac:dyDescent="0.25">
      <c r="C884"/>
      <c r="D884"/>
      <c r="F884" s="1"/>
      <c r="G884"/>
      <c r="K884" s="1"/>
      <c r="L884"/>
    </row>
    <row r="885" spans="3:12" x14ac:dyDescent="0.25">
      <c r="C885"/>
      <c r="D885"/>
      <c r="F885" s="1"/>
      <c r="G885"/>
      <c r="K885" s="1"/>
      <c r="L885"/>
    </row>
    <row r="886" spans="3:12" x14ac:dyDescent="0.25">
      <c r="C886"/>
      <c r="D886"/>
      <c r="F886" s="1"/>
      <c r="G886"/>
      <c r="K886" s="1"/>
      <c r="L886"/>
    </row>
    <row r="887" spans="3:12" x14ac:dyDescent="0.25">
      <c r="C887"/>
      <c r="D887"/>
      <c r="F887" s="1"/>
      <c r="G887"/>
      <c r="K887" s="1"/>
      <c r="L887"/>
    </row>
    <row r="888" spans="3:12" x14ac:dyDescent="0.25">
      <c r="C888"/>
      <c r="D888"/>
      <c r="F888" s="1"/>
      <c r="G888"/>
      <c r="K888" s="1"/>
      <c r="L888"/>
    </row>
    <row r="889" spans="3:12" x14ac:dyDescent="0.25">
      <c r="C889"/>
      <c r="D889"/>
      <c r="F889" s="1"/>
      <c r="G889"/>
      <c r="K889" s="1"/>
      <c r="L889"/>
    </row>
    <row r="890" spans="3:12" x14ac:dyDescent="0.25">
      <c r="C890"/>
      <c r="D890"/>
      <c r="F890" s="1"/>
      <c r="G890"/>
      <c r="K890" s="1"/>
      <c r="L890"/>
    </row>
    <row r="891" spans="3:12" x14ac:dyDescent="0.25">
      <c r="C891"/>
      <c r="D891"/>
      <c r="F891" s="1"/>
      <c r="G891"/>
      <c r="K891" s="1"/>
      <c r="L891"/>
    </row>
    <row r="892" spans="3:12" x14ac:dyDescent="0.25">
      <c r="C892"/>
      <c r="D892"/>
      <c r="F892" s="1"/>
      <c r="G892"/>
      <c r="K892" s="1"/>
      <c r="L892"/>
    </row>
    <row r="893" spans="3:12" x14ac:dyDescent="0.25">
      <c r="C893"/>
      <c r="D893"/>
      <c r="F893" s="1"/>
      <c r="G893"/>
      <c r="K893" s="1"/>
      <c r="L893"/>
    </row>
    <row r="894" spans="3:12" x14ac:dyDescent="0.25">
      <c r="C894"/>
      <c r="D894"/>
      <c r="F894" s="1"/>
      <c r="G894"/>
      <c r="K894" s="1"/>
      <c r="L894"/>
    </row>
    <row r="895" spans="3:12" x14ac:dyDescent="0.25">
      <c r="C895"/>
      <c r="D895"/>
      <c r="F895" s="1"/>
      <c r="G895"/>
      <c r="K895" s="1"/>
      <c r="L895"/>
    </row>
    <row r="896" spans="3:12" x14ac:dyDescent="0.25">
      <c r="C896"/>
      <c r="D896"/>
      <c r="F896" s="1"/>
      <c r="G896"/>
      <c r="K896" s="1"/>
      <c r="L896"/>
    </row>
    <row r="897" spans="3:12" x14ac:dyDescent="0.25">
      <c r="C897"/>
      <c r="D897"/>
      <c r="F897" s="1"/>
      <c r="G897"/>
      <c r="K897" s="1"/>
      <c r="L897"/>
    </row>
    <row r="898" spans="3:12" x14ac:dyDescent="0.25">
      <c r="C898"/>
      <c r="D898"/>
      <c r="F898" s="1"/>
      <c r="G898"/>
      <c r="K898" s="1"/>
      <c r="L898"/>
    </row>
    <row r="899" spans="3:12" x14ac:dyDescent="0.25">
      <c r="C899"/>
      <c r="D899"/>
      <c r="F899" s="1"/>
      <c r="G899"/>
      <c r="K899" s="1"/>
      <c r="L899"/>
    </row>
    <row r="900" spans="3:12" x14ac:dyDescent="0.25">
      <c r="C900"/>
      <c r="D900"/>
      <c r="F900" s="1"/>
      <c r="G900"/>
      <c r="K900" s="1"/>
      <c r="L900"/>
    </row>
    <row r="901" spans="3:12" x14ac:dyDescent="0.25">
      <c r="C901"/>
      <c r="D901"/>
      <c r="F901" s="1"/>
      <c r="G901"/>
      <c r="K901" s="1"/>
      <c r="L901"/>
    </row>
    <row r="902" spans="3:12" x14ac:dyDescent="0.25">
      <c r="C902"/>
      <c r="D902"/>
      <c r="F902" s="1"/>
      <c r="G902"/>
      <c r="K902" s="1"/>
      <c r="L902"/>
    </row>
    <row r="903" spans="3:12" x14ac:dyDescent="0.25">
      <c r="C903"/>
      <c r="D903"/>
      <c r="F903" s="1"/>
      <c r="G903"/>
      <c r="K903" s="1"/>
      <c r="L903"/>
    </row>
    <row r="904" spans="3:12" x14ac:dyDescent="0.25">
      <c r="C904"/>
      <c r="D904"/>
      <c r="F904" s="1"/>
      <c r="G904"/>
      <c r="K904" s="1"/>
      <c r="L904"/>
    </row>
    <row r="905" spans="3:12" x14ac:dyDescent="0.25">
      <c r="C905"/>
      <c r="D905"/>
      <c r="F905" s="1"/>
      <c r="G905"/>
      <c r="K905" s="1"/>
      <c r="L905"/>
    </row>
    <row r="906" spans="3:12" x14ac:dyDescent="0.25">
      <c r="C906"/>
      <c r="D906"/>
      <c r="F906" s="1"/>
      <c r="G906"/>
      <c r="K906" s="1"/>
      <c r="L906"/>
    </row>
    <row r="907" spans="3:12" x14ac:dyDescent="0.25">
      <c r="C907"/>
      <c r="D907"/>
      <c r="F907" s="1"/>
      <c r="G907"/>
      <c r="K907" s="1"/>
      <c r="L907"/>
    </row>
    <row r="908" spans="3:12" x14ac:dyDescent="0.25">
      <c r="C908"/>
      <c r="D908"/>
      <c r="F908" s="1"/>
      <c r="G908"/>
      <c r="K908" s="1"/>
      <c r="L908"/>
    </row>
    <row r="909" spans="3:12" x14ac:dyDescent="0.25">
      <c r="C909"/>
      <c r="D909"/>
      <c r="F909" s="1"/>
      <c r="G909"/>
      <c r="K909" s="1"/>
      <c r="L909"/>
    </row>
    <row r="910" spans="3:12" x14ac:dyDescent="0.25">
      <c r="C910"/>
      <c r="D910"/>
      <c r="F910" s="1"/>
      <c r="G910"/>
      <c r="K910" s="1"/>
      <c r="L910"/>
    </row>
    <row r="911" spans="3:12" x14ac:dyDescent="0.25">
      <c r="C911"/>
      <c r="D911"/>
      <c r="F911" s="1"/>
      <c r="G911"/>
      <c r="K911" s="1"/>
      <c r="L911"/>
    </row>
    <row r="912" spans="3:12" x14ac:dyDescent="0.25">
      <c r="C912"/>
      <c r="D912"/>
      <c r="F912" s="1"/>
      <c r="G912"/>
      <c r="K912" s="1"/>
      <c r="L912"/>
    </row>
    <row r="913" spans="3:12" x14ac:dyDescent="0.25">
      <c r="C913"/>
      <c r="D913"/>
      <c r="F913" s="1"/>
      <c r="G913"/>
      <c r="K913" s="1"/>
      <c r="L913"/>
    </row>
    <row r="914" spans="3:12" x14ac:dyDescent="0.25">
      <c r="C914"/>
      <c r="D914"/>
      <c r="F914" s="1"/>
      <c r="G914"/>
      <c r="K914" s="1"/>
      <c r="L914"/>
    </row>
    <row r="915" spans="3:12" x14ac:dyDescent="0.25">
      <c r="C915"/>
      <c r="D915"/>
      <c r="F915" s="1"/>
      <c r="G915"/>
      <c r="K915" s="1"/>
      <c r="L915"/>
    </row>
    <row r="916" spans="3:12" x14ac:dyDescent="0.25">
      <c r="C916"/>
      <c r="D916"/>
      <c r="F916" s="1"/>
      <c r="G916"/>
      <c r="K916" s="1"/>
      <c r="L916"/>
    </row>
    <row r="917" spans="3:12" x14ac:dyDescent="0.25">
      <c r="C917"/>
      <c r="D917"/>
      <c r="F917" s="1"/>
      <c r="G917"/>
      <c r="K917" s="1"/>
      <c r="L917"/>
    </row>
    <row r="918" spans="3:12" x14ac:dyDescent="0.25">
      <c r="C918"/>
      <c r="D918"/>
      <c r="F918" s="1"/>
      <c r="G918"/>
      <c r="K918" s="1"/>
      <c r="L918"/>
    </row>
    <row r="919" spans="3:12" x14ac:dyDescent="0.25">
      <c r="C919"/>
      <c r="D919"/>
      <c r="F919" s="1"/>
      <c r="G919"/>
      <c r="K919" s="1"/>
      <c r="L919"/>
    </row>
    <row r="920" spans="3:12" x14ac:dyDescent="0.25">
      <c r="C920"/>
      <c r="D920"/>
      <c r="F920" s="1"/>
      <c r="G920"/>
      <c r="K920" s="1"/>
      <c r="L920"/>
    </row>
    <row r="921" spans="3:12" x14ac:dyDescent="0.25">
      <c r="C921"/>
      <c r="D921"/>
      <c r="F921" s="1"/>
      <c r="G921"/>
      <c r="K921" s="1"/>
      <c r="L921"/>
    </row>
    <row r="922" spans="3:12" x14ac:dyDescent="0.25">
      <c r="C922"/>
      <c r="D922"/>
      <c r="F922" s="1"/>
      <c r="G922"/>
      <c r="K922" s="1"/>
      <c r="L922"/>
    </row>
    <row r="923" spans="3:12" x14ac:dyDescent="0.25">
      <c r="C923"/>
      <c r="D923"/>
      <c r="F923" s="1"/>
      <c r="G923"/>
      <c r="K923" s="1"/>
      <c r="L923"/>
    </row>
    <row r="924" spans="3:12" x14ac:dyDescent="0.25">
      <c r="C924"/>
      <c r="D924"/>
      <c r="F924" s="1"/>
      <c r="G924"/>
      <c r="K924" s="1"/>
      <c r="L924"/>
    </row>
    <row r="925" spans="3:12" x14ac:dyDescent="0.25">
      <c r="C925"/>
      <c r="D925"/>
      <c r="F925" s="1"/>
      <c r="G925"/>
      <c r="K925" s="1"/>
      <c r="L925"/>
    </row>
    <row r="926" spans="3:12" x14ac:dyDescent="0.25">
      <c r="C926"/>
      <c r="D926"/>
      <c r="F926" s="1"/>
      <c r="G926"/>
      <c r="K926" s="1"/>
      <c r="L926"/>
    </row>
    <row r="927" spans="3:12" x14ac:dyDescent="0.25">
      <c r="C927"/>
      <c r="D927"/>
      <c r="F927" s="1"/>
      <c r="G927"/>
      <c r="K927" s="1"/>
      <c r="L927"/>
    </row>
    <row r="928" spans="3:12" x14ac:dyDescent="0.25">
      <c r="C928"/>
      <c r="D928"/>
      <c r="F928" s="1"/>
      <c r="G928"/>
      <c r="K928" s="1"/>
      <c r="L928"/>
    </row>
    <row r="929" spans="3:12" x14ac:dyDescent="0.25">
      <c r="C929"/>
      <c r="D929"/>
      <c r="F929" s="1"/>
      <c r="G929"/>
      <c r="K929" s="1"/>
      <c r="L929"/>
    </row>
    <row r="930" spans="3:12" x14ac:dyDescent="0.25">
      <c r="C930"/>
      <c r="D930"/>
      <c r="F930" s="1"/>
      <c r="G930"/>
      <c r="K930" s="1"/>
      <c r="L930"/>
    </row>
    <row r="931" spans="3:12" x14ac:dyDescent="0.25">
      <c r="C931"/>
      <c r="D931"/>
      <c r="F931" s="1"/>
      <c r="G931"/>
      <c r="K931" s="1"/>
      <c r="L931"/>
    </row>
    <row r="932" spans="3:12" x14ac:dyDescent="0.25">
      <c r="C932"/>
      <c r="D932"/>
      <c r="F932" s="1"/>
      <c r="G932"/>
      <c r="K932" s="1"/>
      <c r="L932"/>
    </row>
    <row r="933" spans="3:12" x14ac:dyDescent="0.25">
      <c r="C933"/>
      <c r="D933"/>
      <c r="F933" s="1"/>
      <c r="G933"/>
      <c r="K933" s="1"/>
      <c r="L933"/>
    </row>
    <row r="934" spans="3:12" x14ac:dyDescent="0.25">
      <c r="C934"/>
      <c r="D934"/>
      <c r="F934" s="1"/>
      <c r="G934"/>
      <c r="K934" s="1"/>
      <c r="L934"/>
    </row>
    <row r="935" spans="3:12" x14ac:dyDescent="0.25">
      <c r="C935"/>
      <c r="D935"/>
      <c r="F935" s="1"/>
      <c r="G935"/>
      <c r="K935" s="1"/>
      <c r="L935"/>
    </row>
    <row r="936" spans="3:12" x14ac:dyDescent="0.25">
      <c r="C936"/>
      <c r="D936"/>
      <c r="F936" s="1"/>
      <c r="G936"/>
      <c r="K936" s="1"/>
      <c r="L936"/>
    </row>
    <row r="937" spans="3:12" x14ac:dyDescent="0.25">
      <c r="C937"/>
      <c r="D937"/>
      <c r="F937" s="1"/>
      <c r="G937"/>
      <c r="K937" s="1"/>
      <c r="L937"/>
    </row>
    <row r="938" spans="3:12" x14ac:dyDescent="0.25">
      <c r="C938"/>
      <c r="D938"/>
      <c r="F938" s="1"/>
      <c r="G938"/>
      <c r="K938" s="1"/>
      <c r="L938"/>
    </row>
    <row r="939" spans="3:12" x14ac:dyDescent="0.25">
      <c r="C939"/>
      <c r="D939"/>
      <c r="F939" s="1"/>
      <c r="G939"/>
      <c r="K939" s="1"/>
      <c r="L939"/>
    </row>
    <row r="940" spans="3:12" x14ac:dyDescent="0.25">
      <c r="C940"/>
      <c r="D940"/>
      <c r="F940" s="1"/>
      <c r="G940"/>
      <c r="K940" s="1"/>
      <c r="L940"/>
    </row>
    <row r="941" spans="3:12" x14ac:dyDescent="0.25">
      <c r="C941"/>
      <c r="D941"/>
      <c r="F941" s="1"/>
      <c r="G941"/>
      <c r="K941" s="1"/>
      <c r="L941"/>
    </row>
    <row r="942" spans="3:12" x14ac:dyDescent="0.25">
      <c r="C942"/>
      <c r="D942"/>
      <c r="F942" s="1"/>
      <c r="G942"/>
      <c r="K942" s="1"/>
      <c r="L942"/>
    </row>
    <row r="943" spans="3:12" x14ac:dyDescent="0.25">
      <c r="C943"/>
      <c r="D943"/>
      <c r="F943" s="1"/>
      <c r="G943"/>
      <c r="K943" s="1"/>
      <c r="L943"/>
    </row>
    <row r="944" spans="3:12" x14ac:dyDescent="0.25">
      <c r="C944"/>
      <c r="D944"/>
      <c r="F944" s="1"/>
      <c r="G944"/>
      <c r="K944" s="1"/>
      <c r="L944"/>
    </row>
    <row r="945" spans="3:12" x14ac:dyDescent="0.25">
      <c r="C945"/>
      <c r="D945"/>
      <c r="F945" s="1"/>
      <c r="G945"/>
      <c r="K945" s="1"/>
      <c r="L945"/>
    </row>
    <row r="946" spans="3:12" x14ac:dyDescent="0.25">
      <c r="C946"/>
      <c r="D946"/>
      <c r="F946" s="1"/>
      <c r="G946"/>
      <c r="K946" s="1"/>
      <c r="L946"/>
    </row>
    <row r="947" spans="3:12" x14ac:dyDescent="0.25">
      <c r="C947"/>
      <c r="D947"/>
      <c r="F947" s="1"/>
      <c r="G947"/>
      <c r="K947" s="1"/>
      <c r="L947"/>
    </row>
    <row r="948" spans="3:12" x14ac:dyDescent="0.25">
      <c r="C948"/>
      <c r="D948"/>
      <c r="F948" s="1"/>
      <c r="G948"/>
      <c r="K948" s="1"/>
      <c r="L948"/>
    </row>
    <row r="949" spans="3:12" x14ac:dyDescent="0.25">
      <c r="C949"/>
      <c r="D949"/>
      <c r="F949" s="1"/>
      <c r="G949"/>
      <c r="K949" s="1"/>
      <c r="L949"/>
    </row>
    <row r="950" spans="3:12" x14ac:dyDescent="0.25">
      <c r="C950"/>
      <c r="D950"/>
      <c r="F950" s="1"/>
      <c r="G950"/>
      <c r="K950" s="1"/>
      <c r="L950"/>
    </row>
    <row r="951" spans="3:12" x14ac:dyDescent="0.25">
      <c r="C951"/>
      <c r="D951"/>
      <c r="F951" s="1"/>
      <c r="G951"/>
      <c r="K951" s="1"/>
      <c r="L951"/>
    </row>
    <row r="952" spans="3:12" x14ac:dyDescent="0.25">
      <c r="C952"/>
      <c r="D952"/>
      <c r="F952" s="1"/>
      <c r="G952"/>
      <c r="K952" s="1"/>
      <c r="L952"/>
    </row>
    <row r="953" spans="3:12" x14ac:dyDescent="0.25">
      <c r="C953"/>
      <c r="D953"/>
      <c r="F953" s="1"/>
      <c r="G953"/>
      <c r="K953" s="1"/>
      <c r="L953"/>
    </row>
    <row r="954" spans="3:12" x14ac:dyDescent="0.25">
      <c r="C954"/>
      <c r="D954"/>
      <c r="F954" s="1"/>
      <c r="G954"/>
      <c r="K954" s="1"/>
      <c r="L954"/>
    </row>
    <row r="955" spans="3:12" x14ac:dyDescent="0.25">
      <c r="C955"/>
      <c r="D955"/>
      <c r="F955" s="1"/>
      <c r="G955"/>
      <c r="K955" s="1"/>
      <c r="L955"/>
    </row>
    <row r="956" spans="3:12" x14ac:dyDescent="0.25">
      <c r="C956"/>
      <c r="D956"/>
      <c r="F956" s="1"/>
      <c r="G956"/>
      <c r="K956" s="1"/>
      <c r="L956"/>
    </row>
    <row r="957" spans="3:12" x14ac:dyDescent="0.25">
      <c r="C957"/>
      <c r="D957"/>
      <c r="F957" s="1"/>
      <c r="G957"/>
      <c r="K957" s="1"/>
      <c r="L957"/>
    </row>
    <row r="958" spans="3:12" x14ac:dyDescent="0.25">
      <c r="C958"/>
      <c r="D958"/>
      <c r="F958" s="1"/>
      <c r="G958"/>
      <c r="K958" s="1"/>
      <c r="L958"/>
    </row>
    <row r="959" spans="3:12" x14ac:dyDescent="0.25">
      <c r="C959"/>
      <c r="D959"/>
      <c r="F959" s="1"/>
      <c r="G959"/>
      <c r="K959" s="1"/>
      <c r="L959"/>
    </row>
    <row r="960" spans="3:12" x14ac:dyDescent="0.25">
      <c r="C960"/>
      <c r="D960"/>
      <c r="F960" s="1"/>
      <c r="G960"/>
      <c r="K960" s="1"/>
      <c r="L960"/>
    </row>
    <row r="961" spans="3:12" x14ac:dyDescent="0.25">
      <c r="C961"/>
      <c r="D961"/>
      <c r="F961" s="1"/>
      <c r="G961"/>
      <c r="K961" s="1"/>
      <c r="L961"/>
    </row>
    <row r="962" spans="3:12" x14ac:dyDescent="0.25">
      <c r="C962"/>
      <c r="D962"/>
      <c r="F962" s="1"/>
      <c r="G962"/>
      <c r="K962" s="1"/>
      <c r="L962"/>
    </row>
    <row r="963" spans="3:12" x14ac:dyDescent="0.25">
      <c r="C963"/>
      <c r="D963"/>
      <c r="F963" s="1"/>
      <c r="G963"/>
      <c r="K963" s="1"/>
      <c r="L963"/>
    </row>
    <row r="964" spans="3:12" x14ac:dyDescent="0.25">
      <c r="C964"/>
      <c r="D964"/>
      <c r="F964" s="1"/>
      <c r="G964"/>
      <c r="K964" s="1"/>
      <c r="L964"/>
    </row>
    <row r="965" spans="3:12" x14ac:dyDescent="0.25">
      <c r="C965"/>
      <c r="D965"/>
      <c r="F965" s="1"/>
      <c r="G965"/>
      <c r="K965" s="1"/>
      <c r="L965"/>
    </row>
    <row r="966" spans="3:12" x14ac:dyDescent="0.25">
      <c r="C966"/>
      <c r="D966"/>
      <c r="F966" s="1"/>
      <c r="G966"/>
      <c r="K966" s="1"/>
      <c r="L966"/>
    </row>
    <row r="967" spans="3:12" x14ac:dyDescent="0.25">
      <c r="C967"/>
      <c r="D967"/>
      <c r="F967" s="1"/>
      <c r="G967"/>
      <c r="K967" s="1"/>
      <c r="L967"/>
    </row>
    <row r="968" spans="3:12" x14ac:dyDescent="0.25">
      <c r="C968"/>
      <c r="D968"/>
      <c r="F968" s="1"/>
      <c r="G968"/>
      <c r="K968" s="1"/>
      <c r="L968"/>
    </row>
    <row r="969" spans="3:12" x14ac:dyDescent="0.25">
      <c r="C969"/>
      <c r="D969"/>
      <c r="F969" s="1"/>
      <c r="G969"/>
      <c r="K969" s="1"/>
      <c r="L969"/>
    </row>
    <row r="970" spans="3:12" x14ac:dyDescent="0.25">
      <c r="C970"/>
      <c r="D970"/>
      <c r="F970" s="1"/>
      <c r="G970"/>
      <c r="K970" s="1"/>
      <c r="L970"/>
    </row>
    <row r="971" spans="3:12" x14ac:dyDescent="0.25">
      <c r="C971"/>
      <c r="D971"/>
      <c r="F971" s="1"/>
      <c r="G971"/>
      <c r="K971" s="1"/>
      <c r="L971"/>
    </row>
    <row r="972" spans="3:12" x14ac:dyDescent="0.25">
      <c r="C972"/>
      <c r="D972"/>
      <c r="F972" s="1"/>
      <c r="G972"/>
      <c r="K972" s="1"/>
      <c r="L972"/>
    </row>
    <row r="973" spans="3:12" x14ac:dyDescent="0.25">
      <c r="C973"/>
      <c r="D973"/>
      <c r="F973" s="1"/>
      <c r="G973"/>
      <c r="K973" s="1"/>
      <c r="L973"/>
    </row>
    <row r="974" spans="3:12" x14ac:dyDescent="0.25">
      <c r="C974"/>
      <c r="D974"/>
      <c r="F974" s="1"/>
      <c r="G974"/>
      <c r="K974" s="1"/>
      <c r="L974"/>
    </row>
    <row r="975" spans="3:12" x14ac:dyDescent="0.25">
      <c r="C975"/>
      <c r="D975"/>
      <c r="F975" s="1"/>
      <c r="G975"/>
      <c r="K975" s="1"/>
      <c r="L975"/>
    </row>
    <row r="976" spans="3:12" x14ac:dyDescent="0.25">
      <c r="C976"/>
      <c r="D976"/>
      <c r="F976" s="1"/>
      <c r="G976"/>
      <c r="K976" s="1"/>
      <c r="L976"/>
    </row>
    <row r="977" spans="3:12" x14ac:dyDescent="0.25">
      <c r="C977"/>
      <c r="D977"/>
      <c r="F977" s="1"/>
      <c r="G977"/>
      <c r="K977" s="1"/>
      <c r="L977"/>
    </row>
    <row r="978" spans="3:12" x14ac:dyDescent="0.25">
      <c r="C978"/>
      <c r="D978"/>
      <c r="F978" s="1"/>
      <c r="G978"/>
      <c r="K978" s="1"/>
      <c r="L978"/>
    </row>
    <row r="979" spans="3:12" x14ac:dyDescent="0.25">
      <c r="C979"/>
      <c r="D979"/>
      <c r="F979" s="1"/>
      <c r="G979"/>
      <c r="K979" s="1"/>
      <c r="L979"/>
    </row>
    <row r="980" spans="3:12" x14ac:dyDescent="0.25">
      <c r="C980"/>
      <c r="D980"/>
      <c r="F980" s="1"/>
      <c r="G980"/>
      <c r="K980" s="1"/>
      <c r="L980"/>
    </row>
    <row r="981" spans="3:12" x14ac:dyDescent="0.25">
      <c r="C981"/>
      <c r="D981"/>
      <c r="F981" s="1"/>
      <c r="G981"/>
      <c r="K981" s="1"/>
      <c r="L981"/>
    </row>
    <row r="982" spans="3:12" x14ac:dyDescent="0.25">
      <c r="C982"/>
      <c r="D982"/>
      <c r="F982" s="1"/>
      <c r="G982"/>
      <c r="K982" s="1"/>
      <c r="L982"/>
    </row>
    <row r="983" spans="3:12" x14ac:dyDescent="0.25">
      <c r="C983"/>
      <c r="D983"/>
      <c r="F983" s="1"/>
      <c r="G983"/>
      <c r="K983" s="1"/>
      <c r="L983"/>
    </row>
    <row r="984" spans="3:12" x14ac:dyDescent="0.25">
      <c r="C984"/>
      <c r="D984"/>
      <c r="F984" s="1"/>
      <c r="G984"/>
      <c r="K984" s="1"/>
      <c r="L984"/>
    </row>
    <row r="985" spans="3:12" x14ac:dyDescent="0.25">
      <c r="C985"/>
      <c r="D985"/>
      <c r="F985" s="1"/>
      <c r="G985"/>
      <c r="K985" s="1"/>
      <c r="L985"/>
    </row>
    <row r="986" spans="3:12" x14ac:dyDescent="0.25">
      <c r="C986"/>
      <c r="D986"/>
      <c r="F986" s="1"/>
      <c r="G986"/>
      <c r="K986" s="1"/>
      <c r="L986"/>
    </row>
    <row r="987" spans="3:12" x14ac:dyDescent="0.25">
      <c r="C987"/>
      <c r="D987"/>
      <c r="F987" s="1"/>
      <c r="G987"/>
      <c r="K987" s="1"/>
      <c r="L987"/>
    </row>
    <row r="988" spans="3:12" x14ac:dyDescent="0.25">
      <c r="C988"/>
      <c r="D988"/>
      <c r="F988" s="1"/>
      <c r="G988"/>
      <c r="K988" s="1"/>
      <c r="L988"/>
    </row>
    <row r="989" spans="3:12" x14ac:dyDescent="0.25">
      <c r="C989"/>
      <c r="D989"/>
      <c r="F989" s="1"/>
      <c r="G989"/>
      <c r="K989" s="1"/>
      <c r="L989"/>
    </row>
    <row r="990" spans="3:12" x14ac:dyDescent="0.25">
      <c r="C990"/>
      <c r="D990"/>
      <c r="F990" s="1"/>
      <c r="G990"/>
      <c r="K990" s="1"/>
      <c r="L990"/>
    </row>
    <row r="991" spans="3:12" x14ac:dyDescent="0.25">
      <c r="C991"/>
      <c r="D991"/>
      <c r="F991" s="1"/>
      <c r="G991"/>
      <c r="K991" s="1"/>
      <c r="L991"/>
    </row>
    <row r="992" spans="3:12" x14ac:dyDescent="0.25">
      <c r="C992"/>
      <c r="D992"/>
      <c r="F992" s="1"/>
      <c r="G992"/>
      <c r="K992" s="1"/>
      <c r="L992"/>
    </row>
    <row r="993" spans="3:12" x14ac:dyDescent="0.25">
      <c r="C993"/>
      <c r="D993"/>
      <c r="F993" s="1"/>
      <c r="G993"/>
      <c r="K993" s="1"/>
      <c r="L993"/>
    </row>
    <row r="994" spans="3:12" x14ac:dyDescent="0.25">
      <c r="C994"/>
      <c r="D994"/>
      <c r="F994" s="1"/>
      <c r="G994"/>
      <c r="K994" s="1"/>
      <c r="L994"/>
    </row>
    <row r="995" spans="3:12" x14ac:dyDescent="0.25">
      <c r="C995"/>
      <c r="D995"/>
      <c r="F995" s="1"/>
      <c r="G995"/>
      <c r="K995" s="1"/>
      <c r="L995"/>
    </row>
    <row r="996" spans="3:12" x14ac:dyDescent="0.25">
      <c r="C996"/>
      <c r="D996"/>
      <c r="F996" s="1"/>
      <c r="G996"/>
      <c r="K996" s="1"/>
      <c r="L996"/>
    </row>
    <row r="997" spans="3:12" x14ac:dyDescent="0.25">
      <c r="C997"/>
      <c r="D997"/>
      <c r="F997" s="1"/>
      <c r="G997"/>
      <c r="K997" s="1"/>
      <c r="L997"/>
    </row>
    <row r="998" spans="3:12" x14ac:dyDescent="0.25">
      <c r="C998"/>
      <c r="D998"/>
      <c r="F998" s="1"/>
      <c r="G998"/>
      <c r="K998" s="1"/>
      <c r="L998"/>
    </row>
    <row r="999" spans="3:12" x14ac:dyDescent="0.25">
      <c r="C999"/>
      <c r="D999"/>
      <c r="F999" s="1"/>
      <c r="G999"/>
      <c r="K999" s="1"/>
      <c r="L999"/>
    </row>
    <row r="1000" spans="3:12" x14ac:dyDescent="0.25">
      <c r="C1000"/>
      <c r="D1000"/>
      <c r="F1000" s="1"/>
      <c r="G1000"/>
      <c r="K1000" s="1"/>
      <c r="L1000"/>
    </row>
    <row r="1001" spans="3:12" x14ac:dyDescent="0.25">
      <c r="C1001"/>
      <c r="D1001"/>
      <c r="F1001" s="1"/>
      <c r="G1001"/>
      <c r="K1001" s="1"/>
      <c r="L1001"/>
    </row>
    <row r="1002" spans="3:12" x14ac:dyDescent="0.25">
      <c r="C1002"/>
      <c r="D1002"/>
      <c r="F1002" s="1"/>
      <c r="G1002"/>
      <c r="K1002" s="1"/>
      <c r="L1002"/>
    </row>
    <row r="1003" spans="3:12" x14ac:dyDescent="0.25">
      <c r="C1003"/>
      <c r="D1003"/>
      <c r="F1003" s="1"/>
      <c r="G1003"/>
      <c r="K1003" s="1"/>
      <c r="L1003"/>
    </row>
    <row r="1004" spans="3:12" x14ac:dyDescent="0.25">
      <c r="C1004"/>
      <c r="D1004"/>
      <c r="F1004" s="1"/>
      <c r="G1004"/>
      <c r="K1004" s="1"/>
      <c r="L1004"/>
    </row>
    <row r="1005" spans="3:12" x14ac:dyDescent="0.25">
      <c r="C1005"/>
      <c r="D1005"/>
      <c r="F1005" s="1"/>
      <c r="G1005"/>
      <c r="K1005" s="1"/>
      <c r="L1005"/>
    </row>
    <row r="1006" spans="3:12" x14ac:dyDescent="0.25">
      <c r="C1006"/>
      <c r="D1006"/>
      <c r="F1006" s="1"/>
      <c r="G1006"/>
      <c r="K1006" s="1"/>
      <c r="L1006"/>
    </row>
    <row r="1007" spans="3:12" x14ac:dyDescent="0.25">
      <c r="C1007"/>
      <c r="D1007"/>
      <c r="F1007" s="1"/>
      <c r="G1007"/>
      <c r="K1007" s="1"/>
      <c r="L1007"/>
    </row>
    <row r="1008" spans="3:12" x14ac:dyDescent="0.25">
      <c r="C1008"/>
      <c r="D1008"/>
      <c r="F1008" s="1"/>
      <c r="G1008"/>
      <c r="K1008" s="1"/>
      <c r="L1008"/>
    </row>
    <row r="1009" spans="3:12" x14ac:dyDescent="0.25">
      <c r="C1009"/>
      <c r="D1009"/>
      <c r="F1009" s="1"/>
      <c r="G1009"/>
      <c r="K1009" s="1"/>
      <c r="L1009"/>
    </row>
    <row r="1010" spans="3:12" x14ac:dyDescent="0.25">
      <c r="C1010"/>
      <c r="D1010"/>
      <c r="F1010" s="1"/>
      <c r="G1010"/>
      <c r="K1010" s="1"/>
      <c r="L1010"/>
    </row>
    <row r="1011" spans="3:12" x14ac:dyDescent="0.25">
      <c r="C1011"/>
      <c r="D1011"/>
      <c r="F1011" s="1"/>
      <c r="G1011"/>
      <c r="K1011" s="1"/>
      <c r="L1011"/>
    </row>
    <row r="1012" spans="3:12" x14ac:dyDescent="0.25">
      <c r="C1012"/>
      <c r="D1012"/>
      <c r="F1012" s="1"/>
      <c r="G1012"/>
      <c r="K1012" s="1"/>
      <c r="L1012"/>
    </row>
    <row r="1013" spans="3:12" x14ac:dyDescent="0.25">
      <c r="C1013"/>
      <c r="D1013"/>
      <c r="F1013" s="1"/>
      <c r="G1013"/>
      <c r="K1013" s="1"/>
      <c r="L1013"/>
    </row>
    <row r="1014" spans="3:12" x14ac:dyDescent="0.25">
      <c r="C1014"/>
      <c r="D1014"/>
      <c r="F1014" s="1"/>
      <c r="G1014"/>
      <c r="K1014" s="1"/>
      <c r="L1014"/>
    </row>
    <row r="1015" spans="3:12" x14ac:dyDescent="0.25">
      <c r="C1015"/>
      <c r="D1015"/>
      <c r="F1015" s="1"/>
      <c r="G1015"/>
      <c r="K1015" s="1"/>
      <c r="L1015"/>
    </row>
    <row r="1016" spans="3:12" x14ac:dyDescent="0.25">
      <c r="C1016"/>
      <c r="D1016"/>
      <c r="F1016" s="1"/>
      <c r="G1016"/>
      <c r="K1016" s="1"/>
      <c r="L1016"/>
    </row>
    <row r="1017" spans="3:12" x14ac:dyDescent="0.25">
      <c r="C1017"/>
      <c r="D1017"/>
      <c r="F1017" s="1"/>
      <c r="G1017"/>
      <c r="K1017" s="1"/>
      <c r="L1017"/>
    </row>
    <row r="1018" spans="3:12" x14ac:dyDescent="0.25">
      <c r="C1018"/>
      <c r="D1018"/>
      <c r="F1018" s="1"/>
      <c r="G1018"/>
      <c r="K1018" s="1"/>
      <c r="L1018"/>
    </row>
    <row r="1019" spans="3:12" x14ac:dyDescent="0.25">
      <c r="C1019"/>
      <c r="D1019"/>
      <c r="F1019" s="1"/>
      <c r="G1019"/>
      <c r="K1019" s="1"/>
      <c r="L1019"/>
    </row>
    <row r="1020" spans="3:12" x14ac:dyDescent="0.25">
      <c r="C1020"/>
      <c r="D1020"/>
      <c r="F1020" s="1"/>
      <c r="G1020"/>
      <c r="K1020" s="1"/>
      <c r="L1020"/>
    </row>
    <row r="1021" spans="3:12" x14ac:dyDescent="0.25">
      <c r="C1021"/>
      <c r="D1021"/>
      <c r="F1021" s="1"/>
      <c r="G1021"/>
      <c r="K1021" s="1"/>
      <c r="L1021"/>
    </row>
    <row r="1022" spans="3:12" x14ac:dyDescent="0.25">
      <c r="C1022"/>
      <c r="D1022"/>
      <c r="F1022" s="1"/>
      <c r="G1022"/>
      <c r="K1022" s="1"/>
      <c r="L1022"/>
    </row>
    <row r="1023" spans="3:12" x14ac:dyDescent="0.25">
      <c r="C1023"/>
      <c r="D1023"/>
      <c r="F1023" s="1"/>
      <c r="G1023"/>
      <c r="K1023" s="1"/>
      <c r="L1023"/>
    </row>
    <row r="1024" spans="3:12" x14ac:dyDescent="0.25">
      <c r="C1024"/>
      <c r="D1024"/>
      <c r="F1024" s="1"/>
      <c r="G1024"/>
      <c r="K1024" s="1"/>
      <c r="L1024"/>
    </row>
    <row r="1025" spans="3:12" x14ac:dyDescent="0.25">
      <c r="C1025"/>
      <c r="D1025"/>
      <c r="F1025" s="1"/>
      <c r="G1025"/>
      <c r="K1025" s="1"/>
      <c r="L1025"/>
    </row>
    <row r="1026" spans="3:12" x14ac:dyDescent="0.25">
      <c r="C1026"/>
      <c r="D1026"/>
      <c r="F1026" s="1"/>
      <c r="G1026"/>
      <c r="K1026" s="1"/>
      <c r="L1026"/>
    </row>
    <row r="1027" spans="3:12" x14ac:dyDescent="0.25">
      <c r="C1027"/>
      <c r="D1027"/>
      <c r="F1027" s="1"/>
      <c r="G1027"/>
      <c r="K1027" s="1"/>
      <c r="L1027"/>
    </row>
    <row r="1028" spans="3:12" x14ac:dyDescent="0.25">
      <c r="C1028"/>
      <c r="D1028"/>
      <c r="F1028" s="1"/>
      <c r="G1028"/>
      <c r="K1028" s="1"/>
      <c r="L1028"/>
    </row>
    <row r="1029" spans="3:12" x14ac:dyDescent="0.25">
      <c r="C1029"/>
      <c r="D1029"/>
      <c r="F1029" s="1"/>
      <c r="G1029"/>
      <c r="K1029" s="1"/>
      <c r="L1029"/>
    </row>
    <row r="1030" spans="3:12" x14ac:dyDescent="0.25">
      <c r="C1030"/>
      <c r="D1030"/>
      <c r="F1030" s="1"/>
      <c r="G1030"/>
      <c r="K1030" s="1"/>
      <c r="L1030"/>
    </row>
    <row r="1031" spans="3:12" x14ac:dyDescent="0.25">
      <c r="C1031"/>
      <c r="D1031"/>
      <c r="F1031" s="1"/>
      <c r="G1031"/>
      <c r="K1031" s="1"/>
      <c r="L1031"/>
    </row>
    <row r="1032" spans="3:12" x14ac:dyDescent="0.25">
      <c r="C1032"/>
      <c r="D1032"/>
      <c r="F1032" s="1"/>
      <c r="G1032"/>
      <c r="K1032" s="1"/>
      <c r="L1032"/>
    </row>
    <row r="1033" spans="3:12" x14ac:dyDescent="0.25">
      <c r="C1033"/>
      <c r="D1033"/>
      <c r="F1033" s="1"/>
      <c r="G1033"/>
      <c r="K1033" s="1"/>
      <c r="L1033"/>
    </row>
    <row r="1034" spans="3:12" x14ac:dyDescent="0.25">
      <c r="C1034"/>
      <c r="D1034"/>
      <c r="F1034" s="1"/>
      <c r="G1034"/>
      <c r="K1034" s="1"/>
      <c r="L1034"/>
    </row>
    <row r="1035" spans="3:12" x14ac:dyDescent="0.25">
      <c r="C1035"/>
      <c r="D1035"/>
      <c r="F1035" s="1"/>
      <c r="G1035"/>
      <c r="K1035" s="1"/>
      <c r="L1035"/>
    </row>
    <row r="1036" spans="3:12" x14ac:dyDescent="0.25">
      <c r="C1036"/>
      <c r="D1036"/>
      <c r="F1036" s="1"/>
      <c r="G1036"/>
      <c r="K1036" s="1"/>
      <c r="L1036"/>
    </row>
    <row r="1037" spans="3:12" x14ac:dyDescent="0.25">
      <c r="C1037"/>
      <c r="D1037"/>
      <c r="F1037" s="1"/>
      <c r="G1037"/>
      <c r="K1037" s="1"/>
      <c r="L1037"/>
    </row>
    <row r="1038" spans="3:12" x14ac:dyDescent="0.25">
      <c r="C1038"/>
      <c r="D1038"/>
      <c r="F1038" s="1"/>
      <c r="G1038"/>
      <c r="K1038" s="1"/>
      <c r="L1038"/>
    </row>
    <row r="1039" spans="3:12" x14ac:dyDescent="0.25">
      <c r="C1039"/>
      <c r="D1039"/>
      <c r="F1039" s="1"/>
      <c r="G1039"/>
      <c r="K1039" s="1"/>
      <c r="L1039"/>
    </row>
    <row r="1040" spans="3:12" x14ac:dyDescent="0.25">
      <c r="C1040"/>
      <c r="D1040"/>
      <c r="F1040" s="1"/>
      <c r="G1040"/>
      <c r="K1040" s="1"/>
      <c r="L1040"/>
    </row>
    <row r="1041" spans="3:12" x14ac:dyDescent="0.25">
      <c r="C1041"/>
      <c r="D1041"/>
      <c r="F1041" s="1"/>
      <c r="G1041"/>
      <c r="K1041" s="1"/>
      <c r="L1041"/>
    </row>
    <row r="1042" spans="3:12" x14ac:dyDescent="0.25">
      <c r="C1042"/>
      <c r="D1042"/>
      <c r="F1042" s="1"/>
      <c r="G1042"/>
      <c r="K1042" s="1"/>
      <c r="L1042"/>
    </row>
    <row r="1043" spans="3:12" x14ac:dyDescent="0.25">
      <c r="C1043"/>
      <c r="D1043"/>
      <c r="F1043" s="1"/>
      <c r="G1043"/>
      <c r="K1043" s="1"/>
      <c r="L1043"/>
    </row>
    <row r="1044" spans="3:12" x14ac:dyDescent="0.25">
      <c r="C1044"/>
      <c r="D1044"/>
      <c r="F1044" s="1"/>
      <c r="G1044"/>
      <c r="K1044" s="1"/>
      <c r="L1044"/>
    </row>
    <row r="1045" spans="3:12" x14ac:dyDescent="0.25">
      <c r="C1045"/>
      <c r="D1045"/>
      <c r="F1045" s="1"/>
      <c r="G1045"/>
      <c r="K1045" s="1"/>
      <c r="L1045"/>
    </row>
    <row r="1046" spans="3:12" x14ac:dyDescent="0.25">
      <c r="C1046"/>
      <c r="D1046"/>
      <c r="F1046" s="1"/>
      <c r="G1046"/>
      <c r="K1046" s="1"/>
      <c r="L1046"/>
    </row>
    <row r="1047" spans="3:12" x14ac:dyDescent="0.25">
      <c r="C1047"/>
      <c r="D1047"/>
      <c r="F1047" s="1"/>
      <c r="G1047"/>
      <c r="K1047" s="1"/>
      <c r="L1047"/>
    </row>
    <row r="1048" spans="3:12" x14ac:dyDescent="0.25">
      <c r="C1048"/>
      <c r="D1048"/>
      <c r="F1048" s="1"/>
      <c r="G1048"/>
      <c r="K1048" s="1"/>
      <c r="L1048"/>
    </row>
    <row r="1049" spans="3:12" x14ac:dyDescent="0.25">
      <c r="C1049"/>
      <c r="D1049"/>
      <c r="F1049" s="1"/>
      <c r="G1049"/>
      <c r="K1049" s="1"/>
      <c r="L1049"/>
    </row>
    <row r="1050" spans="3:12" x14ac:dyDescent="0.25">
      <c r="C1050"/>
      <c r="D1050"/>
      <c r="F1050" s="1"/>
      <c r="G1050"/>
      <c r="K1050" s="1"/>
      <c r="L1050"/>
    </row>
    <row r="1051" spans="3:12" x14ac:dyDescent="0.25">
      <c r="C1051"/>
      <c r="D1051"/>
      <c r="F1051" s="1"/>
      <c r="G1051"/>
      <c r="K1051" s="1"/>
      <c r="L1051"/>
    </row>
    <row r="1052" spans="3:12" x14ac:dyDescent="0.25">
      <c r="C1052"/>
      <c r="D1052"/>
      <c r="F1052" s="1"/>
      <c r="G1052"/>
      <c r="K1052" s="1"/>
      <c r="L1052"/>
    </row>
    <row r="1053" spans="3:12" x14ac:dyDescent="0.25">
      <c r="C1053"/>
      <c r="D1053"/>
      <c r="F1053" s="1"/>
      <c r="G1053"/>
      <c r="K1053" s="1"/>
      <c r="L1053"/>
    </row>
    <row r="1054" spans="3:12" x14ac:dyDescent="0.25">
      <c r="C1054"/>
      <c r="D1054"/>
      <c r="F1054" s="1"/>
      <c r="G1054"/>
      <c r="K1054" s="1"/>
      <c r="L1054"/>
    </row>
    <row r="1055" spans="3:12" x14ac:dyDescent="0.25">
      <c r="C1055"/>
      <c r="D1055"/>
      <c r="F1055" s="1"/>
      <c r="G1055"/>
      <c r="K1055" s="1"/>
      <c r="L1055"/>
    </row>
    <row r="1056" spans="3:12" x14ac:dyDescent="0.25">
      <c r="C1056"/>
      <c r="D1056"/>
      <c r="F1056" s="1"/>
      <c r="G1056"/>
      <c r="K1056" s="1"/>
      <c r="L1056"/>
    </row>
    <row r="1057" spans="3:12" x14ac:dyDescent="0.25">
      <c r="C1057"/>
      <c r="D1057"/>
      <c r="F1057" s="1"/>
      <c r="G1057"/>
      <c r="K1057" s="1"/>
      <c r="L1057"/>
    </row>
    <row r="1058" spans="3:12" x14ac:dyDescent="0.25">
      <c r="C1058"/>
      <c r="D1058"/>
      <c r="F1058" s="1"/>
      <c r="G1058"/>
      <c r="K1058" s="1"/>
      <c r="L1058"/>
    </row>
    <row r="1059" spans="3:12" x14ac:dyDescent="0.25">
      <c r="C1059"/>
      <c r="D1059"/>
      <c r="F1059" s="1"/>
      <c r="G1059"/>
      <c r="K1059" s="1"/>
      <c r="L1059"/>
    </row>
    <row r="1060" spans="3:12" x14ac:dyDescent="0.25">
      <c r="C1060"/>
      <c r="D1060"/>
      <c r="F1060" s="1"/>
      <c r="G1060"/>
      <c r="K1060" s="1"/>
      <c r="L1060"/>
    </row>
    <row r="1061" spans="3:12" x14ac:dyDescent="0.25">
      <c r="C1061"/>
      <c r="D1061"/>
      <c r="F1061" s="1"/>
      <c r="G1061"/>
      <c r="K1061" s="1"/>
      <c r="L1061"/>
    </row>
    <row r="1062" spans="3:12" x14ac:dyDescent="0.25">
      <c r="C1062"/>
      <c r="D1062"/>
      <c r="F1062" s="1"/>
      <c r="G1062"/>
      <c r="K1062" s="1"/>
      <c r="L1062"/>
    </row>
    <row r="1063" spans="3:12" x14ac:dyDescent="0.25">
      <c r="C1063"/>
      <c r="D1063"/>
      <c r="F1063" s="1"/>
      <c r="G1063"/>
      <c r="K1063" s="1"/>
      <c r="L1063"/>
    </row>
    <row r="1064" spans="3:12" x14ac:dyDescent="0.25">
      <c r="C1064"/>
      <c r="D1064"/>
      <c r="F1064" s="1"/>
      <c r="G1064"/>
      <c r="K1064" s="1"/>
      <c r="L1064"/>
    </row>
    <row r="1065" spans="3:12" x14ac:dyDescent="0.25">
      <c r="C1065"/>
      <c r="D1065"/>
      <c r="F1065" s="1"/>
      <c r="G1065"/>
      <c r="K1065" s="1"/>
      <c r="L1065"/>
    </row>
    <row r="1066" spans="3:12" x14ac:dyDescent="0.25">
      <c r="C1066"/>
      <c r="D1066"/>
      <c r="F1066" s="1"/>
      <c r="G1066"/>
      <c r="K1066" s="1"/>
      <c r="L1066"/>
    </row>
    <row r="1067" spans="3:12" x14ac:dyDescent="0.25">
      <c r="C1067"/>
      <c r="D1067"/>
      <c r="F1067" s="1"/>
      <c r="G1067"/>
      <c r="K1067" s="1"/>
      <c r="L1067"/>
    </row>
    <row r="1068" spans="3:12" x14ac:dyDescent="0.25">
      <c r="C1068"/>
      <c r="D1068"/>
      <c r="F1068" s="1"/>
      <c r="G1068"/>
      <c r="K1068" s="1"/>
      <c r="L1068"/>
    </row>
    <row r="1069" spans="3:12" x14ac:dyDescent="0.25">
      <c r="C1069"/>
      <c r="D1069"/>
      <c r="F1069" s="1"/>
      <c r="G1069"/>
      <c r="K1069" s="1"/>
      <c r="L1069"/>
    </row>
    <row r="1070" spans="3:12" x14ac:dyDescent="0.25">
      <c r="C1070"/>
      <c r="D1070"/>
      <c r="F1070" s="1"/>
      <c r="G1070"/>
      <c r="K1070" s="1"/>
      <c r="L1070"/>
    </row>
    <row r="1071" spans="3:12" x14ac:dyDescent="0.25">
      <c r="C1071"/>
      <c r="D1071"/>
      <c r="F1071" s="1"/>
      <c r="G1071"/>
      <c r="K1071" s="1"/>
      <c r="L1071"/>
    </row>
    <row r="1072" spans="3:12" x14ac:dyDescent="0.25">
      <c r="C1072"/>
      <c r="D1072"/>
      <c r="F1072" s="1"/>
      <c r="G1072"/>
      <c r="K1072" s="1"/>
      <c r="L1072"/>
    </row>
    <row r="1073" spans="3:12" x14ac:dyDescent="0.25">
      <c r="C1073"/>
      <c r="D1073"/>
      <c r="F1073" s="1"/>
      <c r="G1073"/>
      <c r="K1073" s="1"/>
      <c r="L1073"/>
    </row>
    <row r="1074" spans="3:12" x14ac:dyDescent="0.25">
      <c r="C1074"/>
      <c r="D1074"/>
      <c r="F1074" s="1"/>
      <c r="G1074"/>
      <c r="K1074" s="1"/>
      <c r="L1074"/>
    </row>
    <row r="1075" spans="3:12" x14ac:dyDescent="0.25">
      <c r="C1075"/>
      <c r="D1075"/>
      <c r="F1075" s="1"/>
      <c r="G1075"/>
      <c r="K1075" s="1"/>
      <c r="L1075"/>
    </row>
    <row r="1076" spans="3:12" x14ac:dyDescent="0.25">
      <c r="C1076"/>
      <c r="D1076"/>
      <c r="F1076" s="1"/>
      <c r="G1076"/>
      <c r="K1076" s="1"/>
      <c r="L1076"/>
    </row>
    <row r="1077" spans="3:12" x14ac:dyDescent="0.25">
      <c r="C1077"/>
      <c r="D1077"/>
      <c r="F1077" s="1"/>
      <c r="G1077"/>
      <c r="K1077" s="1"/>
      <c r="L1077"/>
    </row>
    <row r="1078" spans="3:12" x14ac:dyDescent="0.25">
      <c r="C1078"/>
      <c r="D1078"/>
      <c r="F1078" s="1"/>
      <c r="G1078"/>
      <c r="K1078" s="1"/>
      <c r="L1078"/>
    </row>
    <row r="1079" spans="3:12" x14ac:dyDescent="0.25">
      <c r="C1079"/>
      <c r="D1079"/>
      <c r="F1079" s="1"/>
      <c r="G1079"/>
      <c r="K1079" s="1"/>
      <c r="L1079"/>
    </row>
    <row r="1080" spans="3:12" x14ac:dyDescent="0.25">
      <c r="C1080"/>
      <c r="D1080"/>
      <c r="F1080" s="1"/>
      <c r="G1080"/>
      <c r="K1080" s="1"/>
      <c r="L1080"/>
    </row>
    <row r="1081" spans="3:12" x14ac:dyDescent="0.25">
      <c r="C1081"/>
      <c r="D1081"/>
      <c r="F1081" s="1"/>
      <c r="G1081"/>
      <c r="K1081" s="1"/>
      <c r="L1081"/>
    </row>
    <row r="1082" spans="3:12" x14ac:dyDescent="0.25">
      <c r="C1082"/>
      <c r="D1082"/>
      <c r="F1082" s="1"/>
      <c r="G1082"/>
      <c r="K1082" s="1"/>
      <c r="L1082"/>
    </row>
    <row r="1083" spans="3:12" x14ac:dyDescent="0.25">
      <c r="C1083"/>
      <c r="D1083"/>
      <c r="F1083" s="1"/>
      <c r="G1083"/>
      <c r="K1083" s="1"/>
      <c r="L1083"/>
    </row>
    <row r="1084" spans="3:12" x14ac:dyDescent="0.25">
      <c r="C1084"/>
      <c r="D1084"/>
      <c r="F1084" s="1"/>
      <c r="G1084"/>
      <c r="K1084" s="1"/>
      <c r="L1084"/>
    </row>
    <row r="1085" spans="3:12" x14ac:dyDescent="0.25">
      <c r="C1085"/>
      <c r="D1085"/>
      <c r="F1085" s="1"/>
      <c r="G1085"/>
      <c r="K1085" s="1"/>
      <c r="L1085"/>
    </row>
    <row r="1086" spans="3:12" x14ac:dyDescent="0.25">
      <c r="C1086"/>
      <c r="D1086"/>
      <c r="F1086" s="1"/>
      <c r="G1086"/>
      <c r="K1086" s="1"/>
      <c r="L1086"/>
    </row>
    <row r="1087" spans="3:12" x14ac:dyDescent="0.25">
      <c r="C1087"/>
      <c r="D1087"/>
      <c r="F1087" s="1"/>
      <c r="G1087"/>
      <c r="K1087" s="1"/>
      <c r="L1087"/>
    </row>
    <row r="1088" spans="3:12" x14ac:dyDescent="0.25">
      <c r="C1088"/>
      <c r="D1088"/>
      <c r="F1088" s="1"/>
      <c r="G1088"/>
      <c r="K1088" s="1"/>
      <c r="L1088"/>
    </row>
    <row r="1089" spans="3:12" x14ac:dyDescent="0.25">
      <c r="C1089"/>
      <c r="D1089"/>
      <c r="F1089" s="1"/>
      <c r="G1089"/>
      <c r="K1089" s="1"/>
      <c r="L1089"/>
    </row>
    <row r="1090" spans="3:12" x14ac:dyDescent="0.25">
      <c r="C1090"/>
      <c r="D1090"/>
      <c r="F1090" s="1"/>
      <c r="G1090"/>
      <c r="K1090" s="1"/>
      <c r="L1090"/>
    </row>
    <row r="1091" spans="3:12" x14ac:dyDescent="0.25">
      <c r="C1091"/>
      <c r="D1091"/>
      <c r="F1091" s="1"/>
      <c r="G1091"/>
      <c r="K1091" s="1"/>
      <c r="L1091"/>
    </row>
    <row r="1092" spans="3:12" x14ac:dyDescent="0.25">
      <c r="C1092"/>
      <c r="D1092"/>
      <c r="F1092" s="1"/>
      <c r="G1092"/>
      <c r="K1092" s="1"/>
      <c r="L1092"/>
    </row>
    <row r="1093" spans="3:12" x14ac:dyDescent="0.25">
      <c r="C1093"/>
      <c r="D1093"/>
      <c r="F1093" s="1"/>
      <c r="G1093"/>
      <c r="K1093" s="1"/>
      <c r="L1093"/>
    </row>
    <row r="1094" spans="3:12" x14ac:dyDescent="0.25">
      <c r="C1094"/>
      <c r="D1094"/>
      <c r="F1094" s="1"/>
      <c r="G1094"/>
      <c r="K1094" s="1"/>
      <c r="L1094"/>
    </row>
    <row r="1095" spans="3:12" x14ac:dyDescent="0.25">
      <c r="C1095"/>
      <c r="D1095"/>
      <c r="F1095" s="1"/>
      <c r="G1095"/>
      <c r="K1095" s="1"/>
      <c r="L1095"/>
    </row>
    <row r="1096" spans="3:12" x14ac:dyDescent="0.25">
      <c r="C1096"/>
      <c r="D1096"/>
      <c r="F1096" s="1"/>
      <c r="G1096"/>
      <c r="K1096" s="1"/>
      <c r="L1096"/>
    </row>
    <row r="1097" spans="3:12" x14ac:dyDescent="0.25">
      <c r="C1097"/>
      <c r="D1097"/>
      <c r="F1097" s="1"/>
      <c r="G1097"/>
      <c r="K1097" s="1"/>
      <c r="L1097"/>
    </row>
    <row r="1098" spans="3:12" x14ac:dyDescent="0.25">
      <c r="C1098"/>
      <c r="D1098"/>
      <c r="F1098" s="1"/>
      <c r="G1098"/>
      <c r="K1098" s="1"/>
      <c r="L1098"/>
    </row>
    <row r="1099" spans="3:12" x14ac:dyDescent="0.25">
      <c r="C1099"/>
      <c r="D1099"/>
      <c r="F1099" s="1"/>
      <c r="G1099"/>
      <c r="K1099" s="1"/>
      <c r="L1099"/>
    </row>
    <row r="1100" spans="3:12" x14ac:dyDescent="0.25">
      <c r="C1100"/>
      <c r="D1100"/>
      <c r="F1100" s="1"/>
      <c r="G1100"/>
      <c r="K1100" s="1"/>
      <c r="L1100"/>
    </row>
    <row r="1101" spans="3:12" x14ac:dyDescent="0.25">
      <c r="C1101"/>
      <c r="D1101"/>
      <c r="F1101" s="1"/>
      <c r="G1101"/>
      <c r="K1101" s="1"/>
      <c r="L1101"/>
    </row>
    <row r="1102" spans="3:12" x14ac:dyDescent="0.25">
      <c r="C1102"/>
      <c r="D1102"/>
      <c r="F1102" s="1"/>
      <c r="G1102"/>
      <c r="K1102" s="1"/>
      <c r="L1102"/>
    </row>
    <row r="1103" spans="3:12" x14ac:dyDescent="0.25">
      <c r="C1103"/>
      <c r="D1103"/>
      <c r="F1103" s="1"/>
      <c r="G1103"/>
      <c r="K1103" s="1"/>
      <c r="L1103"/>
    </row>
    <row r="1104" spans="3:12" x14ac:dyDescent="0.25">
      <c r="C1104"/>
      <c r="D1104"/>
      <c r="F1104" s="1"/>
      <c r="G1104"/>
      <c r="K1104" s="1"/>
      <c r="L1104"/>
    </row>
    <row r="1105" spans="3:12" x14ac:dyDescent="0.25">
      <c r="C1105"/>
      <c r="D1105"/>
      <c r="F1105" s="1"/>
      <c r="G1105"/>
      <c r="K1105" s="1"/>
      <c r="L1105"/>
    </row>
    <row r="1106" spans="3:12" x14ac:dyDescent="0.25">
      <c r="C1106"/>
      <c r="D1106"/>
      <c r="F1106" s="1"/>
      <c r="G1106"/>
      <c r="K1106" s="1"/>
      <c r="L1106"/>
    </row>
    <row r="1107" spans="3:12" x14ac:dyDescent="0.25">
      <c r="C1107"/>
      <c r="D1107"/>
      <c r="F1107" s="1"/>
      <c r="G1107"/>
      <c r="K1107" s="1"/>
      <c r="L1107"/>
    </row>
    <row r="1108" spans="3:12" x14ac:dyDescent="0.25">
      <c r="C1108"/>
      <c r="D1108"/>
      <c r="F1108" s="1"/>
      <c r="G1108"/>
      <c r="K1108" s="1"/>
      <c r="L1108"/>
    </row>
    <row r="1109" spans="3:12" x14ac:dyDescent="0.25">
      <c r="C1109"/>
      <c r="D1109"/>
      <c r="F1109" s="1"/>
      <c r="G1109"/>
      <c r="K1109" s="1"/>
      <c r="L1109"/>
    </row>
    <row r="1110" spans="3:12" x14ac:dyDescent="0.25">
      <c r="C1110"/>
      <c r="D1110"/>
      <c r="F1110" s="1"/>
      <c r="G1110"/>
      <c r="K1110" s="1"/>
      <c r="L1110"/>
    </row>
    <row r="1111" spans="3:12" x14ac:dyDescent="0.25">
      <c r="C1111"/>
      <c r="D1111"/>
      <c r="F1111" s="1"/>
      <c r="G1111"/>
      <c r="K1111" s="1"/>
      <c r="L1111"/>
    </row>
    <row r="1112" spans="3:12" x14ac:dyDescent="0.25">
      <c r="C1112"/>
      <c r="D1112"/>
      <c r="F1112" s="1"/>
      <c r="G1112"/>
      <c r="K1112" s="1"/>
      <c r="L1112"/>
    </row>
    <row r="1113" spans="3:12" x14ac:dyDescent="0.25">
      <c r="C1113"/>
      <c r="D1113"/>
      <c r="F1113" s="1"/>
      <c r="G1113"/>
      <c r="K1113" s="1"/>
      <c r="L1113"/>
    </row>
    <row r="1114" spans="3:12" x14ac:dyDescent="0.25">
      <c r="C1114"/>
      <c r="D1114"/>
      <c r="F1114" s="1"/>
      <c r="G1114"/>
      <c r="K1114" s="1"/>
      <c r="L1114"/>
    </row>
    <row r="1115" spans="3:12" x14ac:dyDescent="0.25">
      <c r="C1115"/>
      <c r="D1115"/>
      <c r="F1115" s="1"/>
      <c r="G1115"/>
      <c r="K1115" s="1"/>
      <c r="L1115"/>
    </row>
    <row r="1116" spans="3:12" x14ac:dyDescent="0.25">
      <c r="C1116"/>
      <c r="D1116"/>
      <c r="F1116" s="1"/>
      <c r="G1116"/>
      <c r="K1116" s="1"/>
      <c r="L1116"/>
    </row>
    <row r="1117" spans="3:12" x14ac:dyDescent="0.25">
      <c r="C1117"/>
      <c r="D1117"/>
      <c r="F1117" s="1"/>
      <c r="G1117"/>
      <c r="K1117" s="1"/>
      <c r="L1117"/>
    </row>
    <row r="1118" spans="3:12" x14ac:dyDescent="0.25">
      <c r="C1118"/>
      <c r="D1118"/>
      <c r="F1118" s="1"/>
      <c r="G1118"/>
      <c r="K1118" s="1"/>
      <c r="L1118"/>
    </row>
    <row r="1119" spans="3:12" x14ac:dyDescent="0.25">
      <c r="C1119"/>
      <c r="D1119"/>
      <c r="F1119" s="1"/>
      <c r="G1119"/>
      <c r="K1119" s="1"/>
      <c r="L1119"/>
    </row>
    <row r="1120" spans="3:12" x14ac:dyDescent="0.25">
      <c r="C1120"/>
      <c r="D1120"/>
      <c r="F1120" s="1"/>
      <c r="G1120"/>
      <c r="K1120" s="1"/>
      <c r="L1120"/>
    </row>
    <row r="1121" spans="3:12" x14ac:dyDescent="0.25">
      <c r="C1121"/>
      <c r="D1121"/>
      <c r="F1121" s="1"/>
      <c r="G1121"/>
      <c r="K1121" s="1"/>
      <c r="L1121"/>
    </row>
    <row r="1122" spans="3:12" x14ac:dyDescent="0.25">
      <c r="C1122"/>
      <c r="D1122"/>
      <c r="F1122" s="1"/>
      <c r="G1122"/>
      <c r="K1122" s="1"/>
      <c r="L1122"/>
    </row>
    <row r="1123" spans="3:12" x14ac:dyDescent="0.25">
      <c r="C1123"/>
      <c r="D1123"/>
      <c r="F1123" s="1"/>
      <c r="G1123"/>
      <c r="K1123" s="1"/>
      <c r="L1123"/>
    </row>
    <row r="1124" spans="3:12" x14ac:dyDescent="0.25">
      <c r="C1124"/>
      <c r="D1124"/>
      <c r="F1124" s="1"/>
      <c r="G1124"/>
      <c r="K1124" s="1"/>
      <c r="L1124"/>
    </row>
    <row r="1125" spans="3:12" x14ac:dyDescent="0.25">
      <c r="C1125"/>
      <c r="D1125"/>
      <c r="F1125" s="1"/>
      <c r="G1125"/>
      <c r="K1125" s="1"/>
      <c r="L1125"/>
    </row>
    <row r="1126" spans="3:12" x14ac:dyDescent="0.25">
      <c r="C1126"/>
      <c r="D1126"/>
      <c r="F1126" s="1"/>
      <c r="G1126"/>
      <c r="K1126" s="1"/>
      <c r="L1126"/>
    </row>
    <row r="1127" spans="3:12" x14ac:dyDescent="0.25">
      <c r="C1127"/>
      <c r="D1127"/>
      <c r="F1127" s="1"/>
      <c r="G1127"/>
      <c r="K1127" s="1"/>
      <c r="L1127"/>
    </row>
    <row r="1128" spans="3:12" x14ac:dyDescent="0.25">
      <c r="C1128"/>
      <c r="D1128"/>
      <c r="F1128" s="1"/>
      <c r="G1128"/>
      <c r="K1128" s="1"/>
      <c r="L1128"/>
    </row>
    <row r="1129" spans="3:12" x14ac:dyDescent="0.25">
      <c r="C1129"/>
      <c r="D1129"/>
      <c r="F1129" s="1"/>
      <c r="G1129"/>
      <c r="K1129" s="1"/>
      <c r="L1129"/>
    </row>
    <row r="1130" spans="3:12" x14ac:dyDescent="0.25">
      <c r="C1130"/>
      <c r="D1130"/>
      <c r="F1130" s="1"/>
      <c r="G1130"/>
      <c r="K1130" s="1"/>
      <c r="L1130"/>
    </row>
    <row r="1131" spans="3:12" x14ac:dyDescent="0.25">
      <c r="C1131"/>
      <c r="D1131"/>
      <c r="F1131" s="1"/>
      <c r="G1131"/>
      <c r="K1131" s="1"/>
      <c r="L1131"/>
    </row>
    <row r="1132" spans="3:12" x14ac:dyDescent="0.25">
      <c r="C1132"/>
      <c r="D1132"/>
      <c r="F1132" s="1"/>
      <c r="G1132"/>
      <c r="K1132" s="1"/>
      <c r="L1132"/>
    </row>
    <row r="1133" spans="3:12" x14ac:dyDescent="0.25">
      <c r="C1133"/>
      <c r="D1133"/>
      <c r="F1133" s="1"/>
      <c r="G1133"/>
      <c r="K1133" s="1"/>
      <c r="L1133"/>
    </row>
    <row r="1134" spans="3:12" x14ac:dyDescent="0.25">
      <c r="C1134"/>
      <c r="D1134"/>
      <c r="F1134" s="1"/>
      <c r="G1134"/>
      <c r="K1134" s="1"/>
      <c r="L1134"/>
    </row>
    <row r="1135" spans="3:12" x14ac:dyDescent="0.25">
      <c r="C1135"/>
      <c r="D1135"/>
      <c r="F1135" s="1"/>
      <c r="G1135"/>
      <c r="K1135" s="1"/>
      <c r="L1135"/>
    </row>
    <row r="1136" spans="3:12" x14ac:dyDescent="0.25">
      <c r="C1136"/>
      <c r="D1136"/>
      <c r="F1136" s="1"/>
      <c r="G1136"/>
      <c r="K1136" s="1"/>
      <c r="L1136"/>
    </row>
    <row r="1137" spans="3:12" x14ac:dyDescent="0.25">
      <c r="C1137"/>
      <c r="D1137"/>
      <c r="F1137" s="1"/>
      <c r="G1137"/>
      <c r="K1137" s="1"/>
      <c r="L1137"/>
    </row>
    <row r="1138" spans="3:12" x14ac:dyDescent="0.25">
      <c r="C1138"/>
      <c r="D1138"/>
      <c r="F1138" s="1"/>
      <c r="G1138"/>
      <c r="K1138" s="1"/>
      <c r="L1138"/>
    </row>
    <row r="1139" spans="3:12" x14ac:dyDescent="0.25">
      <c r="C1139"/>
      <c r="D1139"/>
      <c r="F1139" s="1"/>
      <c r="G1139"/>
      <c r="K1139" s="1"/>
      <c r="L1139"/>
    </row>
    <row r="1140" spans="3:12" x14ac:dyDescent="0.25">
      <c r="C1140"/>
      <c r="D1140"/>
      <c r="F1140" s="1"/>
      <c r="G1140"/>
      <c r="K1140" s="1"/>
      <c r="L1140"/>
    </row>
    <row r="1141" spans="3:12" x14ac:dyDescent="0.25">
      <c r="C1141"/>
      <c r="D1141"/>
      <c r="F1141" s="1"/>
      <c r="G1141"/>
      <c r="K1141" s="1"/>
      <c r="L1141"/>
    </row>
    <row r="1142" spans="3:12" x14ac:dyDescent="0.25">
      <c r="C1142"/>
      <c r="D1142"/>
      <c r="F1142" s="1"/>
      <c r="G1142"/>
      <c r="K1142" s="1"/>
      <c r="L1142"/>
    </row>
    <row r="1143" spans="3:12" x14ac:dyDescent="0.25">
      <c r="C1143"/>
      <c r="D1143"/>
      <c r="F1143" s="1"/>
      <c r="G1143"/>
      <c r="K1143" s="1"/>
      <c r="L1143"/>
    </row>
    <row r="1144" spans="3:12" x14ac:dyDescent="0.25">
      <c r="C1144"/>
      <c r="D1144"/>
      <c r="F1144" s="1"/>
      <c r="G1144"/>
      <c r="K1144" s="1"/>
      <c r="L1144"/>
    </row>
    <row r="1145" spans="3:12" x14ac:dyDescent="0.25">
      <c r="C1145"/>
      <c r="D1145"/>
      <c r="F1145" s="1"/>
      <c r="G1145"/>
      <c r="K1145" s="1"/>
      <c r="L1145"/>
    </row>
    <row r="1146" spans="3:12" x14ac:dyDescent="0.25">
      <c r="C1146"/>
      <c r="D1146"/>
      <c r="F1146" s="1"/>
      <c r="G1146"/>
      <c r="K1146" s="1"/>
      <c r="L1146"/>
    </row>
    <row r="1147" spans="3:12" x14ac:dyDescent="0.25">
      <c r="C1147"/>
      <c r="D1147"/>
      <c r="F1147" s="1"/>
      <c r="G1147"/>
      <c r="K1147" s="1"/>
      <c r="L1147"/>
    </row>
    <row r="1148" spans="3:12" x14ac:dyDescent="0.25">
      <c r="C1148"/>
      <c r="D1148"/>
      <c r="F1148" s="1"/>
      <c r="G1148"/>
      <c r="K1148" s="1"/>
      <c r="L1148"/>
    </row>
    <row r="1149" spans="3:12" x14ac:dyDescent="0.25">
      <c r="C1149"/>
      <c r="D1149"/>
      <c r="F1149" s="1"/>
      <c r="G1149"/>
      <c r="K1149" s="1"/>
      <c r="L1149"/>
    </row>
    <row r="1150" spans="3:12" x14ac:dyDescent="0.25">
      <c r="C1150"/>
      <c r="D1150"/>
      <c r="F1150" s="1"/>
      <c r="G1150"/>
      <c r="K1150" s="1"/>
      <c r="L1150"/>
    </row>
    <row r="1151" spans="3:12" x14ac:dyDescent="0.25">
      <c r="C1151"/>
      <c r="D1151"/>
      <c r="F1151" s="1"/>
      <c r="G1151"/>
      <c r="K1151" s="1"/>
      <c r="L1151"/>
    </row>
    <row r="1152" spans="3:12" x14ac:dyDescent="0.25">
      <c r="C1152"/>
      <c r="D1152"/>
      <c r="F1152" s="1"/>
      <c r="G1152"/>
      <c r="K1152" s="1"/>
      <c r="L1152"/>
    </row>
    <row r="1153" spans="3:12" x14ac:dyDescent="0.25">
      <c r="C1153"/>
      <c r="D1153"/>
      <c r="F1153" s="1"/>
      <c r="G1153"/>
      <c r="K1153" s="1"/>
      <c r="L1153"/>
    </row>
    <row r="1154" spans="3:12" x14ac:dyDescent="0.25">
      <c r="C1154"/>
      <c r="D1154"/>
      <c r="F1154" s="1"/>
      <c r="G1154"/>
      <c r="K1154" s="1"/>
      <c r="L1154"/>
    </row>
    <row r="1155" spans="3:12" x14ac:dyDescent="0.25">
      <c r="C1155"/>
      <c r="D1155"/>
      <c r="F1155" s="1"/>
      <c r="G1155"/>
      <c r="K1155" s="1"/>
      <c r="L1155"/>
    </row>
    <row r="1156" spans="3:12" x14ac:dyDescent="0.25">
      <c r="C1156"/>
      <c r="D1156"/>
      <c r="F1156" s="1"/>
      <c r="G1156"/>
      <c r="K1156" s="1"/>
      <c r="L1156"/>
    </row>
    <row r="1157" spans="3:12" x14ac:dyDescent="0.25">
      <c r="C1157"/>
      <c r="D1157"/>
      <c r="F1157" s="1"/>
      <c r="G1157"/>
      <c r="K1157" s="1"/>
      <c r="L1157"/>
    </row>
    <row r="1158" spans="3:12" x14ac:dyDescent="0.25">
      <c r="C1158"/>
      <c r="D1158"/>
      <c r="F1158" s="1"/>
      <c r="G1158"/>
      <c r="K1158" s="1"/>
      <c r="L1158"/>
    </row>
    <row r="1159" spans="3:12" x14ac:dyDescent="0.25">
      <c r="C1159"/>
      <c r="D1159"/>
      <c r="F1159" s="1"/>
      <c r="G1159"/>
      <c r="K1159" s="1"/>
      <c r="L1159"/>
    </row>
    <row r="1160" spans="3:12" x14ac:dyDescent="0.25">
      <c r="C1160"/>
      <c r="D1160"/>
      <c r="F1160" s="1"/>
      <c r="G1160"/>
      <c r="K1160" s="1"/>
      <c r="L1160"/>
    </row>
    <row r="1161" spans="3:12" x14ac:dyDescent="0.25">
      <c r="C1161"/>
      <c r="D1161"/>
      <c r="F1161" s="1"/>
      <c r="G1161"/>
      <c r="K1161" s="1"/>
      <c r="L1161"/>
    </row>
    <row r="1162" spans="3:12" x14ac:dyDescent="0.25">
      <c r="C1162"/>
      <c r="D1162"/>
      <c r="F1162" s="1"/>
      <c r="G1162"/>
      <c r="K1162" s="1"/>
      <c r="L1162"/>
    </row>
    <row r="1163" spans="3:12" x14ac:dyDescent="0.25">
      <c r="C1163"/>
      <c r="D1163"/>
      <c r="F1163" s="1"/>
      <c r="G1163"/>
      <c r="K1163" s="1"/>
      <c r="L1163"/>
    </row>
    <row r="1164" spans="3:12" x14ac:dyDescent="0.25">
      <c r="C1164"/>
      <c r="D1164"/>
      <c r="F1164" s="1"/>
      <c r="G1164"/>
      <c r="K1164" s="1"/>
      <c r="L1164"/>
    </row>
    <row r="1165" spans="3:12" x14ac:dyDescent="0.25">
      <c r="C1165"/>
      <c r="D1165"/>
      <c r="F1165" s="1"/>
      <c r="G1165"/>
      <c r="K1165" s="1"/>
      <c r="L1165"/>
    </row>
    <row r="1166" spans="3:12" x14ac:dyDescent="0.25">
      <c r="C1166"/>
      <c r="D1166"/>
      <c r="F1166" s="1"/>
      <c r="G1166"/>
      <c r="K1166" s="1"/>
      <c r="L1166"/>
    </row>
    <row r="1167" spans="3:12" x14ac:dyDescent="0.25">
      <c r="C1167"/>
      <c r="D1167"/>
      <c r="F1167" s="1"/>
      <c r="G1167"/>
      <c r="K1167" s="1"/>
      <c r="L1167"/>
    </row>
    <row r="1168" spans="3:12" x14ac:dyDescent="0.25">
      <c r="C1168"/>
      <c r="D1168"/>
      <c r="F1168" s="1"/>
      <c r="G1168"/>
      <c r="K1168" s="1"/>
      <c r="L1168"/>
    </row>
    <row r="1169" spans="3:12" x14ac:dyDescent="0.25">
      <c r="C1169"/>
      <c r="D1169"/>
      <c r="F1169" s="1"/>
      <c r="G1169"/>
      <c r="K1169" s="1"/>
      <c r="L1169"/>
    </row>
    <row r="1170" spans="3:12" x14ac:dyDescent="0.25">
      <c r="C1170"/>
      <c r="D1170"/>
      <c r="F1170" s="1"/>
      <c r="G1170"/>
      <c r="K1170" s="1"/>
      <c r="L1170"/>
    </row>
    <row r="1171" spans="3:12" x14ac:dyDescent="0.25">
      <c r="C1171"/>
      <c r="D1171"/>
      <c r="F1171" s="1"/>
      <c r="G1171"/>
      <c r="K1171" s="1"/>
      <c r="L1171"/>
    </row>
    <row r="1172" spans="3:12" x14ac:dyDescent="0.25">
      <c r="C1172"/>
      <c r="D1172"/>
      <c r="F1172" s="1"/>
      <c r="G1172"/>
      <c r="K1172" s="1"/>
      <c r="L1172"/>
    </row>
    <row r="1173" spans="3:12" x14ac:dyDescent="0.25">
      <c r="C1173"/>
      <c r="D1173"/>
      <c r="F1173" s="1"/>
      <c r="G1173"/>
      <c r="K1173" s="1"/>
      <c r="L1173"/>
    </row>
    <row r="1174" spans="3:12" x14ac:dyDescent="0.25">
      <c r="C1174"/>
      <c r="D1174"/>
      <c r="F1174" s="1"/>
      <c r="G1174"/>
      <c r="K1174" s="1"/>
      <c r="L1174"/>
    </row>
    <row r="1175" spans="3:12" x14ac:dyDescent="0.25">
      <c r="C1175"/>
      <c r="D1175"/>
      <c r="F1175" s="1"/>
      <c r="G1175"/>
      <c r="K1175" s="1"/>
      <c r="L1175"/>
    </row>
    <row r="1176" spans="3:12" x14ac:dyDescent="0.25">
      <c r="C1176"/>
      <c r="D1176"/>
      <c r="F1176" s="1"/>
      <c r="G1176"/>
      <c r="K1176" s="1"/>
      <c r="L1176"/>
    </row>
    <row r="1177" spans="3:12" x14ac:dyDescent="0.25">
      <c r="C1177"/>
      <c r="D1177"/>
      <c r="F1177" s="1"/>
      <c r="G1177"/>
      <c r="K1177" s="1"/>
      <c r="L1177"/>
    </row>
    <row r="1178" spans="3:12" x14ac:dyDescent="0.25">
      <c r="C1178"/>
      <c r="D1178"/>
      <c r="F1178" s="1"/>
      <c r="G1178"/>
      <c r="K1178" s="1"/>
      <c r="L1178"/>
    </row>
    <row r="1179" spans="3:12" x14ac:dyDescent="0.25">
      <c r="C1179"/>
      <c r="D1179"/>
      <c r="F1179" s="1"/>
      <c r="G1179"/>
      <c r="K1179" s="1"/>
      <c r="L1179"/>
    </row>
    <row r="1180" spans="3:12" x14ac:dyDescent="0.25">
      <c r="C1180"/>
      <c r="D1180"/>
      <c r="F1180" s="1"/>
      <c r="G1180"/>
      <c r="K1180" s="1"/>
      <c r="L1180"/>
    </row>
    <row r="1181" spans="3:12" x14ac:dyDescent="0.25">
      <c r="C1181"/>
      <c r="D1181"/>
      <c r="F1181" s="1"/>
      <c r="G1181"/>
      <c r="K1181" s="1"/>
      <c r="L1181"/>
    </row>
    <row r="1182" spans="3:12" x14ac:dyDescent="0.25">
      <c r="C1182"/>
      <c r="D1182"/>
      <c r="F1182" s="1"/>
      <c r="G1182"/>
      <c r="K1182" s="1"/>
      <c r="L1182"/>
    </row>
    <row r="1183" spans="3:12" x14ac:dyDescent="0.25">
      <c r="C1183"/>
      <c r="D1183"/>
      <c r="F1183" s="1"/>
      <c r="G1183"/>
      <c r="K1183" s="1"/>
      <c r="L1183"/>
    </row>
    <row r="1184" spans="3:12" x14ac:dyDescent="0.25">
      <c r="C1184"/>
      <c r="D1184"/>
      <c r="F1184" s="1"/>
      <c r="G1184"/>
      <c r="K1184" s="1"/>
      <c r="L1184"/>
    </row>
    <row r="1185" spans="3:12" x14ac:dyDescent="0.25">
      <c r="C1185"/>
      <c r="D1185"/>
      <c r="F1185" s="1"/>
      <c r="G1185"/>
      <c r="K1185" s="1"/>
      <c r="L1185"/>
    </row>
    <row r="1186" spans="3:12" x14ac:dyDescent="0.25">
      <c r="C1186"/>
      <c r="D1186"/>
      <c r="F1186" s="1"/>
      <c r="G1186"/>
      <c r="K1186" s="1"/>
      <c r="L1186"/>
    </row>
    <row r="1187" spans="3:12" x14ac:dyDescent="0.25">
      <c r="C1187"/>
      <c r="D1187"/>
      <c r="F1187" s="1"/>
      <c r="G1187"/>
      <c r="K1187" s="1"/>
      <c r="L1187"/>
    </row>
    <row r="1188" spans="3:12" x14ac:dyDescent="0.25">
      <c r="C1188"/>
      <c r="D1188"/>
      <c r="F1188" s="1"/>
      <c r="G1188"/>
      <c r="K1188" s="1"/>
      <c r="L1188"/>
    </row>
    <row r="1189" spans="3:12" x14ac:dyDescent="0.25">
      <c r="C1189"/>
      <c r="D1189"/>
      <c r="F1189" s="1"/>
      <c r="G1189"/>
      <c r="K1189" s="1"/>
      <c r="L1189"/>
    </row>
    <row r="1190" spans="3:12" x14ac:dyDescent="0.25">
      <c r="C1190"/>
      <c r="D1190"/>
      <c r="F1190" s="1"/>
      <c r="G1190"/>
      <c r="K1190" s="1"/>
      <c r="L1190"/>
    </row>
    <row r="1191" spans="3:12" x14ac:dyDescent="0.25">
      <c r="C1191"/>
      <c r="D1191"/>
      <c r="F1191" s="1"/>
      <c r="G1191"/>
      <c r="K1191" s="1"/>
      <c r="L1191"/>
    </row>
    <row r="1192" spans="3:12" x14ac:dyDescent="0.25">
      <c r="C1192"/>
      <c r="D1192"/>
      <c r="F1192" s="1"/>
      <c r="G1192"/>
      <c r="K1192" s="1"/>
      <c r="L1192"/>
    </row>
    <row r="1193" spans="3:12" x14ac:dyDescent="0.25">
      <c r="C1193"/>
      <c r="D1193"/>
      <c r="F1193" s="1"/>
      <c r="G1193"/>
      <c r="K1193" s="1"/>
      <c r="L1193"/>
    </row>
    <row r="1194" spans="3:12" x14ac:dyDescent="0.25">
      <c r="C1194"/>
      <c r="D1194"/>
      <c r="F1194" s="1"/>
      <c r="G1194"/>
      <c r="K1194" s="1"/>
      <c r="L1194"/>
    </row>
    <row r="1195" spans="3:12" x14ac:dyDescent="0.25">
      <c r="C1195"/>
      <c r="D1195"/>
      <c r="F1195" s="1"/>
      <c r="G1195"/>
      <c r="K1195" s="1"/>
      <c r="L1195"/>
    </row>
    <row r="1196" spans="3:12" x14ac:dyDescent="0.25">
      <c r="C1196"/>
      <c r="D1196"/>
      <c r="F1196" s="1"/>
      <c r="G1196"/>
      <c r="K1196" s="1"/>
      <c r="L1196"/>
    </row>
    <row r="1197" spans="3:12" x14ac:dyDescent="0.25">
      <c r="C1197"/>
      <c r="D1197"/>
      <c r="F1197" s="1"/>
      <c r="G1197"/>
      <c r="K1197" s="1"/>
      <c r="L1197"/>
    </row>
    <row r="1198" spans="3:12" x14ac:dyDescent="0.25">
      <c r="C1198"/>
      <c r="D1198"/>
      <c r="F1198" s="1"/>
      <c r="G1198"/>
      <c r="K1198" s="1"/>
      <c r="L1198"/>
    </row>
    <row r="1199" spans="3:12" x14ac:dyDescent="0.25">
      <c r="C1199"/>
      <c r="D1199"/>
      <c r="F1199" s="1"/>
      <c r="G1199"/>
      <c r="K1199" s="1"/>
      <c r="L1199"/>
    </row>
    <row r="1200" spans="3:12" x14ac:dyDescent="0.25">
      <c r="C1200"/>
      <c r="D1200"/>
      <c r="F1200" s="1"/>
      <c r="G1200"/>
      <c r="K1200" s="1"/>
      <c r="L1200"/>
    </row>
    <row r="1201" spans="3:12" x14ac:dyDescent="0.25">
      <c r="C1201"/>
      <c r="D1201"/>
      <c r="F1201" s="1"/>
      <c r="G1201"/>
      <c r="K1201" s="1"/>
      <c r="L1201"/>
    </row>
    <row r="1202" spans="3:12" x14ac:dyDescent="0.25">
      <c r="C1202"/>
      <c r="D1202"/>
      <c r="F1202" s="1"/>
      <c r="G1202"/>
      <c r="K1202" s="1"/>
      <c r="L1202"/>
    </row>
    <row r="1203" spans="3:12" x14ac:dyDescent="0.25">
      <c r="C1203"/>
      <c r="D1203"/>
      <c r="F1203" s="1"/>
      <c r="G1203"/>
      <c r="K1203" s="1"/>
      <c r="L1203"/>
    </row>
    <row r="1204" spans="3:12" x14ac:dyDescent="0.25">
      <c r="C1204"/>
      <c r="D1204"/>
      <c r="F1204" s="1"/>
      <c r="G1204"/>
      <c r="K1204" s="1"/>
      <c r="L1204"/>
    </row>
    <row r="1205" spans="3:12" x14ac:dyDescent="0.25">
      <c r="C1205"/>
      <c r="D1205"/>
      <c r="F1205" s="1"/>
      <c r="G1205"/>
      <c r="K1205" s="1"/>
      <c r="L1205"/>
    </row>
    <row r="1206" spans="3:12" x14ac:dyDescent="0.25">
      <c r="C1206"/>
      <c r="D1206"/>
      <c r="F1206" s="1"/>
      <c r="G1206"/>
      <c r="K1206" s="1"/>
      <c r="L1206"/>
    </row>
    <row r="1207" spans="3:12" x14ac:dyDescent="0.25">
      <c r="C1207"/>
      <c r="D1207"/>
      <c r="F1207" s="1"/>
      <c r="G1207"/>
      <c r="K1207" s="1"/>
      <c r="L1207"/>
    </row>
    <row r="1208" spans="3:12" x14ac:dyDescent="0.25">
      <c r="C1208"/>
      <c r="D1208"/>
      <c r="F1208" s="1"/>
      <c r="G1208"/>
      <c r="K1208" s="1"/>
      <c r="L1208"/>
    </row>
    <row r="1209" spans="3:12" x14ac:dyDescent="0.25">
      <c r="C1209"/>
      <c r="D1209"/>
      <c r="F1209" s="1"/>
      <c r="G1209"/>
      <c r="K1209" s="1"/>
      <c r="L1209"/>
    </row>
    <row r="1210" spans="3:12" x14ac:dyDescent="0.25">
      <c r="C1210"/>
      <c r="D1210"/>
      <c r="F1210" s="1"/>
      <c r="G1210"/>
      <c r="K1210" s="1"/>
      <c r="L1210"/>
    </row>
    <row r="1211" spans="3:12" x14ac:dyDescent="0.25">
      <c r="C1211"/>
      <c r="D1211"/>
      <c r="F1211" s="1"/>
      <c r="G1211"/>
      <c r="K1211" s="1"/>
      <c r="L1211"/>
    </row>
    <row r="1212" spans="3:12" x14ac:dyDescent="0.25">
      <c r="C1212"/>
      <c r="D1212"/>
      <c r="F1212" s="1"/>
      <c r="G1212"/>
      <c r="K1212" s="1"/>
      <c r="L1212"/>
    </row>
    <row r="1213" spans="3:12" x14ac:dyDescent="0.25">
      <c r="C1213"/>
      <c r="D1213"/>
      <c r="F1213" s="1"/>
      <c r="G1213"/>
      <c r="K1213" s="1"/>
      <c r="L1213"/>
    </row>
    <row r="1214" spans="3:12" x14ac:dyDescent="0.25">
      <c r="C1214"/>
      <c r="D1214"/>
      <c r="F1214" s="1"/>
      <c r="G1214"/>
      <c r="K1214" s="1"/>
      <c r="L1214"/>
    </row>
    <row r="1215" spans="3:12" x14ac:dyDescent="0.25">
      <c r="C1215"/>
      <c r="D1215"/>
      <c r="F1215" s="1"/>
      <c r="G1215"/>
      <c r="K1215" s="1"/>
      <c r="L1215"/>
    </row>
    <row r="1216" spans="3:12" x14ac:dyDescent="0.25">
      <c r="C1216"/>
      <c r="D1216"/>
      <c r="F1216" s="1"/>
      <c r="G1216"/>
      <c r="K1216" s="1"/>
      <c r="L1216"/>
    </row>
    <row r="1217" spans="3:12" x14ac:dyDescent="0.25">
      <c r="C1217"/>
      <c r="D1217"/>
      <c r="F1217" s="1"/>
      <c r="G1217"/>
      <c r="K1217" s="1"/>
      <c r="L1217"/>
    </row>
    <row r="1218" spans="3:12" x14ac:dyDescent="0.25">
      <c r="C1218"/>
      <c r="D1218"/>
      <c r="F1218" s="1"/>
      <c r="G1218"/>
      <c r="K1218" s="1"/>
      <c r="L1218"/>
    </row>
    <row r="1219" spans="3:12" x14ac:dyDescent="0.25">
      <c r="C1219"/>
      <c r="D1219"/>
      <c r="F1219" s="1"/>
      <c r="G1219"/>
      <c r="K1219" s="1"/>
      <c r="L1219"/>
    </row>
    <row r="1220" spans="3:12" x14ac:dyDescent="0.25">
      <c r="C1220"/>
      <c r="D1220"/>
      <c r="F1220" s="1"/>
      <c r="G1220"/>
      <c r="K1220" s="1"/>
      <c r="L1220"/>
    </row>
    <row r="1221" spans="3:12" x14ac:dyDescent="0.25">
      <c r="C1221"/>
      <c r="D1221"/>
      <c r="F1221" s="1"/>
      <c r="G1221"/>
      <c r="K1221" s="1"/>
      <c r="L1221"/>
    </row>
    <row r="1222" spans="3:12" x14ac:dyDescent="0.25">
      <c r="C1222"/>
      <c r="D1222"/>
      <c r="F1222" s="1"/>
      <c r="G1222"/>
      <c r="K1222" s="1"/>
      <c r="L1222"/>
    </row>
    <row r="1223" spans="3:12" x14ac:dyDescent="0.25">
      <c r="C1223"/>
      <c r="D1223"/>
      <c r="F1223" s="1"/>
      <c r="G1223"/>
      <c r="K1223" s="1"/>
      <c r="L1223"/>
    </row>
    <row r="1224" spans="3:12" x14ac:dyDescent="0.25">
      <c r="C1224"/>
      <c r="D1224"/>
      <c r="F1224" s="1"/>
      <c r="G1224"/>
      <c r="K1224" s="1"/>
      <c r="L1224"/>
    </row>
    <row r="1225" spans="3:12" x14ac:dyDescent="0.25">
      <c r="C1225"/>
      <c r="D1225"/>
      <c r="F1225" s="1"/>
      <c r="G1225"/>
      <c r="K1225" s="1"/>
      <c r="L1225"/>
    </row>
    <row r="1226" spans="3:12" x14ac:dyDescent="0.25">
      <c r="C1226"/>
      <c r="D1226"/>
      <c r="F1226" s="1"/>
      <c r="G1226"/>
      <c r="K1226" s="1"/>
      <c r="L1226"/>
    </row>
    <row r="1227" spans="3:12" x14ac:dyDescent="0.25">
      <c r="C1227"/>
      <c r="D1227"/>
      <c r="F1227" s="1"/>
      <c r="G1227"/>
      <c r="K1227" s="1"/>
      <c r="L1227"/>
    </row>
    <row r="1228" spans="3:12" x14ac:dyDescent="0.25">
      <c r="C1228"/>
      <c r="D1228"/>
      <c r="F1228" s="1"/>
      <c r="G1228"/>
      <c r="K1228" s="1"/>
      <c r="L1228"/>
    </row>
    <row r="1229" spans="3:12" x14ac:dyDescent="0.25">
      <c r="C1229"/>
      <c r="D1229"/>
      <c r="F1229" s="1"/>
      <c r="G1229"/>
      <c r="K1229" s="1"/>
      <c r="L1229"/>
    </row>
    <row r="1230" spans="3:12" x14ac:dyDescent="0.25">
      <c r="C1230"/>
      <c r="D1230"/>
      <c r="F1230" s="1"/>
      <c r="G1230"/>
      <c r="K1230" s="1"/>
      <c r="L1230"/>
    </row>
    <row r="1231" spans="3:12" x14ac:dyDescent="0.25">
      <c r="C1231"/>
      <c r="D1231"/>
      <c r="F1231" s="1"/>
      <c r="G1231"/>
      <c r="K1231" s="1"/>
      <c r="L1231"/>
    </row>
    <row r="1232" spans="3:12" x14ac:dyDescent="0.25">
      <c r="C1232"/>
      <c r="D1232"/>
      <c r="F1232" s="1"/>
      <c r="G1232"/>
      <c r="K1232" s="1"/>
      <c r="L1232"/>
    </row>
    <row r="1233" spans="3:12" x14ac:dyDescent="0.25">
      <c r="C1233"/>
      <c r="D1233"/>
      <c r="F1233" s="1"/>
      <c r="G1233"/>
      <c r="K1233" s="1"/>
      <c r="L1233"/>
    </row>
    <row r="1234" spans="3:12" x14ac:dyDescent="0.25">
      <c r="C1234"/>
      <c r="D1234"/>
      <c r="F1234" s="1"/>
      <c r="G1234"/>
      <c r="K1234" s="1"/>
      <c r="L1234"/>
    </row>
    <row r="1235" spans="3:12" x14ac:dyDescent="0.25">
      <c r="C1235"/>
      <c r="D1235"/>
      <c r="F1235" s="1"/>
      <c r="G1235"/>
      <c r="K1235" s="1"/>
      <c r="L1235"/>
    </row>
    <row r="1236" spans="3:12" x14ac:dyDescent="0.25">
      <c r="C1236"/>
      <c r="D1236"/>
      <c r="F1236" s="1"/>
      <c r="G1236"/>
      <c r="K1236" s="1"/>
      <c r="L1236"/>
    </row>
    <row r="1237" spans="3:12" x14ac:dyDescent="0.25">
      <c r="C1237"/>
      <c r="D1237"/>
      <c r="F1237" s="1"/>
      <c r="G1237"/>
      <c r="K1237" s="1"/>
      <c r="L1237"/>
    </row>
    <row r="1238" spans="3:12" x14ac:dyDescent="0.25">
      <c r="C1238"/>
      <c r="D1238"/>
      <c r="F1238" s="1"/>
      <c r="G1238"/>
      <c r="K1238" s="1"/>
      <c r="L1238"/>
    </row>
    <row r="1239" spans="3:12" x14ac:dyDescent="0.25">
      <c r="C1239"/>
      <c r="D1239"/>
      <c r="F1239" s="1"/>
      <c r="G1239"/>
      <c r="K1239" s="1"/>
      <c r="L1239"/>
    </row>
    <row r="1240" spans="3:12" x14ac:dyDescent="0.25">
      <c r="C1240"/>
      <c r="D1240"/>
      <c r="F1240" s="1"/>
      <c r="G1240"/>
      <c r="K1240" s="1"/>
      <c r="L1240"/>
    </row>
    <row r="1241" spans="3:12" x14ac:dyDescent="0.25">
      <c r="C1241"/>
      <c r="D1241"/>
      <c r="F1241" s="1"/>
      <c r="G1241"/>
      <c r="K1241" s="1"/>
      <c r="L1241"/>
    </row>
    <row r="1242" spans="3:12" x14ac:dyDescent="0.25">
      <c r="C1242"/>
      <c r="D1242"/>
      <c r="F1242" s="1"/>
      <c r="G1242"/>
      <c r="K1242" s="1"/>
      <c r="L1242"/>
    </row>
    <row r="1243" spans="3:12" x14ac:dyDescent="0.25">
      <c r="C1243"/>
      <c r="D1243"/>
      <c r="F1243" s="1"/>
      <c r="G1243"/>
      <c r="K1243" s="1"/>
      <c r="L1243"/>
    </row>
    <row r="1244" spans="3:12" x14ac:dyDescent="0.25">
      <c r="C1244"/>
      <c r="D1244"/>
      <c r="F1244" s="1"/>
      <c r="G1244"/>
      <c r="K1244" s="1"/>
      <c r="L1244"/>
    </row>
    <row r="1245" spans="3:12" x14ac:dyDescent="0.25">
      <c r="C1245"/>
      <c r="D1245"/>
      <c r="F1245" s="1"/>
      <c r="G1245"/>
      <c r="K1245" s="1"/>
      <c r="L1245"/>
    </row>
    <row r="1246" spans="3:12" x14ac:dyDescent="0.25">
      <c r="C1246"/>
      <c r="D1246"/>
      <c r="F1246" s="1"/>
      <c r="G1246"/>
      <c r="K1246" s="1"/>
      <c r="L1246"/>
    </row>
    <row r="1247" spans="3:12" x14ac:dyDescent="0.25">
      <c r="C1247"/>
      <c r="D1247"/>
      <c r="F1247" s="1"/>
      <c r="G1247"/>
      <c r="K1247" s="1"/>
      <c r="L1247"/>
    </row>
    <row r="1248" spans="3:12" x14ac:dyDescent="0.25">
      <c r="C1248"/>
      <c r="D1248"/>
      <c r="F1248" s="1"/>
      <c r="G1248"/>
      <c r="K1248" s="1"/>
      <c r="L1248"/>
    </row>
    <row r="1249" spans="3:12" x14ac:dyDescent="0.25">
      <c r="C1249"/>
      <c r="D1249"/>
      <c r="F1249" s="1"/>
      <c r="G1249"/>
      <c r="K1249" s="1"/>
      <c r="L1249"/>
    </row>
    <row r="1250" spans="3:12" x14ac:dyDescent="0.25">
      <c r="C1250"/>
      <c r="D1250"/>
      <c r="F1250" s="1"/>
      <c r="G1250"/>
      <c r="K1250" s="1"/>
      <c r="L1250"/>
    </row>
    <row r="1251" spans="3:12" x14ac:dyDescent="0.25">
      <c r="C1251"/>
      <c r="D1251"/>
      <c r="F1251" s="1"/>
      <c r="G1251"/>
      <c r="K1251" s="1"/>
      <c r="L1251"/>
    </row>
    <row r="1252" spans="3:12" x14ac:dyDescent="0.25">
      <c r="C1252"/>
      <c r="D1252"/>
      <c r="F1252" s="1"/>
      <c r="G1252"/>
      <c r="K1252" s="1"/>
      <c r="L1252"/>
    </row>
    <row r="1253" spans="3:12" x14ac:dyDescent="0.25">
      <c r="C1253"/>
      <c r="D1253"/>
      <c r="F1253" s="1"/>
      <c r="G1253"/>
      <c r="K1253" s="1"/>
      <c r="L1253"/>
    </row>
    <row r="1254" spans="3:12" x14ac:dyDescent="0.25">
      <c r="C1254"/>
      <c r="D1254"/>
      <c r="F1254" s="1"/>
      <c r="G1254"/>
      <c r="K1254" s="1"/>
      <c r="L1254"/>
    </row>
    <row r="1255" spans="3:12" x14ac:dyDescent="0.25">
      <c r="C1255"/>
      <c r="D1255"/>
      <c r="F1255" s="1"/>
      <c r="G1255"/>
      <c r="K1255" s="1"/>
      <c r="L1255"/>
    </row>
    <row r="1256" spans="3:12" x14ac:dyDescent="0.25">
      <c r="C1256"/>
      <c r="D1256"/>
      <c r="F1256" s="1"/>
      <c r="G1256"/>
      <c r="K1256" s="1"/>
      <c r="L1256"/>
    </row>
    <row r="1257" spans="3:12" x14ac:dyDescent="0.25">
      <c r="C1257"/>
      <c r="D1257"/>
      <c r="F1257" s="1"/>
      <c r="G1257"/>
      <c r="K1257" s="1"/>
      <c r="L1257"/>
    </row>
    <row r="1258" spans="3:12" x14ac:dyDescent="0.25">
      <c r="C1258"/>
      <c r="D1258"/>
      <c r="F1258" s="1"/>
      <c r="G1258"/>
      <c r="K1258" s="1"/>
      <c r="L1258"/>
    </row>
    <row r="1259" spans="3:12" x14ac:dyDescent="0.25">
      <c r="C1259"/>
      <c r="D1259"/>
      <c r="F1259" s="1"/>
      <c r="G1259"/>
      <c r="K1259" s="1"/>
      <c r="L1259"/>
    </row>
    <row r="1260" spans="3:12" x14ac:dyDescent="0.25">
      <c r="C1260"/>
      <c r="D1260"/>
      <c r="F1260" s="1"/>
      <c r="G1260"/>
      <c r="K1260" s="1"/>
      <c r="L1260"/>
    </row>
    <row r="1261" spans="3:12" x14ac:dyDescent="0.25">
      <c r="C1261"/>
      <c r="D1261"/>
      <c r="F1261" s="1"/>
      <c r="G1261"/>
      <c r="K1261" s="1"/>
      <c r="L1261"/>
    </row>
    <row r="1262" spans="3:12" x14ac:dyDescent="0.25">
      <c r="C1262"/>
      <c r="D1262"/>
      <c r="F1262" s="1"/>
      <c r="G1262"/>
      <c r="K1262" s="1"/>
      <c r="L1262"/>
    </row>
    <row r="1263" spans="3:12" x14ac:dyDescent="0.25">
      <c r="C1263"/>
      <c r="D1263"/>
      <c r="F1263" s="1"/>
      <c r="G1263"/>
      <c r="K1263" s="1"/>
      <c r="L1263"/>
    </row>
    <row r="1264" spans="3:12" x14ac:dyDescent="0.25">
      <c r="C1264"/>
      <c r="D1264"/>
      <c r="F1264" s="1"/>
      <c r="G1264"/>
      <c r="K1264" s="1"/>
      <c r="L1264"/>
    </row>
    <row r="1265" spans="3:12" x14ac:dyDescent="0.25">
      <c r="C1265"/>
      <c r="D1265"/>
      <c r="F1265" s="1"/>
      <c r="G1265"/>
      <c r="K1265" s="1"/>
      <c r="L1265"/>
    </row>
    <row r="1266" spans="3:12" x14ac:dyDescent="0.25">
      <c r="C1266"/>
      <c r="D1266"/>
      <c r="F1266" s="1"/>
      <c r="G1266"/>
      <c r="K1266" s="1"/>
      <c r="L1266"/>
    </row>
    <row r="1267" spans="3:12" x14ac:dyDescent="0.25">
      <c r="C1267"/>
      <c r="D1267"/>
      <c r="F1267" s="1"/>
      <c r="G1267"/>
      <c r="K1267" s="1"/>
      <c r="L1267"/>
    </row>
    <row r="1268" spans="3:12" x14ac:dyDescent="0.25">
      <c r="C1268"/>
      <c r="D1268"/>
      <c r="F1268" s="1"/>
      <c r="G1268"/>
      <c r="K1268" s="1"/>
      <c r="L1268"/>
    </row>
    <row r="1269" spans="3:12" x14ac:dyDescent="0.25">
      <c r="C1269"/>
      <c r="D1269"/>
      <c r="F1269" s="1"/>
      <c r="G1269"/>
      <c r="K1269" s="1"/>
      <c r="L1269"/>
    </row>
    <row r="1270" spans="3:12" x14ac:dyDescent="0.25">
      <c r="C1270"/>
      <c r="D1270"/>
      <c r="F1270" s="1"/>
      <c r="G1270"/>
      <c r="K1270" s="1"/>
      <c r="L1270"/>
    </row>
    <row r="1271" spans="3:12" x14ac:dyDescent="0.25">
      <c r="C1271"/>
      <c r="D1271"/>
      <c r="F1271" s="1"/>
      <c r="G1271"/>
      <c r="K1271" s="1"/>
      <c r="L1271"/>
    </row>
    <row r="1272" spans="3:12" x14ac:dyDescent="0.25">
      <c r="C1272"/>
      <c r="D1272"/>
      <c r="F1272" s="1"/>
      <c r="G1272"/>
      <c r="K1272" s="1"/>
      <c r="L1272"/>
    </row>
    <row r="1273" spans="3:12" x14ac:dyDescent="0.25">
      <c r="C1273"/>
      <c r="D1273"/>
      <c r="F1273" s="1"/>
      <c r="G1273"/>
      <c r="K1273" s="1"/>
      <c r="L1273"/>
    </row>
    <row r="1274" spans="3:12" x14ac:dyDescent="0.25">
      <c r="C1274"/>
      <c r="D1274"/>
      <c r="F1274" s="1"/>
      <c r="G1274"/>
      <c r="K1274" s="1"/>
      <c r="L1274"/>
    </row>
    <row r="1275" spans="3:12" x14ac:dyDescent="0.25">
      <c r="C1275"/>
      <c r="D1275"/>
      <c r="F1275" s="1"/>
      <c r="G1275"/>
      <c r="K1275" s="1"/>
      <c r="L1275"/>
    </row>
    <row r="1276" spans="3:12" x14ac:dyDescent="0.25">
      <c r="C1276"/>
      <c r="D1276"/>
      <c r="F1276" s="1"/>
      <c r="G1276"/>
      <c r="K1276" s="1"/>
      <c r="L1276"/>
    </row>
    <row r="1277" spans="3:12" x14ac:dyDescent="0.25">
      <c r="C1277"/>
      <c r="D1277"/>
      <c r="F1277" s="1"/>
      <c r="G1277"/>
      <c r="K1277" s="1"/>
      <c r="L1277"/>
    </row>
    <row r="1278" spans="3:12" x14ac:dyDescent="0.25">
      <c r="C1278"/>
      <c r="D1278"/>
      <c r="F1278" s="1"/>
      <c r="G1278"/>
      <c r="K1278" s="1"/>
      <c r="L1278"/>
    </row>
    <row r="1279" spans="3:12" x14ac:dyDescent="0.25">
      <c r="C1279"/>
      <c r="D1279"/>
      <c r="F1279" s="1"/>
      <c r="G1279"/>
      <c r="K1279" s="1"/>
      <c r="L1279"/>
    </row>
    <row r="1280" spans="3:12" x14ac:dyDescent="0.25">
      <c r="C1280"/>
      <c r="D1280"/>
      <c r="F1280" s="1"/>
      <c r="G1280"/>
      <c r="K1280" s="1"/>
      <c r="L1280"/>
    </row>
    <row r="1281" spans="3:12" x14ac:dyDescent="0.25">
      <c r="C1281"/>
      <c r="D1281"/>
      <c r="F1281" s="1"/>
      <c r="G1281"/>
      <c r="K1281" s="1"/>
      <c r="L1281"/>
    </row>
    <row r="1282" spans="3:12" x14ac:dyDescent="0.25">
      <c r="C1282"/>
      <c r="D1282"/>
      <c r="F1282" s="1"/>
      <c r="G1282"/>
      <c r="K1282" s="1"/>
      <c r="L1282"/>
    </row>
    <row r="1283" spans="3:12" x14ac:dyDescent="0.25">
      <c r="C1283"/>
      <c r="D1283"/>
      <c r="F1283" s="1"/>
      <c r="G1283"/>
      <c r="K1283" s="1"/>
      <c r="L1283"/>
    </row>
    <row r="1284" spans="3:12" x14ac:dyDescent="0.25">
      <c r="C1284"/>
      <c r="D1284"/>
      <c r="F1284" s="1"/>
      <c r="G1284"/>
      <c r="K1284" s="1"/>
      <c r="L1284"/>
    </row>
    <row r="1285" spans="3:12" x14ac:dyDescent="0.25">
      <c r="C1285"/>
      <c r="D1285"/>
      <c r="F1285" s="1"/>
      <c r="G1285"/>
      <c r="K1285" s="1"/>
      <c r="L1285"/>
    </row>
    <row r="1286" spans="3:12" x14ac:dyDescent="0.25">
      <c r="C1286"/>
      <c r="D1286"/>
      <c r="F1286" s="1"/>
      <c r="G1286"/>
      <c r="K1286" s="1"/>
      <c r="L1286"/>
    </row>
    <row r="1287" spans="3:12" x14ac:dyDescent="0.25">
      <c r="C1287"/>
      <c r="D1287"/>
      <c r="F1287" s="1"/>
      <c r="G1287"/>
      <c r="K1287" s="1"/>
      <c r="L1287"/>
    </row>
    <row r="1288" spans="3:12" x14ac:dyDescent="0.25">
      <c r="C1288"/>
      <c r="D1288"/>
      <c r="F1288" s="1"/>
      <c r="G1288"/>
      <c r="K1288" s="1"/>
      <c r="L1288"/>
    </row>
    <row r="1289" spans="3:12" x14ac:dyDescent="0.25">
      <c r="C1289"/>
      <c r="D1289"/>
      <c r="F1289" s="1"/>
      <c r="G1289"/>
      <c r="K1289" s="1"/>
      <c r="L1289"/>
    </row>
    <row r="1290" spans="3:12" x14ac:dyDescent="0.25">
      <c r="C1290"/>
      <c r="D1290"/>
      <c r="F1290" s="1"/>
      <c r="G1290"/>
      <c r="K1290" s="1"/>
      <c r="L1290"/>
    </row>
    <row r="1291" spans="3:12" x14ac:dyDescent="0.25">
      <c r="C1291"/>
      <c r="D1291"/>
      <c r="F1291" s="1"/>
      <c r="G1291"/>
      <c r="K1291" s="1"/>
      <c r="L1291"/>
    </row>
    <row r="1292" spans="3:12" x14ac:dyDescent="0.25">
      <c r="C1292"/>
      <c r="D1292"/>
      <c r="F1292" s="1"/>
      <c r="G1292"/>
      <c r="K1292" s="1"/>
      <c r="L1292"/>
    </row>
    <row r="1293" spans="3:12" x14ac:dyDescent="0.25">
      <c r="C1293"/>
      <c r="D1293"/>
      <c r="F1293" s="1"/>
      <c r="G1293"/>
      <c r="K1293" s="1"/>
      <c r="L1293"/>
    </row>
    <row r="1294" spans="3:12" x14ac:dyDescent="0.25">
      <c r="C1294"/>
      <c r="D1294"/>
      <c r="F1294" s="1"/>
      <c r="G1294"/>
      <c r="K1294" s="1"/>
      <c r="L1294"/>
    </row>
    <row r="1295" spans="3:12" x14ac:dyDescent="0.25">
      <c r="C1295"/>
      <c r="D1295"/>
      <c r="F1295" s="1"/>
      <c r="G1295"/>
      <c r="K1295" s="1"/>
      <c r="L1295"/>
    </row>
    <row r="1296" spans="3:12" x14ac:dyDescent="0.25">
      <c r="C1296"/>
      <c r="D1296"/>
      <c r="F1296" s="1"/>
      <c r="G1296"/>
      <c r="K1296" s="1"/>
      <c r="L1296"/>
    </row>
    <row r="1297" spans="3:12" x14ac:dyDescent="0.25">
      <c r="C1297"/>
      <c r="D1297"/>
      <c r="F1297" s="1"/>
      <c r="G1297"/>
      <c r="K1297" s="1"/>
      <c r="L1297"/>
    </row>
    <row r="1298" spans="3:12" x14ac:dyDescent="0.25">
      <c r="C1298"/>
      <c r="D1298"/>
      <c r="F1298" s="1"/>
      <c r="G1298"/>
      <c r="K1298" s="1"/>
      <c r="L1298"/>
    </row>
    <row r="1299" spans="3:12" x14ac:dyDescent="0.25">
      <c r="C1299"/>
      <c r="D1299"/>
      <c r="F1299" s="1"/>
      <c r="G1299"/>
      <c r="K1299" s="1"/>
      <c r="L1299"/>
    </row>
    <row r="1300" spans="3:12" x14ac:dyDescent="0.25">
      <c r="C1300"/>
      <c r="D1300"/>
      <c r="F1300" s="1"/>
      <c r="G1300"/>
      <c r="K1300" s="1"/>
      <c r="L1300"/>
    </row>
    <row r="1301" spans="3:12" x14ac:dyDescent="0.25">
      <c r="C1301"/>
      <c r="D1301"/>
      <c r="F1301" s="1"/>
      <c r="G1301"/>
      <c r="K1301" s="1"/>
      <c r="L1301"/>
    </row>
    <row r="1302" spans="3:12" x14ac:dyDescent="0.25">
      <c r="C1302"/>
      <c r="D1302"/>
      <c r="F1302" s="1"/>
      <c r="G1302"/>
      <c r="K1302" s="1"/>
      <c r="L1302"/>
    </row>
    <row r="1303" spans="3:12" x14ac:dyDescent="0.25">
      <c r="C1303"/>
      <c r="D1303"/>
      <c r="F1303" s="1"/>
      <c r="G1303"/>
      <c r="K1303" s="1"/>
      <c r="L1303"/>
    </row>
    <row r="1304" spans="3:12" x14ac:dyDescent="0.25">
      <c r="C1304"/>
      <c r="D1304"/>
      <c r="F1304" s="1"/>
      <c r="G1304"/>
      <c r="K1304" s="1"/>
      <c r="L1304"/>
    </row>
    <row r="1305" spans="3:12" x14ac:dyDescent="0.25">
      <c r="C1305"/>
      <c r="D1305"/>
      <c r="F1305" s="1"/>
      <c r="G1305"/>
      <c r="K1305" s="1"/>
      <c r="L1305"/>
    </row>
    <row r="1306" spans="3:12" x14ac:dyDescent="0.25">
      <c r="C1306"/>
      <c r="D1306"/>
      <c r="F1306" s="1"/>
      <c r="G1306"/>
      <c r="K1306" s="1"/>
      <c r="L1306"/>
    </row>
    <row r="1307" spans="3:12" x14ac:dyDescent="0.25">
      <c r="C1307"/>
      <c r="D1307"/>
      <c r="F1307" s="1"/>
      <c r="G1307"/>
      <c r="K1307" s="1"/>
      <c r="L1307"/>
    </row>
    <row r="1308" spans="3:12" x14ac:dyDescent="0.25">
      <c r="C1308"/>
      <c r="D1308"/>
      <c r="F1308" s="1"/>
      <c r="G1308"/>
      <c r="K1308" s="1"/>
      <c r="L1308"/>
    </row>
    <row r="1309" spans="3:12" x14ac:dyDescent="0.25">
      <c r="C1309"/>
      <c r="D1309"/>
      <c r="F1309" s="1"/>
      <c r="G1309"/>
      <c r="K1309" s="1"/>
      <c r="L1309"/>
    </row>
    <row r="1310" spans="3:12" x14ac:dyDescent="0.25">
      <c r="C1310"/>
      <c r="D1310"/>
      <c r="F1310" s="1"/>
      <c r="G1310"/>
      <c r="K1310" s="1"/>
      <c r="L1310"/>
    </row>
    <row r="1311" spans="3:12" x14ac:dyDescent="0.25">
      <c r="C1311"/>
      <c r="D1311"/>
      <c r="F1311" s="1"/>
      <c r="G1311"/>
      <c r="K1311" s="1"/>
      <c r="L1311"/>
    </row>
    <row r="1312" spans="3:12" x14ac:dyDescent="0.25">
      <c r="C1312"/>
      <c r="D1312"/>
      <c r="F1312" s="1"/>
      <c r="G1312"/>
      <c r="K1312" s="1"/>
      <c r="L1312"/>
    </row>
    <row r="1313" spans="3:12" x14ac:dyDescent="0.25">
      <c r="C1313"/>
      <c r="D1313"/>
      <c r="F1313" s="1"/>
      <c r="G1313"/>
      <c r="K1313" s="1"/>
      <c r="L1313"/>
    </row>
    <row r="1314" spans="3:12" x14ac:dyDescent="0.25">
      <c r="C1314"/>
      <c r="D1314"/>
      <c r="F1314" s="1"/>
      <c r="G1314"/>
      <c r="K1314" s="1"/>
      <c r="L1314"/>
    </row>
    <row r="1315" spans="3:12" x14ac:dyDescent="0.25">
      <c r="C1315"/>
      <c r="D1315"/>
      <c r="F1315" s="1"/>
      <c r="G1315"/>
      <c r="K1315" s="1"/>
      <c r="L1315"/>
    </row>
    <row r="1316" spans="3:12" x14ac:dyDescent="0.25">
      <c r="C1316"/>
      <c r="D1316"/>
      <c r="F1316" s="1"/>
      <c r="G1316"/>
      <c r="K1316" s="1"/>
      <c r="L1316"/>
    </row>
    <row r="1317" spans="3:12" x14ac:dyDescent="0.25">
      <c r="C1317"/>
      <c r="D1317"/>
      <c r="F1317" s="1"/>
      <c r="G1317"/>
      <c r="K1317" s="1"/>
      <c r="L1317"/>
    </row>
    <row r="1318" spans="3:12" x14ac:dyDescent="0.25">
      <c r="C1318"/>
      <c r="D1318"/>
      <c r="F1318" s="1"/>
      <c r="G1318"/>
      <c r="K1318" s="1"/>
      <c r="L1318"/>
    </row>
    <row r="1319" spans="3:12" x14ac:dyDescent="0.25">
      <c r="C1319"/>
      <c r="D1319"/>
      <c r="F1319" s="1"/>
      <c r="G1319"/>
      <c r="K1319" s="1"/>
      <c r="L1319"/>
    </row>
    <row r="1320" spans="3:12" x14ac:dyDescent="0.25">
      <c r="C1320"/>
      <c r="D1320"/>
      <c r="F1320" s="1"/>
      <c r="G1320"/>
      <c r="K1320" s="1"/>
      <c r="L1320"/>
    </row>
    <row r="1321" spans="3:12" x14ac:dyDescent="0.25">
      <c r="C1321"/>
      <c r="D1321"/>
      <c r="F1321" s="1"/>
      <c r="G1321"/>
      <c r="K1321" s="1"/>
      <c r="L1321"/>
    </row>
    <row r="1322" spans="3:12" x14ac:dyDescent="0.25">
      <c r="C1322"/>
      <c r="D1322"/>
      <c r="F1322" s="1"/>
      <c r="G1322"/>
      <c r="K1322" s="1"/>
      <c r="L1322"/>
    </row>
    <row r="1323" spans="3:12" x14ac:dyDescent="0.25">
      <c r="C1323"/>
      <c r="D1323"/>
      <c r="F1323" s="1"/>
      <c r="G1323"/>
      <c r="K1323" s="1"/>
      <c r="L1323"/>
    </row>
    <row r="1324" spans="3:12" x14ac:dyDescent="0.25">
      <c r="C1324"/>
      <c r="D1324"/>
      <c r="F1324" s="1"/>
      <c r="G1324"/>
      <c r="K1324" s="1"/>
      <c r="L1324"/>
    </row>
    <row r="1325" spans="3:12" x14ac:dyDescent="0.25">
      <c r="C1325"/>
      <c r="D1325"/>
      <c r="F1325" s="1"/>
      <c r="G1325"/>
      <c r="K1325" s="1"/>
      <c r="L1325"/>
    </row>
    <row r="1326" spans="3:12" x14ac:dyDescent="0.25">
      <c r="C1326"/>
      <c r="D1326"/>
      <c r="F1326" s="1"/>
      <c r="G1326"/>
      <c r="K1326" s="1"/>
      <c r="L1326"/>
    </row>
    <row r="1327" spans="3:12" x14ac:dyDescent="0.25">
      <c r="C1327"/>
      <c r="D1327"/>
      <c r="F1327" s="1"/>
      <c r="G1327"/>
      <c r="K1327" s="1"/>
      <c r="L1327"/>
    </row>
    <row r="1328" spans="3:12" x14ac:dyDescent="0.25">
      <c r="C1328"/>
      <c r="D1328"/>
      <c r="F1328" s="1"/>
      <c r="G1328"/>
      <c r="K1328" s="1"/>
      <c r="L1328"/>
    </row>
    <row r="1329" spans="3:12" x14ac:dyDescent="0.25">
      <c r="C1329"/>
      <c r="D1329"/>
      <c r="F1329" s="1"/>
      <c r="G1329"/>
      <c r="K1329" s="1"/>
      <c r="L1329"/>
    </row>
    <row r="1330" spans="3:12" x14ac:dyDescent="0.25">
      <c r="C1330"/>
      <c r="D1330"/>
      <c r="F1330" s="1"/>
      <c r="G1330"/>
      <c r="K1330" s="1"/>
      <c r="L1330"/>
    </row>
    <row r="1331" spans="3:12" x14ac:dyDescent="0.25">
      <c r="C1331"/>
      <c r="D1331"/>
      <c r="F1331" s="1"/>
      <c r="G1331"/>
      <c r="K1331" s="1"/>
      <c r="L1331"/>
    </row>
    <row r="1332" spans="3:12" x14ac:dyDescent="0.25">
      <c r="C1332"/>
      <c r="D1332"/>
      <c r="F1332" s="1"/>
      <c r="G1332"/>
      <c r="K1332" s="1"/>
      <c r="L1332"/>
    </row>
    <row r="1333" spans="3:12" x14ac:dyDescent="0.25">
      <c r="C1333"/>
      <c r="D1333"/>
      <c r="F1333" s="1"/>
      <c r="G1333"/>
      <c r="K1333" s="1"/>
      <c r="L1333"/>
    </row>
    <row r="1334" spans="3:12" x14ac:dyDescent="0.25">
      <c r="C1334"/>
      <c r="D1334"/>
      <c r="F1334" s="1"/>
      <c r="G1334"/>
      <c r="K1334" s="1"/>
      <c r="L1334"/>
    </row>
    <row r="1335" spans="3:12" x14ac:dyDescent="0.25">
      <c r="C1335"/>
      <c r="D1335"/>
      <c r="F1335" s="1"/>
      <c r="G1335"/>
      <c r="K1335" s="1"/>
      <c r="L1335"/>
    </row>
    <row r="1336" spans="3:12" x14ac:dyDescent="0.25">
      <c r="C1336"/>
      <c r="D1336"/>
      <c r="F1336" s="1"/>
      <c r="G1336"/>
      <c r="K1336" s="1"/>
      <c r="L1336"/>
    </row>
    <row r="1337" spans="3:12" x14ac:dyDescent="0.25">
      <c r="C1337"/>
      <c r="D1337"/>
      <c r="F1337" s="1"/>
      <c r="G1337"/>
      <c r="K1337" s="1"/>
      <c r="L1337"/>
    </row>
    <row r="1338" spans="3:12" x14ac:dyDescent="0.25">
      <c r="C1338"/>
      <c r="D1338"/>
      <c r="F1338" s="1"/>
      <c r="G1338"/>
      <c r="K1338" s="1"/>
      <c r="L1338"/>
    </row>
    <row r="1339" spans="3:12" x14ac:dyDescent="0.25">
      <c r="C1339"/>
      <c r="D1339"/>
      <c r="F1339" s="1"/>
      <c r="G1339"/>
      <c r="K1339" s="1"/>
      <c r="L1339"/>
    </row>
    <row r="1340" spans="3:12" x14ac:dyDescent="0.25">
      <c r="C1340"/>
      <c r="D1340"/>
      <c r="F1340" s="1"/>
      <c r="G1340"/>
      <c r="K1340" s="1"/>
      <c r="L1340"/>
    </row>
    <row r="1341" spans="3:12" x14ac:dyDescent="0.25">
      <c r="C1341"/>
      <c r="D1341"/>
      <c r="F1341" s="1"/>
      <c r="G1341"/>
      <c r="K1341" s="1"/>
      <c r="L1341"/>
    </row>
    <row r="1342" spans="3:12" x14ac:dyDescent="0.25">
      <c r="C1342"/>
      <c r="D1342"/>
      <c r="F1342" s="1"/>
      <c r="G1342"/>
      <c r="K1342" s="1"/>
      <c r="L1342"/>
    </row>
    <row r="1343" spans="3:12" x14ac:dyDescent="0.25">
      <c r="C1343"/>
      <c r="D1343"/>
      <c r="F1343" s="1"/>
      <c r="G1343"/>
      <c r="K1343" s="1"/>
      <c r="L1343"/>
    </row>
    <row r="1344" spans="3:12" x14ac:dyDescent="0.25">
      <c r="C1344"/>
      <c r="D1344"/>
      <c r="F1344" s="1"/>
      <c r="G1344"/>
      <c r="K1344" s="1"/>
      <c r="L1344"/>
    </row>
    <row r="1345" spans="3:12" x14ac:dyDescent="0.25">
      <c r="C1345"/>
      <c r="D1345"/>
      <c r="F1345" s="1"/>
      <c r="G1345"/>
      <c r="K1345" s="1"/>
      <c r="L1345"/>
    </row>
    <row r="1346" spans="3:12" x14ac:dyDescent="0.25">
      <c r="C1346"/>
      <c r="D1346"/>
      <c r="F1346" s="1"/>
      <c r="G1346"/>
      <c r="K1346" s="1"/>
      <c r="L1346"/>
    </row>
    <row r="1347" spans="3:12" x14ac:dyDescent="0.25">
      <c r="C1347"/>
      <c r="D1347"/>
      <c r="F1347" s="1"/>
      <c r="G1347"/>
      <c r="K1347" s="1"/>
      <c r="L1347"/>
    </row>
    <row r="1348" spans="3:12" x14ac:dyDescent="0.25">
      <c r="C1348"/>
      <c r="D1348"/>
      <c r="F1348" s="1"/>
      <c r="G1348"/>
      <c r="K1348" s="1"/>
      <c r="L1348"/>
    </row>
    <row r="1349" spans="3:12" x14ac:dyDescent="0.25">
      <c r="C1349"/>
      <c r="D1349"/>
      <c r="F1349" s="1"/>
      <c r="G1349"/>
      <c r="K1349" s="1"/>
      <c r="L1349"/>
    </row>
    <row r="1350" spans="3:12" x14ac:dyDescent="0.25">
      <c r="C1350"/>
      <c r="D1350"/>
      <c r="F1350" s="1"/>
      <c r="G1350"/>
      <c r="K1350" s="1"/>
      <c r="L1350"/>
    </row>
    <row r="1351" spans="3:12" x14ac:dyDescent="0.25">
      <c r="C1351"/>
      <c r="D1351"/>
      <c r="F1351" s="1"/>
      <c r="G1351"/>
      <c r="K1351" s="1"/>
      <c r="L1351"/>
    </row>
    <row r="1352" spans="3:12" x14ac:dyDescent="0.25">
      <c r="C1352"/>
      <c r="D1352"/>
      <c r="F1352" s="1"/>
      <c r="G1352"/>
      <c r="K1352" s="1"/>
      <c r="L1352"/>
    </row>
    <row r="1353" spans="3:12" x14ac:dyDescent="0.25">
      <c r="C1353"/>
      <c r="D1353"/>
      <c r="F1353" s="1"/>
      <c r="G1353"/>
      <c r="K1353" s="1"/>
      <c r="L1353"/>
    </row>
    <row r="1354" spans="3:12" x14ac:dyDescent="0.25">
      <c r="C1354"/>
      <c r="D1354"/>
      <c r="F1354" s="1"/>
      <c r="G1354"/>
      <c r="K1354" s="1"/>
      <c r="L1354"/>
    </row>
    <row r="1355" spans="3:12" x14ac:dyDescent="0.25">
      <c r="C1355"/>
      <c r="D1355"/>
      <c r="F1355" s="1"/>
      <c r="G1355"/>
      <c r="K1355" s="1"/>
      <c r="L1355"/>
    </row>
    <row r="1356" spans="3:12" x14ac:dyDescent="0.25">
      <c r="C1356"/>
      <c r="D1356"/>
      <c r="F1356" s="1"/>
      <c r="G1356"/>
      <c r="K1356" s="1"/>
      <c r="L1356"/>
    </row>
    <row r="1357" spans="3:12" x14ac:dyDescent="0.25">
      <c r="C1357"/>
      <c r="D1357"/>
      <c r="F1357" s="1"/>
      <c r="G1357"/>
      <c r="K1357" s="1"/>
      <c r="L1357"/>
    </row>
    <row r="1358" spans="3:12" x14ac:dyDescent="0.25">
      <c r="C1358"/>
      <c r="D1358"/>
      <c r="F1358" s="1"/>
      <c r="G1358"/>
      <c r="K1358" s="1"/>
      <c r="L1358"/>
    </row>
    <row r="1359" spans="3:12" x14ac:dyDescent="0.25">
      <c r="C1359"/>
      <c r="D1359"/>
      <c r="F1359" s="1"/>
      <c r="G1359"/>
      <c r="K1359" s="1"/>
      <c r="L1359"/>
    </row>
    <row r="1360" spans="3:12" x14ac:dyDescent="0.25">
      <c r="C1360"/>
      <c r="D1360"/>
      <c r="F1360" s="1"/>
      <c r="G1360"/>
      <c r="K1360" s="1"/>
      <c r="L1360"/>
    </row>
    <row r="1361" spans="3:12" x14ac:dyDescent="0.25">
      <c r="C1361"/>
      <c r="D1361"/>
      <c r="F1361" s="1"/>
      <c r="G1361"/>
      <c r="K1361" s="1"/>
      <c r="L1361"/>
    </row>
    <row r="1362" spans="3:12" x14ac:dyDescent="0.25">
      <c r="C1362"/>
      <c r="D1362"/>
      <c r="F1362" s="1"/>
      <c r="G1362"/>
      <c r="K1362" s="1"/>
      <c r="L1362"/>
    </row>
    <row r="1363" spans="3:12" x14ac:dyDescent="0.25">
      <c r="C1363"/>
      <c r="D1363"/>
      <c r="F1363" s="1"/>
      <c r="G1363"/>
      <c r="K1363" s="1"/>
      <c r="L1363"/>
    </row>
    <row r="1364" spans="3:12" x14ac:dyDescent="0.25">
      <c r="C1364"/>
      <c r="D1364"/>
      <c r="F1364" s="1"/>
      <c r="G1364"/>
      <c r="K1364" s="1"/>
      <c r="L1364"/>
    </row>
    <row r="1365" spans="3:12" x14ac:dyDescent="0.25">
      <c r="C1365"/>
      <c r="D1365"/>
      <c r="F1365" s="1"/>
      <c r="G1365"/>
      <c r="K1365" s="1"/>
      <c r="L1365"/>
    </row>
    <row r="1366" spans="3:12" x14ac:dyDescent="0.25">
      <c r="C1366"/>
      <c r="D1366"/>
      <c r="F1366" s="1"/>
      <c r="G1366"/>
      <c r="K1366" s="1"/>
      <c r="L1366"/>
    </row>
    <row r="1367" spans="3:12" x14ac:dyDescent="0.25">
      <c r="C1367"/>
      <c r="D1367"/>
      <c r="F1367" s="1"/>
      <c r="G1367"/>
      <c r="K1367" s="1"/>
      <c r="L1367"/>
    </row>
    <row r="1368" spans="3:12" x14ac:dyDescent="0.25">
      <c r="C1368"/>
      <c r="D1368"/>
      <c r="F1368" s="1"/>
      <c r="G1368"/>
      <c r="K1368" s="1"/>
      <c r="L1368"/>
    </row>
    <row r="1369" spans="3:12" x14ac:dyDescent="0.25">
      <c r="C1369"/>
      <c r="D1369"/>
      <c r="F1369" s="1"/>
      <c r="G1369"/>
      <c r="K1369" s="1"/>
      <c r="L1369"/>
    </row>
    <row r="1370" spans="3:12" x14ac:dyDescent="0.25">
      <c r="C1370"/>
      <c r="D1370"/>
      <c r="F1370" s="1"/>
      <c r="G1370"/>
      <c r="K1370" s="1"/>
      <c r="L1370"/>
    </row>
    <row r="1371" spans="3:12" x14ac:dyDescent="0.25">
      <c r="C1371"/>
      <c r="D1371"/>
      <c r="F1371" s="1"/>
      <c r="G1371"/>
      <c r="K1371" s="1"/>
      <c r="L1371"/>
    </row>
    <row r="1372" spans="3:12" x14ac:dyDescent="0.25">
      <c r="C1372"/>
      <c r="D1372"/>
      <c r="F1372" s="1"/>
      <c r="G1372"/>
      <c r="K1372" s="1"/>
      <c r="L1372"/>
    </row>
    <row r="1373" spans="3:12" x14ac:dyDescent="0.25">
      <c r="C1373"/>
      <c r="D1373"/>
      <c r="F1373" s="1"/>
      <c r="G1373"/>
      <c r="K1373" s="1"/>
      <c r="L1373"/>
    </row>
    <row r="1374" spans="3:12" x14ac:dyDescent="0.25">
      <c r="C1374"/>
      <c r="D1374"/>
      <c r="F1374" s="1"/>
      <c r="G1374"/>
      <c r="K1374" s="1"/>
      <c r="L1374"/>
    </row>
    <row r="1375" spans="3:12" x14ac:dyDescent="0.25">
      <c r="C1375"/>
      <c r="D1375"/>
      <c r="F1375" s="1"/>
      <c r="G1375"/>
      <c r="K1375" s="1"/>
      <c r="L1375"/>
    </row>
    <row r="1376" spans="3:12" x14ac:dyDescent="0.25">
      <c r="C1376"/>
      <c r="D1376"/>
      <c r="F1376" s="1"/>
      <c r="G1376"/>
      <c r="K1376" s="1"/>
      <c r="L1376"/>
    </row>
    <row r="1377" spans="3:12" x14ac:dyDescent="0.25">
      <c r="C1377"/>
      <c r="D1377"/>
      <c r="F1377" s="1"/>
      <c r="G1377"/>
      <c r="K1377" s="1"/>
      <c r="L1377"/>
    </row>
    <row r="1378" spans="3:12" x14ac:dyDescent="0.25">
      <c r="C1378"/>
      <c r="D1378"/>
      <c r="F1378" s="1"/>
      <c r="G1378"/>
      <c r="K1378" s="1"/>
      <c r="L1378"/>
    </row>
    <row r="1379" spans="3:12" x14ac:dyDescent="0.25">
      <c r="C1379"/>
      <c r="D1379"/>
      <c r="F1379" s="1"/>
      <c r="G1379"/>
      <c r="K1379" s="1"/>
      <c r="L1379"/>
    </row>
    <row r="1380" spans="3:12" x14ac:dyDescent="0.25">
      <c r="C1380"/>
      <c r="D1380"/>
      <c r="F1380" s="1"/>
      <c r="G1380"/>
      <c r="K1380" s="1"/>
      <c r="L1380"/>
    </row>
    <row r="1381" spans="3:12" x14ac:dyDescent="0.25">
      <c r="C1381"/>
      <c r="D1381"/>
      <c r="F1381" s="1"/>
      <c r="G1381"/>
      <c r="K1381" s="1"/>
      <c r="L1381"/>
    </row>
    <row r="1382" spans="3:12" x14ac:dyDescent="0.25">
      <c r="C1382"/>
      <c r="D1382"/>
      <c r="F1382" s="1"/>
      <c r="G1382"/>
      <c r="K1382" s="1"/>
      <c r="L1382"/>
    </row>
    <row r="1383" spans="3:12" x14ac:dyDescent="0.25">
      <c r="C1383"/>
      <c r="D1383"/>
      <c r="F1383" s="1"/>
      <c r="G1383"/>
      <c r="K1383" s="1"/>
      <c r="L1383"/>
    </row>
    <row r="1384" spans="3:12" x14ac:dyDescent="0.25">
      <c r="C1384"/>
      <c r="D1384"/>
      <c r="F1384" s="1"/>
      <c r="G1384"/>
      <c r="K1384" s="1"/>
      <c r="L1384"/>
    </row>
    <row r="1385" spans="3:12" x14ac:dyDescent="0.25">
      <c r="C1385"/>
      <c r="D1385"/>
      <c r="F1385" s="1"/>
      <c r="G1385"/>
      <c r="K1385" s="1"/>
      <c r="L1385"/>
    </row>
    <row r="1386" spans="3:12" x14ac:dyDescent="0.25">
      <c r="C1386"/>
      <c r="D1386"/>
      <c r="F1386" s="1"/>
      <c r="G1386"/>
      <c r="K1386" s="1"/>
      <c r="L1386"/>
    </row>
    <row r="1387" spans="3:12" x14ac:dyDescent="0.25">
      <c r="C1387"/>
      <c r="D1387"/>
      <c r="F1387" s="1"/>
      <c r="G1387"/>
      <c r="K1387" s="1"/>
      <c r="L1387"/>
    </row>
    <row r="1388" spans="3:12" x14ac:dyDescent="0.25">
      <c r="C1388"/>
      <c r="D1388"/>
      <c r="F1388" s="1"/>
      <c r="G1388"/>
      <c r="K1388" s="1"/>
      <c r="L1388"/>
    </row>
    <row r="1389" spans="3:12" x14ac:dyDescent="0.25">
      <c r="C1389"/>
      <c r="D1389"/>
      <c r="F1389" s="1"/>
      <c r="G1389"/>
      <c r="K1389" s="1"/>
      <c r="L1389"/>
    </row>
    <row r="1390" spans="3:12" x14ac:dyDescent="0.25">
      <c r="C1390"/>
      <c r="D1390"/>
      <c r="F1390" s="1"/>
      <c r="G1390"/>
      <c r="K1390" s="1"/>
      <c r="L1390"/>
    </row>
    <row r="1391" spans="3:12" x14ac:dyDescent="0.25">
      <c r="C1391"/>
      <c r="D1391"/>
      <c r="F1391" s="1"/>
      <c r="G1391"/>
      <c r="K1391" s="1"/>
      <c r="L1391"/>
    </row>
    <row r="1392" spans="3:12" x14ac:dyDescent="0.25">
      <c r="C1392"/>
      <c r="D1392"/>
      <c r="F1392" s="1"/>
      <c r="G1392"/>
      <c r="K1392" s="1"/>
      <c r="L1392"/>
    </row>
    <row r="1393" spans="3:12" x14ac:dyDescent="0.25">
      <c r="C1393"/>
      <c r="D1393"/>
      <c r="F1393" s="1"/>
      <c r="G1393"/>
      <c r="K1393" s="1"/>
      <c r="L1393"/>
    </row>
    <row r="1394" spans="3:12" x14ac:dyDescent="0.25">
      <c r="C1394"/>
      <c r="D1394"/>
      <c r="F1394" s="1"/>
      <c r="G1394"/>
      <c r="K1394" s="1"/>
      <c r="L1394"/>
    </row>
    <row r="1395" spans="3:12" x14ac:dyDescent="0.25">
      <c r="C1395"/>
      <c r="D1395"/>
      <c r="F1395" s="1"/>
      <c r="G1395"/>
      <c r="K1395" s="1"/>
      <c r="L1395"/>
    </row>
    <row r="1396" spans="3:12" x14ac:dyDescent="0.25">
      <c r="C1396"/>
      <c r="D1396"/>
      <c r="F1396" s="1"/>
      <c r="G1396"/>
      <c r="K1396" s="1"/>
      <c r="L1396"/>
    </row>
    <row r="1397" spans="3:12" x14ac:dyDescent="0.25">
      <c r="C1397"/>
      <c r="D1397"/>
      <c r="F1397" s="1"/>
      <c r="G1397"/>
      <c r="K1397" s="1"/>
      <c r="L1397"/>
    </row>
    <row r="1398" spans="3:12" x14ac:dyDescent="0.25">
      <c r="C1398"/>
      <c r="D1398"/>
      <c r="F1398" s="1"/>
      <c r="G1398"/>
      <c r="K1398" s="1"/>
      <c r="L1398"/>
    </row>
    <row r="1399" spans="3:12" x14ac:dyDescent="0.25">
      <c r="C1399"/>
      <c r="D1399"/>
      <c r="F1399" s="1"/>
      <c r="G1399"/>
      <c r="K1399" s="1"/>
      <c r="L1399"/>
    </row>
    <row r="1400" spans="3:12" x14ac:dyDescent="0.25">
      <c r="C1400"/>
      <c r="D1400"/>
      <c r="F1400" s="1"/>
      <c r="G1400"/>
      <c r="K1400" s="1"/>
      <c r="L1400"/>
    </row>
    <row r="1401" spans="3:12" x14ac:dyDescent="0.25">
      <c r="C1401"/>
      <c r="D1401"/>
      <c r="F1401" s="1"/>
      <c r="G1401"/>
      <c r="K1401" s="1"/>
      <c r="L1401"/>
    </row>
    <row r="1402" spans="3:12" x14ac:dyDescent="0.25">
      <c r="C1402"/>
      <c r="D1402"/>
      <c r="F1402" s="1"/>
      <c r="G1402"/>
      <c r="K1402" s="1"/>
      <c r="L1402"/>
    </row>
    <row r="1403" spans="3:12" x14ac:dyDescent="0.25">
      <c r="C1403"/>
      <c r="D1403"/>
      <c r="F1403" s="1"/>
      <c r="G1403"/>
      <c r="K1403" s="1"/>
      <c r="L1403"/>
    </row>
    <row r="1404" spans="3:12" x14ac:dyDescent="0.25">
      <c r="C1404"/>
      <c r="D1404"/>
      <c r="F1404" s="1"/>
      <c r="G1404"/>
      <c r="K1404" s="1"/>
      <c r="L1404"/>
    </row>
    <row r="1405" spans="3:12" x14ac:dyDescent="0.25">
      <c r="C1405"/>
      <c r="D1405"/>
      <c r="F1405" s="1"/>
      <c r="G1405"/>
      <c r="K1405" s="1"/>
      <c r="L1405"/>
    </row>
    <row r="1406" spans="3:12" x14ac:dyDescent="0.25">
      <c r="C1406"/>
      <c r="D1406"/>
      <c r="F1406" s="1"/>
      <c r="G1406"/>
      <c r="K1406" s="1"/>
      <c r="L1406"/>
    </row>
    <row r="1407" spans="3:12" x14ac:dyDescent="0.25">
      <c r="C1407"/>
      <c r="D1407"/>
      <c r="F1407" s="1"/>
      <c r="G1407"/>
      <c r="K1407" s="1"/>
      <c r="L1407"/>
    </row>
    <row r="1408" spans="3:12" x14ac:dyDescent="0.25">
      <c r="C1408"/>
      <c r="D1408"/>
      <c r="F1408" s="1"/>
      <c r="G1408"/>
      <c r="K1408" s="1"/>
      <c r="L1408"/>
    </row>
    <row r="1409" spans="3:12" x14ac:dyDescent="0.25">
      <c r="C1409"/>
      <c r="D1409"/>
      <c r="F1409" s="1"/>
      <c r="G1409"/>
      <c r="K1409" s="1"/>
      <c r="L1409"/>
    </row>
    <row r="1410" spans="3:12" x14ac:dyDescent="0.25">
      <c r="C1410"/>
      <c r="D1410"/>
      <c r="F1410" s="1"/>
      <c r="G1410"/>
      <c r="K1410" s="1"/>
      <c r="L1410"/>
    </row>
    <row r="1411" spans="3:12" x14ac:dyDescent="0.25">
      <c r="C1411"/>
      <c r="D1411"/>
      <c r="F1411" s="1"/>
      <c r="G1411"/>
      <c r="K1411" s="1"/>
      <c r="L1411"/>
    </row>
    <row r="1412" spans="3:12" x14ac:dyDescent="0.25">
      <c r="C1412"/>
      <c r="D1412"/>
      <c r="F1412" s="1"/>
      <c r="G1412"/>
      <c r="K1412" s="1"/>
      <c r="L1412"/>
    </row>
    <row r="1413" spans="3:12" x14ac:dyDescent="0.25">
      <c r="C1413"/>
      <c r="D1413"/>
      <c r="F1413" s="1"/>
      <c r="G1413"/>
      <c r="K1413" s="1"/>
      <c r="L1413"/>
    </row>
    <row r="1414" spans="3:12" x14ac:dyDescent="0.25">
      <c r="C1414"/>
      <c r="D1414"/>
      <c r="F1414" s="1"/>
      <c r="G1414"/>
      <c r="K1414" s="1"/>
      <c r="L1414"/>
    </row>
    <row r="1415" spans="3:12" x14ac:dyDescent="0.25">
      <c r="C1415"/>
      <c r="D1415"/>
      <c r="F1415" s="1"/>
      <c r="G1415"/>
      <c r="K1415" s="1"/>
      <c r="L1415"/>
    </row>
    <row r="1416" spans="3:12" x14ac:dyDescent="0.25">
      <c r="C1416"/>
      <c r="D1416"/>
      <c r="F1416" s="1"/>
      <c r="G1416"/>
      <c r="K1416" s="1"/>
      <c r="L1416"/>
    </row>
    <row r="1417" spans="3:12" x14ac:dyDescent="0.25">
      <c r="C1417"/>
      <c r="D1417"/>
      <c r="F1417" s="1"/>
      <c r="G1417"/>
      <c r="K1417" s="1"/>
      <c r="L1417"/>
    </row>
    <row r="1418" spans="3:12" x14ac:dyDescent="0.25">
      <c r="C1418"/>
      <c r="D1418"/>
      <c r="F1418" s="1"/>
      <c r="G1418"/>
      <c r="K1418" s="1"/>
      <c r="L1418"/>
    </row>
    <row r="1419" spans="3:12" x14ac:dyDescent="0.25">
      <c r="C1419"/>
      <c r="D1419"/>
      <c r="F1419" s="1"/>
      <c r="G1419"/>
      <c r="K1419" s="1"/>
      <c r="L1419"/>
    </row>
    <row r="1420" spans="3:12" x14ac:dyDescent="0.25">
      <c r="C1420"/>
      <c r="D1420"/>
      <c r="F1420" s="1"/>
      <c r="G1420"/>
      <c r="K1420" s="1"/>
      <c r="L1420"/>
    </row>
    <row r="1421" spans="3:12" x14ac:dyDescent="0.25">
      <c r="C1421"/>
      <c r="D1421"/>
      <c r="F1421" s="1"/>
      <c r="G1421"/>
      <c r="K1421" s="1"/>
      <c r="L1421"/>
    </row>
    <row r="1422" spans="3:12" x14ac:dyDescent="0.25">
      <c r="C1422"/>
      <c r="D1422"/>
      <c r="F1422" s="1"/>
      <c r="G1422"/>
      <c r="K1422" s="1"/>
      <c r="L1422"/>
    </row>
    <row r="1423" spans="3:12" x14ac:dyDescent="0.25">
      <c r="C1423"/>
      <c r="D1423"/>
      <c r="F1423" s="1"/>
      <c r="G1423"/>
      <c r="K1423" s="1"/>
      <c r="L1423"/>
    </row>
    <row r="1424" spans="3:12" x14ac:dyDescent="0.25">
      <c r="C1424"/>
      <c r="D1424"/>
      <c r="F1424" s="1"/>
      <c r="G1424"/>
      <c r="K1424" s="1"/>
      <c r="L1424"/>
    </row>
    <row r="1425" spans="3:12" x14ac:dyDescent="0.25">
      <c r="C1425"/>
      <c r="D1425"/>
      <c r="F1425" s="1"/>
      <c r="G1425"/>
      <c r="K1425" s="1"/>
      <c r="L1425"/>
    </row>
    <row r="1426" spans="3:12" x14ac:dyDescent="0.25">
      <c r="C1426"/>
      <c r="D1426"/>
      <c r="F1426" s="1"/>
      <c r="G1426"/>
      <c r="K1426" s="1"/>
      <c r="L1426"/>
    </row>
    <row r="1427" spans="3:12" x14ac:dyDescent="0.25">
      <c r="C1427"/>
      <c r="D1427"/>
      <c r="F1427" s="1"/>
      <c r="G1427"/>
      <c r="K1427" s="1"/>
      <c r="L1427"/>
    </row>
    <row r="1428" spans="3:12" x14ac:dyDescent="0.25">
      <c r="C1428"/>
      <c r="D1428"/>
      <c r="F1428" s="1"/>
      <c r="G1428"/>
      <c r="K1428" s="1"/>
      <c r="L1428"/>
    </row>
    <row r="1429" spans="3:12" x14ac:dyDescent="0.25">
      <c r="C1429"/>
      <c r="D1429"/>
      <c r="F1429" s="1"/>
      <c r="G1429"/>
      <c r="K1429" s="1"/>
      <c r="L1429"/>
    </row>
    <row r="1430" spans="3:12" x14ac:dyDescent="0.25">
      <c r="C1430"/>
      <c r="D1430"/>
      <c r="F1430" s="1"/>
      <c r="G1430"/>
      <c r="K1430" s="1"/>
      <c r="L1430"/>
    </row>
    <row r="1431" spans="3:12" x14ac:dyDescent="0.25">
      <c r="C1431"/>
      <c r="D1431"/>
      <c r="F1431" s="1"/>
      <c r="G1431"/>
      <c r="K1431" s="1"/>
      <c r="L1431"/>
    </row>
    <row r="1432" spans="3:12" x14ac:dyDescent="0.25">
      <c r="C1432"/>
      <c r="D1432"/>
      <c r="F1432" s="1"/>
      <c r="G1432"/>
      <c r="K1432" s="1"/>
      <c r="L1432"/>
    </row>
    <row r="1433" spans="3:12" x14ac:dyDescent="0.25">
      <c r="C1433"/>
      <c r="D1433"/>
      <c r="F1433" s="1"/>
      <c r="G1433"/>
      <c r="K1433" s="1"/>
      <c r="L1433"/>
    </row>
    <row r="1434" spans="3:12" x14ac:dyDescent="0.25">
      <c r="C1434"/>
      <c r="D1434"/>
      <c r="F1434" s="1"/>
      <c r="G1434"/>
      <c r="K1434" s="1"/>
      <c r="L1434"/>
    </row>
    <row r="1435" spans="3:12" x14ac:dyDescent="0.25">
      <c r="C1435"/>
      <c r="D1435"/>
      <c r="F1435" s="1"/>
      <c r="G1435"/>
      <c r="K1435" s="1"/>
      <c r="L1435"/>
    </row>
    <row r="1436" spans="3:12" x14ac:dyDescent="0.25">
      <c r="C1436"/>
      <c r="D1436"/>
      <c r="F1436" s="1"/>
      <c r="G1436"/>
      <c r="K1436" s="1"/>
      <c r="L1436"/>
    </row>
    <row r="1437" spans="3:12" x14ac:dyDescent="0.25">
      <c r="C1437"/>
      <c r="D1437"/>
      <c r="F1437" s="1"/>
      <c r="G1437"/>
      <c r="K1437" s="1"/>
      <c r="L1437"/>
    </row>
    <row r="1438" spans="3:12" x14ac:dyDescent="0.25">
      <c r="C1438"/>
      <c r="D1438"/>
      <c r="F1438" s="1"/>
      <c r="G1438"/>
      <c r="K1438" s="1"/>
      <c r="L1438"/>
    </row>
    <row r="1439" spans="3:12" x14ac:dyDescent="0.25">
      <c r="C1439"/>
      <c r="D1439"/>
      <c r="F1439" s="1"/>
      <c r="G1439"/>
      <c r="K1439" s="1"/>
      <c r="L1439"/>
    </row>
    <row r="1440" spans="3:12" x14ac:dyDescent="0.25">
      <c r="C1440"/>
      <c r="D1440"/>
      <c r="F1440" s="1"/>
      <c r="G1440"/>
      <c r="K1440" s="1"/>
      <c r="L1440"/>
    </row>
    <row r="1441" spans="3:12" x14ac:dyDescent="0.25">
      <c r="C1441"/>
      <c r="D1441"/>
      <c r="F1441" s="1"/>
      <c r="G1441"/>
      <c r="K1441" s="1"/>
      <c r="L1441"/>
    </row>
    <row r="1442" spans="3:12" x14ac:dyDescent="0.25">
      <c r="C1442"/>
      <c r="D1442"/>
      <c r="F1442" s="1"/>
      <c r="G1442"/>
      <c r="K1442" s="1"/>
      <c r="L1442"/>
    </row>
    <row r="1443" spans="3:12" x14ac:dyDescent="0.25">
      <c r="C1443"/>
      <c r="D1443"/>
      <c r="F1443" s="1"/>
      <c r="G1443"/>
      <c r="K1443" s="1"/>
      <c r="L1443"/>
    </row>
    <row r="1444" spans="3:12" x14ac:dyDescent="0.25">
      <c r="C1444"/>
      <c r="D1444"/>
      <c r="F1444" s="1"/>
      <c r="G1444"/>
      <c r="K1444" s="1"/>
      <c r="L1444"/>
    </row>
    <row r="1445" spans="3:12" x14ac:dyDescent="0.25">
      <c r="C1445"/>
      <c r="D1445"/>
      <c r="F1445" s="1"/>
      <c r="G1445"/>
      <c r="K1445" s="1"/>
      <c r="L1445"/>
    </row>
    <row r="1446" spans="3:12" x14ac:dyDescent="0.25">
      <c r="C1446"/>
      <c r="D1446"/>
      <c r="F1446" s="1"/>
      <c r="G1446"/>
      <c r="K1446" s="1"/>
      <c r="L1446"/>
    </row>
    <row r="1447" spans="3:12" x14ac:dyDescent="0.25">
      <c r="C1447"/>
      <c r="D1447"/>
      <c r="F1447" s="1"/>
      <c r="G1447"/>
      <c r="K1447" s="1"/>
      <c r="L1447"/>
    </row>
    <row r="1448" spans="3:12" x14ac:dyDescent="0.25">
      <c r="C1448"/>
      <c r="D1448"/>
      <c r="F1448" s="1"/>
      <c r="G1448"/>
      <c r="K1448" s="1"/>
      <c r="L1448"/>
    </row>
    <row r="1449" spans="3:12" x14ac:dyDescent="0.25">
      <c r="C1449"/>
      <c r="D1449"/>
      <c r="F1449" s="1"/>
      <c r="G1449"/>
      <c r="K1449" s="1"/>
      <c r="L1449"/>
    </row>
    <row r="1450" spans="3:12" x14ac:dyDescent="0.25">
      <c r="C1450"/>
      <c r="D1450"/>
      <c r="F1450" s="1"/>
      <c r="G1450"/>
      <c r="K1450" s="1"/>
      <c r="L1450"/>
    </row>
    <row r="1451" spans="3:12" x14ac:dyDescent="0.25">
      <c r="C1451"/>
      <c r="D1451"/>
      <c r="F1451" s="1"/>
      <c r="G1451"/>
      <c r="K1451" s="1"/>
      <c r="L1451"/>
    </row>
    <row r="1452" spans="3:12" x14ac:dyDescent="0.25">
      <c r="C1452"/>
      <c r="D1452"/>
      <c r="F1452" s="1"/>
      <c r="G1452"/>
      <c r="K1452" s="1"/>
      <c r="L1452"/>
    </row>
    <row r="1453" spans="3:12" x14ac:dyDescent="0.25">
      <c r="C1453"/>
      <c r="D1453"/>
      <c r="F1453" s="1"/>
      <c r="G1453"/>
      <c r="K1453" s="1"/>
      <c r="L1453"/>
    </row>
    <row r="1454" spans="3:12" x14ac:dyDescent="0.25">
      <c r="C1454"/>
      <c r="D1454"/>
      <c r="F1454" s="1"/>
      <c r="G1454"/>
      <c r="K1454" s="1"/>
      <c r="L1454"/>
    </row>
    <row r="1455" spans="3:12" x14ac:dyDescent="0.25">
      <c r="C1455"/>
      <c r="D1455"/>
      <c r="F1455" s="1"/>
      <c r="G1455"/>
      <c r="K1455" s="1"/>
      <c r="L1455"/>
    </row>
    <row r="1456" spans="3:12" x14ac:dyDescent="0.25">
      <c r="C1456"/>
      <c r="D1456"/>
      <c r="F1456" s="1"/>
      <c r="G1456"/>
      <c r="K1456" s="1"/>
      <c r="L1456"/>
    </row>
    <row r="1457" spans="3:12" x14ac:dyDescent="0.25">
      <c r="C1457"/>
      <c r="D1457"/>
      <c r="F1457" s="1"/>
      <c r="G1457"/>
      <c r="K1457" s="1"/>
      <c r="L1457"/>
    </row>
    <row r="1458" spans="3:12" x14ac:dyDescent="0.25">
      <c r="C1458"/>
      <c r="D1458"/>
      <c r="F1458" s="1"/>
      <c r="G1458"/>
      <c r="K1458" s="1"/>
      <c r="L1458"/>
    </row>
    <row r="1459" spans="3:12" x14ac:dyDescent="0.25">
      <c r="C1459"/>
      <c r="D1459"/>
      <c r="F1459" s="1"/>
      <c r="G1459"/>
      <c r="K1459" s="1"/>
      <c r="L1459"/>
    </row>
    <row r="1460" spans="3:12" x14ac:dyDescent="0.25">
      <c r="C1460"/>
      <c r="D1460"/>
      <c r="F1460" s="1"/>
      <c r="G1460"/>
      <c r="K1460" s="1"/>
      <c r="L1460"/>
    </row>
    <row r="1461" spans="3:12" x14ac:dyDescent="0.25">
      <c r="C1461"/>
      <c r="D1461"/>
      <c r="F1461" s="1"/>
      <c r="G1461"/>
      <c r="K1461" s="1"/>
      <c r="L1461"/>
    </row>
    <row r="1462" spans="3:12" x14ac:dyDescent="0.25">
      <c r="C1462"/>
      <c r="D1462"/>
      <c r="F1462" s="1"/>
      <c r="G1462"/>
      <c r="K1462" s="1"/>
      <c r="L1462"/>
    </row>
    <row r="1463" spans="3:12" x14ac:dyDescent="0.25">
      <c r="C1463"/>
      <c r="D1463"/>
      <c r="F1463" s="1"/>
      <c r="G1463"/>
      <c r="K1463" s="1"/>
      <c r="L1463"/>
    </row>
    <row r="1464" spans="3:12" x14ac:dyDescent="0.25">
      <c r="C1464"/>
      <c r="D1464"/>
      <c r="F1464" s="1"/>
      <c r="G1464"/>
      <c r="K1464" s="1"/>
      <c r="L1464"/>
    </row>
    <row r="1465" spans="3:12" x14ac:dyDescent="0.25">
      <c r="C1465"/>
      <c r="D1465"/>
      <c r="F1465" s="1"/>
      <c r="G1465"/>
      <c r="K1465" s="1"/>
      <c r="L1465"/>
    </row>
    <row r="1466" spans="3:12" x14ac:dyDescent="0.25">
      <c r="C1466"/>
      <c r="D1466"/>
      <c r="F1466" s="1"/>
      <c r="G1466"/>
      <c r="K1466" s="1"/>
      <c r="L1466"/>
    </row>
    <row r="1467" spans="3:12" x14ac:dyDescent="0.25">
      <c r="C1467"/>
      <c r="D1467"/>
      <c r="F1467" s="1"/>
      <c r="G1467"/>
      <c r="K1467" s="1"/>
      <c r="L1467"/>
    </row>
    <row r="1468" spans="3:12" x14ac:dyDescent="0.25">
      <c r="C1468"/>
      <c r="D1468"/>
      <c r="F1468" s="1"/>
      <c r="G1468"/>
      <c r="K1468" s="1"/>
      <c r="L1468"/>
    </row>
    <row r="1469" spans="3:12" x14ac:dyDescent="0.25">
      <c r="C1469"/>
      <c r="D1469"/>
      <c r="F1469" s="1"/>
      <c r="G1469"/>
      <c r="K1469" s="1"/>
      <c r="L1469"/>
    </row>
    <row r="1470" spans="3:12" x14ac:dyDescent="0.25">
      <c r="C1470"/>
      <c r="D1470"/>
      <c r="F1470" s="1"/>
      <c r="G1470"/>
      <c r="K1470" s="1"/>
      <c r="L1470"/>
    </row>
    <row r="1471" spans="3:12" x14ac:dyDescent="0.25">
      <c r="C1471"/>
      <c r="D1471"/>
      <c r="F1471" s="1"/>
      <c r="G1471"/>
      <c r="K1471" s="1"/>
      <c r="L1471"/>
    </row>
    <row r="1472" spans="3:12" x14ac:dyDescent="0.25">
      <c r="C1472"/>
      <c r="D1472"/>
      <c r="F1472" s="1"/>
      <c r="G1472"/>
      <c r="K1472" s="1"/>
      <c r="L1472"/>
    </row>
    <row r="1473" spans="3:12" x14ac:dyDescent="0.25">
      <c r="C1473"/>
      <c r="D1473"/>
      <c r="F1473" s="1"/>
      <c r="G1473"/>
      <c r="K1473" s="1"/>
      <c r="L1473"/>
    </row>
    <row r="1474" spans="3:12" x14ac:dyDescent="0.25">
      <c r="C1474"/>
      <c r="D1474"/>
      <c r="F1474" s="1"/>
      <c r="G1474"/>
      <c r="K1474" s="1"/>
      <c r="L1474"/>
    </row>
    <row r="1475" spans="3:12" x14ac:dyDescent="0.25">
      <c r="C1475"/>
      <c r="D1475"/>
      <c r="F1475" s="1"/>
      <c r="G1475"/>
      <c r="K1475" s="1"/>
      <c r="L1475"/>
    </row>
    <row r="1476" spans="3:12" x14ac:dyDescent="0.25">
      <c r="C1476"/>
      <c r="D1476"/>
      <c r="F1476" s="1"/>
      <c r="G1476"/>
      <c r="K1476" s="1"/>
      <c r="L1476"/>
    </row>
    <row r="1477" spans="3:12" x14ac:dyDescent="0.25">
      <c r="C1477"/>
      <c r="D1477"/>
      <c r="F1477" s="1"/>
      <c r="G1477"/>
      <c r="K1477" s="1"/>
      <c r="L1477"/>
    </row>
    <row r="1478" spans="3:12" x14ac:dyDescent="0.25">
      <c r="C1478"/>
      <c r="D1478"/>
      <c r="F1478" s="1"/>
      <c r="G1478"/>
      <c r="K1478" s="1"/>
      <c r="L1478"/>
    </row>
    <row r="1479" spans="3:12" x14ac:dyDescent="0.25">
      <c r="C1479"/>
      <c r="D1479"/>
      <c r="F1479" s="1"/>
      <c r="G1479"/>
      <c r="K1479" s="1"/>
      <c r="L1479"/>
    </row>
    <row r="1480" spans="3:12" x14ac:dyDescent="0.25">
      <c r="C1480"/>
      <c r="D1480"/>
      <c r="F1480" s="1"/>
      <c r="G1480"/>
      <c r="K1480" s="1"/>
      <c r="L1480"/>
    </row>
    <row r="1481" spans="3:12" x14ac:dyDescent="0.25">
      <c r="C1481"/>
      <c r="D1481"/>
      <c r="F1481" s="1"/>
      <c r="G1481"/>
      <c r="K1481" s="1"/>
      <c r="L1481"/>
    </row>
    <row r="1482" spans="3:12" x14ac:dyDescent="0.25">
      <c r="C1482"/>
      <c r="D1482"/>
      <c r="F1482" s="1"/>
      <c r="G1482"/>
      <c r="K1482" s="1"/>
      <c r="L1482"/>
    </row>
    <row r="1483" spans="3:12" x14ac:dyDescent="0.25">
      <c r="C1483"/>
      <c r="D1483"/>
      <c r="F1483" s="1"/>
      <c r="G1483"/>
      <c r="K1483" s="1"/>
      <c r="L1483"/>
    </row>
    <row r="1484" spans="3:12" x14ac:dyDescent="0.25">
      <c r="C1484"/>
      <c r="D1484"/>
      <c r="F1484" s="1"/>
      <c r="G1484"/>
      <c r="K1484" s="1"/>
      <c r="L1484"/>
    </row>
    <row r="1485" spans="3:12" x14ac:dyDescent="0.25">
      <c r="C1485"/>
      <c r="D1485"/>
      <c r="F1485" s="1"/>
      <c r="G1485"/>
      <c r="K1485" s="1"/>
      <c r="L1485"/>
    </row>
    <row r="1486" spans="3:12" x14ac:dyDescent="0.25">
      <c r="C1486"/>
      <c r="D1486"/>
      <c r="F1486" s="1"/>
      <c r="G1486"/>
      <c r="K1486" s="1"/>
      <c r="L1486"/>
    </row>
    <row r="1487" spans="3:12" x14ac:dyDescent="0.25">
      <c r="C1487"/>
      <c r="D1487"/>
      <c r="F1487" s="1"/>
      <c r="G1487"/>
      <c r="K1487" s="1"/>
      <c r="L1487"/>
    </row>
    <row r="1488" spans="3:12" x14ac:dyDescent="0.25">
      <c r="C1488"/>
      <c r="D1488"/>
      <c r="F1488" s="1"/>
      <c r="G1488"/>
      <c r="K1488" s="1"/>
      <c r="L1488"/>
    </row>
    <row r="1489" spans="3:12" x14ac:dyDescent="0.25">
      <c r="C1489"/>
      <c r="D1489"/>
      <c r="F1489" s="1"/>
      <c r="G1489"/>
      <c r="K1489" s="1"/>
      <c r="L1489"/>
    </row>
    <row r="1490" spans="3:12" x14ac:dyDescent="0.25">
      <c r="C1490"/>
      <c r="D1490"/>
      <c r="F1490" s="1"/>
      <c r="G1490"/>
      <c r="K1490" s="1"/>
      <c r="L1490"/>
    </row>
    <row r="1491" spans="3:12" x14ac:dyDescent="0.25">
      <c r="C1491"/>
      <c r="D1491"/>
      <c r="F1491" s="1"/>
      <c r="G1491"/>
      <c r="K1491" s="1"/>
      <c r="L1491"/>
    </row>
    <row r="1492" spans="3:12" x14ac:dyDescent="0.25">
      <c r="C1492"/>
      <c r="D1492"/>
      <c r="F1492" s="1"/>
      <c r="G1492"/>
      <c r="K1492" s="1"/>
      <c r="L1492"/>
    </row>
    <row r="1493" spans="3:12" x14ac:dyDescent="0.25">
      <c r="C1493"/>
      <c r="D1493"/>
      <c r="F1493" s="1"/>
      <c r="G1493"/>
      <c r="K1493" s="1"/>
      <c r="L1493"/>
    </row>
    <row r="1494" spans="3:12" x14ac:dyDescent="0.25">
      <c r="C1494"/>
      <c r="D1494"/>
      <c r="F1494" s="1"/>
      <c r="G1494"/>
      <c r="K1494" s="1"/>
      <c r="L1494"/>
    </row>
    <row r="1495" spans="3:12" x14ac:dyDescent="0.25">
      <c r="C1495"/>
      <c r="D1495"/>
      <c r="F1495" s="1"/>
      <c r="G1495"/>
      <c r="K1495" s="1"/>
      <c r="L1495"/>
    </row>
    <row r="1496" spans="3:12" x14ac:dyDescent="0.25">
      <c r="C1496"/>
      <c r="D1496"/>
      <c r="F1496" s="1"/>
      <c r="G1496"/>
      <c r="K1496" s="1"/>
      <c r="L1496"/>
    </row>
    <row r="1497" spans="3:12" x14ac:dyDescent="0.25">
      <c r="C1497"/>
      <c r="D1497"/>
      <c r="F1497" s="1"/>
      <c r="G1497"/>
      <c r="K1497" s="1"/>
      <c r="L1497"/>
    </row>
    <row r="1498" spans="3:12" x14ac:dyDescent="0.25">
      <c r="C1498"/>
      <c r="D1498"/>
      <c r="F1498" s="1"/>
      <c r="G1498"/>
      <c r="K1498" s="1"/>
      <c r="L1498"/>
    </row>
    <row r="1499" spans="3:12" x14ac:dyDescent="0.25">
      <c r="C1499"/>
      <c r="D1499"/>
      <c r="F1499" s="1"/>
      <c r="G1499"/>
      <c r="K1499" s="1"/>
      <c r="L1499"/>
    </row>
    <row r="1500" spans="3:12" x14ac:dyDescent="0.25">
      <c r="C1500"/>
      <c r="D1500"/>
      <c r="F1500" s="1"/>
      <c r="G1500"/>
      <c r="K1500" s="1"/>
      <c r="L1500"/>
    </row>
    <row r="1501" spans="3:12" x14ac:dyDescent="0.25">
      <c r="C1501"/>
      <c r="D1501"/>
      <c r="F1501" s="1"/>
      <c r="G1501"/>
      <c r="K1501" s="1"/>
      <c r="L1501"/>
    </row>
    <row r="1502" spans="3:12" x14ac:dyDescent="0.25">
      <c r="C1502"/>
      <c r="D1502"/>
      <c r="F1502" s="1"/>
      <c r="G1502"/>
      <c r="K1502" s="1"/>
      <c r="L1502"/>
    </row>
    <row r="1503" spans="3:12" x14ac:dyDescent="0.25">
      <c r="C1503"/>
      <c r="D1503"/>
      <c r="F1503" s="1"/>
      <c r="G1503"/>
      <c r="K1503" s="1"/>
      <c r="L1503"/>
    </row>
    <row r="1504" spans="3:12" x14ac:dyDescent="0.25">
      <c r="C1504"/>
      <c r="D1504"/>
      <c r="F1504" s="1"/>
      <c r="G1504"/>
      <c r="K1504" s="1"/>
      <c r="L1504"/>
    </row>
    <row r="1505" spans="3:12" x14ac:dyDescent="0.25">
      <c r="C1505"/>
      <c r="D1505"/>
      <c r="F1505" s="1"/>
      <c r="G1505"/>
      <c r="K1505" s="1"/>
      <c r="L1505"/>
    </row>
    <row r="1506" spans="3:12" x14ac:dyDescent="0.25">
      <c r="C1506"/>
      <c r="D1506"/>
      <c r="F1506" s="1"/>
      <c r="G1506"/>
      <c r="K1506" s="1"/>
      <c r="L1506"/>
    </row>
    <row r="1507" spans="3:12" x14ac:dyDescent="0.25">
      <c r="C1507"/>
      <c r="D1507"/>
      <c r="F1507" s="1"/>
      <c r="G1507"/>
      <c r="K1507" s="1"/>
      <c r="L1507"/>
    </row>
    <row r="1508" spans="3:12" x14ac:dyDescent="0.25">
      <c r="C1508"/>
      <c r="D1508"/>
      <c r="F1508" s="1"/>
      <c r="G1508"/>
      <c r="K1508" s="1"/>
      <c r="L1508"/>
    </row>
    <row r="1509" spans="3:12" x14ac:dyDescent="0.25">
      <c r="C1509"/>
      <c r="D1509"/>
      <c r="F1509" s="1"/>
      <c r="G1509"/>
      <c r="K1509" s="1"/>
      <c r="L1509"/>
    </row>
    <row r="1510" spans="3:12" x14ac:dyDescent="0.25">
      <c r="C1510"/>
      <c r="D1510"/>
      <c r="F1510" s="1"/>
      <c r="G1510"/>
      <c r="K1510" s="1"/>
      <c r="L1510"/>
    </row>
    <row r="1511" spans="3:12" x14ac:dyDescent="0.25">
      <c r="C1511"/>
      <c r="D1511"/>
      <c r="F1511" s="1"/>
      <c r="G1511"/>
      <c r="K1511" s="1"/>
      <c r="L1511"/>
    </row>
    <row r="1512" spans="3:12" x14ac:dyDescent="0.25">
      <c r="C1512"/>
      <c r="D1512"/>
      <c r="F1512" s="1"/>
      <c r="G1512"/>
      <c r="K1512" s="1"/>
      <c r="L1512"/>
    </row>
    <row r="1513" spans="3:12" x14ac:dyDescent="0.25">
      <c r="C1513"/>
      <c r="D1513"/>
      <c r="F1513" s="1"/>
      <c r="G1513"/>
      <c r="K1513" s="1"/>
      <c r="L1513"/>
    </row>
    <row r="1514" spans="3:12" x14ac:dyDescent="0.25">
      <c r="C1514"/>
      <c r="D1514"/>
      <c r="F1514" s="1"/>
      <c r="G1514"/>
      <c r="K1514" s="1"/>
      <c r="L1514"/>
    </row>
    <row r="1515" spans="3:12" x14ac:dyDescent="0.25">
      <c r="C1515"/>
      <c r="D1515"/>
      <c r="F1515" s="1"/>
      <c r="G1515"/>
      <c r="K1515" s="1"/>
      <c r="L1515"/>
    </row>
    <row r="1516" spans="3:12" x14ac:dyDescent="0.25">
      <c r="C1516"/>
      <c r="D1516"/>
      <c r="F1516" s="1"/>
      <c r="G1516"/>
      <c r="K1516" s="1"/>
      <c r="L1516"/>
    </row>
    <row r="1517" spans="3:12" x14ac:dyDescent="0.25">
      <c r="C1517"/>
      <c r="D1517"/>
      <c r="F1517" s="1"/>
      <c r="G1517"/>
      <c r="K1517" s="1"/>
      <c r="L1517"/>
    </row>
    <row r="1518" spans="3:12" x14ac:dyDescent="0.25">
      <c r="C1518"/>
      <c r="D1518"/>
      <c r="F1518" s="1"/>
      <c r="G1518"/>
      <c r="K1518" s="1"/>
      <c r="L1518"/>
    </row>
    <row r="1519" spans="3:12" x14ac:dyDescent="0.25">
      <c r="C1519"/>
      <c r="D1519"/>
      <c r="F1519" s="1"/>
      <c r="G1519"/>
      <c r="K1519" s="1"/>
      <c r="L1519"/>
    </row>
    <row r="1520" spans="3:12" x14ac:dyDescent="0.25">
      <c r="C1520"/>
      <c r="D1520"/>
      <c r="F1520" s="1"/>
      <c r="G1520"/>
      <c r="K1520" s="1"/>
      <c r="L1520"/>
    </row>
    <row r="1521" spans="3:12" x14ac:dyDescent="0.25">
      <c r="C1521"/>
      <c r="D1521"/>
      <c r="F1521" s="1"/>
      <c r="G1521"/>
      <c r="K1521" s="1"/>
      <c r="L1521"/>
    </row>
    <row r="1522" spans="3:12" x14ac:dyDescent="0.25">
      <c r="C1522"/>
      <c r="D1522"/>
      <c r="F1522" s="1"/>
      <c r="G1522"/>
      <c r="K1522" s="1"/>
      <c r="L1522"/>
    </row>
    <row r="1523" spans="3:12" x14ac:dyDescent="0.25">
      <c r="C1523"/>
      <c r="D1523"/>
      <c r="F1523" s="1"/>
      <c r="G1523"/>
      <c r="K1523" s="1"/>
      <c r="L1523"/>
    </row>
    <row r="1524" spans="3:12" x14ac:dyDescent="0.25">
      <c r="C1524"/>
      <c r="D1524"/>
      <c r="F1524" s="1"/>
      <c r="G1524"/>
      <c r="K1524" s="1"/>
      <c r="L1524"/>
    </row>
    <row r="1525" spans="3:12" x14ac:dyDescent="0.25">
      <c r="C1525"/>
      <c r="D1525"/>
      <c r="F1525" s="1"/>
      <c r="G1525"/>
      <c r="K1525" s="1"/>
      <c r="L1525"/>
    </row>
    <row r="1526" spans="3:12" x14ac:dyDescent="0.25">
      <c r="C1526"/>
      <c r="D1526"/>
      <c r="F1526" s="1"/>
      <c r="G1526"/>
      <c r="K1526" s="1"/>
      <c r="L1526"/>
    </row>
    <row r="1527" spans="3:12" x14ac:dyDescent="0.25">
      <c r="C1527"/>
      <c r="D1527"/>
      <c r="F1527" s="1"/>
      <c r="G1527"/>
      <c r="K1527" s="1"/>
      <c r="L1527"/>
    </row>
    <row r="1528" spans="3:12" x14ac:dyDescent="0.25">
      <c r="C1528"/>
      <c r="D1528"/>
      <c r="F1528" s="1"/>
      <c r="G1528"/>
      <c r="K1528" s="1"/>
      <c r="L1528"/>
    </row>
    <row r="1529" spans="3:12" x14ac:dyDescent="0.25">
      <c r="C1529"/>
      <c r="D1529"/>
      <c r="F1529" s="1"/>
      <c r="G1529"/>
      <c r="K1529" s="1"/>
      <c r="L1529"/>
    </row>
    <row r="1530" spans="3:12" x14ac:dyDescent="0.25">
      <c r="C1530"/>
      <c r="D1530"/>
      <c r="F1530" s="1"/>
      <c r="G1530"/>
      <c r="K1530" s="1"/>
      <c r="L1530"/>
    </row>
    <row r="1531" spans="3:12" x14ac:dyDescent="0.25">
      <c r="C1531"/>
      <c r="D1531"/>
      <c r="F1531" s="1"/>
      <c r="G1531"/>
      <c r="K1531" s="1"/>
      <c r="L1531"/>
    </row>
    <row r="1532" spans="3:12" x14ac:dyDescent="0.25">
      <c r="C1532"/>
      <c r="D1532"/>
      <c r="F1532" s="1"/>
      <c r="G1532"/>
      <c r="K1532" s="1"/>
      <c r="L1532"/>
    </row>
    <row r="1533" spans="3:12" x14ac:dyDescent="0.25">
      <c r="C1533"/>
      <c r="D1533"/>
      <c r="F1533" s="1"/>
      <c r="G1533"/>
      <c r="K1533" s="1"/>
      <c r="L1533"/>
    </row>
    <row r="1534" spans="3:12" x14ac:dyDescent="0.25">
      <c r="C1534"/>
      <c r="D1534"/>
      <c r="F1534" s="1"/>
      <c r="G1534"/>
      <c r="K1534" s="1"/>
      <c r="L1534"/>
    </row>
    <row r="1535" spans="3:12" x14ac:dyDescent="0.25">
      <c r="C1535"/>
      <c r="D1535"/>
      <c r="F1535" s="1"/>
      <c r="G1535"/>
      <c r="K1535" s="1"/>
      <c r="L1535"/>
    </row>
    <row r="1536" spans="3:12" x14ac:dyDescent="0.25">
      <c r="C1536"/>
      <c r="D1536"/>
      <c r="F1536" s="1"/>
      <c r="G1536"/>
      <c r="K1536" s="1"/>
      <c r="L1536"/>
    </row>
    <row r="1537" spans="3:12" x14ac:dyDescent="0.25">
      <c r="C1537"/>
      <c r="D1537"/>
      <c r="F1537" s="1"/>
      <c r="G1537"/>
      <c r="K1537" s="1"/>
      <c r="L1537"/>
    </row>
    <row r="1538" spans="3:12" x14ac:dyDescent="0.25">
      <c r="C1538"/>
      <c r="D1538"/>
      <c r="F1538" s="1"/>
      <c r="G1538"/>
      <c r="K1538" s="1"/>
      <c r="L1538"/>
    </row>
    <row r="1539" spans="3:12" x14ac:dyDescent="0.25">
      <c r="C1539"/>
      <c r="D1539"/>
      <c r="F1539" s="1"/>
      <c r="G1539"/>
      <c r="K1539" s="1"/>
      <c r="L1539"/>
    </row>
    <row r="1540" spans="3:12" x14ac:dyDescent="0.25">
      <c r="C1540"/>
      <c r="D1540"/>
      <c r="F1540" s="1"/>
      <c r="G1540"/>
      <c r="K1540" s="1"/>
      <c r="L1540"/>
    </row>
    <row r="1541" spans="3:12" x14ac:dyDescent="0.25">
      <c r="C1541"/>
      <c r="D1541"/>
      <c r="F1541" s="1"/>
      <c r="G1541"/>
      <c r="K1541" s="1"/>
      <c r="L1541"/>
    </row>
    <row r="1542" spans="3:12" x14ac:dyDescent="0.25">
      <c r="C1542"/>
      <c r="D1542"/>
      <c r="F1542" s="1"/>
      <c r="G1542"/>
      <c r="K1542" s="1"/>
      <c r="L1542"/>
    </row>
    <row r="1543" spans="3:12" x14ac:dyDescent="0.25">
      <c r="C1543"/>
      <c r="D1543"/>
      <c r="F1543" s="1"/>
      <c r="G1543"/>
      <c r="K1543" s="1"/>
      <c r="L1543"/>
    </row>
    <row r="1544" spans="3:12" x14ac:dyDescent="0.25">
      <c r="C1544"/>
      <c r="D1544"/>
      <c r="F1544" s="1"/>
      <c r="G1544"/>
      <c r="K1544" s="1"/>
      <c r="L1544"/>
    </row>
    <row r="1545" spans="3:12" x14ac:dyDescent="0.25">
      <c r="C1545"/>
      <c r="D1545"/>
      <c r="F1545" s="1"/>
      <c r="G1545"/>
      <c r="K1545" s="1"/>
      <c r="L1545"/>
    </row>
    <row r="1546" spans="3:12" x14ac:dyDescent="0.25">
      <c r="C1546"/>
      <c r="D1546"/>
      <c r="F1546" s="1"/>
      <c r="G1546"/>
      <c r="K1546" s="1"/>
      <c r="L1546"/>
    </row>
    <row r="1547" spans="3:12" x14ac:dyDescent="0.25">
      <c r="C1547"/>
      <c r="D1547"/>
      <c r="F1547" s="1"/>
      <c r="G1547"/>
      <c r="K1547" s="1"/>
      <c r="L1547"/>
    </row>
    <row r="1548" spans="3:12" x14ac:dyDescent="0.25">
      <c r="C1548"/>
      <c r="D1548"/>
      <c r="F1548" s="1"/>
      <c r="G1548"/>
      <c r="K1548" s="1"/>
      <c r="L1548"/>
    </row>
    <row r="1549" spans="3:12" x14ac:dyDescent="0.25">
      <c r="C1549"/>
      <c r="D1549"/>
      <c r="F1549" s="1"/>
      <c r="G1549"/>
      <c r="K1549" s="1"/>
      <c r="L1549"/>
    </row>
    <row r="1550" spans="3:12" x14ac:dyDescent="0.25">
      <c r="C1550"/>
      <c r="D1550"/>
      <c r="F1550" s="1"/>
      <c r="G1550"/>
      <c r="K1550" s="1"/>
      <c r="L1550"/>
    </row>
    <row r="1551" spans="3:12" x14ac:dyDescent="0.25">
      <c r="C1551"/>
      <c r="D1551"/>
      <c r="F1551" s="1"/>
      <c r="G1551"/>
      <c r="K1551" s="1"/>
      <c r="L1551"/>
    </row>
    <row r="1552" spans="3:12" x14ac:dyDescent="0.25">
      <c r="C1552"/>
      <c r="D1552"/>
      <c r="F1552" s="1"/>
      <c r="G1552"/>
      <c r="K1552" s="1"/>
      <c r="L1552"/>
    </row>
    <row r="1553" spans="3:12" x14ac:dyDescent="0.25">
      <c r="C1553"/>
      <c r="D1553"/>
      <c r="F1553" s="1"/>
      <c r="G1553"/>
      <c r="K1553" s="1"/>
      <c r="L1553"/>
    </row>
    <row r="1554" spans="3:12" x14ac:dyDescent="0.25">
      <c r="C1554"/>
      <c r="D1554"/>
      <c r="F1554" s="1"/>
      <c r="G1554"/>
      <c r="K1554" s="1"/>
      <c r="L1554"/>
    </row>
    <row r="1555" spans="3:12" x14ac:dyDescent="0.25">
      <c r="C1555"/>
      <c r="D1555"/>
      <c r="F1555" s="1"/>
      <c r="G1555"/>
      <c r="K1555" s="1"/>
      <c r="L1555"/>
    </row>
    <row r="1556" spans="3:12" x14ac:dyDescent="0.25">
      <c r="C1556"/>
      <c r="D1556"/>
      <c r="F1556" s="1"/>
      <c r="G1556"/>
      <c r="K1556" s="1"/>
      <c r="L1556"/>
    </row>
    <row r="1557" spans="3:12" x14ac:dyDescent="0.25">
      <c r="C1557"/>
      <c r="D1557"/>
      <c r="F1557" s="1"/>
      <c r="G1557"/>
      <c r="K1557" s="1"/>
      <c r="L1557"/>
    </row>
    <row r="1558" spans="3:12" x14ac:dyDescent="0.25">
      <c r="C1558"/>
      <c r="D1558"/>
      <c r="F1558" s="1"/>
      <c r="G1558"/>
      <c r="K1558" s="1"/>
      <c r="L1558"/>
    </row>
    <row r="1559" spans="3:12" x14ac:dyDescent="0.25">
      <c r="C1559"/>
      <c r="D1559"/>
      <c r="F1559" s="1"/>
      <c r="G1559"/>
      <c r="K1559" s="1"/>
      <c r="L1559"/>
    </row>
    <row r="1560" spans="3:12" x14ac:dyDescent="0.25">
      <c r="C1560"/>
      <c r="D1560"/>
      <c r="F1560" s="1"/>
      <c r="G1560"/>
      <c r="K1560" s="1"/>
      <c r="L1560"/>
    </row>
    <row r="1561" spans="3:12" x14ac:dyDescent="0.25">
      <c r="C1561"/>
      <c r="D1561"/>
      <c r="F1561" s="1"/>
      <c r="G1561"/>
      <c r="K1561" s="1"/>
      <c r="L1561"/>
    </row>
    <row r="1562" spans="3:12" x14ac:dyDescent="0.25">
      <c r="C1562"/>
      <c r="D1562"/>
      <c r="F1562" s="1"/>
      <c r="G1562"/>
      <c r="K1562" s="1"/>
      <c r="L1562"/>
    </row>
    <row r="1563" spans="3:12" x14ac:dyDescent="0.25">
      <c r="C1563"/>
      <c r="D1563"/>
      <c r="F1563" s="1"/>
      <c r="G1563"/>
      <c r="K1563" s="1"/>
      <c r="L1563"/>
    </row>
    <row r="1564" spans="3:12" x14ac:dyDescent="0.25">
      <c r="C1564"/>
      <c r="D1564"/>
      <c r="F1564" s="1"/>
      <c r="G1564"/>
      <c r="K1564" s="1"/>
      <c r="L1564"/>
    </row>
    <row r="1565" spans="3:12" x14ac:dyDescent="0.25">
      <c r="C1565"/>
      <c r="D1565"/>
      <c r="F1565" s="1"/>
      <c r="G1565"/>
      <c r="K1565" s="1"/>
      <c r="L1565"/>
    </row>
    <row r="1566" spans="3:12" x14ac:dyDescent="0.25">
      <c r="C1566"/>
      <c r="D1566"/>
      <c r="F1566" s="1"/>
      <c r="G1566"/>
      <c r="K1566" s="1"/>
      <c r="L1566"/>
    </row>
    <row r="1567" spans="3:12" x14ac:dyDescent="0.25">
      <c r="C1567"/>
      <c r="D1567"/>
      <c r="F1567" s="1"/>
      <c r="G1567"/>
      <c r="K1567" s="1"/>
      <c r="L1567"/>
    </row>
    <row r="1568" spans="3:12" x14ac:dyDescent="0.25">
      <c r="C1568"/>
      <c r="D1568"/>
      <c r="F1568" s="1"/>
      <c r="G1568"/>
      <c r="K1568" s="1"/>
      <c r="L1568"/>
    </row>
    <row r="1569" spans="3:12" x14ac:dyDescent="0.25">
      <c r="C1569"/>
      <c r="D1569"/>
      <c r="F1569" s="1"/>
      <c r="G1569"/>
      <c r="K1569" s="1"/>
      <c r="L1569"/>
    </row>
    <row r="1570" spans="3:12" x14ac:dyDescent="0.25">
      <c r="C1570"/>
      <c r="D1570"/>
      <c r="F1570" s="1"/>
      <c r="G1570"/>
      <c r="K1570" s="1"/>
      <c r="L1570"/>
    </row>
    <row r="1571" spans="3:12" x14ac:dyDescent="0.25">
      <c r="C1571"/>
      <c r="D1571"/>
      <c r="F1571" s="1"/>
      <c r="G1571"/>
      <c r="K1571" s="1"/>
      <c r="L1571"/>
    </row>
    <row r="1572" spans="3:12" x14ac:dyDescent="0.25">
      <c r="C1572"/>
      <c r="D1572"/>
      <c r="F1572" s="1"/>
      <c r="G1572"/>
      <c r="K1572" s="1"/>
      <c r="L1572"/>
    </row>
    <row r="1573" spans="3:12" x14ac:dyDescent="0.25">
      <c r="C1573"/>
      <c r="D1573"/>
      <c r="F1573" s="1"/>
      <c r="G1573"/>
      <c r="K1573" s="1"/>
      <c r="L1573"/>
    </row>
    <row r="1574" spans="3:12" x14ac:dyDescent="0.25">
      <c r="C1574"/>
      <c r="D1574"/>
      <c r="F1574" s="1"/>
      <c r="G1574"/>
      <c r="K1574" s="1"/>
      <c r="L1574"/>
    </row>
    <row r="1575" spans="3:12" x14ac:dyDescent="0.25">
      <c r="C1575"/>
      <c r="D1575"/>
      <c r="F1575" s="1"/>
      <c r="G1575"/>
      <c r="K1575" s="1"/>
      <c r="L1575"/>
    </row>
    <row r="1576" spans="3:12" x14ac:dyDescent="0.25">
      <c r="C1576"/>
      <c r="D1576"/>
      <c r="F1576" s="1"/>
      <c r="G1576"/>
      <c r="K1576" s="1"/>
      <c r="L1576"/>
    </row>
    <row r="1577" spans="3:12" x14ac:dyDescent="0.25">
      <c r="C1577"/>
      <c r="D1577"/>
      <c r="F1577" s="1"/>
      <c r="G1577"/>
      <c r="K1577" s="1"/>
      <c r="L1577"/>
    </row>
    <row r="1578" spans="3:12" x14ac:dyDescent="0.25">
      <c r="C1578"/>
      <c r="D1578"/>
      <c r="F1578" s="1"/>
      <c r="G1578"/>
      <c r="K1578" s="1"/>
      <c r="L1578"/>
    </row>
    <row r="1579" spans="3:12" x14ac:dyDescent="0.25">
      <c r="C1579"/>
      <c r="D1579"/>
      <c r="F1579" s="1"/>
      <c r="G1579"/>
      <c r="K1579" s="1"/>
      <c r="L1579"/>
    </row>
    <row r="1580" spans="3:12" x14ac:dyDescent="0.25">
      <c r="C1580"/>
      <c r="D1580"/>
      <c r="F1580" s="1"/>
      <c r="G1580"/>
      <c r="K1580" s="1"/>
      <c r="L1580"/>
    </row>
    <row r="1581" spans="3:12" x14ac:dyDescent="0.25">
      <c r="C1581"/>
      <c r="D1581"/>
      <c r="F1581" s="1"/>
      <c r="G1581"/>
      <c r="K1581" s="1"/>
      <c r="L1581"/>
    </row>
    <row r="1582" spans="3:12" x14ac:dyDescent="0.25">
      <c r="C1582"/>
      <c r="D1582"/>
      <c r="F1582" s="1"/>
      <c r="G1582"/>
      <c r="K1582" s="1"/>
      <c r="L1582"/>
    </row>
    <row r="1583" spans="3:12" x14ac:dyDescent="0.25">
      <c r="C1583"/>
      <c r="D1583"/>
      <c r="F1583" s="1"/>
      <c r="G1583"/>
      <c r="K1583" s="1"/>
      <c r="L1583"/>
    </row>
    <row r="1584" spans="3:12" x14ac:dyDescent="0.25">
      <c r="C1584"/>
      <c r="D1584"/>
      <c r="F1584" s="1"/>
      <c r="G1584"/>
      <c r="K1584" s="1"/>
      <c r="L1584"/>
    </row>
    <row r="1585" spans="3:12" x14ac:dyDescent="0.25">
      <c r="C1585"/>
      <c r="D1585"/>
      <c r="F1585" s="1"/>
      <c r="G1585"/>
      <c r="K1585" s="1"/>
      <c r="L1585"/>
    </row>
    <row r="1586" spans="3:12" x14ac:dyDescent="0.25">
      <c r="C1586"/>
      <c r="D1586"/>
      <c r="F1586" s="1"/>
      <c r="G1586"/>
      <c r="K1586" s="1"/>
      <c r="L1586"/>
    </row>
    <row r="1587" spans="3:12" x14ac:dyDescent="0.25">
      <c r="C1587"/>
      <c r="D1587"/>
      <c r="F1587" s="1"/>
      <c r="G1587"/>
      <c r="K1587" s="1"/>
      <c r="L1587"/>
    </row>
    <row r="1588" spans="3:12" x14ac:dyDescent="0.25">
      <c r="C1588"/>
      <c r="D1588"/>
      <c r="F1588" s="1"/>
      <c r="G1588"/>
      <c r="K1588" s="1"/>
      <c r="L1588"/>
    </row>
    <row r="1589" spans="3:12" x14ac:dyDescent="0.25">
      <c r="C1589"/>
      <c r="D1589"/>
      <c r="F1589" s="1"/>
      <c r="G1589"/>
      <c r="K1589" s="1"/>
      <c r="L1589"/>
    </row>
    <row r="1590" spans="3:12" x14ac:dyDescent="0.25">
      <c r="C1590"/>
      <c r="D1590"/>
      <c r="F1590" s="1"/>
      <c r="G1590"/>
      <c r="K1590" s="1"/>
      <c r="L1590"/>
    </row>
    <row r="1591" spans="3:12" x14ac:dyDescent="0.25">
      <c r="C1591"/>
      <c r="D1591"/>
      <c r="F1591" s="1"/>
      <c r="G1591"/>
      <c r="K1591" s="1"/>
      <c r="L1591"/>
    </row>
    <row r="1592" spans="3:12" x14ac:dyDescent="0.25">
      <c r="C1592"/>
      <c r="D1592"/>
      <c r="F1592" s="1"/>
      <c r="G1592"/>
      <c r="K1592" s="1"/>
      <c r="L1592"/>
    </row>
    <row r="1593" spans="3:12" x14ac:dyDescent="0.25">
      <c r="C1593"/>
      <c r="D1593"/>
      <c r="F1593" s="1"/>
      <c r="G1593"/>
      <c r="K1593" s="1"/>
      <c r="L1593"/>
    </row>
    <row r="1594" spans="3:12" x14ac:dyDescent="0.25">
      <c r="C1594"/>
      <c r="D1594"/>
      <c r="F1594" s="1"/>
      <c r="G1594"/>
      <c r="K1594" s="1"/>
      <c r="L1594"/>
    </row>
    <row r="1595" spans="3:12" x14ac:dyDescent="0.25">
      <c r="C1595"/>
      <c r="D1595"/>
      <c r="F1595" s="1"/>
      <c r="G1595"/>
      <c r="K1595" s="1"/>
      <c r="L1595"/>
    </row>
    <row r="1596" spans="3:12" x14ac:dyDescent="0.25">
      <c r="C1596"/>
      <c r="D1596"/>
      <c r="F1596" s="1"/>
      <c r="G1596"/>
      <c r="K1596" s="1"/>
      <c r="L1596"/>
    </row>
    <row r="1597" spans="3:12" x14ac:dyDescent="0.25">
      <c r="C1597"/>
      <c r="D1597"/>
      <c r="F1597" s="1"/>
      <c r="G1597"/>
      <c r="K1597" s="1"/>
      <c r="L1597"/>
    </row>
    <row r="1598" spans="3:12" x14ac:dyDescent="0.25">
      <c r="C1598"/>
      <c r="D1598"/>
      <c r="F1598" s="1"/>
      <c r="G1598"/>
      <c r="K1598" s="1"/>
      <c r="L1598"/>
    </row>
    <row r="1599" spans="3:12" x14ac:dyDescent="0.25">
      <c r="C1599"/>
      <c r="D1599"/>
      <c r="F1599" s="1"/>
      <c r="G1599"/>
      <c r="K1599" s="1"/>
      <c r="L1599"/>
    </row>
    <row r="1600" spans="3:12" x14ac:dyDescent="0.25">
      <c r="C1600"/>
      <c r="D1600"/>
      <c r="F1600" s="1"/>
      <c r="G1600"/>
      <c r="K1600" s="1"/>
      <c r="L1600"/>
    </row>
    <row r="1601" spans="3:12" x14ac:dyDescent="0.25">
      <c r="C1601"/>
      <c r="D1601"/>
      <c r="F1601" s="1"/>
      <c r="G1601"/>
      <c r="K1601" s="1"/>
      <c r="L1601"/>
    </row>
    <row r="1602" spans="3:12" x14ac:dyDescent="0.25">
      <c r="C1602"/>
      <c r="D1602"/>
      <c r="F1602" s="1"/>
      <c r="G1602"/>
      <c r="K1602" s="1"/>
      <c r="L1602"/>
    </row>
    <row r="1603" spans="3:12" x14ac:dyDescent="0.25">
      <c r="C1603"/>
      <c r="D1603"/>
      <c r="F1603" s="1"/>
      <c r="G1603"/>
      <c r="K1603" s="1"/>
      <c r="L1603"/>
    </row>
    <row r="1604" spans="3:12" x14ac:dyDescent="0.25">
      <c r="C1604"/>
      <c r="D1604"/>
      <c r="F1604" s="1"/>
      <c r="G1604"/>
      <c r="K1604" s="1"/>
      <c r="L1604"/>
    </row>
    <row r="1605" spans="3:12" x14ac:dyDescent="0.25">
      <c r="C1605"/>
      <c r="D1605"/>
      <c r="F1605" s="1"/>
      <c r="G1605"/>
      <c r="K1605" s="1"/>
      <c r="L1605"/>
    </row>
    <row r="1606" spans="3:12" x14ac:dyDescent="0.25">
      <c r="C1606"/>
      <c r="D1606"/>
      <c r="F1606" s="1"/>
      <c r="G1606"/>
      <c r="K1606" s="1"/>
      <c r="L1606"/>
    </row>
    <row r="1607" spans="3:12" x14ac:dyDescent="0.25">
      <c r="C1607"/>
      <c r="D1607"/>
      <c r="F1607" s="1"/>
      <c r="G1607"/>
      <c r="K1607" s="1"/>
      <c r="L1607"/>
    </row>
    <row r="1608" spans="3:12" x14ac:dyDescent="0.25">
      <c r="C1608"/>
      <c r="D1608"/>
      <c r="F1608" s="1"/>
      <c r="G1608"/>
      <c r="K1608" s="1"/>
      <c r="L1608"/>
    </row>
    <row r="1609" spans="3:12" x14ac:dyDescent="0.25">
      <c r="C1609"/>
      <c r="D1609"/>
      <c r="F1609" s="1"/>
      <c r="G1609"/>
      <c r="K1609" s="1"/>
      <c r="L1609"/>
    </row>
    <row r="1610" spans="3:12" x14ac:dyDescent="0.25">
      <c r="C1610"/>
      <c r="D1610"/>
      <c r="F1610" s="1"/>
      <c r="G1610"/>
      <c r="K1610" s="1"/>
      <c r="L1610"/>
    </row>
    <row r="1611" spans="3:12" x14ac:dyDescent="0.25">
      <c r="C1611"/>
      <c r="D1611"/>
      <c r="F1611" s="1"/>
      <c r="G1611"/>
      <c r="K1611" s="1"/>
      <c r="L1611"/>
    </row>
    <row r="1612" spans="3:12" x14ac:dyDescent="0.25">
      <c r="C1612"/>
      <c r="D1612"/>
      <c r="F1612" s="1"/>
      <c r="G1612"/>
      <c r="K1612" s="1"/>
      <c r="L1612"/>
    </row>
    <row r="1613" spans="3:12" x14ac:dyDescent="0.25">
      <c r="C1613"/>
      <c r="D1613"/>
      <c r="F1613" s="1"/>
      <c r="G1613"/>
      <c r="K1613" s="1"/>
      <c r="L1613"/>
    </row>
    <row r="1614" spans="3:12" x14ac:dyDescent="0.25">
      <c r="C1614"/>
      <c r="D1614"/>
      <c r="F1614" s="1"/>
      <c r="G1614"/>
      <c r="K1614" s="1"/>
      <c r="L1614"/>
    </row>
    <row r="1615" spans="3:12" x14ac:dyDescent="0.25">
      <c r="C1615"/>
      <c r="D1615"/>
      <c r="F1615" s="1"/>
      <c r="G1615"/>
      <c r="K1615" s="1"/>
      <c r="L1615"/>
    </row>
    <row r="1616" spans="3:12" x14ac:dyDescent="0.25">
      <c r="C1616"/>
      <c r="D1616"/>
      <c r="F1616" s="1"/>
      <c r="G1616"/>
      <c r="K1616" s="1"/>
      <c r="L1616"/>
    </row>
    <row r="1617" spans="3:12" x14ac:dyDescent="0.25">
      <c r="C1617"/>
      <c r="D1617"/>
      <c r="F1617" s="1"/>
      <c r="G1617"/>
      <c r="K1617" s="1"/>
      <c r="L1617"/>
    </row>
    <row r="1618" spans="3:12" x14ac:dyDescent="0.25">
      <c r="C1618"/>
      <c r="D1618"/>
      <c r="F1618" s="1"/>
      <c r="G1618"/>
      <c r="K1618" s="1"/>
      <c r="L1618"/>
    </row>
    <row r="1619" spans="3:12" x14ac:dyDescent="0.25">
      <c r="C1619"/>
      <c r="D1619"/>
      <c r="F1619" s="1"/>
      <c r="G1619"/>
      <c r="K1619" s="1"/>
      <c r="L1619"/>
    </row>
    <row r="1620" spans="3:12" x14ac:dyDescent="0.25">
      <c r="C1620"/>
      <c r="D1620"/>
      <c r="F1620" s="1"/>
      <c r="G1620"/>
      <c r="K1620" s="1"/>
      <c r="L1620"/>
    </row>
    <row r="1621" spans="3:12" x14ac:dyDescent="0.25">
      <c r="C1621"/>
      <c r="D1621"/>
      <c r="F1621" s="1"/>
      <c r="G1621"/>
      <c r="K1621" s="1"/>
      <c r="L1621"/>
    </row>
    <row r="1622" spans="3:12" x14ac:dyDescent="0.25">
      <c r="C1622"/>
      <c r="D1622"/>
      <c r="F1622" s="1"/>
      <c r="G1622"/>
      <c r="K1622" s="1"/>
      <c r="L1622"/>
    </row>
    <row r="1623" spans="3:12" x14ac:dyDescent="0.25">
      <c r="C1623"/>
      <c r="D1623"/>
      <c r="F1623" s="1"/>
      <c r="G1623"/>
      <c r="K1623" s="1"/>
      <c r="L1623"/>
    </row>
    <row r="1624" spans="3:12" x14ac:dyDescent="0.25">
      <c r="C1624"/>
      <c r="D1624"/>
      <c r="F1624" s="1"/>
      <c r="G1624"/>
      <c r="K1624" s="1"/>
      <c r="L1624"/>
    </row>
    <row r="1625" spans="3:12" x14ac:dyDescent="0.25">
      <c r="C1625"/>
      <c r="D1625"/>
      <c r="F1625" s="1"/>
      <c r="G1625"/>
      <c r="K1625" s="1"/>
      <c r="L1625"/>
    </row>
    <row r="1626" spans="3:12" x14ac:dyDescent="0.25">
      <c r="C1626"/>
      <c r="D1626"/>
      <c r="F1626" s="1"/>
      <c r="G1626"/>
      <c r="K1626" s="1"/>
      <c r="L1626"/>
    </row>
    <row r="1627" spans="3:12" x14ac:dyDescent="0.25">
      <c r="C1627"/>
      <c r="D1627"/>
      <c r="F1627" s="1"/>
      <c r="G1627"/>
      <c r="K1627" s="1"/>
      <c r="L1627"/>
    </row>
    <row r="1628" spans="3:12" x14ac:dyDescent="0.25">
      <c r="C1628"/>
      <c r="D1628"/>
      <c r="F1628" s="1"/>
      <c r="G1628"/>
      <c r="K1628" s="1"/>
      <c r="L1628"/>
    </row>
    <row r="1629" spans="3:12" x14ac:dyDescent="0.25">
      <c r="C1629"/>
      <c r="D1629"/>
      <c r="F1629" s="1"/>
      <c r="G1629"/>
      <c r="K1629" s="1"/>
      <c r="L1629"/>
    </row>
    <row r="1630" spans="3:12" x14ac:dyDescent="0.25">
      <c r="C1630"/>
      <c r="D1630"/>
      <c r="F1630" s="1"/>
      <c r="G1630"/>
      <c r="K1630" s="1"/>
      <c r="L1630"/>
    </row>
    <row r="1631" spans="3:12" x14ac:dyDescent="0.25">
      <c r="C1631"/>
      <c r="D1631"/>
      <c r="F1631" s="1"/>
      <c r="G1631"/>
      <c r="K1631" s="1"/>
      <c r="L1631"/>
    </row>
    <row r="1632" spans="3:12" x14ac:dyDescent="0.25">
      <c r="C1632"/>
      <c r="D1632"/>
      <c r="F1632" s="1"/>
      <c r="G1632"/>
      <c r="K1632" s="1"/>
      <c r="L1632"/>
    </row>
    <row r="1633" spans="3:12" x14ac:dyDescent="0.25">
      <c r="C1633"/>
      <c r="D1633"/>
      <c r="F1633" s="1"/>
      <c r="G1633"/>
      <c r="K1633" s="1"/>
      <c r="L1633"/>
    </row>
    <row r="1634" spans="3:12" x14ac:dyDescent="0.25">
      <c r="C1634"/>
      <c r="D1634"/>
      <c r="F1634" s="1"/>
      <c r="G1634"/>
      <c r="K1634" s="1"/>
      <c r="L1634"/>
    </row>
    <row r="1635" spans="3:12" x14ac:dyDescent="0.25">
      <c r="C1635"/>
      <c r="D1635"/>
      <c r="F1635" s="1"/>
      <c r="G1635"/>
      <c r="K1635" s="1"/>
      <c r="L1635"/>
    </row>
    <row r="1636" spans="3:12" x14ac:dyDescent="0.25">
      <c r="C1636"/>
      <c r="D1636"/>
      <c r="F1636" s="1"/>
      <c r="G1636"/>
      <c r="K1636" s="1"/>
      <c r="L1636"/>
    </row>
    <row r="1637" spans="3:12" x14ac:dyDescent="0.25">
      <c r="C1637"/>
      <c r="D1637"/>
      <c r="F1637" s="1"/>
      <c r="G1637"/>
      <c r="K1637" s="1"/>
      <c r="L1637"/>
    </row>
    <row r="1638" spans="3:12" x14ac:dyDescent="0.25">
      <c r="C1638"/>
      <c r="D1638"/>
      <c r="F1638" s="1"/>
      <c r="G1638"/>
      <c r="K1638" s="1"/>
      <c r="L1638"/>
    </row>
    <row r="1639" spans="3:12" x14ac:dyDescent="0.25">
      <c r="C1639"/>
      <c r="D1639"/>
      <c r="F1639" s="1"/>
      <c r="G1639"/>
      <c r="K1639" s="1"/>
      <c r="L1639"/>
    </row>
    <row r="1640" spans="3:12" x14ac:dyDescent="0.25">
      <c r="C1640"/>
      <c r="D1640"/>
      <c r="F1640" s="1"/>
      <c r="G1640"/>
      <c r="K1640" s="1"/>
      <c r="L1640"/>
    </row>
    <row r="1641" spans="3:12" x14ac:dyDescent="0.25">
      <c r="C1641"/>
      <c r="D1641"/>
      <c r="F1641" s="1"/>
      <c r="G1641"/>
      <c r="K1641" s="1"/>
      <c r="L1641"/>
    </row>
    <row r="1642" spans="3:12" x14ac:dyDescent="0.25">
      <c r="C1642"/>
      <c r="D1642"/>
      <c r="F1642" s="1"/>
      <c r="G1642"/>
      <c r="K1642" s="1"/>
      <c r="L1642"/>
    </row>
    <row r="1643" spans="3:12" x14ac:dyDescent="0.25">
      <c r="C1643"/>
      <c r="D1643"/>
      <c r="F1643" s="1"/>
      <c r="G1643"/>
      <c r="K1643" s="1"/>
      <c r="L1643"/>
    </row>
    <row r="1644" spans="3:12" x14ac:dyDescent="0.25">
      <c r="C1644"/>
      <c r="D1644"/>
      <c r="F1644" s="1"/>
      <c r="G1644"/>
      <c r="K1644" s="1"/>
      <c r="L1644"/>
    </row>
    <row r="1645" spans="3:12" x14ac:dyDescent="0.25">
      <c r="C1645"/>
      <c r="D1645"/>
      <c r="F1645" s="1"/>
      <c r="G1645"/>
      <c r="K1645" s="1"/>
      <c r="L1645"/>
    </row>
    <row r="1646" spans="3:12" x14ac:dyDescent="0.25">
      <c r="C1646"/>
      <c r="D1646"/>
      <c r="F1646" s="1"/>
      <c r="G1646"/>
      <c r="K1646" s="1"/>
      <c r="L1646"/>
    </row>
    <row r="1647" spans="3:12" x14ac:dyDescent="0.25">
      <c r="C1647"/>
      <c r="D1647"/>
      <c r="F1647" s="1"/>
      <c r="G1647"/>
      <c r="K1647" s="1"/>
      <c r="L1647"/>
    </row>
    <row r="1648" spans="3:12" x14ac:dyDescent="0.25">
      <c r="C1648"/>
      <c r="D1648"/>
      <c r="F1648" s="1"/>
      <c r="G1648"/>
      <c r="K1648" s="1"/>
      <c r="L1648"/>
    </row>
    <row r="1649" spans="3:12" x14ac:dyDescent="0.25">
      <c r="C1649"/>
      <c r="D1649"/>
      <c r="F1649" s="1"/>
      <c r="G1649"/>
      <c r="K1649" s="1"/>
      <c r="L1649"/>
    </row>
    <row r="1650" spans="3:12" x14ac:dyDescent="0.25">
      <c r="C1650"/>
      <c r="D1650"/>
      <c r="F1650" s="1"/>
      <c r="G1650"/>
      <c r="K1650" s="1"/>
      <c r="L1650"/>
    </row>
    <row r="1651" spans="3:12" x14ac:dyDescent="0.25">
      <c r="C1651"/>
      <c r="D1651"/>
      <c r="F1651" s="1"/>
      <c r="G1651"/>
      <c r="K1651" s="1"/>
      <c r="L1651"/>
    </row>
    <row r="1652" spans="3:12" x14ac:dyDescent="0.25">
      <c r="C1652"/>
      <c r="D1652"/>
      <c r="F1652" s="1"/>
      <c r="G1652"/>
      <c r="K1652" s="1"/>
      <c r="L1652"/>
    </row>
    <row r="1653" spans="3:12" x14ac:dyDescent="0.25">
      <c r="C1653"/>
      <c r="D1653"/>
      <c r="F1653" s="1"/>
      <c r="G1653"/>
      <c r="K1653" s="1"/>
      <c r="L1653"/>
    </row>
    <row r="1654" spans="3:12" x14ac:dyDescent="0.25">
      <c r="C1654"/>
      <c r="D1654"/>
      <c r="F1654" s="1"/>
      <c r="G1654"/>
      <c r="K1654" s="1"/>
      <c r="L1654"/>
    </row>
    <row r="1655" spans="3:12" x14ac:dyDescent="0.25">
      <c r="C1655"/>
      <c r="D1655"/>
      <c r="F1655" s="1"/>
      <c r="G1655"/>
      <c r="K1655" s="1"/>
      <c r="L1655"/>
    </row>
    <row r="1656" spans="3:12" x14ac:dyDescent="0.25">
      <c r="C1656"/>
      <c r="D1656"/>
      <c r="F1656" s="1"/>
      <c r="G1656"/>
      <c r="K1656" s="1"/>
      <c r="L1656"/>
    </row>
    <row r="1657" spans="3:12" x14ac:dyDescent="0.25">
      <c r="C1657"/>
      <c r="D1657"/>
      <c r="F1657" s="1"/>
      <c r="G1657"/>
      <c r="K1657" s="1"/>
      <c r="L1657"/>
    </row>
    <row r="1658" spans="3:12" x14ac:dyDescent="0.25">
      <c r="C1658"/>
      <c r="D1658"/>
      <c r="F1658" s="1"/>
      <c r="G1658"/>
      <c r="K1658" s="1"/>
      <c r="L1658"/>
    </row>
    <row r="1659" spans="3:12" x14ac:dyDescent="0.25">
      <c r="C1659"/>
      <c r="D1659"/>
      <c r="F1659" s="1"/>
      <c r="G1659"/>
      <c r="K1659" s="1"/>
      <c r="L1659"/>
    </row>
    <row r="1660" spans="3:12" x14ac:dyDescent="0.25">
      <c r="C1660"/>
      <c r="D1660"/>
      <c r="F1660" s="1"/>
      <c r="G1660"/>
      <c r="K1660" s="1"/>
      <c r="L1660"/>
    </row>
    <row r="1661" spans="3:12" x14ac:dyDescent="0.25">
      <c r="C1661"/>
      <c r="D1661"/>
      <c r="F1661" s="1"/>
      <c r="G1661"/>
      <c r="K1661" s="1"/>
      <c r="L1661"/>
    </row>
    <row r="1662" spans="3:12" x14ac:dyDescent="0.25">
      <c r="C1662"/>
      <c r="D1662"/>
      <c r="F1662" s="1"/>
      <c r="G1662"/>
      <c r="K1662" s="1"/>
      <c r="L1662"/>
    </row>
    <row r="1663" spans="3:12" x14ac:dyDescent="0.25">
      <c r="C1663"/>
      <c r="D1663"/>
      <c r="F1663" s="1"/>
      <c r="G1663"/>
      <c r="K1663" s="1"/>
      <c r="L1663"/>
    </row>
    <row r="1664" spans="3:12" x14ac:dyDescent="0.25">
      <c r="C1664"/>
      <c r="D1664"/>
      <c r="F1664" s="1"/>
      <c r="G1664"/>
      <c r="K1664" s="1"/>
      <c r="L1664"/>
    </row>
    <row r="1665" spans="3:12" x14ac:dyDescent="0.25">
      <c r="C1665"/>
      <c r="D1665"/>
      <c r="F1665" s="1"/>
      <c r="G1665"/>
      <c r="K1665" s="1"/>
      <c r="L1665"/>
    </row>
    <row r="1666" spans="3:12" x14ac:dyDescent="0.25">
      <c r="C1666"/>
      <c r="D1666"/>
      <c r="F1666" s="1"/>
      <c r="G1666"/>
      <c r="K1666" s="1"/>
      <c r="L1666"/>
    </row>
    <row r="1667" spans="3:12" x14ac:dyDescent="0.25">
      <c r="C1667"/>
      <c r="D1667"/>
      <c r="F1667" s="1"/>
      <c r="G1667"/>
      <c r="K1667" s="1"/>
      <c r="L1667"/>
    </row>
    <row r="1668" spans="3:12" x14ac:dyDescent="0.25">
      <c r="C1668"/>
      <c r="D1668"/>
      <c r="F1668" s="1"/>
      <c r="G1668"/>
      <c r="K1668" s="1"/>
      <c r="L1668"/>
    </row>
    <row r="1669" spans="3:12" x14ac:dyDescent="0.25">
      <c r="C1669"/>
      <c r="D1669"/>
      <c r="F1669" s="1"/>
      <c r="G1669"/>
      <c r="K1669" s="1"/>
      <c r="L1669"/>
    </row>
    <row r="1670" spans="3:12" x14ac:dyDescent="0.25">
      <c r="C1670"/>
      <c r="D1670"/>
      <c r="F1670" s="1"/>
      <c r="G1670"/>
      <c r="K1670" s="1"/>
      <c r="L1670"/>
    </row>
    <row r="1671" spans="3:12" x14ac:dyDescent="0.25">
      <c r="C1671"/>
      <c r="D1671"/>
      <c r="F1671" s="1"/>
      <c r="G1671"/>
      <c r="K1671" s="1"/>
      <c r="L1671"/>
    </row>
    <row r="1672" spans="3:12" x14ac:dyDescent="0.25">
      <c r="C1672"/>
      <c r="D1672"/>
      <c r="F1672" s="1"/>
      <c r="G1672"/>
      <c r="K1672" s="1"/>
      <c r="L1672"/>
    </row>
    <row r="1673" spans="3:12" x14ac:dyDescent="0.25">
      <c r="C1673"/>
      <c r="D1673"/>
      <c r="F1673" s="1"/>
      <c r="G1673"/>
      <c r="K1673" s="1"/>
      <c r="L1673"/>
    </row>
    <row r="1674" spans="3:12" x14ac:dyDescent="0.25">
      <c r="C1674"/>
      <c r="D1674"/>
      <c r="F1674" s="1"/>
      <c r="G1674"/>
      <c r="K1674" s="1"/>
      <c r="L1674"/>
    </row>
    <row r="1675" spans="3:12" x14ac:dyDescent="0.25">
      <c r="C1675"/>
      <c r="D1675"/>
      <c r="F1675" s="1"/>
      <c r="G1675"/>
      <c r="K1675" s="1"/>
      <c r="L1675"/>
    </row>
    <row r="1676" spans="3:12" x14ac:dyDescent="0.25">
      <c r="C1676"/>
      <c r="D1676"/>
      <c r="F1676" s="1"/>
      <c r="G1676"/>
      <c r="K1676" s="1"/>
      <c r="L1676"/>
    </row>
    <row r="1677" spans="3:12" x14ac:dyDescent="0.25">
      <c r="C1677"/>
      <c r="D1677"/>
      <c r="F1677" s="1"/>
      <c r="G1677"/>
      <c r="K1677" s="1"/>
      <c r="L1677"/>
    </row>
    <row r="1678" spans="3:12" x14ac:dyDescent="0.25">
      <c r="C1678"/>
      <c r="D1678"/>
      <c r="F1678" s="1"/>
      <c r="G1678"/>
      <c r="K1678" s="1"/>
      <c r="L1678"/>
    </row>
    <row r="1679" spans="3:12" x14ac:dyDescent="0.25">
      <c r="C1679"/>
      <c r="D1679"/>
      <c r="F1679" s="1"/>
      <c r="G1679"/>
      <c r="K1679" s="1"/>
      <c r="L1679"/>
    </row>
    <row r="1680" spans="3:12" x14ac:dyDescent="0.25">
      <c r="C1680"/>
      <c r="D1680"/>
      <c r="F1680" s="1"/>
      <c r="G1680"/>
      <c r="K1680" s="1"/>
      <c r="L1680"/>
    </row>
    <row r="1681" spans="3:12" x14ac:dyDescent="0.25">
      <c r="C1681"/>
      <c r="D1681"/>
      <c r="F1681" s="1"/>
      <c r="G1681"/>
      <c r="K1681" s="1"/>
      <c r="L1681"/>
    </row>
    <row r="1682" spans="3:12" x14ac:dyDescent="0.25">
      <c r="C1682"/>
      <c r="D1682"/>
      <c r="F1682" s="1"/>
      <c r="G1682"/>
      <c r="K1682" s="1"/>
      <c r="L1682"/>
    </row>
    <row r="1683" spans="3:12" x14ac:dyDescent="0.25">
      <c r="C1683"/>
      <c r="D1683"/>
      <c r="F1683" s="1"/>
      <c r="G1683"/>
      <c r="K1683" s="1"/>
      <c r="L1683"/>
    </row>
    <row r="1684" spans="3:12" x14ac:dyDescent="0.25">
      <c r="C1684"/>
      <c r="D1684"/>
      <c r="F1684" s="1"/>
      <c r="G1684"/>
      <c r="K1684" s="1"/>
      <c r="L1684"/>
    </row>
    <row r="1685" spans="3:12" x14ac:dyDescent="0.25">
      <c r="C1685"/>
      <c r="D1685"/>
      <c r="F1685" s="1"/>
      <c r="G1685"/>
      <c r="K1685" s="1"/>
      <c r="L1685"/>
    </row>
    <row r="1686" spans="3:12" x14ac:dyDescent="0.25">
      <c r="C1686"/>
      <c r="D1686"/>
      <c r="F1686" s="1"/>
      <c r="G1686"/>
      <c r="K1686" s="1"/>
      <c r="L1686"/>
    </row>
    <row r="1687" spans="3:12" x14ac:dyDescent="0.25">
      <c r="C1687"/>
      <c r="D1687"/>
      <c r="F1687" s="1"/>
      <c r="G1687"/>
      <c r="K1687" s="1"/>
      <c r="L1687"/>
    </row>
    <row r="1688" spans="3:12" x14ac:dyDescent="0.25">
      <c r="C1688"/>
      <c r="D1688"/>
      <c r="F1688" s="1"/>
      <c r="G1688"/>
      <c r="K1688" s="1"/>
      <c r="L1688"/>
    </row>
    <row r="1689" spans="3:12" x14ac:dyDescent="0.25">
      <c r="C1689"/>
      <c r="D1689"/>
      <c r="F1689" s="1"/>
      <c r="G1689"/>
      <c r="K1689" s="1"/>
      <c r="L1689"/>
    </row>
    <row r="1690" spans="3:12" x14ac:dyDescent="0.25">
      <c r="C1690"/>
      <c r="D1690"/>
      <c r="F1690" s="1"/>
      <c r="G1690"/>
      <c r="K1690" s="1"/>
      <c r="L1690"/>
    </row>
    <row r="1691" spans="3:12" x14ac:dyDescent="0.25">
      <c r="C1691"/>
      <c r="D1691"/>
      <c r="F1691" s="1"/>
      <c r="G1691"/>
      <c r="K1691" s="1"/>
      <c r="L1691"/>
    </row>
    <row r="1692" spans="3:12" x14ac:dyDescent="0.25">
      <c r="C1692"/>
      <c r="D1692"/>
      <c r="F1692" s="1"/>
      <c r="G1692"/>
      <c r="K1692" s="1"/>
      <c r="L1692"/>
    </row>
    <row r="1693" spans="3:12" x14ac:dyDescent="0.25">
      <c r="C1693"/>
      <c r="D1693"/>
      <c r="F1693" s="1"/>
      <c r="G1693"/>
      <c r="K1693" s="1"/>
      <c r="L1693"/>
    </row>
    <row r="1694" spans="3:12" x14ac:dyDescent="0.25">
      <c r="C1694"/>
      <c r="D1694"/>
      <c r="F1694" s="1"/>
      <c r="G1694"/>
      <c r="K1694" s="1"/>
      <c r="L1694"/>
    </row>
    <row r="1695" spans="3:12" x14ac:dyDescent="0.25">
      <c r="C1695"/>
      <c r="D1695"/>
      <c r="F1695" s="1"/>
      <c r="G1695"/>
      <c r="K1695" s="1"/>
      <c r="L1695"/>
    </row>
    <row r="1696" spans="3:12" x14ac:dyDescent="0.25">
      <c r="C1696"/>
      <c r="D1696"/>
      <c r="F1696" s="1"/>
      <c r="G1696"/>
      <c r="K1696" s="1"/>
      <c r="L1696"/>
    </row>
    <row r="1697" spans="3:12" x14ac:dyDescent="0.25">
      <c r="C1697"/>
      <c r="D1697"/>
      <c r="F1697" s="1"/>
      <c r="G1697"/>
      <c r="K1697" s="1"/>
      <c r="L1697"/>
    </row>
    <row r="1698" spans="3:12" x14ac:dyDescent="0.25">
      <c r="C1698"/>
      <c r="D1698"/>
      <c r="F1698" s="1"/>
      <c r="G1698"/>
      <c r="K1698" s="1"/>
      <c r="L1698"/>
    </row>
    <row r="1699" spans="3:12" x14ac:dyDescent="0.25">
      <c r="C1699"/>
      <c r="D1699"/>
      <c r="F1699" s="1"/>
      <c r="G1699"/>
      <c r="K1699" s="1"/>
      <c r="L1699"/>
    </row>
    <row r="1700" spans="3:12" x14ac:dyDescent="0.25">
      <c r="C1700"/>
      <c r="D1700"/>
      <c r="F1700" s="1"/>
      <c r="G1700"/>
      <c r="K1700" s="1"/>
      <c r="L1700"/>
    </row>
    <row r="1701" spans="3:12" x14ac:dyDescent="0.25">
      <c r="C1701"/>
      <c r="D1701"/>
      <c r="F1701" s="1"/>
      <c r="G1701"/>
      <c r="K1701" s="1"/>
      <c r="L1701"/>
    </row>
    <row r="1702" spans="3:12" x14ac:dyDescent="0.25">
      <c r="C1702"/>
      <c r="D1702"/>
      <c r="F1702" s="1"/>
      <c r="G1702"/>
      <c r="K1702" s="1"/>
      <c r="L1702"/>
    </row>
    <row r="1703" spans="3:12" x14ac:dyDescent="0.25">
      <c r="C1703"/>
      <c r="D1703"/>
      <c r="F1703" s="1"/>
      <c r="G1703"/>
      <c r="K1703" s="1"/>
      <c r="L1703"/>
    </row>
    <row r="1704" spans="3:12" x14ac:dyDescent="0.25">
      <c r="C1704"/>
      <c r="D1704"/>
      <c r="F1704" s="1"/>
      <c r="G1704"/>
      <c r="K1704" s="1"/>
      <c r="L1704"/>
    </row>
    <row r="1705" spans="3:12" x14ac:dyDescent="0.25">
      <c r="C1705"/>
      <c r="D1705"/>
      <c r="F1705" s="1"/>
      <c r="G1705"/>
      <c r="K1705" s="1"/>
      <c r="L1705"/>
    </row>
    <row r="1706" spans="3:12" x14ac:dyDescent="0.25">
      <c r="C1706"/>
      <c r="D1706"/>
      <c r="F1706" s="1"/>
      <c r="G1706"/>
      <c r="K1706" s="1"/>
      <c r="L1706"/>
    </row>
    <row r="1707" spans="3:12" x14ac:dyDescent="0.25">
      <c r="C1707"/>
      <c r="D1707"/>
      <c r="F1707" s="1"/>
      <c r="G1707"/>
      <c r="K1707" s="1"/>
      <c r="L1707"/>
    </row>
    <row r="1708" spans="3:12" x14ac:dyDescent="0.25">
      <c r="C1708"/>
      <c r="D1708"/>
      <c r="F1708" s="1"/>
      <c r="G1708"/>
      <c r="K1708" s="1"/>
      <c r="L1708"/>
    </row>
    <row r="1709" spans="3:12" x14ac:dyDescent="0.25">
      <c r="C1709"/>
      <c r="D1709"/>
      <c r="F1709" s="1"/>
      <c r="G1709"/>
      <c r="K1709" s="1"/>
      <c r="L1709"/>
    </row>
    <row r="1710" spans="3:12" x14ac:dyDescent="0.25">
      <c r="C1710"/>
      <c r="D1710"/>
      <c r="F1710" s="1"/>
      <c r="G1710"/>
      <c r="K1710" s="1"/>
      <c r="L1710"/>
    </row>
    <row r="1711" spans="3:12" x14ac:dyDescent="0.25">
      <c r="C1711"/>
      <c r="D1711"/>
      <c r="F1711" s="1"/>
      <c r="G1711"/>
      <c r="K1711" s="1"/>
      <c r="L1711"/>
    </row>
    <row r="1712" spans="3:12" x14ac:dyDescent="0.25">
      <c r="C1712"/>
      <c r="D1712"/>
      <c r="F1712" s="1"/>
      <c r="G1712"/>
      <c r="K1712" s="1"/>
      <c r="L1712"/>
    </row>
    <row r="1713" spans="3:12" x14ac:dyDescent="0.25">
      <c r="C1713"/>
      <c r="D1713"/>
      <c r="F1713" s="1"/>
      <c r="G1713"/>
      <c r="K1713" s="1"/>
      <c r="L1713"/>
    </row>
    <row r="1714" spans="3:12" x14ac:dyDescent="0.25">
      <c r="C1714"/>
      <c r="D1714"/>
      <c r="F1714" s="1"/>
      <c r="G1714"/>
      <c r="K1714" s="1"/>
      <c r="L1714"/>
    </row>
    <row r="1715" spans="3:12" x14ac:dyDescent="0.25">
      <c r="C1715"/>
      <c r="D1715"/>
      <c r="F1715" s="1"/>
      <c r="G1715"/>
      <c r="K1715" s="1"/>
      <c r="L1715"/>
    </row>
    <row r="1716" spans="3:12" x14ac:dyDescent="0.25">
      <c r="C1716"/>
      <c r="D1716"/>
      <c r="F1716" s="1"/>
      <c r="G1716"/>
      <c r="K1716" s="1"/>
      <c r="L1716"/>
    </row>
    <row r="1717" spans="3:12" x14ac:dyDescent="0.25">
      <c r="C1717"/>
      <c r="D1717"/>
      <c r="F1717" s="1"/>
      <c r="G1717"/>
      <c r="K1717" s="1"/>
      <c r="L1717"/>
    </row>
    <row r="1718" spans="3:12" x14ac:dyDescent="0.25">
      <c r="C1718"/>
      <c r="D1718"/>
      <c r="F1718" s="1"/>
      <c r="G1718"/>
      <c r="K1718" s="1"/>
      <c r="L1718"/>
    </row>
    <row r="1719" spans="3:12" x14ac:dyDescent="0.25">
      <c r="C1719"/>
      <c r="D1719"/>
      <c r="F1719" s="1"/>
      <c r="G1719"/>
      <c r="K1719" s="1"/>
      <c r="L1719"/>
    </row>
    <row r="1720" spans="3:12" x14ac:dyDescent="0.25">
      <c r="C1720"/>
      <c r="D1720"/>
      <c r="F1720" s="1"/>
      <c r="G1720"/>
      <c r="K1720" s="1"/>
      <c r="L1720"/>
    </row>
    <row r="1721" spans="3:12" x14ac:dyDescent="0.25">
      <c r="C1721"/>
      <c r="D1721"/>
      <c r="F1721" s="1"/>
      <c r="G1721"/>
      <c r="K1721" s="1"/>
      <c r="L1721"/>
    </row>
    <row r="1722" spans="3:12" x14ac:dyDescent="0.25">
      <c r="C1722"/>
      <c r="D1722"/>
      <c r="F1722" s="1"/>
      <c r="G1722"/>
      <c r="K1722" s="1"/>
      <c r="L1722"/>
    </row>
    <row r="1723" spans="3:12" x14ac:dyDescent="0.25">
      <c r="C1723"/>
      <c r="D1723"/>
      <c r="F1723" s="1"/>
      <c r="G1723"/>
      <c r="K1723" s="1"/>
      <c r="L1723"/>
    </row>
    <row r="1724" spans="3:12" x14ac:dyDescent="0.25">
      <c r="C1724"/>
      <c r="D1724"/>
      <c r="F1724" s="1"/>
      <c r="G1724"/>
      <c r="K1724" s="1"/>
      <c r="L1724"/>
    </row>
    <row r="1725" spans="3:12" x14ac:dyDescent="0.25">
      <c r="C1725"/>
      <c r="D1725"/>
      <c r="F1725" s="1"/>
      <c r="G1725"/>
      <c r="K1725" s="1"/>
      <c r="L1725"/>
    </row>
    <row r="1726" spans="3:12" x14ac:dyDescent="0.25">
      <c r="C1726"/>
      <c r="D1726"/>
      <c r="F1726" s="1"/>
      <c r="G1726"/>
      <c r="K1726" s="1"/>
      <c r="L1726"/>
    </row>
    <row r="1727" spans="3:12" x14ac:dyDescent="0.25">
      <c r="C1727"/>
      <c r="D1727"/>
      <c r="F1727" s="1"/>
      <c r="G1727"/>
      <c r="K1727" s="1"/>
      <c r="L1727"/>
    </row>
    <row r="1728" spans="3:12" x14ac:dyDescent="0.25">
      <c r="C1728"/>
      <c r="D1728"/>
      <c r="F1728" s="1"/>
      <c r="G1728"/>
      <c r="K1728" s="1"/>
      <c r="L1728"/>
    </row>
    <row r="1729" spans="3:12" x14ac:dyDescent="0.25">
      <c r="C1729"/>
      <c r="D1729"/>
      <c r="F1729" s="1"/>
      <c r="G1729"/>
      <c r="K1729" s="1"/>
      <c r="L1729"/>
    </row>
    <row r="1730" spans="3:12" x14ac:dyDescent="0.25">
      <c r="C1730"/>
      <c r="D1730"/>
      <c r="F1730" s="1"/>
      <c r="G1730"/>
      <c r="K1730" s="1"/>
      <c r="L1730"/>
    </row>
    <row r="1731" spans="3:12" x14ac:dyDescent="0.25">
      <c r="C1731"/>
      <c r="D1731"/>
      <c r="F1731" s="1"/>
      <c r="G1731"/>
      <c r="K1731" s="1"/>
      <c r="L1731"/>
    </row>
    <row r="1732" spans="3:12" x14ac:dyDescent="0.25">
      <c r="C1732"/>
      <c r="D1732"/>
      <c r="F1732" s="1"/>
      <c r="G1732"/>
      <c r="K1732" s="1"/>
      <c r="L1732"/>
    </row>
    <row r="1733" spans="3:12" x14ac:dyDescent="0.25">
      <c r="C1733"/>
      <c r="D1733"/>
      <c r="F1733" s="1"/>
      <c r="G1733"/>
      <c r="K1733" s="1"/>
      <c r="L1733"/>
    </row>
    <row r="1734" spans="3:12" x14ac:dyDescent="0.25">
      <c r="C1734"/>
      <c r="D1734"/>
      <c r="F1734" s="1"/>
      <c r="G1734"/>
      <c r="K1734" s="1"/>
      <c r="L1734"/>
    </row>
    <row r="1735" spans="3:12" x14ac:dyDescent="0.25">
      <c r="C1735"/>
      <c r="D1735"/>
      <c r="F1735" s="1"/>
      <c r="G1735"/>
      <c r="K1735" s="1"/>
      <c r="L1735"/>
    </row>
    <row r="1736" spans="3:12" x14ac:dyDescent="0.25">
      <c r="C1736"/>
      <c r="D1736"/>
      <c r="F1736" s="1"/>
      <c r="G1736"/>
      <c r="K1736" s="1"/>
      <c r="L1736"/>
    </row>
    <row r="1737" spans="3:12" x14ac:dyDescent="0.25">
      <c r="C1737"/>
      <c r="D1737"/>
      <c r="F1737" s="1"/>
      <c r="G1737"/>
      <c r="K1737" s="1"/>
      <c r="L1737"/>
    </row>
    <row r="1738" spans="3:12" x14ac:dyDescent="0.25">
      <c r="C1738"/>
      <c r="D1738"/>
      <c r="F1738" s="1"/>
      <c r="G1738"/>
      <c r="K1738" s="1"/>
      <c r="L1738"/>
    </row>
    <row r="1739" spans="3:12" x14ac:dyDescent="0.25">
      <c r="C1739"/>
      <c r="D1739"/>
      <c r="F1739" s="1"/>
      <c r="G1739"/>
      <c r="K1739" s="1"/>
      <c r="L1739"/>
    </row>
    <row r="1740" spans="3:12" x14ac:dyDescent="0.25">
      <c r="C1740"/>
      <c r="D1740"/>
      <c r="F1740" s="1"/>
      <c r="G1740"/>
      <c r="K1740" s="1"/>
      <c r="L1740"/>
    </row>
    <row r="1741" spans="3:12" x14ac:dyDescent="0.25">
      <c r="C1741"/>
      <c r="D1741"/>
      <c r="F1741" s="1"/>
      <c r="G1741"/>
      <c r="K1741" s="1"/>
      <c r="L1741"/>
    </row>
    <row r="1742" spans="3:12" x14ac:dyDescent="0.25">
      <c r="C1742"/>
      <c r="D1742"/>
      <c r="F1742" s="1"/>
      <c r="G1742"/>
      <c r="K1742" s="1"/>
      <c r="L1742"/>
    </row>
    <row r="1743" spans="3:12" x14ac:dyDescent="0.25">
      <c r="C1743"/>
      <c r="D1743"/>
      <c r="F1743" s="1"/>
      <c r="G1743"/>
      <c r="K1743" s="1"/>
      <c r="L1743"/>
    </row>
    <row r="1744" spans="3:12" x14ac:dyDescent="0.25">
      <c r="C1744"/>
      <c r="D1744"/>
      <c r="F1744" s="1"/>
      <c r="G1744"/>
      <c r="K1744" s="1"/>
      <c r="L1744"/>
    </row>
    <row r="1745" spans="3:12" x14ac:dyDescent="0.25">
      <c r="C1745"/>
      <c r="D1745"/>
      <c r="F1745" s="1"/>
      <c r="G1745"/>
      <c r="K1745" s="1"/>
      <c r="L1745"/>
    </row>
    <row r="1746" spans="3:12" x14ac:dyDescent="0.25">
      <c r="C1746"/>
      <c r="D1746"/>
      <c r="F1746" s="1"/>
      <c r="G1746"/>
      <c r="K1746" s="1"/>
      <c r="L1746"/>
    </row>
    <row r="1747" spans="3:12" x14ac:dyDescent="0.25">
      <c r="C1747"/>
      <c r="D1747"/>
      <c r="F1747" s="1"/>
      <c r="G1747"/>
      <c r="K1747" s="1"/>
      <c r="L1747"/>
    </row>
    <row r="1748" spans="3:12" x14ac:dyDescent="0.25">
      <c r="C1748"/>
      <c r="D1748"/>
      <c r="F1748" s="1"/>
      <c r="G1748"/>
      <c r="K1748" s="1"/>
      <c r="L1748"/>
    </row>
    <row r="1749" spans="3:12" x14ac:dyDescent="0.25">
      <c r="C1749"/>
      <c r="D1749"/>
      <c r="F1749" s="1"/>
      <c r="G1749"/>
      <c r="K1749" s="1"/>
      <c r="L1749"/>
    </row>
    <row r="1750" spans="3:12" x14ac:dyDescent="0.25">
      <c r="C1750"/>
      <c r="D1750"/>
      <c r="F1750" s="1"/>
      <c r="G1750"/>
      <c r="K1750" s="1"/>
      <c r="L1750"/>
    </row>
    <row r="1751" spans="3:12" x14ac:dyDescent="0.25">
      <c r="C1751"/>
      <c r="D1751"/>
      <c r="F1751" s="1"/>
      <c r="G1751"/>
      <c r="K1751" s="1"/>
      <c r="L1751"/>
    </row>
    <row r="1752" spans="3:12" x14ac:dyDescent="0.25">
      <c r="C1752"/>
      <c r="D1752"/>
      <c r="F1752" s="1"/>
      <c r="G1752"/>
      <c r="K1752" s="1"/>
      <c r="L1752"/>
    </row>
    <row r="1753" spans="3:12" x14ac:dyDescent="0.25">
      <c r="C1753"/>
      <c r="D1753"/>
      <c r="F1753" s="1"/>
      <c r="G1753"/>
      <c r="K1753" s="1"/>
      <c r="L1753"/>
    </row>
    <row r="1754" spans="3:12" x14ac:dyDescent="0.25">
      <c r="C1754"/>
      <c r="D1754"/>
      <c r="F1754" s="1"/>
      <c r="G1754"/>
      <c r="K1754" s="1"/>
      <c r="L1754"/>
    </row>
    <row r="1755" spans="3:12" x14ac:dyDescent="0.25">
      <c r="C1755"/>
      <c r="D1755"/>
      <c r="F1755" s="1"/>
      <c r="G1755"/>
      <c r="K1755" s="1"/>
      <c r="L1755"/>
    </row>
    <row r="1756" spans="3:12" x14ac:dyDescent="0.25">
      <c r="C1756"/>
      <c r="D1756"/>
      <c r="F1756" s="1"/>
      <c r="G1756"/>
      <c r="K1756" s="1"/>
      <c r="L1756"/>
    </row>
    <row r="1757" spans="3:12" x14ac:dyDescent="0.25">
      <c r="C1757"/>
      <c r="D1757"/>
      <c r="F1757" s="1"/>
      <c r="G1757"/>
      <c r="K1757" s="1"/>
      <c r="L1757"/>
    </row>
    <row r="1758" spans="3:12" x14ac:dyDescent="0.25">
      <c r="C1758"/>
      <c r="D1758"/>
      <c r="F1758" s="1"/>
      <c r="G1758"/>
      <c r="K1758" s="1"/>
      <c r="L1758"/>
    </row>
    <row r="1759" spans="3:12" x14ac:dyDescent="0.25">
      <c r="C1759"/>
      <c r="D1759"/>
      <c r="F1759" s="1"/>
      <c r="G1759"/>
      <c r="K1759" s="1"/>
      <c r="L1759"/>
    </row>
    <row r="1760" spans="3:12" x14ac:dyDescent="0.25">
      <c r="C1760"/>
      <c r="D1760"/>
      <c r="F1760" s="1"/>
      <c r="G1760"/>
      <c r="K1760" s="1"/>
      <c r="L1760"/>
    </row>
    <row r="1761" spans="3:12" x14ac:dyDescent="0.25">
      <c r="C1761"/>
      <c r="D1761"/>
      <c r="F1761" s="1"/>
      <c r="G1761"/>
      <c r="K1761" s="1"/>
      <c r="L1761"/>
    </row>
    <row r="1762" spans="3:12" x14ac:dyDescent="0.25">
      <c r="C1762"/>
      <c r="D1762"/>
      <c r="F1762" s="1"/>
      <c r="G1762"/>
      <c r="K1762" s="1"/>
      <c r="L1762"/>
    </row>
    <row r="1763" spans="3:12" x14ac:dyDescent="0.25">
      <c r="C1763"/>
      <c r="D1763"/>
      <c r="F1763" s="1"/>
      <c r="G1763"/>
      <c r="K1763" s="1"/>
      <c r="L1763"/>
    </row>
    <row r="1764" spans="3:12" x14ac:dyDescent="0.25">
      <c r="C1764"/>
      <c r="D1764"/>
      <c r="F1764" s="1"/>
      <c r="G1764"/>
      <c r="K1764" s="1"/>
      <c r="L1764"/>
    </row>
    <row r="1765" spans="3:12" x14ac:dyDescent="0.25">
      <c r="C1765"/>
      <c r="D1765"/>
      <c r="F1765" s="1"/>
      <c r="G1765"/>
      <c r="K1765" s="1"/>
      <c r="L1765"/>
    </row>
    <row r="1766" spans="3:12" x14ac:dyDescent="0.25">
      <c r="C1766"/>
      <c r="D1766"/>
      <c r="F1766" s="1"/>
      <c r="G1766"/>
      <c r="K1766" s="1"/>
      <c r="L1766"/>
    </row>
    <row r="1767" spans="3:12" x14ac:dyDescent="0.25">
      <c r="C1767"/>
      <c r="D1767"/>
      <c r="F1767" s="1"/>
      <c r="G1767"/>
      <c r="K1767" s="1"/>
      <c r="L1767"/>
    </row>
    <row r="1768" spans="3:12" x14ac:dyDescent="0.25">
      <c r="C1768"/>
      <c r="D1768"/>
      <c r="F1768" s="1"/>
      <c r="G1768"/>
      <c r="K1768" s="1"/>
      <c r="L1768"/>
    </row>
    <row r="1769" spans="3:12" x14ac:dyDescent="0.25">
      <c r="C1769"/>
      <c r="D1769"/>
      <c r="F1769" s="1"/>
      <c r="G1769"/>
      <c r="K1769" s="1"/>
      <c r="L1769"/>
    </row>
    <row r="1770" spans="3:12" x14ac:dyDescent="0.25">
      <c r="C1770"/>
      <c r="D1770"/>
      <c r="F1770" s="1"/>
      <c r="G1770"/>
      <c r="K1770" s="1"/>
      <c r="L1770"/>
    </row>
    <row r="1771" spans="3:12" x14ac:dyDescent="0.25">
      <c r="C1771"/>
      <c r="D1771"/>
      <c r="F1771" s="1"/>
      <c r="G1771"/>
      <c r="K1771" s="1"/>
      <c r="L1771"/>
    </row>
    <row r="1772" spans="3:12" x14ac:dyDescent="0.25">
      <c r="C1772"/>
      <c r="D1772"/>
      <c r="F1772" s="1"/>
      <c r="G1772"/>
      <c r="K1772" s="1"/>
      <c r="L1772"/>
    </row>
    <row r="1773" spans="3:12" x14ac:dyDescent="0.25">
      <c r="C1773"/>
      <c r="D1773"/>
      <c r="F1773" s="1"/>
      <c r="G1773"/>
      <c r="K1773" s="1"/>
      <c r="L1773"/>
    </row>
    <row r="1774" spans="3:12" x14ac:dyDescent="0.25">
      <c r="C1774"/>
      <c r="D1774"/>
      <c r="F1774" s="1"/>
      <c r="G1774"/>
      <c r="K1774" s="1"/>
      <c r="L1774"/>
    </row>
    <row r="1775" spans="3:12" x14ac:dyDescent="0.25">
      <c r="C1775"/>
      <c r="D1775"/>
      <c r="F1775" s="1"/>
      <c r="G1775"/>
      <c r="K1775" s="1"/>
      <c r="L1775"/>
    </row>
    <row r="1776" spans="3:12" x14ac:dyDescent="0.25">
      <c r="C1776"/>
      <c r="D1776"/>
      <c r="F1776" s="1"/>
      <c r="G1776"/>
      <c r="K1776" s="1"/>
      <c r="L1776"/>
    </row>
    <row r="1777" spans="3:12" x14ac:dyDescent="0.25">
      <c r="C1777"/>
      <c r="D1777"/>
      <c r="F1777" s="1"/>
      <c r="G1777"/>
      <c r="K1777" s="1"/>
      <c r="L1777"/>
    </row>
    <row r="1778" spans="3:12" x14ac:dyDescent="0.25">
      <c r="C1778"/>
      <c r="D1778"/>
      <c r="F1778" s="1"/>
      <c r="G1778"/>
      <c r="K1778" s="1"/>
      <c r="L1778"/>
    </row>
    <row r="1779" spans="3:12" x14ac:dyDescent="0.25">
      <c r="C1779"/>
      <c r="D1779"/>
      <c r="F1779" s="1"/>
      <c r="G1779"/>
      <c r="K1779" s="1"/>
      <c r="L1779"/>
    </row>
    <row r="1780" spans="3:12" x14ac:dyDescent="0.25">
      <c r="C1780"/>
      <c r="D1780"/>
      <c r="F1780" s="1"/>
      <c r="G1780"/>
      <c r="K1780" s="1"/>
      <c r="L1780"/>
    </row>
    <row r="1781" spans="3:12" x14ac:dyDescent="0.25">
      <c r="C1781"/>
      <c r="D1781"/>
      <c r="F1781" s="1"/>
      <c r="G1781"/>
      <c r="K1781" s="1"/>
      <c r="L1781"/>
    </row>
    <row r="1782" spans="3:12" x14ac:dyDescent="0.25">
      <c r="C1782"/>
      <c r="D1782"/>
      <c r="F1782" s="1"/>
      <c r="G1782"/>
      <c r="K1782" s="1"/>
      <c r="L1782"/>
    </row>
    <row r="1783" spans="3:12" x14ac:dyDescent="0.25">
      <c r="C1783"/>
      <c r="D1783"/>
      <c r="F1783" s="1"/>
      <c r="G1783"/>
      <c r="K1783" s="1"/>
      <c r="L1783"/>
    </row>
    <row r="1784" spans="3:12" x14ac:dyDescent="0.25">
      <c r="C1784"/>
      <c r="D1784"/>
      <c r="F1784" s="1"/>
      <c r="G1784"/>
      <c r="K1784" s="1"/>
      <c r="L1784"/>
    </row>
    <row r="1785" spans="3:12" x14ac:dyDescent="0.25">
      <c r="C1785"/>
      <c r="D1785"/>
      <c r="F1785" s="1"/>
      <c r="G1785"/>
      <c r="K1785" s="1"/>
      <c r="L1785"/>
    </row>
    <row r="1786" spans="3:12" x14ac:dyDescent="0.25">
      <c r="C1786"/>
      <c r="D1786"/>
      <c r="F1786" s="1"/>
      <c r="G1786"/>
      <c r="K1786" s="1"/>
      <c r="L1786"/>
    </row>
    <row r="1787" spans="3:12" x14ac:dyDescent="0.25">
      <c r="C1787"/>
      <c r="D1787"/>
      <c r="F1787" s="1"/>
      <c r="G1787"/>
      <c r="K1787" s="1"/>
      <c r="L1787"/>
    </row>
    <row r="1788" spans="3:12" x14ac:dyDescent="0.25">
      <c r="C1788"/>
      <c r="D1788"/>
      <c r="F1788" s="1"/>
      <c r="G1788"/>
      <c r="K1788" s="1"/>
      <c r="L1788"/>
    </row>
    <row r="1789" spans="3:12" x14ac:dyDescent="0.25">
      <c r="C1789"/>
      <c r="D1789"/>
      <c r="F1789" s="1"/>
      <c r="G1789"/>
      <c r="K1789" s="1"/>
      <c r="L1789"/>
    </row>
    <row r="1790" spans="3:12" x14ac:dyDescent="0.25">
      <c r="C1790"/>
      <c r="D1790"/>
      <c r="F1790" s="1"/>
      <c r="G1790"/>
      <c r="K1790" s="1"/>
      <c r="L1790"/>
    </row>
    <row r="1791" spans="3:12" x14ac:dyDescent="0.25">
      <c r="C1791"/>
      <c r="D1791"/>
      <c r="F1791" s="1"/>
      <c r="G1791"/>
      <c r="K1791" s="1"/>
      <c r="L1791"/>
    </row>
    <row r="1792" spans="3:12" x14ac:dyDescent="0.25">
      <c r="C1792"/>
      <c r="D1792"/>
      <c r="F1792" s="1"/>
      <c r="G1792"/>
      <c r="K1792" s="1"/>
      <c r="L1792"/>
    </row>
    <row r="1793" spans="3:12" x14ac:dyDescent="0.25">
      <c r="C1793"/>
      <c r="D1793"/>
      <c r="F1793" s="1"/>
      <c r="G1793"/>
      <c r="K1793" s="1"/>
      <c r="L1793"/>
    </row>
    <row r="1794" spans="3:12" x14ac:dyDescent="0.25">
      <c r="C1794"/>
      <c r="D1794"/>
      <c r="F1794" s="1"/>
      <c r="G1794"/>
      <c r="K1794" s="1"/>
      <c r="L1794"/>
    </row>
    <row r="1795" spans="3:12" x14ac:dyDescent="0.25">
      <c r="C1795"/>
      <c r="D1795"/>
      <c r="F1795" s="1"/>
      <c r="G1795"/>
      <c r="K1795" s="1"/>
      <c r="L1795"/>
    </row>
    <row r="1796" spans="3:12" x14ac:dyDescent="0.25">
      <c r="C1796"/>
      <c r="D1796"/>
      <c r="F1796" s="1"/>
      <c r="G1796"/>
      <c r="K1796" s="1"/>
      <c r="L1796"/>
    </row>
    <row r="1797" spans="3:12" x14ac:dyDescent="0.25">
      <c r="C1797"/>
      <c r="D1797"/>
      <c r="F1797" s="1"/>
      <c r="G1797"/>
      <c r="K1797" s="1"/>
      <c r="L1797"/>
    </row>
    <row r="1798" spans="3:12" x14ac:dyDescent="0.25">
      <c r="C1798"/>
      <c r="D1798"/>
      <c r="F1798" s="1"/>
      <c r="G1798"/>
      <c r="K1798" s="1"/>
      <c r="L1798"/>
    </row>
    <row r="1799" spans="3:12" x14ac:dyDescent="0.25">
      <c r="C1799"/>
      <c r="D1799"/>
      <c r="F1799" s="1"/>
      <c r="G1799"/>
      <c r="K1799" s="1"/>
      <c r="L1799"/>
    </row>
    <row r="1800" spans="3:12" x14ac:dyDescent="0.25">
      <c r="C1800"/>
      <c r="D1800"/>
      <c r="F1800" s="1"/>
      <c r="G1800"/>
      <c r="K1800" s="1"/>
      <c r="L1800"/>
    </row>
    <row r="1801" spans="3:12" x14ac:dyDescent="0.25">
      <c r="C1801"/>
      <c r="D1801"/>
      <c r="F1801" s="1"/>
      <c r="G1801"/>
      <c r="K1801" s="1"/>
      <c r="L1801"/>
    </row>
    <row r="1802" spans="3:12" x14ac:dyDescent="0.25">
      <c r="C1802"/>
      <c r="D1802"/>
      <c r="F1802" s="1"/>
      <c r="G1802"/>
      <c r="K1802" s="1"/>
      <c r="L1802"/>
    </row>
    <row r="1803" spans="3:12" x14ac:dyDescent="0.25">
      <c r="C1803"/>
      <c r="D1803"/>
      <c r="F1803" s="1"/>
      <c r="G1803"/>
      <c r="K1803" s="1"/>
      <c r="L1803"/>
    </row>
    <row r="1804" spans="3:12" x14ac:dyDescent="0.25">
      <c r="C1804"/>
      <c r="D1804"/>
      <c r="F1804" s="1"/>
      <c r="G1804"/>
      <c r="K1804" s="1"/>
      <c r="L1804"/>
    </row>
    <row r="1805" spans="3:12" x14ac:dyDescent="0.25">
      <c r="C1805"/>
      <c r="D1805"/>
      <c r="F1805" s="1"/>
      <c r="G1805"/>
      <c r="K1805" s="1"/>
      <c r="L1805"/>
    </row>
    <row r="1806" spans="3:12" x14ac:dyDescent="0.25">
      <c r="C1806"/>
      <c r="D1806"/>
      <c r="F1806" s="1"/>
      <c r="G1806"/>
      <c r="K1806" s="1"/>
      <c r="L1806"/>
    </row>
    <row r="1807" spans="3:12" x14ac:dyDescent="0.25">
      <c r="C1807"/>
      <c r="D1807"/>
      <c r="F1807" s="1"/>
      <c r="G1807"/>
      <c r="K1807" s="1"/>
      <c r="L1807"/>
    </row>
    <row r="1808" spans="3:12" x14ac:dyDescent="0.25">
      <c r="C1808"/>
      <c r="D1808"/>
      <c r="F1808" s="1"/>
      <c r="G1808"/>
      <c r="K1808" s="1"/>
      <c r="L1808"/>
    </row>
    <row r="1809" spans="3:12" x14ac:dyDescent="0.25">
      <c r="C1809"/>
      <c r="D1809"/>
      <c r="F1809" s="1"/>
      <c r="G1809"/>
      <c r="K1809" s="1"/>
      <c r="L1809"/>
    </row>
    <row r="1810" spans="3:12" x14ac:dyDescent="0.25">
      <c r="C1810"/>
      <c r="D1810"/>
      <c r="F1810" s="1"/>
      <c r="G1810"/>
      <c r="K1810" s="1"/>
      <c r="L1810"/>
    </row>
    <row r="1811" spans="3:12" x14ac:dyDescent="0.25">
      <c r="C1811"/>
      <c r="D1811"/>
      <c r="F1811" s="1"/>
      <c r="G1811"/>
      <c r="K1811" s="1"/>
      <c r="L1811"/>
    </row>
    <row r="1812" spans="3:12" x14ac:dyDescent="0.25">
      <c r="C1812"/>
      <c r="D1812"/>
      <c r="F1812" s="1"/>
      <c r="G1812"/>
      <c r="K1812" s="1"/>
      <c r="L1812"/>
    </row>
    <row r="1813" spans="3:12" x14ac:dyDescent="0.25">
      <c r="C1813"/>
      <c r="D1813"/>
      <c r="F1813" s="1"/>
      <c r="G1813"/>
      <c r="K1813" s="1"/>
      <c r="L1813"/>
    </row>
    <row r="1814" spans="3:12" x14ac:dyDescent="0.25">
      <c r="C1814"/>
      <c r="D1814"/>
      <c r="F1814" s="1"/>
      <c r="G1814"/>
      <c r="K1814" s="1"/>
      <c r="L1814"/>
    </row>
    <row r="1815" spans="3:12" x14ac:dyDescent="0.25">
      <c r="C1815"/>
      <c r="D1815"/>
      <c r="F1815" s="1"/>
      <c r="G1815"/>
      <c r="K1815" s="1"/>
      <c r="L1815"/>
    </row>
    <row r="1816" spans="3:12" x14ac:dyDescent="0.25">
      <c r="C1816"/>
      <c r="D1816"/>
      <c r="F1816" s="1"/>
      <c r="G1816"/>
      <c r="K1816" s="1"/>
      <c r="L1816"/>
    </row>
    <row r="1817" spans="3:12" x14ac:dyDescent="0.25">
      <c r="C1817"/>
      <c r="D1817"/>
      <c r="F1817" s="1"/>
      <c r="G1817"/>
      <c r="K1817" s="1"/>
      <c r="L1817"/>
    </row>
    <row r="1818" spans="3:12" x14ac:dyDescent="0.25">
      <c r="C1818"/>
      <c r="D1818"/>
      <c r="F1818" s="1"/>
      <c r="G1818"/>
      <c r="K1818" s="1"/>
      <c r="L1818"/>
    </row>
    <row r="1819" spans="3:12" x14ac:dyDescent="0.25">
      <c r="C1819"/>
      <c r="D1819"/>
      <c r="F1819" s="1"/>
      <c r="G1819"/>
      <c r="K1819" s="1"/>
      <c r="L1819"/>
    </row>
    <row r="1820" spans="3:12" x14ac:dyDescent="0.25">
      <c r="C1820"/>
      <c r="D1820"/>
      <c r="F1820" s="1"/>
      <c r="G1820"/>
      <c r="K1820" s="1"/>
      <c r="L1820"/>
    </row>
    <row r="1821" spans="3:12" x14ac:dyDescent="0.25">
      <c r="C1821"/>
      <c r="D1821"/>
      <c r="F1821" s="1"/>
      <c r="G1821"/>
      <c r="K1821" s="1"/>
      <c r="L1821"/>
    </row>
    <row r="1822" spans="3:12" x14ac:dyDescent="0.25">
      <c r="C1822"/>
      <c r="D1822"/>
      <c r="F1822" s="1"/>
      <c r="G1822"/>
      <c r="K1822" s="1"/>
      <c r="L1822"/>
    </row>
    <row r="1823" spans="3:12" x14ac:dyDescent="0.25">
      <c r="C1823"/>
      <c r="D1823"/>
      <c r="F1823" s="1"/>
      <c r="G1823"/>
      <c r="K1823" s="1"/>
      <c r="L1823"/>
    </row>
    <row r="1824" spans="3:12" x14ac:dyDescent="0.25">
      <c r="C1824"/>
      <c r="D1824"/>
      <c r="F1824" s="1"/>
      <c r="G1824"/>
      <c r="K1824" s="1"/>
      <c r="L1824"/>
    </row>
    <row r="1825" spans="3:12" x14ac:dyDescent="0.25">
      <c r="C1825"/>
      <c r="D1825"/>
      <c r="F1825" s="1"/>
      <c r="G1825"/>
      <c r="K1825" s="1"/>
      <c r="L1825"/>
    </row>
    <row r="1826" spans="3:12" x14ac:dyDescent="0.25">
      <c r="C1826"/>
      <c r="D1826"/>
      <c r="F1826" s="1"/>
      <c r="G1826"/>
      <c r="K1826" s="1"/>
      <c r="L1826"/>
    </row>
    <row r="1827" spans="3:12" x14ac:dyDescent="0.25">
      <c r="C1827"/>
      <c r="D1827"/>
      <c r="F1827" s="1"/>
      <c r="G1827"/>
      <c r="K1827" s="1"/>
      <c r="L1827"/>
    </row>
    <row r="1828" spans="3:12" x14ac:dyDescent="0.25">
      <c r="C1828"/>
      <c r="D1828"/>
      <c r="F1828" s="1"/>
      <c r="G1828"/>
      <c r="K1828" s="1"/>
      <c r="L1828"/>
    </row>
    <row r="1829" spans="3:12" x14ac:dyDescent="0.25">
      <c r="C1829"/>
      <c r="D1829"/>
      <c r="F1829" s="1"/>
      <c r="G1829"/>
      <c r="K1829" s="1"/>
      <c r="L1829"/>
    </row>
    <row r="1830" spans="3:12" x14ac:dyDescent="0.25">
      <c r="C1830"/>
      <c r="D1830"/>
      <c r="F1830" s="1"/>
      <c r="G1830"/>
      <c r="K1830" s="1"/>
      <c r="L1830"/>
    </row>
    <row r="1831" spans="3:12" x14ac:dyDescent="0.25">
      <c r="C1831"/>
      <c r="D1831"/>
      <c r="F1831" s="1"/>
      <c r="G1831"/>
      <c r="K1831" s="1"/>
      <c r="L1831"/>
    </row>
    <row r="1832" spans="3:12" x14ac:dyDescent="0.25">
      <c r="C1832"/>
      <c r="D1832"/>
      <c r="F1832" s="1"/>
      <c r="G1832"/>
      <c r="K1832" s="1"/>
      <c r="L1832"/>
    </row>
    <row r="1833" spans="3:12" x14ac:dyDescent="0.25">
      <c r="C1833"/>
      <c r="D1833"/>
      <c r="F1833" s="1"/>
      <c r="G1833"/>
      <c r="K1833" s="1"/>
      <c r="L1833"/>
    </row>
    <row r="1834" spans="3:12" x14ac:dyDescent="0.25">
      <c r="C1834"/>
      <c r="D1834"/>
      <c r="F1834" s="1"/>
      <c r="G1834"/>
      <c r="K1834" s="1"/>
      <c r="L1834"/>
    </row>
    <row r="1835" spans="3:12" x14ac:dyDescent="0.25">
      <c r="C1835"/>
      <c r="D1835"/>
      <c r="F1835" s="1"/>
      <c r="G1835"/>
      <c r="K1835" s="1"/>
      <c r="L1835"/>
    </row>
    <row r="1836" spans="3:12" x14ac:dyDescent="0.25">
      <c r="C1836"/>
      <c r="D1836"/>
      <c r="F1836" s="1"/>
      <c r="G1836"/>
      <c r="K1836" s="1"/>
      <c r="L1836"/>
    </row>
    <row r="1837" spans="3:12" x14ac:dyDescent="0.25">
      <c r="C1837"/>
      <c r="D1837"/>
      <c r="F1837" s="1"/>
      <c r="G1837"/>
      <c r="K1837" s="1"/>
      <c r="L1837"/>
    </row>
    <row r="1838" spans="3:12" x14ac:dyDescent="0.25">
      <c r="C1838"/>
      <c r="D1838"/>
      <c r="F1838" s="1"/>
      <c r="G1838"/>
      <c r="K1838" s="1"/>
      <c r="L1838"/>
    </row>
    <row r="1839" spans="3:12" x14ac:dyDescent="0.25">
      <c r="C1839"/>
      <c r="D1839"/>
      <c r="F1839" s="1"/>
      <c r="G1839"/>
      <c r="K1839" s="1"/>
      <c r="L1839"/>
    </row>
    <row r="1840" spans="3:12" x14ac:dyDescent="0.25">
      <c r="C1840"/>
      <c r="D1840"/>
      <c r="F1840" s="1"/>
      <c r="G1840"/>
      <c r="K1840" s="1"/>
      <c r="L1840"/>
    </row>
    <row r="1841" spans="3:12" x14ac:dyDescent="0.25">
      <c r="C1841"/>
      <c r="D1841"/>
      <c r="F1841" s="1"/>
      <c r="G1841"/>
      <c r="K1841" s="1"/>
      <c r="L1841"/>
    </row>
    <row r="1842" spans="3:12" x14ac:dyDescent="0.25">
      <c r="C1842"/>
      <c r="D1842"/>
      <c r="F1842" s="1"/>
      <c r="G1842"/>
      <c r="K1842" s="1"/>
      <c r="L1842"/>
    </row>
    <row r="1843" spans="3:12" x14ac:dyDescent="0.25">
      <c r="C1843"/>
      <c r="D1843"/>
      <c r="F1843" s="1"/>
      <c r="G1843"/>
      <c r="K1843" s="1"/>
      <c r="L1843"/>
    </row>
    <row r="1844" spans="3:12" x14ac:dyDescent="0.25">
      <c r="C1844"/>
      <c r="D1844"/>
      <c r="F1844" s="1"/>
      <c r="G1844"/>
      <c r="K1844" s="1"/>
      <c r="L1844"/>
    </row>
    <row r="1845" spans="3:12" x14ac:dyDescent="0.25">
      <c r="C1845"/>
      <c r="D1845"/>
      <c r="F1845" s="1"/>
      <c r="G1845"/>
      <c r="K1845" s="1"/>
      <c r="L1845"/>
    </row>
    <row r="1846" spans="3:12" x14ac:dyDescent="0.25">
      <c r="C1846"/>
      <c r="D1846"/>
      <c r="F1846" s="1"/>
      <c r="G1846"/>
      <c r="K1846" s="1"/>
      <c r="L1846"/>
    </row>
    <row r="1847" spans="3:12" x14ac:dyDescent="0.25">
      <c r="C1847"/>
      <c r="D1847"/>
      <c r="F1847" s="1"/>
      <c r="G1847"/>
      <c r="K1847" s="1"/>
      <c r="L1847"/>
    </row>
    <row r="1848" spans="3:12" x14ac:dyDescent="0.25">
      <c r="C1848"/>
      <c r="D1848"/>
      <c r="F1848" s="1"/>
      <c r="G1848"/>
      <c r="K1848" s="1"/>
      <c r="L1848"/>
    </row>
    <row r="1849" spans="3:12" x14ac:dyDescent="0.25">
      <c r="C1849"/>
      <c r="D1849"/>
      <c r="F1849" s="1"/>
      <c r="G1849"/>
      <c r="K1849" s="1"/>
      <c r="L1849"/>
    </row>
    <row r="1850" spans="3:12" x14ac:dyDescent="0.25">
      <c r="C1850"/>
      <c r="D1850"/>
      <c r="F1850" s="1"/>
      <c r="G1850"/>
      <c r="K1850" s="1"/>
      <c r="L1850"/>
    </row>
    <row r="1851" spans="3:12" x14ac:dyDescent="0.25">
      <c r="C1851"/>
      <c r="D1851"/>
      <c r="F1851" s="1"/>
      <c r="G1851"/>
      <c r="K1851" s="1"/>
      <c r="L1851"/>
    </row>
    <row r="1852" spans="3:12" x14ac:dyDescent="0.25">
      <c r="C1852"/>
      <c r="D1852"/>
      <c r="F1852" s="1"/>
      <c r="G1852"/>
      <c r="K1852" s="1"/>
      <c r="L1852"/>
    </row>
    <row r="1853" spans="3:12" x14ac:dyDescent="0.25">
      <c r="C1853"/>
      <c r="D1853"/>
      <c r="F1853" s="1"/>
      <c r="G1853"/>
      <c r="K1853" s="1"/>
      <c r="L1853"/>
    </row>
    <row r="1854" spans="3:12" x14ac:dyDescent="0.25">
      <c r="C1854"/>
      <c r="D1854"/>
      <c r="F1854" s="1"/>
      <c r="G1854"/>
      <c r="K1854" s="1"/>
      <c r="L1854"/>
    </row>
    <row r="1855" spans="3:12" x14ac:dyDescent="0.25">
      <c r="C1855"/>
      <c r="D1855"/>
      <c r="F1855" s="1"/>
      <c r="G1855"/>
      <c r="K1855" s="1"/>
      <c r="L1855"/>
    </row>
    <row r="1856" spans="3:12" x14ac:dyDescent="0.25">
      <c r="C1856"/>
      <c r="D1856"/>
      <c r="F1856" s="1"/>
      <c r="G1856"/>
      <c r="K1856" s="1"/>
      <c r="L1856"/>
    </row>
    <row r="1857" spans="3:12" x14ac:dyDescent="0.25">
      <c r="C1857"/>
      <c r="D1857"/>
      <c r="F1857" s="1"/>
      <c r="G1857"/>
      <c r="K1857" s="1"/>
      <c r="L1857"/>
    </row>
    <row r="1858" spans="3:12" x14ac:dyDescent="0.25">
      <c r="C1858"/>
      <c r="D1858"/>
      <c r="F1858" s="1"/>
      <c r="G1858"/>
      <c r="K1858" s="1"/>
      <c r="L1858"/>
    </row>
    <row r="1859" spans="3:12" x14ac:dyDescent="0.25">
      <c r="C1859"/>
      <c r="D1859"/>
      <c r="F1859" s="1"/>
      <c r="G1859"/>
      <c r="K1859" s="1"/>
      <c r="L1859"/>
    </row>
    <row r="1860" spans="3:12" x14ac:dyDescent="0.25">
      <c r="C1860"/>
      <c r="D1860"/>
      <c r="F1860" s="1"/>
      <c r="G1860"/>
      <c r="K1860" s="1"/>
      <c r="L1860"/>
    </row>
    <row r="1861" spans="3:12" x14ac:dyDescent="0.25">
      <c r="C1861"/>
      <c r="D1861"/>
      <c r="F1861" s="1"/>
      <c r="G1861"/>
      <c r="K1861" s="1"/>
      <c r="L1861"/>
    </row>
    <row r="1862" spans="3:12" x14ac:dyDescent="0.25">
      <c r="C1862"/>
      <c r="D1862"/>
      <c r="F1862" s="1"/>
      <c r="G1862"/>
      <c r="K1862" s="1"/>
      <c r="L1862"/>
    </row>
    <row r="1863" spans="3:12" x14ac:dyDescent="0.25">
      <c r="C1863"/>
      <c r="D1863"/>
      <c r="F1863" s="1"/>
      <c r="G1863"/>
      <c r="K1863" s="1"/>
      <c r="L1863"/>
    </row>
    <row r="1864" spans="3:12" x14ac:dyDescent="0.25">
      <c r="C1864"/>
      <c r="D1864"/>
      <c r="F1864" s="1"/>
      <c r="G1864"/>
      <c r="K1864" s="1"/>
      <c r="L1864"/>
    </row>
    <row r="1865" spans="3:12" x14ac:dyDescent="0.25">
      <c r="C1865"/>
      <c r="D1865"/>
      <c r="F1865" s="1"/>
      <c r="G1865"/>
      <c r="K1865" s="1"/>
      <c r="L1865"/>
    </row>
    <row r="1866" spans="3:12" x14ac:dyDescent="0.25">
      <c r="C1866"/>
      <c r="D1866"/>
      <c r="F1866" s="1"/>
      <c r="G1866"/>
      <c r="K1866" s="1"/>
      <c r="L1866"/>
    </row>
    <row r="1867" spans="3:12" x14ac:dyDescent="0.25">
      <c r="C1867"/>
      <c r="D1867"/>
      <c r="F1867" s="1"/>
      <c r="G1867"/>
      <c r="K1867" s="1"/>
      <c r="L1867"/>
    </row>
    <row r="1868" spans="3:12" x14ac:dyDescent="0.25">
      <c r="C1868"/>
      <c r="D1868"/>
      <c r="F1868" s="1"/>
      <c r="G1868"/>
      <c r="K1868" s="1"/>
      <c r="L1868"/>
    </row>
    <row r="1869" spans="3:12" x14ac:dyDescent="0.25">
      <c r="C1869"/>
      <c r="D1869"/>
      <c r="F1869" s="1"/>
      <c r="G1869"/>
      <c r="K1869" s="1"/>
      <c r="L1869"/>
    </row>
    <row r="1870" spans="3:12" x14ac:dyDescent="0.25">
      <c r="C1870"/>
      <c r="D1870"/>
      <c r="F1870" s="1"/>
      <c r="G1870"/>
      <c r="K1870" s="1"/>
      <c r="L1870"/>
    </row>
    <row r="1871" spans="3:12" x14ac:dyDescent="0.25">
      <c r="C1871"/>
      <c r="D1871"/>
      <c r="F1871" s="1"/>
      <c r="G1871"/>
      <c r="K1871" s="1"/>
      <c r="L1871"/>
    </row>
    <row r="1872" spans="3:12" x14ac:dyDescent="0.25">
      <c r="C1872"/>
      <c r="D1872"/>
      <c r="F1872" s="1"/>
      <c r="G1872"/>
      <c r="K1872" s="1"/>
      <c r="L1872"/>
    </row>
    <row r="1873" spans="3:12" x14ac:dyDescent="0.25">
      <c r="C1873"/>
      <c r="D1873"/>
      <c r="F1873" s="1"/>
      <c r="G1873"/>
      <c r="K1873" s="1"/>
      <c r="L1873"/>
    </row>
    <row r="1874" spans="3:12" x14ac:dyDescent="0.25">
      <c r="C1874"/>
      <c r="D1874"/>
      <c r="F1874" s="1"/>
      <c r="G1874"/>
      <c r="K1874" s="1"/>
      <c r="L1874"/>
    </row>
    <row r="1875" spans="3:12" x14ac:dyDescent="0.25">
      <c r="C1875"/>
      <c r="D1875"/>
      <c r="F1875" s="1"/>
      <c r="G1875"/>
      <c r="K1875" s="1"/>
      <c r="L1875"/>
    </row>
    <row r="1876" spans="3:12" x14ac:dyDescent="0.25">
      <c r="C1876"/>
      <c r="D1876"/>
      <c r="F1876" s="1"/>
      <c r="G1876"/>
      <c r="K1876" s="1"/>
      <c r="L1876"/>
    </row>
    <row r="1877" spans="3:12" x14ac:dyDescent="0.25">
      <c r="C1877"/>
      <c r="D1877"/>
      <c r="F1877" s="1"/>
      <c r="G1877"/>
      <c r="K1877" s="1"/>
      <c r="L1877"/>
    </row>
    <row r="1878" spans="3:12" x14ac:dyDescent="0.25">
      <c r="C1878"/>
      <c r="D1878"/>
      <c r="F1878" s="1"/>
      <c r="G1878"/>
      <c r="K1878" s="1"/>
      <c r="L1878"/>
    </row>
    <row r="1879" spans="3:12" x14ac:dyDescent="0.25">
      <c r="C1879"/>
      <c r="D1879"/>
      <c r="F1879" s="1"/>
      <c r="G1879"/>
      <c r="K1879" s="1"/>
      <c r="L1879"/>
    </row>
    <row r="1880" spans="3:12" x14ac:dyDescent="0.25">
      <c r="C1880"/>
      <c r="D1880"/>
      <c r="F1880" s="1"/>
      <c r="G1880"/>
      <c r="K1880" s="1"/>
      <c r="L1880"/>
    </row>
    <row r="1881" spans="3:12" x14ac:dyDescent="0.25">
      <c r="C1881"/>
      <c r="D1881"/>
      <c r="F1881" s="1"/>
      <c r="G1881"/>
      <c r="K1881" s="1"/>
      <c r="L1881"/>
    </row>
    <row r="1882" spans="3:12" x14ac:dyDescent="0.25">
      <c r="C1882"/>
      <c r="D1882"/>
      <c r="F1882" s="1"/>
      <c r="G1882"/>
      <c r="K1882" s="1"/>
      <c r="L1882"/>
    </row>
    <row r="1883" spans="3:12" x14ac:dyDescent="0.25">
      <c r="C1883"/>
      <c r="D1883"/>
      <c r="F1883" s="1"/>
      <c r="G1883"/>
      <c r="K1883" s="1"/>
      <c r="L1883"/>
    </row>
    <row r="1884" spans="3:12" x14ac:dyDescent="0.25">
      <c r="C1884"/>
      <c r="D1884"/>
      <c r="F1884" s="1"/>
      <c r="G1884"/>
      <c r="K1884" s="1"/>
      <c r="L1884"/>
    </row>
    <row r="1885" spans="3:12" x14ac:dyDescent="0.25">
      <c r="C1885"/>
      <c r="D1885"/>
      <c r="F1885" s="1"/>
      <c r="G1885"/>
      <c r="K1885" s="1"/>
      <c r="L1885"/>
    </row>
    <row r="1886" spans="3:12" x14ac:dyDescent="0.25">
      <c r="C1886"/>
      <c r="D1886"/>
      <c r="F1886" s="1"/>
      <c r="G1886"/>
      <c r="K1886" s="1"/>
      <c r="L1886"/>
    </row>
    <row r="1887" spans="3:12" x14ac:dyDescent="0.25">
      <c r="C1887"/>
      <c r="D1887"/>
      <c r="F1887" s="1"/>
      <c r="G1887"/>
      <c r="K1887" s="1"/>
      <c r="L1887"/>
    </row>
    <row r="1888" spans="3:12" x14ac:dyDescent="0.25">
      <c r="C1888"/>
      <c r="D1888"/>
      <c r="F1888" s="1"/>
      <c r="G1888"/>
      <c r="K1888" s="1"/>
      <c r="L1888"/>
    </row>
    <row r="1889" spans="3:12" x14ac:dyDescent="0.25">
      <c r="C1889"/>
      <c r="D1889"/>
      <c r="F1889" s="1"/>
      <c r="G1889"/>
      <c r="K1889" s="1"/>
      <c r="L1889"/>
    </row>
    <row r="1890" spans="3:12" x14ac:dyDescent="0.25">
      <c r="C1890"/>
      <c r="D1890"/>
      <c r="F1890" s="1"/>
      <c r="G1890"/>
      <c r="K1890" s="1"/>
      <c r="L1890"/>
    </row>
    <row r="1891" spans="3:12" x14ac:dyDescent="0.25">
      <c r="C1891"/>
      <c r="D1891"/>
      <c r="F1891" s="1"/>
      <c r="G1891"/>
      <c r="K1891" s="1"/>
      <c r="L1891"/>
    </row>
    <row r="1892" spans="3:12" x14ac:dyDescent="0.25">
      <c r="C1892"/>
      <c r="D1892"/>
      <c r="F1892" s="1"/>
      <c r="G1892"/>
      <c r="K1892" s="1"/>
      <c r="L1892"/>
    </row>
    <row r="1893" spans="3:12" x14ac:dyDescent="0.25">
      <c r="C1893"/>
      <c r="D1893"/>
      <c r="F1893" s="1"/>
      <c r="G1893"/>
      <c r="K1893" s="1"/>
      <c r="L1893"/>
    </row>
    <row r="1894" spans="3:12" x14ac:dyDescent="0.25">
      <c r="C1894"/>
      <c r="D1894"/>
      <c r="F1894" s="1"/>
      <c r="G1894"/>
      <c r="K1894" s="1"/>
      <c r="L1894"/>
    </row>
    <row r="1895" spans="3:12" x14ac:dyDescent="0.25">
      <c r="C1895"/>
      <c r="D1895"/>
      <c r="F1895" s="1"/>
      <c r="G1895"/>
      <c r="K1895" s="1"/>
      <c r="L1895"/>
    </row>
    <row r="1896" spans="3:12" x14ac:dyDescent="0.25">
      <c r="C1896"/>
      <c r="D1896"/>
      <c r="F1896" s="1"/>
      <c r="G1896"/>
      <c r="K1896" s="1"/>
      <c r="L1896"/>
    </row>
    <row r="1897" spans="3:12" x14ac:dyDescent="0.25">
      <c r="C1897"/>
      <c r="D1897"/>
      <c r="F1897" s="1"/>
      <c r="G1897"/>
      <c r="K1897" s="1"/>
      <c r="L1897"/>
    </row>
    <row r="1898" spans="3:12" x14ac:dyDescent="0.25">
      <c r="C1898"/>
      <c r="D1898"/>
      <c r="F1898" s="1"/>
      <c r="G1898"/>
      <c r="K1898" s="1"/>
      <c r="L1898"/>
    </row>
    <row r="1899" spans="3:12" x14ac:dyDescent="0.25">
      <c r="C1899"/>
      <c r="D1899"/>
      <c r="F1899" s="1"/>
      <c r="G1899"/>
      <c r="K1899" s="1"/>
      <c r="L1899"/>
    </row>
    <row r="1900" spans="3:12" x14ac:dyDescent="0.25">
      <c r="C1900"/>
      <c r="D1900"/>
      <c r="F1900" s="1"/>
      <c r="G1900"/>
      <c r="K1900" s="1"/>
      <c r="L1900"/>
    </row>
    <row r="1901" spans="3:12" x14ac:dyDescent="0.25">
      <c r="C1901"/>
      <c r="D1901"/>
      <c r="F1901" s="1"/>
      <c r="G1901"/>
      <c r="K1901" s="1"/>
      <c r="L1901"/>
    </row>
    <row r="1902" spans="3:12" x14ac:dyDescent="0.25">
      <c r="C1902"/>
      <c r="D1902"/>
      <c r="F1902" s="1"/>
      <c r="G1902"/>
      <c r="K1902" s="1"/>
      <c r="L1902"/>
    </row>
    <row r="1903" spans="3:12" x14ac:dyDescent="0.25">
      <c r="C1903"/>
      <c r="D1903"/>
      <c r="F1903" s="1"/>
      <c r="G1903"/>
      <c r="K1903" s="1"/>
      <c r="L1903"/>
    </row>
    <row r="1904" spans="3:12" x14ac:dyDescent="0.25">
      <c r="C1904"/>
      <c r="D1904"/>
      <c r="F1904" s="1"/>
      <c r="G1904"/>
      <c r="K1904" s="1"/>
      <c r="L1904"/>
    </row>
    <row r="1905" spans="3:12" x14ac:dyDescent="0.25">
      <c r="C1905"/>
      <c r="D1905"/>
      <c r="F1905" s="1"/>
      <c r="G1905"/>
      <c r="K1905" s="1"/>
      <c r="L1905"/>
    </row>
    <row r="1906" spans="3:12" x14ac:dyDescent="0.25">
      <c r="C1906"/>
      <c r="D1906"/>
      <c r="F1906" s="1"/>
      <c r="G1906"/>
      <c r="K1906" s="1"/>
      <c r="L1906"/>
    </row>
    <row r="1907" spans="3:12" x14ac:dyDescent="0.25">
      <c r="C1907"/>
      <c r="D1907"/>
      <c r="F1907" s="1"/>
      <c r="G1907"/>
      <c r="K1907" s="1"/>
      <c r="L1907"/>
    </row>
    <row r="1908" spans="3:12" x14ac:dyDescent="0.25">
      <c r="C1908"/>
      <c r="D1908"/>
      <c r="F1908" s="1"/>
      <c r="G1908"/>
      <c r="K1908" s="1"/>
      <c r="L1908"/>
    </row>
    <row r="1909" spans="3:12" x14ac:dyDescent="0.25">
      <c r="C1909"/>
      <c r="D1909"/>
      <c r="F1909" s="1"/>
      <c r="G1909"/>
      <c r="K1909" s="1"/>
      <c r="L1909"/>
    </row>
    <row r="1910" spans="3:12" x14ac:dyDescent="0.25">
      <c r="C1910"/>
      <c r="D1910"/>
      <c r="F1910" s="1"/>
      <c r="G1910"/>
      <c r="K1910" s="1"/>
      <c r="L1910"/>
    </row>
    <row r="1911" spans="3:12" x14ac:dyDescent="0.25">
      <c r="C1911"/>
      <c r="D1911"/>
      <c r="F1911" s="1"/>
      <c r="G1911"/>
      <c r="K1911" s="1"/>
      <c r="L1911"/>
    </row>
    <row r="1912" spans="3:12" x14ac:dyDescent="0.25">
      <c r="C1912"/>
      <c r="D1912"/>
      <c r="F1912" s="1"/>
      <c r="G1912"/>
      <c r="K1912" s="1"/>
      <c r="L1912"/>
    </row>
    <row r="1913" spans="3:12" x14ac:dyDescent="0.25">
      <c r="C1913"/>
      <c r="D1913"/>
      <c r="F1913" s="1"/>
      <c r="G1913"/>
      <c r="K1913" s="1"/>
      <c r="L1913"/>
    </row>
    <row r="1914" spans="3:12" x14ac:dyDescent="0.25">
      <c r="C1914"/>
      <c r="D1914"/>
      <c r="F1914" s="1"/>
      <c r="G1914"/>
      <c r="K1914" s="1"/>
      <c r="L1914"/>
    </row>
    <row r="1915" spans="3:12" x14ac:dyDescent="0.25">
      <c r="C1915"/>
      <c r="D1915"/>
      <c r="F1915" s="1"/>
      <c r="G1915"/>
      <c r="K1915" s="1"/>
      <c r="L1915"/>
    </row>
    <row r="1916" spans="3:12" x14ac:dyDescent="0.25">
      <c r="C1916"/>
      <c r="D1916"/>
      <c r="F1916" s="1"/>
      <c r="G1916"/>
      <c r="K1916" s="1"/>
      <c r="L1916"/>
    </row>
    <row r="1917" spans="3:12" x14ac:dyDescent="0.25">
      <c r="C1917"/>
      <c r="D1917"/>
      <c r="F1917" s="1"/>
      <c r="G1917"/>
      <c r="K1917" s="1"/>
      <c r="L1917"/>
    </row>
    <row r="1918" spans="3:12" x14ac:dyDescent="0.25">
      <c r="C1918"/>
      <c r="D1918"/>
      <c r="F1918" s="1"/>
      <c r="G1918"/>
      <c r="K1918" s="1"/>
      <c r="L1918"/>
    </row>
    <row r="1919" spans="3:12" x14ac:dyDescent="0.25">
      <c r="C1919"/>
      <c r="D1919"/>
      <c r="F1919" s="1"/>
      <c r="G1919"/>
      <c r="K1919" s="1"/>
      <c r="L1919"/>
    </row>
    <row r="1920" spans="3:12" x14ac:dyDescent="0.25">
      <c r="C1920"/>
      <c r="D1920"/>
      <c r="F1920" s="1"/>
      <c r="G1920"/>
      <c r="K1920" s="1"/>
      <c r="L1920"/>
    </row>
    <row r="1921" spans="3:12" x14ac:dyDescent="0.25">
      <c r="C1921"/>
      <c r="D1921"/>
      <c r="F1921" s="1"/>
      <c r="G1921"/>
      <c r="K1921" s="1"/>
      <c r="L1921"/>
    </row>
    <row r="1922" spans="3:12" x14ac:dyDescent="0.25">
      <c r="C1922"/>
      <c r="D1922"/>
      <c r="F1922" s="1"/>
      <c r="G1922"/>
      <c r="K1922" s="1"/>
      <c r="L1922"/>
    </row>
    <row r="1923" spans="3:12" x14ac:dyDescent="0.25">
      <c r="C1923"/>
      <c r="D1923"/>
      <c r="F1923" s="1"/>
      <c r="G1923"/>
      <c r="K1923" s="1"/>
      <c r="L1923"/>
    </row>
    <row r="1924" spans="3:12" x14ac:dyDescent="0.25">
      <c r="C1924"/>
      <c r="D1924"/>
      <c r="F1924" s="1"/>
      <c r="G1924"/>
      <c r="K1924" s="1"/>
      <c r="L1924"/>
    </row>
    <row r="1925" spans="3:12" x14ac:dyDescent="0.25">
      <c r="C1925"/>
      <c r="D1925"/>
      <c r="F1925" s="1"/>
      <c r="G1925"/>
      <c r="K1925" s="1"/>
      <c r="L1925"/>
    </row>
    <row r="1926" spans="3:12" x14ac:dyDescent="0.25">
      <c r="C1926"/>
      <c r="D1926"/>
      <c r="F1926" s="1"/>
      <c r="G1926"/>
      <c r="K1926" s="1"/>
      <c r="L1926"/>
    </row>
    <row r="1927" spans="3:12" x14ac:dyDescent="0.25">
      <c r="C1927"/>
      <c r="D1927"/>
      <c r="F1927" s="1"/>
      <c r="G1927"/>
      <c r="K1927" s="1"/>
      <c r="L1927"/>
    </row>
    <row r="1928" spans="3:12" x14ac:dyDescent="0.25">
      <c r="C1928"/>
      <c r="D1928"/>
      <c r="F1928" s="1"/>
      <c r="G1928"/>
      <c r="K1928" s="1"/>
      <c r="L1928"/>
    </row>
    <row r="1929" spans="3:12" x14ac:dyDescent="0.25">
      <c r="C1929"/>
      <c r="D1929"/>
      <c r="F1929" s="1"/>
      <c r="G1929"/>
      <c r="K1929" s="1"/>
      <c r="L1929"/>
    </row>
    <row r="1930" spans="3:12" x14ac:dyDescent="0.25">
      <c r="C1930"/>
      <c r="D1930"/>
      <c r="F1930" s="1"/>
      <c r="G1930"/>
      <c r="K1930" s="1"/>
      <c r="L1930"/>
    </row>
    <row r="1931" spans="3:12" x14ac:dyDescent="0.25">
      <c r="C1931"/>
      <c r="D1931"/>
      <c r="F1931" s="1"/>
      <c r="G1931"/>
      <c r="K1931" s="1"/>
      <c r="L1931"/>
    </row>
    <row r="1932" spans="3:12" x14ac:dyDescent="0.25">
      <c r="C1932"/>
      <c r="D1932"/>
      <c r="F1932" s="1"/>
      <c r="G1932"/>
      <c r="K1932" s="1"/>
      <c r="L1932"/>
    </row>
    <row r="1933" spans="3:12" x14ac:dyDescent="0.25">
      <c r="C1933"/>
      <c r="D1933"/>
      <c r="F1933" s="1"/>
      <c r="G1933"/>
      <c r="K1933" s="1"/>
      <c r="L1933"/>
    </row>
    <row r="1934" spans="3:12" x14ac:dyDescent="0.25">
      <c r="C1934"/>
      <c r="D1934"/>
      <c r="F1934" s="1"/>
      <c r="G1934"/>
      <c r="K1934" s="1"/>
      <c r="L1934"/>
    </row>
    <row r="1935" spans="3:12" x14ac:dyDescent="0.25">
      <c r="C1935"/>
      <c r="D1935"/>
      <c r="F1935" s="1"/>
      <c r="G1935"/>
      <c r="K1935" s="1"/>
      <c r="L1935"/>
    </row>
    <row r="1936" spans="3:12" x14ac:dyDescent="0.25">
      <c r="C1936"/>
      <c r="D1936"/>
      <c r="F1936" s="1"/>
      <c r="G1936"/>
      <c r="K1936" s="1"/>
      <c r="L1936"/>
    </row>
    <row r="1937" spans="3:12" x14ac:dyDescent="0.25">
      <c r="C1937"/>
      <c r="D1937"/>
      <c r="F1937" s="1"/>
      <c r="G1937"/>
      <c r="K1937" s="1"/>
      <c r="L1937"/>
    </row>
    <row r="1938" spans="3:12" x14ac:dyDescent="0.25">
      <c r="C1938"/>
      <c r="D1938"/>
      <c r="F1938" s="1"/>
      <c r="G1938"/>
      <c r="K1938" s="1"/>
      <c r="L1938"/>
    </row>
    <row r="1939" spans="3:12" x14ac:dyDescent="0.25">
      <c r="C1939"/>
      <c r="D1939"/>
      <c r="F1939" s="1"/>
      <c r="G1939"/>
      <c r="K1939" s="1"/>
      <c r="L1939"/>
    </row>
    <row r="1940" spans="3:12" x14ac:dyDescent="0.25">
      <c r="C1940"/>
      <c r="D1940"/>
      <c r="F1940" s="1"/>
      <c r="G1940"/>
      <c r="K1940" s="1"/>
      <c r="L1940"/>
    </row>
    <row r="1941" spans="3:12" x14ac:dyDescent="0.25">
      <c r="C1941"/>
      <c r="D1941"/>
      <c r="F1941" s="1"/>
      <c r="G1941"/>
      <c r="K1941" s="1"/>
      <c r="L1941"/>
    </row>
    <row r="1942" spans="3:12" x14ac:dyDescent="0.25">
      <c r="C1942"/>
      <c r="D1942"/>
      <c r="F1942" s="1"/>
      <c r="G1942"/>
      <c r="K1942" s="1"/>
      <c r="L1942"/>
    </row>
    <row r="1943" spans="3:12" x14ac:dyDescent="0.25">
      <c r="C1943"/>
      <c r="D1943"/>
      <c r="F1943" s="1"/>
      <c r="G1943"/>
      <c r="K1943" s="1"/>
      <c r="L1943"/>
    </row>
    <row r="1944" spans="3:12" x14ac:dyDescent="0.25">
      <c r="C1944"/>
      <c r="D1944"/>
      <c r="F1944" s="1"/>
      <c r="G1944"/>
      <c r="K1944" s="1"/>
      <c r="L1944"/>
    </row>
    <row r="1945" spans="3:12" x14ac:dyDescent="0.25">
      <c r="C1945"/>
      <c r="D1945"/>
      <c r="F1945" s="1"/>
      <c r="G1945"/>
      <c r="K1945" s="1"/>
      <c r="L1945"/>
    </row>
    <row r="1946" spans="3:12" x14ac:dyDescent="0.25">
      <c r="C1946"/>
      <c r="D1946"/>
      <c r="F1946" s="1"/>
      <c r="G1946"/>
      <c r="K1946" s="1"/>
      <c r="L1946"/>
    </row>
    <row r="1947" spans="3:12" x14ac:dyDescent="0.25">
      <c r="C1947"/>
      <c r="D1947"/>
      <c r="F1947" s="1"/>
      <c r="G1947"/>
      <c r="K1947" s="1"/>
      <c r="L1947"/>
    </row>
    <row r="1948" spans="3:12" x14ac:dyDescent="0.25">
      <c r="C1948"/>
      <c r="D1948"/>
      <c r="F1948" s="1"/>
      <c r="G1948"/>
      <c r="K1948" s="1"/>
      <c r="L1948"/>
    </row>
    <row r="1949" spans="3:12" x14ac:dyDescent="0.25">
      <c r="C1949"/>
      <c r="D1949"/>
      <c r="F1949" s="1"/>
      <c r="G1949"/>
      <c r="K1949" s="1"/>
      <c r="L1949"/>
    </row>
    <row r="1950" spans="3:12" x14ac:dyDescent="0.25">
      <c r="C1950"/>
      <c r="D1950"/>
      <c r="F1950" s="1"/>
      <c r="G1950"/>
      <c r="K1950" s="1"/>
      <c r="L1950"/>
    </row>
    <row r="1951" spans="3:12" x14ac:dyDescent="0.25">
      <c r="C1951"/>
      <c r="D1951"/>
      <c r="F1951" s="1"/>
      <c r="G1951"/>
      <c r="K1951" s="1"/>
      <c r="L1951"/>
    </row>
    <row r="1952" spans="3:12" x14ac:dyDescent="0.25">
      <c r="C1952"/>
      <c r="D1952"/>
      <c r="F1952" s="1"/>
      <c r="G1952"/>
      <c r="K1952" s="1"/>
      <c r="L1952"/>
    </row>
    <row r="1953" spans="3:12" x14ac:dyDescent="0.25">
      <c r="C1953"/>
      <c r="D1953"/>
      <c r="F1953" s="1"/>
      <c r="G1953"/>
      <c r="K1953" s="1"/>
      <c r="L1953"/>
    </row>
    <row r="1954" spans="3:12" x14ac:dyDescent="0.25">
      <c r="C1954"/>
      <c r="D1954"/>
      <c r="F1954" s="1"/>
      <c r="G1954"/>
      <c r="K1954" s="1"/>
      <c r="L1954"/>
    </row>
    <row r="1955" spans="3:12" x14ac:dyDescent="0.25">
      <c r="C1955"/>
      <c r="D1955"/>
      <c r="F1955" s="1"/>
      <c r="G1955"/>
      <c r="K1955" s="1"/>
      <c r="L1955"/>
    </row>
    <row r="1956" spans="3:12" x14ac:dyDescent="0.25">
      <c r="C1956"/>
      <c r="D1956"/>
      <c r="F1956" s="1"/>
      <c r="G1956"/>
      <c r="K1956" s="1"/>
      <c r="L1956"/>
    </row>
    <row r="1957" spans="3:12" x14ac:dyDescent="0.25">
      <c r="C1957"/>
      <c r="D1957"/>
      <c r="F1957" s="1"/>
      <c r="G1957"/>
      <c r="K1957" s="1"/>
      <c r="L1957"/>
    </row>
    <row r="1958" spans="3:12" x14ac:dyDescent="0.25">
      <c r="C1958"/>
      <c r="D1958"/>
      <c r="F1958" s="1"/>
      <c r="G1958"/>
      <c r="K1958" s="1"/>
      <c r="L1958"/>
    </row>
    <row r="1959" spans="3:12" x14ac:dyDescent="0.25">
      <c r="C1959"/>
      <c r="D1959"/>
      <c r="F1959" s="1"/>
      <c r="G1959"/>
      <c r="K1959" s="1"/>
      <c r="L1959"/>
    </row>
    <row r="1960" spans="3:12" x14ac:dyDescent="0.25">
      <c r="C1960"/>
      <c r="D1960"/>
      <c r="F1960" s="1"/>
      <c r="G1960"/>
      <c r="K1960" s="1"/>
      <c r="L1960"/>
    </row>
    <row r="1961" spans="3:12" x14ac:dyDescent="0.25">
      <c r="C1961"/>
      <c r="D1961"/>
      <c r="F1961" s="1"/>
      <c r="G1961"/>
      <c r="K1961" s="1"/>
      <c r="L1961"/>
    </row>
    <row r="1962" spans="3:12" x14ac:dyDescent="0.25">
      <c r="C1962"/>
      <c r="D1962"/>
      <c r="F1962" s="1"/>
      <c r="G1962"/>
      <c r="K1962" s="1"/>
      <c r="L1962"/>
    </row>
    <row r="1963" spans="3:12" x14ac:dyDescent="0.25">
      <c r="C1963"/>
      <c r="D1963"/>
      <c r="F1963" s="1"/>
      <c r="G1963"/>
      <c r="K1963" s="1"/>
      <c r="L1963"/>
    </row>
    <row r="1964" spans="3:12" x14ac:dyDescent="0.25">
      <c r="C1964"/>
      <c r="D1964"/>
      <c r="F1964" s="1"/>
      <c r="G1964"/>
      <c r="K1964" s="1"/>
      <c r="L1964"/>
    </row>
    <row r="1965" spans="3:12" x14ac:dyDescent="0.25">
      <c r="C1965"/>
      <c r="D1965"/>
      <c r="F1965" s="1"/>
      <c r="G1965"/>
      <c r="K1965" s="1"/>
      <c r="L1965"/>
    </row>
    <row r="1966" spans="3:12" x14ac:dyDescent="0.25">
      <c r="C1966"/>
      <c r="D1966"/>
      <c r="F1966" s="1"/>
      <c r="G1966"/>
      <c r="K1966" s="1"/>
      <c r="L1966"/>
    </row>
    <row r="1967" spans="3:12" x14ac:dyDescent="0.25">
      <c r="C1967"/>
      <c r="D1967"/>
      <c r="F1967" s="1"/>
      <c r="G1967"/>
      <c r="K1967" s="1"/>
      <c r="L1967"/>
    </row>
    <row r="1968" spans="3:12" x14ac:dyDescent="0.25">
      <c r="C1968"/>
      <c r="D1968"/>
      <c r="F1968" s="1"/>
      <c r="G1968"/>
      <c r="K1968" s="1"/>
      <c r="L1968"/>
    </row>
    <row r="1969" spans="3:12" x14ac:dyDescent="0.25">
      <c r="C1969"/>
      <c r="D1969"/>
      <c r="F1969" s="1"/>
      <c r="G1969"/>
      <c r="K1969" s="1"/>
      <c r="L1969"/>
    </row>
    <row r="1970" spans="3:12" x14ac:dyDescent="0.25">
      <c r="C1970"/>
      <c r="D1970"/>
      <c r="F1970" s="1"/>
      <c r="G1970"/>
      <c r="K1970" s="1"/>
      <c r="L1970"/>
    </row>
    <row r="1971" spans="3:12" x14ac:dyDescent="0.25">
      <c r="C1971"/>
      <c r="D1971"/>
      <c r="F1971" s="1"/>
      <c r="G1971"/>
      <c r="K1971" s="1"/>
      <c r="L1971"/>
    </row>
    <row r="1972" spans="3:12" x14ac:dyDescent="0.25">
      <c r="C1972"/>
      <c r="D1972"/>
      <c r="F1972" s="1"/>
      <c r="G1972"/>
      <c r="K1972" s="1"/>
      <c r="L1972"/>
    </row>
    <row r="1973" spans="3:12" x14ac:dyDescent="0.25">
      <c r="C1973"/>
      <c r="D1973"/>
      <c r="F1973" s="1"/>
      <c r="G1973"/>
      <c r="K1973" s="1"/>
      <c r="L1973"/>
    </row>
    <row r="1974" spans="3:12" x14ac:dyDescent="0.25">
      <c r="C1974"/>
      <c r="D1974"/>
      <c r="F1974" s="1"/>
      <c r="G1974"/>
      <c r="K1974" s="1"/>
      <c r="L1974"/>
    </row>
    <row r="1975" spans="3:12" x14ac:dyDescent="0.25">
      <c r="C1975"/>
      <c r="D1975"/>
      <c r="F1975" s="1"/>
      <c r="G1975"/>
      <c r="K1975" s="1"/>
      <c r="L1975"/>
    </row>
    <row r="1976" spans="3:12" x14ac:dyDescent="0.25">
      <c r="C1976"/>
      <c r="D1976"/>
      <c r="F1976" s="1"/>
      <c r="G1976"/>
      <c r="K1976" s="1"/>
      <c r="L1976"/>
    </row>
    <row r="1977" spans="3:12" x14ac:dyDescent="0.25">
      <c r="C1977"/>
      <c r="D1977"/>
      <c r="F1977" s="1"/>
      <c r="G1977"/>
      <c r="K1977" s="1"/>
      <c r="L1977"/>
    </row>
    <row r="1978" spans="3:12" x14ac:dyDescent="0.25">
      <c r="C1978"/>
      <c r="D1978"/>
      <c r="F1978" s="1"/>
      <c r="G1978"/>
      <c r="K1978" s="1"/>
      <c r="L1978"/>
    </row>
    <row r="1979" spans="3:12" x14ac:dyDescent="0.25">
      <c r="C1979"/>
      <c r="D1979"/>
      <c r="F1979" s="1"/>
      <c r="G1979"/>
      <c r="K1979" s="1"/>
      <c r="L1979"/>
    </row>
    <row r="1980" spans="3:12" x14ac:dyDescent="0.25">
      <c r="C1980"/>
      <c r="D1980"/>
      <c r="F1980" s="1"/>
      <c r="G1980"/>
      <c r="K1980" s="1"/>
      <c r="L1980"/>
    </row>
    <row r="1981" spans="3:12" x14ac:dyDescent="0.25">
      <c r="C1981"/>
      <c r="D1981"/>
      <c r="F1981" s="1"/>
      <c r="G1981"/>
      <c r="K1981" s="1"/>
      <c r="L1981"/>
    </row>
    <row r="1982" spans="3:12" x14ac:dyDescent="0.25">
      <c r="C1982"/>
      <c r="D1982"/>
      <c r="F1982" s="1"/>
      <c r="G1982"/>
      <c r="K1982" s="1"/>
      <c r="L1982"/>
    </row>
  </sheetData>
  <mergeCells count="1">
    <mergeCell ref="J19:K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400F-7E86-448A-872A-EB83FF93FEB2}">
  <dimension ref="B1:M1982"/>
  <sheetViews>
    <sheetView showGridLines="0" zoomScale="85" zoomScaleNormal="85" workbookViewId="0">
      <selection activeCell="M5" sqref="M5"/>
    </sheetView>
  </sheetViews>
  <sheetFormatPr baseColWidth="10" defaultRowHeight="15" x14ac:dyDescent="0.25"/>
  <cols>
    <col min="2" max="2" width="20" customWidth="1"/>
    <col min="3" max="3" width="36.42578125" style="1" bestFit="1" customWidth="1"/>
    <col min="4" max="4" width="30" style="1" customWidth="1"/>
    <col min="5" max="5" width="61.5703125" bestFit="1" customWidth="1"/>
    <col min="6" max="6" width="24.28515625" style="2" customWidth="1"/>
    <col min="7" max="7" width="41.7109375" style="1" bestFit="1" customWidth="1"/>
    <col min="8" max="8" width="11.42578125" bestFit="1" customWidth="1"/>
    <col min="9" max="9" width="10.42578125" bestFit="1" customWidth="1"/>
    <col min="11" max="11" width="28.5703125" customWidth="1"/>
    <col min="12" max="12" width="9.85546875" customWidth="1"/>
    <col min="13" max="13" width="7.7109375" customWidth="1"/>
  </cols>
  <sheetData>
    <row r="1" spans="2:13" x14ac:dyDescent="0.25">
      <c r="B1" s="9" t="s">
        <v>0</v>
      </c>
      <c r="C1" s="1" t="s">
        <v>828</v>
      </c>
    </row>
    <row r="2" spans="2:13" x14ac:dyDescent="0.25">
      <c r="B2" s="9" t="s">
        <v>1</v>
      </c>
      <c r="C2" t="s">
        <v>828</v>
      </c>
    </row>
    <row r="3" spans="2:13" x14ac:dyDescent="0.25">
      <c r="C3"/>
      <c r="D3" s="3" cm="1">
        <f t="array" ref="D3">ROUND(SUMPRODUCT((D5:D1982&lt;&gt;"")/COUNTIF(D5:D1982,D5:D1982&amp;"")),0)</f>
        <v>99</v>
      </c>
      <c r="G3"/>
    </row>
    <row r="4" spans="2:13" x14ac:dyDescent="0.25">
      <c r="B4" s="9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9" t="s">
        <v>7</v>
      </c>
      <c r="H4" s="9" t="s">
        <v>8</v>
      </c>
    </row>
    <row r="5" spans="2:13" x14ac:dyDescent="0.25">
      <c r="B5" s="4">
        <v>3</v>
      </c>
      <c r="C5" t="s">
        <v>294</v>
      </c>
      <c r="D5" t="s">
        <v>572</v>
      </c>
      <c r="E5" t="s">
        <v>415</v>
      </c>
      <c r="F5" t="s">
        <v>13</v>
      </c>
      <c r="G5" t="s">
        <v>14</v>
      </c>
      <c r="H5">
        <v>1</v>
      </c>
      <c r="K5" s="25" t="s">
        <v>14</v>
      </c>
      <c r="L5" s="26" t="s">
        <v>13</v>
      </c>
      <c r="M5" s="25">
        <f>+SUMIF($G$3:$G$239,K5,$H$3:$H$239)</f>
        <v>82</v>
      </c>
    </row>
    <row r="6" spans="2:13" x14ac:dyDescent="0.25">
      <c r="B6" s="4">
        <v>3</v>
      </c>
      <c r="C6" t="s">
        <v>294</v>
      </c>
      <c r="D6" t="s">
        <v>572</v>
      </c>
      <c r="E6" t="s">
        <v>415</v>
      </c>
      <c r="F6" t="s">
        <v>15</v>
      </c>
      <c r="G6" t="s">
        <v>16</v>
      </c>
      <c r="H6">
        <v>1</v>
      </c>
      <c r="K6" s="25" t="s">
        <v>16</v>
      </c>
      <c r="L6" s="26" t="s">
        <v>15</v>
      </c>
      <c r="M6" s="25">
        <f t="shared" ref="M6:M14" si="0">+SUMIF($G$3:$G$239,K6,$H$3:$H$239)</f>
        <v>102</v>
      </c>
    </row>
    <row r="7" spans="2:13" x14ac:dyDescent="0.25">
      <c r="B7" s="4">
        <v>3</v>
      </c>
      <c r="C7" t="s">
        <v>294</v>
      </c>
      <c r="D7" t="s">
        <v>573</v>
      </c>
      <c r="E7" t="s">
        <v>574</v>
      </c>
      <c r="F7">
        <v>201008</v>
      </c>
      <c r="G7" t="s">
        <v>29</v>
      </c>
      <c r="H7">
        <v>1</v>
      </c>
      <c r="K7" s="25" t="s">
        <v>29</v>
      </c>
      <c r="L7" s="26">
        <v>201008</v>
      </c>
      <c r="M7" s="25">
        <f t="shared" si="0"/>
        <v>16</v>
      </c>
    </row>
    <row r="8" spans="2:13" x14ac:dyDescent="0.25">
      <c r="B8" s="4">
        <v>3</v>
      </c>
      <c r="C8" t="s">
        <v>294</v>
      </c>
      <c r="D8" t="s">
        <v>573</v>
      </c>
      <c r="E8" t="s">
        <v>574</v>
      </c>
      <c r="F8" t="s">
        <v>13</v>
      </c>
      <c r="G8" t="s">
        <v>14</v>
      </c>
      <c r="H8">
        <v>1</v>
      </c>
      <c r="K8" s="25" t="s">
        <v>24</v>
      </c>
      <c r="L8" s="26" t="s">
        <v>23</v>
      </c>
      <c r="M8" s="25">
        <f t="shared" si="0"/>
        <v>20</v>
      </c>
    </row>
    <row r="9" spans="2:13" x14ac:dyDescent="0.25">
      <c r="B9" s="4">
        <v>3</v>
      </c>
      <c r="C9" t="s">
        <v>294</v>
      </c>
      <c r="D9" t="s">
        <v>573</v>
      </c>
      <c r="E9" t="s">
        <v>574</v>
      </c>
      <c r="F9" t="s">
        <v>15</v>
      </c>
      <c r="G9" t="s">
        <v>16</v>
      </c>
      <c r="H9">
        <v>1</v>
      </c>
      <c r="K9" s="25" t="s">
        <v>44</v>
      </c>
      <c r="L9" s="26">
        <v>201010</v>
      </c>
      <c r="M9" s="25">
        <f t="shared" si="0"/>
        <v>5</v>
      </c>
    </row>
    <row r="10" spans="2:13" x14ac:dyDescent="0.25">
      <c r="B10" s="4">
        <v>3</v>
      </c>
      <c r="C10" t="s">
        <v>294</v>
      </c>
      <c r="D10" t="s">
        <v>575</v>
      </c>
      <c r="E10" t="s">
        <v>576</v>
      </c>
      <c r="F10" t="s">
        <v>15</v>
      </c>
      <c r="G10" t="s">
        <v>16</v>
      </c>
      <c r="H10">
        <v>2</v>
      </c>
      <c r="K10" s="25" t="s">
        <v>104</v>
      </c>
      <c r="L10" s="26" t="s">
        <v>103</v>
      </c>
      <c r="M10" s="25">
        <f t="shared" si="0"/>
        <v>10</v>
      </c>
    </row>
    <row r="11" spans="2:13" x14ac:dyDescent="0.25">
      <c r="B11" s="4">
        <v>3</v>
      </c>
      <c r="C11" t="s">
        <v>294</v>
      </c>
      <c r="D11" t="s">
        <v>577</v>
      </c>
      <c r="E11" t="s">
        <v>576</v>
      </c>
      <c r="F11" t="s">
        <v>15</v>
      </c>
      <c r="G11" t="s">
        <v>16</v>
      </c>
      <c r="H11">
        <v>2</v>
      </c>
      <c r="K11" s="25" t="s">
        <v>119</v>
      </c>
      <c r="L11" s="26" t="s">
        <v>118</v>
      </c>
      <c r="M11" s="25">
        <f t="shared" si="0"/>
        <v>4</v>
      </c>
    </row>
    <row r="12" spans="2:13" x14ac:dyDescent="0.25">
      <c r="B12" s="4">
        <v>3</v>
      </c>
      <c r="C12" t="s">
        <v>294</v>
      </c>
      <c r="D12" t="s">
        <v>578</v>
      </c>
      <c r="E12" t="s">
        <v>579</v>
      </c>
      <c r="F12">
        <v>201008</v>
      </c>
      <c r="G12" t="s">
        <v>29</v>
      </c>
      <c r="H12">
        <v>1</v>
      </c>
      <c r="K12" s="25" t="s">
        <v>255</v>
      </c>
      <c r="L12" s="26">
        <v>201009</v>
      </c>
      <c r="M12" s="25">
        <f t="shared" si="0"/>
        <v>1</v>
      </c>
    </row>
    <row r="13" spans="2:13" x14ac:dyDescent="0.25">
      <c r="B13" s="4">
        <v>3</v>
      </c>
      <c r="C13" t="s">
        <v>294</v>
      </c>
      <c r="D13" t="s">
        <v>578</v>
      </c>
      <c r="E13" t="s">
        <v>579</v>
      </c>
      <c r="F13" t="s">
        <v>13</v>
      </c>
      <c r="G13" t="s">
        <v>14</v>
      </c>
      <c r="H13">
        <v>1</v>
      </c>
      <c r="K13" s="25" t="s">
        <v>50</v>
      </c>
      <c r="L13" s="26" t="s">
        <v>49</v>
      </c>
      <c r="M13" s="25">
        <f t="shared" si="0"/>
        <v>2</v>
      </c>
    </row>
    <row r="14" spans="2:13" ht="15.75" thickBot="1" x14ac:dyDescent="0.3">
      <c r="B14" s="4">
        <v>3</v>
      </c>
      <c r="C14" t="s">
        <v>294</v>
      </c>
      <c r="D14" t="s">
        <v>578</v>
      </c>
      <c r="E14" t="s">
        <v>579</v>
      </c>
      <c r="F14" t="s">
        <v>15</v>
      </c>
      <c r="G14" t="s">
        <v>16</v>
      </c>
      <c r="H14">
        <v>1</v>
      </c>
      <c r="K14" s="43" t="s">
        <v>70</v>
      </c>
      <c r="L14" s="45">
        <v>201002</v>
      </c>
      <c r="M14" s="43">
        <f t="shared" si="0"/>
        <v>2</v>
      </c>
    </row>
    <row r="15" spans="2:13" ht="15.75" thickBot="1" x14ac:dyDescent="0.3">
      <c r="B15" s="4">
        <v>3</v>
      </c>
      <c r="C15" t="s">
        <v>294</v>
      </c>
      <c r="D15" t="s">
        <v>580</v>
      </c>
      <c r="E15" t="s">
        <v>581</v>
      </c>
      <c r="F15">
        <v>201008</v>
      </c>
      <c r="G15" t="s">
        <v>29</v>
      </c>
      <c r="H15">
        <v>1</v>
      </c>
      <c r="K15" s="56" t="s">
        <v>82</v>
      </c>
      <c r="L15" s="58"/>
      <c r="M15" s="44">
        <f>SUM(M5:M14)</f>
        <v>244</v>
      </c>
    </row>
    <row r="16" spans="2:13" x14ac:dyDescent="0.25">
      <c r="B16" s="4">
        <v>3</v>
      </c>
      <c r="C16" t="s">
        <v>294</v>
      </c>
      <c r="D16" t="s">
        <v>580</v>
      </c>
      <c r="E16" t="s">
        <v>581</v>
      </c>
      <c r="F16" t="s">
        <v>13</v>
      </c>
      <c r="G16" t="s">
        <v>14</v>
      </c>
      <c r="H16">
        <v>1</v>
      </c>
    </row>
    <row r="17" spans="2:8" x14ac:dyDescent="0.25">
      <c r="B17" s="4">
        <v>3</v>
      </c>
      <c r="C17" t="s">
        <v>294</v>
      </c>
      <c r="D17" t="s">
        <v>580</v>
      </c>
      <c r="E17" t="s">
        <v>581</v>
      </c>
      <c r="F17" t="s">
        <v>15</v>
      </c>
      <c r="G17" t="s">
        <v>16</v>
      </c>
      <c r="H17">
        <v>1</v>
      </c>
    </row>
    <row r="18" spans="2:8" x14ac:dyDescent="0.25">
      <c r="B18" s="4">
        <v>3</v>
      </c>
      <c r="C18" t="s">
        <v>294</v>
      </c>
      <c r="D18" t="s">
        <v>582</v>
      </c>
      <c r="E18" t="s">
        <v>583</v>
      </c>
      <c r="F18">
        <v>201008</v>
      </c>
      <c r="G18" t="s">
        <v>29</v>
      </c>
      <c r="H18">
        <v>1</v>
      </c>
    </row>
    <row r="19" spans="2:8" x14ac:dyDescent="0.25">
      <c r="B19" s="4">
        <v>3</v>
      </c>
      <c r="C19" t="s">
        <v>294</v>
      </c>
      <c r="D19" t="s">
        <v>582</v>
      </c>
      <c r="E19" t="s">
        <v>583</v>
      </c>
      <c r="F19" t="s">
        <v>13</v>
      </c>
      <c r="G19" t="s">
        <v>14</v>
      </c>
      <c r="H19">
        <v>1</v>
      </c>
    </row>
    <row r="20" spans="2:8" x14ac:dyDescent="0.25">
      <c r="B20" s="4">
        <v>3</v>
      </c>
      <c r="C20" t="s">
        <v>294</v>
      </c>
      <c r="D20" t="s">
        <v>582</v>
      </c>
      <c r="E20" t="s">
        <v>583</v>
      </c>
      <c r="F20" t="s">
        <v>15</v>
      </c>
      <c r="G20" t="s">
        <v>16</v>
      </c>
      <c r="H20">
        <v>1</v>
      </c>
    </row>
    <row r="21" spans="2:8" x14ac:dyDescent="0.25">
      <c r="B21" s="4">
        <v>3</v>
      </c>
      <c r="C21" t="s">
        <v>294</v>
      </c>
      <c r="D21" t="s">
        <v>584</v>
      </c>
      <c r="E21" t="s">
        <v>585</v>
      </c>
      <c r="F21" t="s">
        <v>13</v>
      </c>
      <c r="G21" t="s">
        <v>14</v>
      </c>
      <c r="H21">
        <v>1</v>
      </c>
    </row>
    <row r="22" spans="2:8" x14ac:dyDescent="0.25">
      <c r="B22" s="4">
        <v>3</v>
      </c>
      <c r="C22" t="s">
        <v>294</v>
      </c>
      <c r="D22" t="s">
        <v>584</v>
      </c>
      <c r="E22" t="s">
        <v>585</v>
      </c>
      <c r="F22" t="s">
        <v>15</v>
      </c>
      <c r="G22" t="s">
        <v>16</v>
      </c>
      <c r="H22">
        <v>1</v>
      </c>
    </row>
    <row r="23" spans="2:8" x14ac:dyDescent="0.25">
      <c r="B23" s="4">
        <v>3</v>
      </c>
      <c r="C23" t="s">
        <v>294</v>
      </c>
      <c r="D23" t="s">
        <v>586</v>
      </c>
      <c r="E23" t="s">
        <v>587</v>
      </c>
      <c r="F23" t="s">
        <v>13</v>
      </c>
      <c r="G23" t="s">
        <v>14</v>
      </c>
      <c r="H23">
        <v>4</v>
      </c>
    </row>
    <row r="24" spans="2:8" x14ac:dyDescent="0.25">
      <c r="B24" s="4">
        <v>3</v>
      </c>
      <c r="C24" t="s">
        <v>294</v>
      </c>
      <c r="D24" t="s">
        <v>586</v>
      </c>
      <c r="E24" t="s">
        <v>587</v>
      </c>
      <c r="F24" t="s">
        <v>15</v>
      </c>
      <c r="G24" t="s">
        <v>16</v>
      </c>
      <c r="H24">
        <v>4</v>
      </c>
    </row>
    <row r="25" spans="2:8" x14ac:dyDescent="0.25">
      <c r="B25" s="4">
        <v>3</v>
      </c>
      <c r="C25" t="s">
        <v>294</v>
      </c>
      <c r="D25" t="s">
        <v>588</v>
      </c>
      <c r="E25" t="s">
        <v>589</v>
      </c>
      <c r="F25" t="s">
        <v>13</v>
      </c>
      <c r="G25" t="s">
        <v>14</v>
      </c>
      <c r="H25">
        <v>1</v>
      </c>
    </row>
    <row r="26" spans="2:8" x14ac:dyDescent="0.25">
      <c r="B26" s="4">
        <v>3</v>
      </c>
      <c r="C26" t="s">
        <v>294</v>
      </c>
      <c r="D26" t="s">
        <v>588</v>
      </c>
      <c r="E26" t="s">
        <v>589</v>
      </c>
      <c r="F26" t="s">
        <v>15</v>
      </c>
      <c r="G26" t="s">
        <v>16</v>
      </c>
      <c r="H26">
        <v>1</v>
      </c>
    </row>
    <row r="27" spans="2:8" x14ac:dyDescent="0.25">
      <c r="B27" s="4">
        <v>3</v>
      </c>
      <c r="C27" t="s">
        <v>294</v>
      </c>
      <c r="D27" t="s">
        <v>590</v>
      </c>
      <c r="E27" t="s">
        <v>182</v>
      </c>
      <c r="F27" t="s">
        <v>13</v>
      </c>
      <c r="G27" t="s">
        <v>14</v>
      </c>
      <c r="H27">
        <v>1</v>
      </c>
    </row>
    <row r="28" spans="2:8" x14ac:dyDescent="0.25">
      <c r="B28" s="4">
        <v>3</v>
      </c>
      <c r="C28" t="s">
        <v>294</v>
      </c>
      <c r="D28" t="s">
        <v>590</v>
      </c>
      <c r="E28" t="s">
        <v>182</v>
      </c>
      <c r="F28" t="s">
        <v>15</v>
      </c>
      <c r="G28" t="s">
        <v>16</v>
      </c>
      <c r="H28">
        <v>1</v>
      </c>
    </row>
    <row r="29" spans="2:8" x14ac:dyDescent="0.25">
      <c r="B29" s="4">
        <v>3</v>
      </c>
      <c r="C29" t="s">
        <v>294</v>
      </c>
      <c r="D29" t="s">
        <v>591</v>
      </c>
      <c r="E29" t="s">
        <v>592</v>
      </c>
      <c r="F29" t="s">
        <v>13</v>
      </c>
      <c r="G29" t="s">
        <v>14</v>
      </c>
      <c r="H29">
        <v>3</v>
      </c>
    </row>
    <row r="30" spans="2:8" x14ac:dyDescent="0.25">
      <c r="B30" s="4">
        <v>3</v>
      </c>
      <c r="C30" t="s">
        <v>294</v>
      </c>
      <c r="D30" t="s">
        <v>591</v>
      </c>
      <c r="E30" t="s">
        <v>592</v>
      </c>
      <c r="F30" t="s">
        <v>15</v>
      </c>
      <c r="G30" t="s">
        <v>16</v>
      </c>
      <c r="H30">
        <v>3</v>
      </c>
    </row>
    <row r="31" spans="2:8" x14ac:dyDescent="0.25">
      <c r="B31" s="4">
        <v>3</v>
      </c>
      <c r="C31" t="s">
        <v>294</v>
      </c>
      <c r="D31" t="s">
        <v>593</v>
      </c>
      <c r="E31" t="s">
        <v>594</v>
      </c>
      <c r="F31" t="s">
        <v>13</v>
      </c>
      <c r="G31" t="s">
        <v>14</v>
      </c>
      <c r="H31">
        <v>2</v>
      </c>
    </row>
    <row r="32" spans="2:8" x14ac:dyDescent="0.25">
      <c r="B32" s="4">
        <v>3</v>
      </c>
      <c r="C32" t="s">
        <v>294</v>
      </c>
      <c r="D32" t="s">
        <v>593</v>
      </c>
      <c r="E32" t="s">
        <v>594</v>
      </c>
      <c r="F32" t="s">
        <v>15</v>
      </c>
      <c r="G32" t="s">
        <v>16</v>
      </c>
      <c r="H32">
        <v>2</v>
      </c>
    </row>
    <row r="33" spans="2:8" x14ac:dyDescent="0.25">
      <c r="B33" s="4">
        <v>3</v>
      </c>
      <c r="C33" t="s">
        <v>294</v>
      </c>
      <c r="D33" t="s">
        <v>595</v>
      </c>
      <c r="E33" t="s">
        <v>596</v>
      </c>
      <c r="F33" t="s">
        <v>13</v>
      </c>
      <c r="G33" t="s">
        <v>14</v>
      </c>
      <c r="H33">
        <v>3</v>
      </c>
    </row>
    <row r="34" spans="2:8" x14ac:dyDescent="0.25">
      <c r="B34" s="4">
        <v>3</v>
      </c>
      <c r="C34" t="s">
        <v>294</v>
      </c>
      <c r="D34" t="s">
        <v>595</v>
      </c>
      <c r="E34" t="s">
        <v>596</v>
      </c>
      <c r="F34" t="s">
        <v>15</v>
      </c>
      <c r="G34" t="s">
        <v>16</v>
      </c>
      <c r="H34">
        <v>3</v>
      </c>
    </row>
    <row r="35" spans="2:8" x14ac:dyDescent="0.25">
      <c r="B35" s="4">
        <v>3</v>
      </c>
      <c r="C35" t="s">
        <v>294</v>
      </c>
      <c r="D35" t="s">
        <v>597</v>
      </c>
      <c r="E35" t="s">
        <v>598</v>
      </c>
      <c r="F35" t="s">
        <v>13</v>
      </c>
      <c r="G35" t="s">
        <v>14</v>
      </c>
      <c r="H35">
        <v>1</v>
      </c>
    </row>
    <row r="36" spans="2:8" x14ac:dyDescent="0.25">
      <c r="B36" s="4">
        <v>3</v>
      </c>
      <c r="C36" t="s">
        <v>294</v>
      </c>
      <c r="D36" t="s">
        <v>597</v>
      </c>
      <c r="E36" t="s">
        <v>598</v>
      </c>
      <c r="F36" t="s">
        <v>15</v>
      </c>
      <c r="G36" t="s">
        <v>16</v>
      </c>
      <c r="H36">
        <v>1</v>
      </c>
    </row>
    <row r="37" spans="2:8" x14ac:dyDescent="0.25">
      <c r="B37" s="4">
        <v>3</v>
      </c>
      <c r="C37" t="s">
        <v>294</v>
      </c>
      <c r="D37" t="s">
        <v>599</v>
      </c>
      <c r="E37" t="s">
        <v>600</v>
      </c>
      <c r="F37">
        <v>201008</v>
      </c>
      <c r="G37" t="s">
        <v>29</v>
      </c>
      <c r="H37">
        <v>1</v>
      </c>
    </row>
    <row r="38" spans="2:8" x14ac:dyDescent="0.25">
      <c r="B38" s="4">
        <v>3</v>
      </c>
      <c r="C38" t="s">
        <v>294</v>
      </c>
      <c r="D38" t="s">
        <v>599</v>
      </c>
      <c r="E38" t="s">
        <v>600</v>
      </c>
      <c r="F38" t="s">
        <v>13</v>
      </c>
      <c r="G38" t="s">
        <v>14</v>
      </c>
      <c r="H38">
        <v>1</v>
      </c>
    </row>
    <row r="39" spans="2:8" x14ac:dyDescent="0.25">
      <c r="B39" s="4">
        <v>3</v>
      </c>
      <c r="C39" t="s">
        <v>294</v>
      </c>
      <c r="D39" t="s">
        <v>599</v>
      </c>
      <c r="E39" t="s">
        <v>600</v>
      </c>
      <c r="F39" t="s">
        <v>15</v>
      </c>
      <c r="G39" t="s">
        <v>16</v>
      </c>
      <c r="H39">
        <v>1</v>
      </c>
    </row>
    <row r="40" spans="2:8" x14ac:dyDescent="0.25">
      <c r="B40" s="4">
        <v>3</v>
      </c>
      <c r="C40" t="s">
        <v>294</v>
      </c>
      <c r="D40" t="s">
        <v>601</v>
      </c>
      <c r="E40" t="s">
        <v>602</v>
      </c>
      <c r="F40" t="s">
        <v>23</v>
      </c>
      <c r="G40" t="s">
        <v>24</v>
      </c>
      <c r="H40">
        <v>1</v>
      </c>
    </row>
    <row r="41" spans="2:8" x14ac:dyDescent="0.25">
      <c r="B41" s="4">
        <v>3</v>
      </c>
      <c r="C41" t="s">
        <v>294</v>
      </c>
      <c r="D41" t="s">
        <v>601</v>
      </c>
      <c r="E41" t="s">
        <v>602</v>
      </c>
      <c r="F41" t="s">
        <v>15</v>
      </c>
      <c r="G41" t="s">
        <v>16</v>
      </c>
      <c r="H41">
        <v>1</v>
      </c>
    </row>
    <row r="42" spans="2:8" x14ac:dyDescent="0.25">
      <c r="B42" s="4">
        <v>3</v>
      </c>
      <c r="C42" t="s">
        <v>294</v>
      </c>
      <c r="D42" t="s">
        <v>603</v>
      </c>
      <c r="E42" t="s">
        <v>604</v>
      </c>
      <c r="F42" t="s">
        <v>13</v>
      </c>
      <c r="G42" t="s">
        <v>14</v>
      </c>
      <c r="H42">
        <v>2</v>
      </c>
    </row>
    <row r="43" spans="2:8" x14ac:dyDescent="0.25">
      <c r="B43" s="4">
        <v>3</v>
      </c>
      <c r="C43" t="s">
        <v>294</v>
      </c>
      <c r="D43" t="s">
        <v>603</v>
      </c>
      <c r="E43" t="s">
        <v>604</v>
      </c>
      <c r="F43" t="s">
        <v>15</v>
      </c>
      <c r="G43" t="s">
        <v>16</v>
      </c>
      <c r="H43">
        <v>2</v>
      </c>
    </row>
    <row r="44" spans="2:8" x14ac:dyDescent="0.25">
      <c r="B44" s="4">
        <v>3</v>
      </c>
      <c r="C44" t="s">
        <v>294</v>
      </c>
      <c r="D44" t="s">
        <v>605</v>
      </c>
      <c r="E44" t="s">
        <v>606</v>
      </c>
      <c r="F44" t="s">
        <v>13</v>
      </c>
      <c r="G44" t="s">
        <v>14</v>
      </c>
      <c r="H44">
        <v>1</v>
      </c>
    </row>
    <row r="45" spans="2:8" x14ac:dyDescent="0.25">
      <c r="B45" s="4">
        <v>3</v>
      </c>
      <c r="C45" t="s">
        <v>294</v>
      </c>
      <c r="D45" t="s">
        <v>605</v>
      </c>
      <c r="E45" t="s">
        <v>606</v>
      </c>
      <c r="F45" t="s">
        <v>15</v>
      </c>
      <c r="G45" t="s">
        <v>16</v>
      </c>
      <c r="H45">
        <v>1</v>
      </c>
    </row>
    <row r="46" spans="2:8" x14ac:dyDescent="0.25">
      <c r="B46" s="4">
        <v>3</v>
      </c>
      <c r="C46" t="s">
        <v>294</v>
      </c>
      <c r="D46" t="s">
        <v>607</v>
      </c>
      <c r="E46" t="s">
        <v>608</v>
      </c>
      <c r="F46">
        <v>201010</v>
      </c>
      <c r="G46" t="s">
        <v>44</v>
      </c>
      <c r="H46">
        <v>1</v>
      </c>
    </row>
    <row r="47" spans="2:8" x14ac:dyDescent="0.25">
      <c r="B47" s="4">
        <v>3</v>
      </c>
      <c r="C47" t="s">
        <v>294</v>
      </c>
      <c r="D47" t="s">
        <v>607</v>
      </c>
      <c r="E47" t="s">
        <v>608</v>
      </c>
      <c r="F47" t="s">
        <v>15</v>
      </c>
      <c r="G47" t="s">
        <v>16</v>
      </c>
      <c r="H47">
        <v>1</v>
      </c>
    </row>
    <row r="48" spans="2:8" x14ac:dyDescent="0.25">
      <c r="B48" s="4">
        <v>3</v>
      </c>
      <c r="C48" t="s">
        <v>294</v>
      </c>
      <c r="D48" t="s">
        <v>609</v>
      </c>
      <c r="E48" t="s">
        <v>610</v>
      </c>
      <c r="F48" t="s">
        <v>13</v>
      </c>
      <c r="G48" t="s">
        <v>14</v>
      </c>
      <c r="H48">
        <v>1</v>
      </c>
    </row>
    <row r="49" spans="2:8" x14ac:dyDescent="0.25">
      <c r="B49" s="4">
        <v>3</v>
      </c>
      <c r="C49" t="s">
        <v>294</v>
      </c>
      <c r="D49" t="s">
        <v>609</v>
      </c>
      <c r="E49" t="s">
        <v>610</v>
      </c>
      <c r="F49" t="s">
        <v>15</v>
      </c>
      <c r="G49" t="s">
        <v>16</v>
      </c>
      <c r="H49">
        <v>1</v>
      </c>
    </row>
    <row r="50" spans="2:8" x14ac:dyDescent="0.25">
      <c r="B50" s="4">
        <v>3</v>
      </c>
      <c r="C50" t="s">
        <v>294</v>
      </c>
      <c r="D50" t="s">
        <v>611</v>
      </c>
      <c r="E50" t="s">
        <v>493</v>
      </c>
      <c r="F50" t="s">
        <v>13</v>
      </c>
      <c r="G50" t="s">
        <v>14</v>
      </c>
      <c r="H50">
        <v>1</v>
      </c>
    </row>
    <row r="51" spans="2:8" x14ac:dyDescent="0.25">
      <c r="B51" s="4">
        <v>3</v>
      </c>
      <c r="C51" t="s">
        <v>294</v>
      </c>
      <c r="D51" t="s">
        <v>611</v>
      </c>
      <c r="E51" t="s">
        <v>493</v>
      </c>
      <c r="F51" t="s">
        <v>15</v>
      </c>
      <c r="G51" t="s">
        <v>16</v>
      </c>
      <c r="H51">
        <v>1</v>
      </c>
    </row>
    <row r="52" spans="2:8" x14ac:dyDescent="0.25">
      <c r="B52" s="4">
        <v>3</v>
      </c>
      <c r="C52" t="s">
        <v>294</v>
      </c>
      <c r="D52" t="s">
        <v>612</v>
      </c>
      <c r="E52" t="s">
        <v>613</v>
      </c>
      <c r="F52">
        <v>201008</v>
      </c>
      <c r="G52" t="s">
        <v>29</v>
      </c>
      <c r="H52">
        <v>1</v>
      </c>
    </row>
    <row r="53" spans="2:8" x14ac:dyDescent="0.25">
      <c r="B53" s="4">
        <v>3</v>
      </c>
      <c r="C53" t="s">
        <v>294</v>
      </c>
      <c r="D53" t="s">
        <v>612</v>
      </c>
      <c r="E53" t="s">
        <v>613</v>
      </c>
      <c r="F53" t="s">
        <v>13</v>
      </c>
      <c r="G53" t="s">
        <v>14</v>
      </c>
      <c r="H53">
        <v>1</v>
      </c>
    </row>
    <row r="54" spans="2:8" x14ac:dyDescent="0.25">
      <c r="B54" s="4">
        <v>3</v>
      </c>
      <c r="C54" t="s">
        <v>294</v>
      </c>
      <c r="D54" t="s">
        <v>612</v>
      </c>
      <c r="E54" t="s">
        <v>613</v>
      </c>
      <c r="F54" t="s">
        <v>15</v>
      </c>
      <c r="G54" t="s">
        <v>16</v>
      </c>
      <c r="H54">
        <v>1</v>
      </c>
    </row>
    <row r="55" spans="2:8" x14ac:dyDescent="0.25">
      <c r="B55" s="4">
        <v>3</v>
      </c>
      <c r="C55" t="s">
        <v>294</v>
      </c>
      <c r="D55" t="s">
        <v>614</v>
      </c>
      <c r="E55" t="s">
        <v>146</v>
      </c>
      <c r="F55" t="s">
        <v>13</v>
      </c>
      <c r="G55" t="s">
        <v>14</v>
      </c>
      <c r="H55">
        <v>1</v>
      </c>
    </row>
    <row r="56" spans="2:8" x14ac:dyDescent="0.25">
      <c r="B56" s="4">
        <v>3</v>
      </c>
      <c r="C56" t="s">
        <v>294</v>
      </c>
      <c r="D56" t="s">
        <v>614</v>
      </c>
      <c r="E56" t="s">
        <v>146</v>
      </c>
      <c r="F56" t="s">
        <v>15</v>
      </c>
      <c r="G56" t="s">
        <v>16</v>
      </c>
      <c r="H56">
        <v>1</v>
      </c>
    </row>
    <row r="57" spans="2:8" x14ac:dyDescent="0.25">
      <c r="B57" s="4">
        <v>3</v>
      </c>
      <c r="C57" t="s">
        <v>294</v>
      </c>
      <c r="D57" t="s">
        <v>615</v>
      </c>
      <c r="E57" t="s">
        <v>616</v>
      </c>
      <c r="F57">
        <v>201008</v>
      </c>
      <c r="G57" t="s">
        <v>29</v>
      </c>
      <c r="H57">
        <v>1</v>
      </c>
    </row>
    <row r="58" spans="2:8" x14ac:dyDescent="0.25">
      <c r="B58" s="4">
        <v>3</v>
      </c>
      <c r="C58" t="s">
        <v>294</v>
      </c>
      <c r="D58" t="s">
        <v>615</v>
      </c>
      <c r="E58" t="s">
        <v>616</v>
      </c>
      <c r="F58" t="s">
        <v>13</v>
      </c>
      <c r="G58" t="s">
        <v>14</v>
      </c>
      <c r="H58">
        <v>1</v>
      </c>
    </row>
    <row r="59" spans="2:8" x14ac:dyDescent="0.25">
      <c r="B59" s="4">
        <v>3</v>
      </c>
      <c r="C59" t="s">
        <v>294</v>
      </c>
      <c r="D59" t="s">
        <v>615</v>
      </c>
      <c r="E59" t="s">
        <v>616</v>
      </c>
      <c r="F59" t="s">
        <v>15</v>
      </c>
      <c r="G59" t="s">
        <v>16</v>
      </c>
      <c r="H59">
        <v>1</v>
      </c>
    </row>
    <row r="60" spans="2:8" x14ac:dyDescent="0.25">
      <c r="B60" s="4">
        <v>3</v>
      </c>
      <c r="C60" t="s">
        <v>294</v>
      </c>
      <c r="D60" t="s">
        <v>617</v>
      </c>
      <c r="E60" t="s">
        <v>618</v>
      </c>
      <c r="F60">
        <v>201008</v>
      </c>
      <c r="G60" t="s">
        <v>29</v>
      </c>
      <c r="H60">
        <v>1</v>
      </c>
    </row>
    <row r="61" spans="2:8" x14ac:dyDescent="0.25">
      <c r="B61" s="4">
        <v>3</v>
      </c>
      <c r="C61" t="s">
        <v>294</v>
      </c>
      <c r="D61" t="s">
        <v>617</v>
      </c>
      <c r="E61" t="s">
        <v>618</v>
      </c>
      <c r="F61" t="s">
        <v>13</v>
      </c>
      <c r="G61" t="s">
        <v>14</v>
      </c>
      <c r="H61">
        <v>1</v>
      </c>
    </row>
    <row r="62" spans="2:8" x14ac:dyDescent="0.25">
      <c r="B62" s="4">
        <v>3</v>
      </c>
      <c r="C62" t="s">
        <v>294</v>
      </c>
      <c r="D62" t="s">
        <v>617</v>
      </c>
      <c r="E62" t="s">
        <v>618</v>
      </c>
      <c r="F62" t="s">
        <v>15</v>
      </c>
      <c r="G62" t="s">
        <v>16</v>
      </c>
      <c r="H62">
        <v>1</v>
      </c>
    </row>
    <row r="63" spans="2:8" x14ac:dyDescent="0.25">
      <c r="B63" s="4">
        <v>3</v>
      </c>
      <c r="C63" t="s">
        <v>294</v>
      </c>
      <c r="D63" t="s">
        <v>619</v>
      </c>
      <c r="E63" t="s">
        <v>415</v>
      </c>
      <c r="F63" t="s">
        <v>13</v>
      </c>
      <c r="G63" t="s">
        <v>14</v>
      </c>
      <c r="H63">
        <v>1</v>
      </c>
    </row>
    <row r="64" spans="2:8" x14ac:dyDescent="0.25">
      <c r="B64" s="4">
        <v>3</v>
      </c>
      <c r="C64" t="s">
        <v>294</v>
      </c>
      <c r="D64" t="s">
        <v>619</v>
      </c>
      <c r="E64" t="s">
        <v>415</v>
      </c>
      <c r="F64" t="s">
        <v>15</v>
      </c>
      <c r="G64" t="s">
        <v>16</v>
      </c>
      <c r="H64">
        <v>1</v>
      </c>
    </row>
    <row r="65" spans="2:8" x14ac:dyDescent="0.25">
      <c r="B65" s="4">
        <v>3</v>
      </c>
      <c r="C65" t="s">
        <v>294</v>
      </c>
      <c r="D65" t="s">
        <v>620</v>
      </c>
      <c r="E65" t="s">
        <v>621</v>
      </c>
      <c r="F65">
        <v>201010</v>
      </c>
      <c r="G65" t="s">
        <v>44</v>
      </c>
      <c r="H65">
        <v>1</v>
      </c>
    </row>
    <row r="66" spans="2:8" x14ac:dyDescent="0.25">
      <c r="B66" s="4">
        <v>3</v>
      </c>
      <c r="C66" t="s">
        <v>294</v>
      </c>
      <c r="D66" t="s">
        <v>620</v>
      </c>
      <c r="E66" t="s">
        <v>621</v>
      </c>
      <c r="F66" t="s">
        <v>15</v>
      </c>
      <c r="G66" t="s">
        <v>16</v>
      </c>
      <c r="H66">
        <v>1</v>
      </c>
    </row>
    <row r="67" spans="2:8" x14ac:dyDescent="0.25">
      <c r="B67" s="4">
        <v>3</v>
      </c>
      <c r="C67" t="s">
        <v>294</v>
      </c>
      <c r="D67" t="s">
        <v>622</v>
      </c>
      <c r="E67" t="s">
        <v>623</v>
      </c>
      <c r="F67">
        <v>201008</v>
      </c>
      <c r="G67" t="s">
        <v>29</v>
      </c>
      <c r="H67">
        <v>1</v>
      </c>
    </row>
    <row r="68" spans="2:8" x14ac:dyDescent="0.25">
      <c r="B68" s="4">
        <v>3</v>
      </c>
      <c r="C68" t="s">
        <v>294</v>
      </c>
      <c r="D68" t="s">
        <v>622</v>
      </c>
      <c r="E68" t="s">
        <v>623</v>
      </c>
      <c r="F68" t="s">
        <v>13</v>
      </c>
      <c r="G68" t="s">
        <v>14</v>
      </c>
      <c r="H68">
        <v>1</v>
      </c>
    </row>
    <row r="69" spans="2:8" x14ac:dyDescent="0.25">
      <c r="B69" s="4">
        <v>3</v>
      </c>
      <c r="C69" t="s">
        <v>294</v>
      </c>
      <c r="D69" t="s">
        <v>622</v>
      </c>
      <c r="E69" t="s">
        <v>623</v>
      </c>
      <c r="F69" t="s">
        <v>15</v>
      </c>
      <c r="G69" t="s">
        <v>16</v>
      </c>
      <c r="H69">
        <v>1</v>
      </c>
    </row>
    <row r="70" spans="2:8" x14ac:dyDescent="0.25">
      <c r="B70" s="4">
        <v>3</v>
      </c>
      <c r="C70" t="s">
        <v>294</v>
      </c>
      <c r="D70" t="s">
        <v>624</v>
      </c>
      <c r="E70" t="s">
        <v>625</v>
      </c>
      <c r="F70" t="s">
        <v>13</v>
      </c>
      <c r="G70" t="s">
        <v>14</v>
      </c>
      <c r="H70">
        <v>4</v>
      </c>
    </row>
    <row r="71" spans="2:8" x14ac:dyDescent="0.25">
      <c r="B71" s="4">
        <v>3</v>
      </c>
      <c r="C71" t="s">
        <v>294</v>
      </c>
      <c r="D71" t="s">
        <v>624</v>
      </c>
      <c r="E71" t="s">
        <v>625</v>
      </c>
      <c r="F71" t="s">
        <v>15</v>
      </c>
      <c r="G71" t="s">
        <v>16</v>
      </c>
      <c r="H71">
        <v>4</v>
      </c>
    </row>
    <row r="72" spans="2:8" x14ac:dyDescent="0.25">
      <c r="B72" s="4">
        <v>3</v>
      </c>
      <c r="C72" t="s">
        <v>294</v>
      </c>
      <c r="D72" t="s">
        <v>626</v>
      </c>
      <c r="E72" t="s">
        <v>627</v>
      </c>
      <c r="F72" t="s">
        <v>13</v>
      </c>
      <c r="G72" t="s">
        <v>14</v>
      </c>
      <c r="H72">
        <v>1</v>
      </c>
    </row>
    <row r="73" spans="2:8" x14ac:dyDescent="0.25">
      <c r="B73" s="4">
        <v>3</v>
      </c>
      <c r="C73" t="s">
        <v>294</v>
      </c>
      <c r="D73" t="s">
        <v>626</v>
      </c>
      <c r="E73" t="s">
        <v>627</v>
      </c>
      <c r="F73" t="s">
        <v>15</v>
      </c>
      <c r="G73" t="s">
        <v>16</v>
      </c>
      <c r="H73">
        <v>1</v>
      </c>
    </row>
    <row r="74" spans="2:8" x14ac:dyDescent="0.25">
      <c r="B74" s="4">
        <v>3</v>
      </c>
      <c r="C74" t="s">
        <v>294</v>
      </c>
      <c r="D74" t="s">
        <v>628</v>
      </c>
      <c r="E74" t="s">
        <v>602</v>
      </c>
      <c r="F74" t="s">
        <v>13</v>
      </c>
      <c r="G74" t="s">
        <v>14</v>
      </c>
      <c r="H74">
        <v>2</v>
      </c>
    </row>
    <row r="75" spans="2:8" x14ac:dyDescent="0.25">
      <c r="B75" s="4">
        <v>3</v>
      </c>
      <c r="C75" t="s">
        <v>294</v>
      </c>
      <c r="D75" t="s">
        <v>628</v>
      </c>
      <c r="E75" t="s">
        <v>602</v>
      </c>
      <c r="F75" t="s">
        <v>15</v>
      </c>
      <c r="G75" t="s">
        <v>16</v>
      </c>
      <c r="H75">
        <v>2</v>
      </c>
    </row>
    <row r="76" spans="2:8" x14ac:dyDescent="0.25">
      <c r="B76" s="4">
        <v>3</v>
      </c>
      <c r="C76" t="s">
        <v>294</v>
      </c>
      <c r="D76" t="s">
        <v>629</v>
      </c>
      <c r="E76" t="s">
        <v>630</v>
      </c>
      <c r="F76" t="s">
        <v>103</v>
      </c>
      <c r="G76" t="s">
        <v>104</v>
      </c>
      <c r="H76">
        <v>1</v>
      </c>
    </row>
    <row r="77" spans="2:8" x14ac:dyDescent="0.25">
      <c r="B77" s="4">
        <v>3</v>
      </c>
      <c r="C77" t="s">
        <v>294</v>
      </c>
      <c r="D77" t="s">
        <v>631</v>
      </c>
      <c r="E77" t="s">
        <v>632</v>
      </c>
      <c r="F77" t="s">
        <v>103</v>
      </c>
      <c r="G77" t="s">
        <v>104</v>
      </c>
      <c r="H77">
        <v>1</v>
      </c>
    </row>
    <row r="78" spans="2:8" x14ac:dyDescent="0.25">
      <c r="B78" s="4">
        <v>3</v>
      </c>
      <c r="C78" t="s">
        <v>294</v>
      </c>
      <c r="D78" t="s">
        <v>633</v>
      </c>
      <c r="E78" t="s">
        <v>634</v>
      </c>
      <c r="F78" t="s">
        <v>23</v>
      </c>
      <c r="G78" t="s">
        <v>24</v>
      </c>
      <c r="H78">
        <v>2</v>
      </c>
    </row>
    <row r="79" spans="2:8" x14ac:dyDescent="0.25">
      <c r="B79" s="4">
        <v>3</v>
      </c>
      <c r="C79" t="s">
        <v>294</v>
      </c>
      <c r="D79" t="s">
        <v>635</v>
      </c>
      <c r="E79" t="s">
        <v>182</v>
      </c>
      <c r="F79" t="s">
        <v>13</v>
      </c>
      <c r="G79" t="s">
        <v>14</v>
      </c>
      <c r="H79">
        <v>2</v>
      </c>
    </row>
    <row r="80" spans="2:8" x14ac:dyDescent="0.25">
      <c r="B80" s="4">
        <v>3</v>
      </c>
      <c r="C80" t="s">
        <v>294</v>
      </c>
      <c r="D80" t="s">
        <v>635</v>
      </c>
      <c r="E80" t="s">
        <v>182</v>
      </c>
      <c r="F80" t="s">
        <v>15</v>
      </c>
      <c r="G80" t="s">
        <v>16</v>
      </c>
      <c r="H80">
        <v>2</v>
      </c>
    </row>
    <row r="81" spans="2:8" x14ac:dyDescent="0.25">
      <c r="B81" s="4">
        <v>3</v>
      </c>
      <c r="C81" t="s">
        <v>294</v>
      </c>
      <c r="D81" t="s">
        <v>636</v>
      </c>
      <c r="E81" t="s">
        <v>637</v>
      </c>
      <c r="F81">
        <v>201008</v>
      </c>
      <c r="G81" t="s">
        <v>29</v>
      </c>
      <c r="H81">
        <v>1</v>
      </c>
    </row>
    <row r="82" spans="2:8" x14ac:dyDescent="0.25">
      <c r="B82" s="4">
        <v>3</v>
      </c>
      <c r="C82" t="s">
        <v>294</v>
      </c>
      <c r="D82" t="s">
        <v>636</v>
      </c>
      <c r="E82" t="s">
        <v>637</v>
      </c>
      <c r="F82" t="s">
        <v>13</v>
      </c>
      <c r="G82" t="s">
        <v>14</v>
      </c>
      <c r="H82">
        <v>1</v>
      </c>
    </row>
    <row r="83" spans="2:8" x14ac:dyDescent="0.25">
      <c r="B83" s="4">
        <v>3</v>
      </c>
      <c r="C83" t="s">
        <v>294</v>
      </c>
      <c r="D83" t="s">
        <v>636</v>
      </c>
      <c r="E83" t="s">
        <v>637</v>
      </c>
      <c r="F83" t="s">
        <v>15</v>
      </c>
      <c r="G83" t="s">
        <v>16</v>
      </c>
      <c r="H83">
        <v>1</v>
      </c>
    </row>
    <row r="84" spans="2:8" x14ac:dyDescent="0.25">
      <c r="B84" s="4">
        <v>3</v>
      </c>
      <c r="C84" t="s">
        <v>294</v>
      </c>
      <c r="D84" t="s">
        <v>638</v>
      </c>
      <c r="E84" t="s">
        <v>639</v>
      </c>
      <c r="F84" t="s">
        <v>13</v>
      </c>
      <c r="G84" t="s">
        <v>14</v>
      </c>
      <c r="H84">
        <v>1</v>
      </c>
    </row>
    <row r="85" spans="2:8" x14ac:dyDescent="0.25">
      <c r="B85" s="4">
        <v>3</v>
      </c>
      <c r="C85" t="s">
        <v>294</v>
      </c>
      <c r="D85" t="s">
        <v>638</v>
      </c>
      <c r="E85" t="s">
        <v>639</v>
      </c>
      <c r="F85" t="s">
        <v>15</v>
      </c>
      <c r="G85" t="s">
        <v>16</v>
      </c>
      <c r="H85">
        <v>1</v>
      </c>
    </row>
    <row r="86" spans="2:8" x14ac:dyDescent="0.25">
      <c r="B86" s="4">
        <v>3</v>
      </c>
      <c r="C86" t="s">
        <v>294</v>
      </c>
      <c r="D86" t="s">
        <v>640</v>
      </c>
      <c r="E86" t="s">
        <v>415</v>
      </c>
      <c r="F86" t="s">
        <v>13</v>
      </c>
      <c r="G86" t="s">
        <v>14</v>
      </c>
      <c r="H86">
        <v>1</v>
      </c>
    </row>
    <row r="87" spans="2:8" x14ac:dyDescent="0.25">
      <c r="B87" s="4">
        <v>3</v>
      </c>
      <c r="C87" t="s">
        <v>294</v>
      </c>
      <c r="D87" t="s">
        <v>640</v>
      </c>
      <c r="E87" t="s">
        <v>415</v>
      </c>
      <c r="F87" t="s">
        <v>15</v>
      </c>
      <c r="G87" t="s">
        <v>16</v>
      </c>
      <c r="H87">
        <v>1</v>
      </c>
    </row>
    <row r="88" spans="2:8" x14ac:dyDescent="0.25">
      <c r="B88" s="4">
        <v>3</v>
      </c>
      <c r="C88" t="s">
        <v>294</v>
      </c>
      <c r="D88" t="s">
        <v>641</v>
      </c>
      <c r="E88" t="s">
        <v>642</v>
      </c>
      <c r="F88">
        <v>201008</v>
      </c>
      <c r="G88" t="s">
        <v>29</v>
      </c>
      <c r="H88">
        <v>1</v>
      </c>
    </row>
    <row r="89" spans="2:8" x14ac:dyDescent="0.25">
      <c r="B89" s="4">
        <v>3</v>
      </c>
      <c r="C89" t="s">
        <v>294</v>
      </c>
      <c r="D89" t="s">
        <v>641</v>
      </c>
      <c r="E89" t="s">
        <v>642</v>
      </c>
      <c r="F89" t="s">
        <v>13</v>
      </c>
      <c r="G89" t="s">
        <v>14</v>
      </c>
      <c r="H89">
        <v>1</v>
      </c>
    </row>
    <row r="90" spans="2:8" x14ac:dyDescent="0.25">
      <c r="B90" s="4">
        <v>3</v>
      </c>
      <c r="C90" t="s">
        <v>294</v>
      </c>
      <c r="D90" t="s">
        <v>641</v>
      </c>
      <c r="E90" t="s">
        <v>642</v>
      </c>
      <c r="F90" t="s">
        <v>15</v>
      </c>
      <c r="G90" t="s">
        <v>16</v>
      </c>
      <c r="H90">
        <v>1</v>
      </c>
    </row>
    <row r="91" spans="2:8" x14ac:dyDescent="0.25">
      <c r="B91" s="4">
        <v>3</v>
      </c>
      <c r="C91" t="s">
        <v>294</v>
      </c>
      <c r="D91" t="s">
        <v>643</v>
      </c>
      <c r="E91" t="s">
        <v>644</v>
      </c>
      <c r="F91" t="s">
        <v>13</v>
      </c>
      <c r="G91" t="s">
        <v>14</v>
      </c>
      <c r="H91">
        <v>2</v>
      </c>
    </row>
    <row r="92" spans="2:8" x14ac:dyDescent="0.25">
      <c r="B92" s="4">
        <v>3</v>
      </c>
      <c r="C92" t="s">
        <v>294</v>
      </c>
      <c r="D92" t="s">
        <v>643</v>
      </c>
      <c r="E92" t="s">
        <v>644</v>
      </c>
      <c r="F92" t="s">
        <v>15</v>
      </c>
      <c r="G92" t="s">
        <v>16</v>
      </c>
      <c r="H92">
        <v>2</v>
      </c>
    </row>
    <row r="93" spans="2:8" x14ac:dyDescent="0.25">
      <c r="B93" s="4">
        <v>3</v>
      </c>
      <c r="C93" t="s">
        <v>294</v>
      </c>
      <c r="D93" t="s">
        <v>645</v>
      </c>
      <c r="E93" t="s">
        <v>646</v>
      </c>
      <c r="F93" t="s">
        <v>23</v>
      </c>
      <c r="G93" t="s">
        <v>24</v>
      </c>
      <c r="H93">
        <v>6</v>
      </c>
    </row>
    <row r="94" spans="2:8" x14ac:dyDescent="0.25">
      <c r="B94" s="4">
        <v>3</v>
      </c>
      <c r="C94" t="s">
        <v>294</v>
      </c>
      <c r="D94" t="s">
        <v>645</v>
      </c>
      <c r="E94" t="s">
        <v>646</v>
      </c>
      <c r="F94" t="s">
        <v>15</v>
      </c>
      <c r="G94" t="s">
        <v>16</v>
      </c>
      <c r="H94">
        <v>4</v>
      </c>
    </row>
    <row r="95" spans="2:8" x14ac:dyDescent="0.25">
      <c r="B95" s="4">
        <v>3</v>
      </c>
      <c r="C95" t="s">
        <v>294</v>
      </c>
      <c r="D95" t="s">
        <v>647</v>
      </c>
      <c r="E95" t="s">
        <v>648</v>
      </c>
      <c r="F95" t="s">
        <v>13</v>
      </c>
      <c r="G95" t="s">
        <v>14</v>
      </c>
      <c r="H95">
        <v>1</v>
      </c>
    </row>
    <row r="96" spans="2:8" x14ac:dyDescent="0.25">
      <c r="B96" s="4">
        <v>3</v>
      </c>
      <c r="C96" t="s">
        <v>294</v>
      </c>
      <c r="D96" t="s">
        <v>647</v>
      </c>
      <c r="E96" t="s">
        <v>648</v>
      </c>
      <c r="F96" t="s">
        <v>15</v>
      </c>
      <c r="G96" t="s">
        <v>16</v>
      </c>
      <c r="H96">
        <v>1</v>
      </c>
    </row>
    <row r="97" spans="2:8" x14ac:dyDescent="0.25">
      <c r="B97" s="4">
        <v>3</v>
      </c>
      <c r="C97" t="s">
        <v>294</v>
      </c>
      <c r="D97" t="s">
        <v>649</v>
      </c>
      <c r="E97" t="s">
        <v>650</v>
      </c>
      <c r="F97" t="s">
        <v>13</v>
      </c>
      <c r="G97" t="s">
        <v>14</v>
      </c>
      <c r="H97">
        <v>1</v>
      </c>
    </row>
    <row r="98" spans="2:8" x14ac:dyDescent="0.25">
      <c r="B98" s="4">
        <v>3</v>
      </c>
      <c r="C98" t="s">
        <v>294</v>
      </c>
      <c r="D98" t="s">
        <v>649</v>
      </c>
      <c r="E98" t="s">
        <v>650</v>
      </c>
      <c r="F98" t="s">
        <v>15</v>
      </c>
      <c r="G98" t="s">
        <v>16</v>
      </c>
      <c r="H98">
        <v>1</v>
      </c>
    </row>
    <row r="99" spans="2:8" x14ac:dyDescent="0.25">
      <c r="B99" s="4">
        <v>3</v>
      </c>
      <c r="C99" t="s">
        <v>294</v>
      </c>
      <c r="D99" t="s">
        <v>651</v>
      </c>
      <c r="E99" t="s">
        <v>652</v>
      </c>
      <c r="F99" t="s">
        <v>13</v>
      </c>
      <c r="G99" t="s">
        <v>14</v>
      </c>
      <c r="H99">
        <v>1</v>
      </c>
    </row>
    <row r="100" spans="2:8" x14ac:dyDescent="0.25">
      <c r="B100" s="4">
        <v>3</v>
      </c>
      <c r="C100" t="s">
        <v>294</v>
      </c>
      <c r="D100" t="s">
        <v>651</v>
      </c>
      <c r="E100" t="s">
        <v>652</v>
      </c>
      <c r="F100" t="s">
        <v>15</v>
      </c>
      <c r="G100" t="s">
        <v>16</v>
      </c>
      <c r="H100">
        <v>1</v>
      </c>
    </row>
    <row r="101" spans="2:8" x14ac:dyDescent="0.25">
      <c r="B101" s="4">
        <v>3</v>
      </c>
      <c r="C101" t="s">
        <v>294</v>
      </c>
      <c r="D101" t="s">
        <v>653</v>
      </c>
      <c r="E101" t="s">
        <v>654</v>
      </c>
      <c r="F101" t="s">
        <v>15</v>
      </c>
      <c r="G101" t="s">
        <v>16</v>
      </c>
      <c r="H101">
        <v>1</v>
      </c>
    </row>
    <row r="102" spans="2:8" x14ac:dyDescent="0.25">
      <c r="B102" s="4">
        <v>3</v>
      </c>
      <c r="C102" t="s">
        <v>294</v>
      </c>
      <c r="D102" t="s">
        <v>656</v>
      </c>
      <c r="E102" t="s">
        <v>657</v>
      </c>
      <c r="F102" t="s">
        <v>13</v>
      </c>
      <c r="G102" t="s">
        <v>14</v>
      </c>
      <c r="H102">
        <v>2</v>
      </c>
    </row>
    <row r="103" spans="2:8" x14ac:dyDescent="0.25">
      <c r="B103" s="4">
        <v>3</v>
      </c>
      <c r="C103" t="s">
        <v>294</v>
      </c>
      <c r="D103" t="s">
        <v>656</v>
      </c>
      <c r="E103" t="s">
        <v>657</v>
      </c>
      <c r="F103" t="s">
        <v>15</v>
      </c>
      <c r="G103" t="s">
        <v>16</v>
      </c>
      <c r="H103">
        <v>2</v>
      </c>
    </row>
    <row r="104" spans="2:8" x14ac:dyDescent="0.25">
      <c r="B104" s="4">
        <v>3</v>
      </c>
      <c r="C104" t="s">
        <v>294</v>
      </c>
      <c r="D104" t="s">
        <v>658</v>
      </c>
      <c r="E104" t="s">
        <v>659</v>
      </c>
      <c r="F104" t="s">
        <v>13</v>
      </c>
      <c r="G104" t="s">
        <v>14</v>
      </c>
      <c r="H104">
        <v>2</v>
      </c>
    </row>
    <row r="105" spans="2:8" x14ac:dyDescent="0.25">
      <c r="B105" s="4">
        <v>3</v>
      </c>
      <c r="C105" t="s">
        <v>294</v>
      </c>
      <c r="D105" t="s">
        <v>658</v>
      </c>
      <c r="E105" t="s">
        <v>659</v>
      </c>
      <c r="F105" t="s">
        <v>15</v>
      </c>
      <c r="G105" t="s">
        <v>16</v>
      </c>
      <c r="H105">
        <v>2</v>
      </c>
    </row>
    <row r="106" spans="2:8" x14ac:dyDescent="0.25">
      <c r="B106" s="4">
        <v>3</v>
      </c>
      <c r="C106" t="s">
        <v>294</v>
      </c>
      <c r="D106" t="s">
        <v>660</v>
      </c>
      <c r="E106" t="s">
        <v>182</v>
      </c>
      <c r="F106" t="s">
        <v>13</v>
      </c>
      <c r="G106" t="s">
        <v>14</v>
      </c>
      <c r="H106">
        <v>1</v>
      </c>
    </row>
    <row r="107" spans="2:8" x14ac:dyDescent="0.25">
      <c r="B107" s="4">
        <v>3</v>
      </c>
      <c r="C107" t="s">
        <v>294</v>
      </c>
      <c r="D107" t="s">
        <v>660</v>
      </c>
      <c r="E107" t="s">
        <v>182</v>
      </c>
      <c r="F107" t="s">
        <v>15</v>
      </c>
      <c r="G107" t="s">
        <v>16</v>
      </c>
      <c r="H107">
        <v>1</v>
      </c>
    </row>
    <row r="108" spans="2:8" x14ac:dyDescent="0.25">
      <c r="B108" s="4">
        <v>3</v>
      </c>
      <c r="C108" t="s">
        <v>294</v>
      </c>
      <c r="D108" t="s">
        <v>661</v>
      </c>
      <c r="E108" t="s">
        <v>662</v>
      </c>
      <c r="F108">
        <v>201008</v>
      </c>
      <c r="G108" t="s">
        <v>29</v>
      </c>
      <c r="H108">
        <v>1</v>
      </c>
    </row>
    <row r="109" spans="2:8" x14ac:dyDescent="0.25">
      <c r="B109" s="4">
        <v>3</v>
      </c>
      <c r="C109" t="s">
        <v>294</v>
      </c>
      <c r="D109" t="s">
        <v>661</v>
      </c>
      <c r="E109" t="s">
        <v>662</v>
      </c>
      <c r="F109" t="s">
        <v>13</v>
      </c>
      <c r="G109" t="s">
        <v>14</v>
      </c>
      <c r="H109">
        <v>1</v>
      </c>
    </row>
    <row r="110" spans="2:8" x14ac:dyDescent="0.25">
      <c r="B110" s="4">
        <v>3</v>
      </c>
      <c r="C110" t="s">
        <v>294</v>
      </c>
      <c r="D110" t="s">
        <v>661</v>
      </c>
      <c r="E110" t="s">
        <v>662</v>
      </c>
      <c r="F110" t="s">
        <v>15</v>
      </c>
      <c r="G110" t="s">
        <v>16</v>
      </c>
      <c r="H110">
        <v>1</v>
      </c>
    </row>
    <row r="111" spans="2:8" x14ac:dyDescent="0.25">
      <c r="B111" s="4">
        <v>3</v>
      </c>
      <c r="C111" t="s">
        <v>294</v>
      </c>
      <c r="D111" t="s">
        <v>663</v>
      </c>
      <c r="E111" t="s">
        <v>415</v>
      </c>
      <c r="F111" t="s">
        <v>13</v>
      </c>
      <c r="G111" t="s">
        <v>14</v>
      </c>
      <c r="H111">
        <v>1</v>
      </c>
    </row>
    <row r="112" spans="2:8" x14ac:dyDescent="0.25">
      <c r="B112" s="4">
        <v>3</v>
      </c>
      <c r="C112" t="s">
        <v>294</v>
      </c>
      <c r="D112" t="s">
        <v>663</v>
      </c>
      <c r="E112" t="s">
        <v>415</v>
      </c>
      <c r="F112" t="s">
        <v>15</v>
      </c>
      <c r="G112" t="s">
        <v>16</v>
      </c>
      <c r="H112">
        <v>1</v>
      </c>
    </row>
    <row r="113" spans="2:8" x14ac:dyDescent="0.25">
      <c r="B113" s="4">
        <v>3</v>
      </c>
      <c r="C113" t="s">
        <v>294</v>
      </c>
      <c r="D113" t="s">
        <v>664</v>
      </c>
      <c r="E113" t="s">
        <v>665</v>
      </c>
      <c r="F113" t="s">
        <v>13</v>
      </c>
      <c r="G113" t="s">
        <v>14</v>
      </c>
      <c r="H113">
        <v>1</v>
      </c>
    </row>
    <row r="114" spans="2:8" x14ac:dyDescent="0.25">
      <c r="B114" s="4">
        <v>3</v>
      </c>
      <c r="C114" t="s">
        <v>294</v>
      </c>
      <c r="D114" t="s">
        <v>664</v>
      </c>
      <c r="E114" t="s">
        <v>665</v>
      </c>
      <c r="F114" t="s">
        <v>15</v>
      </c>
      <c r="G114" t="s">
        <v>16</v>
      </c>
      <c r="H114">
        <v>1</v>
      </c>
    </row>
    <row r="115" spans="2:8" x14ac:dyDescent="0.25">
      <c r="B115" s="4">
        <v>3</v>
      </c>
      <c r="C115" t="s">
        <v>294</v>
      </c>
      <c r="D115" t="s">
        <v>666</v>
      </c>
      <c r="E115" t="s">
        <v>667</v>
      </c>
      <c r="F115" t="s">
        <v>13</v>
      </c>
      <c r="G115" t="s">
        <v>14</v>
      </c>
      <c r="H115">
        <v>5</v>
      </c>
    </row>
    <row r="116" spans="2:8" x14ac:dyDescent="0.25">
      <c r="B116" s="4">
        <v>3</v>
      </c>
      <c r="C116" t="s">
        <v>294</v>
      </c>
      <c r="D116" t="s">
        <v>666</v>
      </c>
      <c r="E116" t="s">
        <v>667</v>
      </c>
      <c r="F116" t="s">
        <v>15</v>
      </c>
      <c r="G116" t="s">
        <v>16</v>
      </c>
      <c r="H116">
        <v>5</v>
      </c>
    </row>
    <row r="117" spans="2:8" x14ac:dyDescent="0.25">
      <c r="B117" s="4">
        <v>3</v>
      </c>
      <c r="C117" t="s">
        <v>294</v>
      </c>
      <c r="D117" t="s">
        <v>668</v>
      </c>
      <c r="E117" t="s">
        <v>669</v>
      </c>
      <c r="F117" t="s">
        <v>13</v>
      </c>
      <c r="G117" t="s">
        <v>14</v>
      </c>
      <c r="H117">
        <v>2</v>
      </c>
    </row>
    <row r="118" spans="2:8" x14ac:dyDescent="0.25">
      <c r="B118" s="4">
        <v>3</v>
      </c>
      <c r="C118" t="s">
        <v>294</v>
      </c>
      <c r="D118" t="s">
        <v>668</v>
      </c>
      <c r="E118" t="s">
        <v>669</v>
      </c>
      <c r="F118" t="s">
        <v>15</v>
      </c>
      <c r="G118" t="s">
        <v>16</v>
      </c>
      <c r="H118">
        <v>2</v>
      </c>
    </row>
    <row r="119" spans="2:8" x14ac:dyDescent="0.25">
      <c r="B119" s="4">
        <v>3</v>
      </c>
      <c r="C119" t="s">
        <v>294</v>
      </c>
      <c r="D119" t="s">
        <v>670</v>
      </c>
      <c r="E119" t="s">
        <v>671</v>
      </c>
      <c r="F119" t="s">
        <v>13</v>
      </c>
      <c r="G119" t="s">
        <v>14</v>
      </c>
      <c r="H119">
        <v>1</v>
      </c>
    </row>
    <row r="120" spans="2:8" x14ac:dyDescent="0.25">
      <c r="B120" s="4">
        <v>3</v>
      </c>
      <c r="C120" t="s">
        <v>294</v>
      </c>
      <c r="D120" t="s">
        <v>670</v>
      </c>
      <c r="E120" t="s">
        <v>671</v>
      </c>
      <c r="F120" t="s">
        <v>15</v>
      </c>
      <c r="G120" t="s">
        <v>16</v>
      </c>
      <c r="H120">
        <v>1</v>
      </c>
    </row>
    <row r="121" spans="2:8" x14ac:dyDescent="0.25">
      <c r="B121" s="4">
        <v>3</v>
      </c>
      <c r="C121" t="s">
        <v>294</v>
      </c>
      <c r="D121" t="s">
        <v>672</v>
      </c>
      <c r="E121" t="s">
        <v>673</v>
      </c>
      <c r="F121" t="s">
        <v>13</v>
      </c>
      <c r="G121" t="s">
        <v>14</v>
      </c>
      <c r="H121">
        <v>1</v>
      </c>
    </row>
    <row r="122" spans="2:8" x14ac:dyDescent="0.25">
      <c r="B122" s="4">
        <v>3</v>
      </c>
      <c r="C122" t="s">
        <v>294</v>
      </c>
      <c r="D122" t="s">
        <v>672</v>
      </c>
      <c r="E122" t="s">
        <v>673</v>
      </c>
      <c r="F122" t="s">
        <v>15</v>
      </c>
      <c r="G122" t="s">
        <v>16</v>
      </c>
      <c r="H122">
        <v>1</v>
      </c>
    </row>
    <row r="123" spans="2:8" x14ac:dyDescent="0.25">
      <c r="B123" s="4">
        <v>3</v>
      </c>
      <c r="C123" t="s">
        <v>294</v>
      </c>
      <c r="D123" t="s">
        <v>674</v>
      </c>
      <c r="E123" t="s">
        <v>415</v>
      </c>
      <c r="F123" t="s">
        <v>13</v>
      </c>
      <c r="G123" t="s">
        <v>14</v>
      </c>
      <c r="H123">
        <v>1</v>
      </c>
    </row>
    <row r="124" spans="2:8" x14ac:dyDescent="0.25">
      <c r="B124" s="4">
        <v>3</v>
      </c>
      <c r="C124" t="s">
        <v>294</v>
      </c>
      <c r="D124" t="s">
        <v>674</v>
      </c>
      <c r="E124" t="s">
        <v>415</v>
      </c>
      <c r="F124" t="s">
        <v>15</v>
      </c>
      <c r="G124" t="s">
        <v>16</v>
      </c>
      <c r="H124">
        <v>1</v>
      </c>
    </row>
    <row r="125" spans="2:8" x14ac:dyDescent="0.25">
      <c r="B125" s="4">
        <v>3</v>
      </c>
      <c r="C125" t="s">
        <v>294</v>
      </c>
      <c r="D125" t="s">
        <v>675</v>
      </c>
      <c r="E125" t="s">
        <v>676</v>
      </c>
      <c r="F125" t="s">
        <v>13</v>
      </c>
      <c r="G125" t="s">
        <v>14</v>
      </c>
      <c r="H125">
        <v>1</v>
      </c>
    </row>
    <row r="126" spans="2:8" x14ac:dyDescent="0.25">
      <c r="B126" s="4">
        <v>3</v>
      </c>
      <c r="C126" t="s">
        <v>294</v>
      </c>
      <c r="D126" t="s">
        <v>675</v>
      </c>
      <c r="E126" t="s">
        <v>676</v>
      </c>
      <c r="F126" t="s">
        <v>15</v>
      </c>
      <c r="G126" t="s">
        <v>16</v>
      </c>
      <c r="H126">
        <v>1</v>
      </c>
    </row>
    <row r="127" spans="2:8" x14ac:dyDescent="0.25">
      <c r="B127" s="4">
        <v>3</v>
      </c>
      <c r="C127" t="s">
        <v>294</v>
      </c>
      <c r="D127" t="s">
        <v>677</v>
      </c>
      <c r="E127" t="s">
        <v>678</v>
      </c>
      <c r="F127">
        <v>201010</v>
      </c>
      <c r="G127" t="s">
        <v>44</v>
      </c>
      <c r="H127">
        <v>1</v>
      </c>
    </row>
    <row r="128" spans="2:8" x14ac:dyDescent="0.25">
      <c r="B128" s="4">
        <v>3</v>
      </c>
      <c r="C128" t="s">
        <v>294</v>
      </c>
      <c r="D128" t="s">
        <v>679</v>
      </c>
      <c r="E128" t="s">
        <v>680</v>
      </c>
      <c r="F128" t="s">
        <v>23</v>
      </c>
      <c r="G128" t="s">
        <v>24</v>
      </c>
      <c r="H128">
        <v>1</v>
      </c>
    </row>
    <row r="129" spans="2:8" x14ac:dyDescent="0.25">
      <c r="B129" s="4">
        <v>3</v>
      </c>
      <c r="C129" t="s">
        <v>294</v>
      </c>
      <c r="D129" t="s">
        <v>681</v>
      </c>
      <c r="E129" t="s">
        <v>254</v>
      </c>
      <c r="F129">
        <v>201010</v>
      </c>
      <c r="G129" t="s">
        <v>44</v>
      </c>
      <c r="H129">
        <v>1</v>
      </c>
    </row>
    <row r="130" spans="2:8" x14ac:dyDescent="0.25">
      <c r="B130" s="4">
        <v>3</v>
      </c>
      <c r="C130" t="s">
        <v>682</v>
      </c>
      <c r="D130" t="s">
        <v>685</v>
      </c>
      <c r="E130" t="s">
        <v>683</v>
      </c>
      <c r="F130">
        <v>201010</v>
      </c>
      <c r="G130" t="s">
        <v>44</v>
      </c>
      <c r="H130">
        <v>1</v>
      </c>
    </row>
    <row r="131" spans="2:8" x14ac:dyDescent="0.25">
      <c r="B131" s="4">
        <v>3</v>
      </c>
      <c r="C131" t="s">
        <v>682</v>
      </c>
      <c r="D131" t="s">
        <v>686</v>
      </c>
      <c r="E131" t="s">
        <v>687</v>
      </c>
      <c r="F131" t="s">
        <v>23</v>
      </c>
      <c r="G131" t="s">
        <v>24</v>
      </c>
      <c r="H131">
        <v>2</v>
      </c>
    </row>
    <row r="132" spans="2:8" x14ac:dyDescent="0.25">
      <c r="B132" s="4">
        <v>3</v>
      </c>
      <c r="C132" t="s">
        <v>682</v>
      </c>
      <c r="D132" t="s">
        <v>688</v>
      </c>
      <c r="E132" t="s">
        <v>689</v>
      </c>
      <c r="F132" t="s">
        <v>23</v>
      </c>
      <c r="G132" t="s">
        <v>24</v>
      </c>
      <c r="H132">
        <v>1</v>
      </c>
    </row>
    <row r="133" spans="2:8" x14ac:dyDescent="0.25">
      <c r="B133" s="4">
        <v>3</v>
      </c>
      <c r="C133" t="s">
        <v>690</v>
      </c>
      <c r="D133" t="s">
        <v>691</v>
      </c>
      <c r="E133" t="s">
        <v>692</v>
      </c>
      <c r="F133" t="s">
        <v>13</v>
      </c>
      <c r="G133" t="s">
        <v>14</v>
      </c>
      <c r="H133">
        <v>1</v>
      </c>
    </row>
    <row r="134" spans="2:8" x14ac:dyDescent="0.25">
      <c r="B134" s="4">
        <v>3</v>
      </c>
      <c r="C134" t="s">
        <v>690</v>
      </c>
      <c r="D134" t="s">
        <v>691</v>
      </c>
      <c r="E134" t="s">
        <v>692</v>
      </c>
      <c r="F134" t="s">
        <v>15</v>
      </c>
      <c r="G134" t="s">
        <v>16</v>
      </c>
      <c r="H134">
        <v>1</v>
      </c>
    </row>
    <row r="135" spans="2:8" x14ac:dyDescent="0.25">
      <c r="B135" s="4">
        <v>3</v>
      </c>
      <c r="C135" t="s">
        <v>690</v>
      </c>
      <c r="D135" t="s">
        <v>693</v>
      </c>
      <c r="E135" t="s">
        <v>146</v>
      </c>
      <c r="F135" t="s">
        <v>13</v>
      </c>
      <c r="G135" t="s">
        <v>14</v>
      </c>
      <c r="H135">
        <v>1</v>
      </c>
    </row>
    <row r="136" spans="2:8" x14ac:dyDescent="0.25">
      <c r="B136" s="4">
        <v>3</v>
      </c>
      <c r="C136" t="s">
        <v>690</v>
      </c>
      <c r="D136" t="s">
        <v>693</v>
      </c>
      <c r="E136" t="s">
        <v>146</v>
      </c>
      <c r="F136" t="s">
        <v>15</v>
      </c>
      <c r="G136" t="s">
        <v>16</v>
      </c>
      <c r="H136">
        <v>1</v>
      </c>
    </row>
    <row r="137" spans="2:8" x14ac:dyDescent="0.25">
      <c r="B137" s="4">
        <v>3</v>
      </c>
      <c r="C137" t="s">
        <v>690</v>
      </c>
      <c r="D137" t="s">
        <v>695</v>
      </c>
      <c r="E137" t="s">
        <v>91</v>
      </c>
      <c r="F137" t="s">
        <v>118</v>
      </c>
      <c r="G137" t="s">
        <v>119</v>
      </c>
      <c r="H137">
        <v>1</v>
      </c>
    </row>
    <row r="138" spans="2:8" x14ac:dyDescent="0.25">
      <c r="B138" s="4">
        <v>3</v>
      </c>
      <c r="C138" t="s">
        <v>696</v>
      </c>
      <c r="D138" t="s">
        <v>697</v>
      </c>
      <c r="E138" t="s">
        <v>182</v>
      </c>
      <c r="F138" t="s">
        <v>13</v>
      </c>
      <c r="G138" t="s">
        <v>14</v>
      </c>
      <c r="H138">
        <v>1</v>
      </c>
    </row>
    <row r="139" spans="2:8" x14ac:dyDescent="0.25">
      <c r="B139" s="4">
        <v>3</v>
      </c>
      <c r="C139" t="s">
        <v>696</v>
      </c>
      <c r="D139" t="s">
        <v>697</v>
      </c>
      <c r="E139" t="s">
        <v>182</v>
      </c>
      <c r="F139" t="s">
        <v>15</v>
      </c>
      <c r="G139" t="s">
        <v>16</v>
      </c>
      <c r="H139">
        <v>1</v>
      </c>
    </row>
    <row r="140" spans="2:8" x14ac:dyDescent="0.25">
      <c r="B140" s="4">
        <v>3</v>
      </c>
      <c r="C140" t="s">
        <v>696</v>
      </c>
      <c r="D140" t="s">
        <v>698</v>
      </c>
      <c r="E140" t="s">
        <v>699</v>
      </c>
      <c r="F140">
        <v>201008</v>
      </c>
      <c r="G140" t="s">
        <v>29</v>
      </c>
      <c r="H140">
        <v>1</v>
      </c>
    </row>
    <row r="141" spans="2:8" x14ac:dyDescent="0.25">
      <c r="B141" s="4">
        <v>3</v>
      </c>
      <c r="C141" t="s">
        <v>696</v>
      </c>
      <c r="D141" t="s">
        <v>698</v>
      </c>
      <c r="E141" t="s">
        <v>699</v>
      </c>
      <c r="F141" t="s">
        <v>13</v>
      </c>
      <c r="G141" t="s">
        <v>14</v>
      </c>
      <c r="H141">
        <v>1</v>
      </c>
    </row>
    <row r="142" spans="2:8" x14ac:dyDescent="0.25">
      <c r="B142" s="4">
        <v>3</v>
      </c>
      <c r="C142" t="s">
        <v>696</v>
      </c>
      <c r="D142" t="s">
        <v>698</v>
      </c>
      <c r="E142" t="s">
        <v>699</v>
      </c>
      <c r="F142" t="s">
        <v>15</v>
      </c>
      <c r="G142" t="s">
        <v>16</v>
      </c>
      <c r="H142">
        <v>1</v>
      </c>
    </row>
    <row r="143" spans="2:8" x14ac:dyDescent="0.25">
      <c r="B143" s="4">
        <v>3</v>
      </c>
      <c r="C143" t="s">
        <v>696</v>
      </c>
      <c r="D143" t="s">
        <v>700</v>
      </c>
      <c r="E143" t="s">
        <v>701</v>
      </c>
      <c r="F143" t="s">
        <v>13</v>
      </c>
      <c r="G143" t="s">
        <v>14</v>
      </c>
      <c r="H143">
        <v>1</v>
      </c>
    </row>
    <row r="144" spans="2:8" x14ac:dyDescent="0.25">
      <c r="B144" s="4">
        <v>3</v>
      </c>
      <c r="C144" t="s">
        <v>696</v>
      </c>
      <c r="D144" t="s">
        <v>700</v>
      </c>
      <c r="E144" t="s">
        <v>701</v>
      </c>
      <c r="F144" t="s">
        <v>15</v>
      </c>
      <c r="G144" t="s">
        <v>16</v>
      </c>
      <c r="H144">
        <v>1</v>
      </c>
    </row>
    <row r="145" spans="2:8" x14ac:dyDescent="0.25">
      <c r="B145" s="4">
        <v>3</v>
      </c>
      <c r="C145" t="s">
        <v>696</v>
      </c>
      <c r="D145" t="s">
        <v>702</v>
      </c>
      <c r="E145" t="s">
        <v>703</v>
      </c>
      <c r="F145" t="s">
        <v>13</v>
      </c>
      <c r="G145" t="s">
        <v>14</v>
      </c>
      <c r="H145">
        <v>1</v>
      </c>
    </row>
    <row r="146" spans="2:8" x14ac:dyDescent="0.25">
      <c r="B146" s="4">
        <v>3</v>
      </c>
      <c r="C146" t="s">
        <v>696</v>
      </c>
      <c r="D146" t="s">
        <v>702</v>
      </c>
      <c r="E146" t="s">
        <v>703</v>
      </c>
      <c r="F146" t="s">
        <v>15</v>
      </c>
      <c r="G146" t="s">
        <v>16</v>
      </c>
      <c r="H146">
        <v>1</v>
      </c>
    </row>
    <row r="147" spans="2:8" x14ac:dyDescent="0.25">
      <c r="B147" s="4">
        <v>3</v>
      </c>
      <c r="C147" t="s">
        <v>696</v>
      </c>
      <c r="D147" t="s">
        <v>704</v>
      </c>
      <c r="E147" t="s">
        <v>182</v>
      </c>
      <c r="F147" t="s">
        <v>13</v>
      </c>
      <c r="G147" t="s">
        <v>14</v>
      </c>
      <c r="H147">
        <v>1</v>
      </c>
    </row>
    <row r="148" spans="2:8" x14ac:dyDescent="0.25">
      <c r="B148" s="4">
        <v>3</v>
      </c>
      <c r="C148" t="s">
        <v>696</v>
      </c>
      <c r="D148" t="s">
        <v>704</v>
      </c>
      <c r="E148" t="s">
        <v>182</v>
      </c>
      <c r="F148" t="s">
        <v>15</v>
      </c>
      <c r="G148" t="s">
        <v>16</v>
      </c>
      <c r="H148">
        <v>1</v>
      </c>
    </row>
    <row r="149" spans="2:8" x14ac:dyDescent="0.25">
      <c r="B149" s="4">
        <v>3</v>
      </c>
      <c r="C149" t="s">
        <v>696</v>
      </c>
      <c r="D149" t="s">
        <v>705</v>
      </c>
      <c r="E149" t="s">
        <v>706</v>
      </c>
      <c r="F149" t="s">
        <v>15</v>
      </c>
      <c r="G149" t="s">
        <v>16</v>
      </c>
      <c r="H149">
        <v>1</v>
      </c>
    </row>
    <row r="150" spans="2:8" x14ac:dyDescent="0.25">
      <c r="B150" s="4">
        <v>3</v>
      </c>
      <c r="C150" t="s">
        <v>696</v>
      </c>
      <c r="D150" t="s">
        <v>707</v>
      </c>
      <c r="E150" t="s">
        <v>621</v>
      </c>
      <c r="F150">
        <v>201009</v>
      </c>
      <c r="G150" t="s">
        <v>255</v>
      </c>
      <c r="H150">
        <v>1</v>
      </c>
    </row>
    <row r="151" spans="2:8" x14ac:dyDescent="0.25">
      <c r="B151" s="4">
        <v>3</v>
      </c>
      <c r="C151" t="s">
        <v>708</v>
      </c>
      <c r="D151" t="s">
        <v>709</v>
      </c>
      <c r="E151" t="s">
        <v>91</v>
      </c>
      <c r="F151" t="s">
        <v>49</v>
      </c>
      <c r="G151" t="s">
        <v>50</v>
      </c>
      <c r="H151">
        <v>1</v>
      </c>
    </row>
    <row r="152" spans="2:8" x14ac:dyDescent="0.25">
      <c r="B152" s="4">
        <v>3</v>
      </c>
      <c r="C152" t="s">
        <v>708</v>
      </c>
      <c r="D152" t="s">
        <v>710</v>
      </c>
      <c r="E152" t="s">
        <v>711</v>
      </c>
      <c r="F152">
        <v>201008</v>
      </c>
      <c r="G152" t="s">
        <v>29</v>
      </c>
      <c r="H152">
        <v>1</v>
      </c>
    </row>
    <row r="153" spans="2:8" x14ac:dyDescent="0.25">
      <c r="B153" s="4">
        <v>3</v>
      </c>
      <c r="C153" t="s">
        <v>708</v>
      </c>
      <c r="D153" t="s">
        <v>710</v>
      </c>
      <c r="E153" t="s">
        <v>711</v>
      </c>
      <c r="F153" t="s">
        <v>15</v>
      </c>
      <c r="G153" t="s">
        <v>16</v>
      </c>
      <c r="H153">
        <v>1</v>
      </c>
    </row>
    <row r="154" spans="2:8" x14ac:dyDescent="0.25">
      <c r="B154" s="4">
        <v>3</v>
      </c>
      <c r="C154" t="s">
        <v>708</v>
      </c>
      <c r="D154" t="s">
        <v>712</v>
      </c>
      <c r="E154" t="s">
        <v>713</v>
      </c>
      <c r="F154" t="s">
        <v>13</v>
      </c>
      <c r="G154" t="s">
        <v>14</v>
      </c>
      <c r="H154">
        <v>1</v>
      </c>
    </row>
    <row r="155" spans="2:8" x14ac:dyDescent="0.25">
      <c r="B155" s="4">
        <v>3</v>
      </c>
      <c r="C155" t="s">
        <v>708</v>
      </c>
      <c r="D155" t="s">
        <v>712</v>
      </c>
      <c r="E155" t="s">
        <v>713</v>
      </c>
      <c r="F155" t="s">
        <v>15</v>
      </c>
      <c r="G155" t="s">
        <v>16</v>
      </c>
      <c r="H155">
        <v>1</v>
      </c>
    </row>
    <row r="156" spans="2:8" x14ac:dyDescent="0.25">
      <c r="B156" s="4">
        <v>3</v>
      </c>
      <c r="C156" t="s">
        <v>708</v>
      </c>
      <c r="D156" t="s">
        <v>714</v>
      </c>
      <c r="E156" t="s">
        <v>715</v>
      </c>
      <c r="F156" t="s">
        <v>13</v>
      </c>
      <c r="G156" t="s">
        <v>14</v>
      </c>
      <c r="H156">
        <v>1</v>
      </c>
    </row>
    <row r="157" spans="2:8" x14ac:dyDescent="0.25">
      <c r="B157" s="4">
        <v>3</v>
      </c>
      <c r="C157" t="s">
        <v>708</v>
      </c>
      <c r="D157" t="s">
        <v>714</v>
      </c>
      <c r="E157" t="s">
        <v>715</v>
      </c>
      <c r="F157" t="s">
        <v>15</v>
      </c>
      <c r="G157" t="s">
        <v>16</v>
      </c>
      <c r="H157">
        <v>1</v>
      </c>
    </row>
    <row r="158" spans="2:8" x14ac:dyDescent="0.25">
      <c r="B158" s="4">
        <v>3</v>
      </c>
      <c r="C158" t="s">
        <v>708</v>
      </c>
      <c r="D158" t="s">
        <v>716</v>
      </c>
      <c r="E158" t="s">
        <v>717</v>
      </c>
      <c r="F158" t="s">
        <v>23</v>
      </c>
      <c r="G158" t="s">
        <v>24</v>
      </c>
      <c r="H158">
        <v>3</v>
      </c>
    </row>
    <row r="159" spans="2:8" x14ac:dyDescent="0.25">
      <c r="B159" s="4">
        <v>3</v>
      </c>
      <c r="C159" t="s">
        <v>708</v>
      </c>
      <c r="D159" t="s">
        <v>716</v>
      </c>
      <c r="E159" t="s">
        <v>717</v>
      </c>
      <c r="F159" t="s">
        <v>15</v>
      </c>
      <c r="G159" t="s">
        <v>16</v>
      </c>
      <c r="H159">
        <v>3</v>
      </c>
    </row>
    <row r="160" spans="2:8" x14ac:dyDescent="0.25">
      <c r="B160" s="4">
        <v>3</v>
      </c>
      <c r="C160" t="s">
        <v>708</v>
      </c>
      <c r="D160" t="s">
        <v>718</v>
      </c>
      <c r="E160" t="s">
        <v>719</v>
      </c>
      <c r="F160" t="s">
        <v>103</v>
      </c>
      <c r="G160" t="s">
        <v>104</v>
      </c>
      <c r="H160">
        <v>1</v>
      </c>
    </row>
    <row r="161" spans="2:8" x14ac:dyDescent="0.25">
      <c r="B161" s="4">
        <v>3</v>
      </c>
      <c r="C161" t="s">
        <v>708</v>
      </c>
      <c r="D161" t="s">
        <v>720</v>
      </c>
      <c r="E161" t="s">
        <v>91</v>
      </c>
      <c r="F161" t="s">
        <v>118</v>
      </c>
      <c r="G161" t="s">
        <v>119</v>
      </c>
      <c r="H161">
        <v>1</v>
      </c>
    </row>
    <row r="162" spans="2:8" x14ac:dyDescent="0.25">
      <c r="B162" s="4">
        <v>3</v>
      </c>
      <c r="C162" t="s">
        <v>708</v>
      </c>
      <c r="D162" t="s">
        <v>721</v>
      </c>
      <c r="E162" t="s">
        <v>722</v>
      </c>
      <c r="F162" t="s">
        <v>103</v>
      </c>
      <c r="G162" t="s">
        <v>104</v>
      </c>
      <c r="H162">
        <v>1</v>
      </c>
    </row>
    <row r="163" spans="2:8" x14ac:dyDescent="0.25">
      <c r="B163" s="4">
        <v>3</v>
      </c>
      <c r="C163" t="s">
        <v>723</v>
      </c>
      <c r="D163" t="s">
        <v>724</v>
      </c>
      <c r="E163" t="s">
        <v>91</v>
      </c>
      <c r="F163" t="s">
        <v>49</v>
      </c>
      <c r="G163" t="s">
        <v>50</v>
      </c>
      <c r="H163">
        <v>1</v>
      </c>
    </row>
    <row r="164" spans="2:8" x14ac:dyDescent="0.25">
      <c r="B164" s="4">
        <v>3</v>
      </c>
      <c r="C164" t="s">
        <v>723</v>
      </c>
      <c r="D164" t="s">
        <v>725</v>
      </c>
      <c r="E164" t="s">
        <v>726</v>
      </c>
      <c r="F164" t="s">
        <v>23</v>
      </c>
      <c r="G164" t="s">
        <v>24</v>
      </c>
      <c r="H164">
        <v>1</v>
      </c>
    </row>
    <row r="165" spans="2:8" x14ac:dyDescent="0.25">
      <c r="B165" s="4">
        <v>3</v>
      </c>
      <c r="C165" t="s">
        <v>723</v>
      </c>
      <c r="D165" t="s">
        <v>727</v>
      </c>
      <c r="E165" t="s">
        <v>728</v>
      </c>
      <c r="F165" t="s">
        <v>103</v>
      </c>
      <c r="G165" t="s">
        <v>104</v>
      </c>
      <c r="H165">
        <v>1</v>
      </c>
    </row>
    <row r="166" spans="2:8" x14ac:dyDescent="0.25">
      <c r="B166" s="4">
        <v>3</v>
      </c>
      <c r="C166" t="s">
        <v>723</v>
      </c>
      <c r="D166" t="s">
        <v>729</v>
      </c>
      <c r="E166" t="s">
        <v>730</v>
      </c>
      <c r="F166" t="s">
        <v>13</v>
      </c>
      <c r="G166" t="s">
        <v>14</v>
      </c>
      <c r="H166">
        <v>1</v>
      </c>
    </row>
    <row r="167" spans="2:8" x14ac:dyDescent="0.25">
      <c r="B167" s="4">
        <v>3</v>
      </c>
      <c r="C167" t="s">
        <v>723</v>
      </c>
      <c r="D167" t="s">
        <v>729</v>
      </c>
      <c r="E167" t="s">
        <v>730</v>
      </c>
      <c r="F167" t="s">
        <v>15</v>
      </c>
      <c r="G167" t="s">
        <v>16</v>
      </c>
      <c r="H167">
        <v>1</v>
      </c>
    </row>
    <row r="168" spans="2:8" x14ac:dyDescent="0.25">
      <c r="B168" s="4">
        <v>3</v>
      </c>
      <c r="C168" t="s">
        <v>723</v>
      </c>
      <c r="D168" t="s">
        <v>731</v>
      </c>
      <c r="E168" t="s">
        <v>732</v>
      </c>
      <c r="F168">
        <v>201008</v>
      </c>
      <c r="G168" t="s">
        <v>29</v>
      </c>
      <c r="H168">
        <v>1</v>
      </c>
    </row>
    <row r="169" spans="2:8" x14ac:dyDescent="0.25">
      <c r="B169" s="4">
        <v>3</v>
      </c>
      <c r="C169" t="s">
        <v>723</v>
      </c>
      <c r="D169" t="s">
        <v>731</v>
      </c>
      <c r="E169" t="s">
        <v>732</v>
      </c>
      <c r="F169" t="s">
        <v>13</v>
      </c>
      <c r="G169" t="s">
        <v>14</v>
      </c>
      <c r="H169">
        <v>1</v>
      </c>
    </row>
    <row r="170" spans="2:8" x14ac:dyDescent="0.25">
      <c r="B170" s="4">
        <v>3</v>
      </c>
      <c r="C170" t="s">
        <v>723</v>
      </c>
      <c r="D170" t="s">
        <v>731</v>
      </c>
      <c r="E170" t="s">
        <v>732</v>
      </c>
      <c r="F170" t="s">
        <v>15</v>
      </c>
      <c r="G170" t="s">
        <v>16</v>
      </c>
      <c r="H170">
        <v>1</v>
      </c>
    </row>
    <row r="171" spans="2:8" x14ac:dyDescent="0.25">
      <c r="B171" s="4">
        <v>3</v>
      </c>
      <c r="C171" t="s">
        <v>723</v>
      </c>
      <c r="D171" t="s">
        <v>733</v>
      </c>
      <c r="E171" t="s">
        <v>56</v>
      </c>
      <c r="F171" t="s">
        <v>103</v>
      </c>
      <c r="G171" t="s">
        <v>104</v>
      </c>
      <c r="H171">
        <v>1</v>
      </c>
    </row>
    <row r="172" spans="2:8" x14ac:dyDescent="0.25">
      <c r="B172" s="4">
        <v>3</v>
      </c>
      <c r="C172" t="s">
        <v>723</v>
      </c>
      <c r="D172" t="s">
        <v>734</v>
      </c>
      <c r="E172" t="s">
        <v>735</v>
      </c>
      <c r="F172" t="s">
        <v>103</v>
      </c>
      <c r="G172" t="s">
        <v>104</v>
      </c>
      <c r="H172">
        <v>1</v>
      </c>
    </row>
    <row r="173" spans="2:8" x14ac:dyDescent="0.25">
      <c r="B173" s="4">
        <v>3</v>
      </c>
      <c r="C173" t="s">
        <v>723</v>
      </c>
      <c r="D173" t="s">
        <v>736</v>
      </c>
      <c r="E173" t="s">
        <v>735</v>
      </c>
      <c r="F173" t="s">
        <v>103</v>
      </c>
      <c r="G173" t="s">
        <v>104</v>
      </c>
      <c r="H173">
        <v>1</v>
      </c>
    </row>
    <row r="174" spans="2:8" x14ac:dyDescent="0.25">
      <c r="B174" s="4">
        <v>3</v>
      </c>
      <c r="C174" t="s">
        <v>723</v>
      </c>
      <c r="D174" t="s">
        <v>737</v>
      </c>
      <c r="E174" t="s">
        <v>735</v>
      </c>
      <c r="F174" t="s">
        <v>103</v>
      </c>
      <c r="G174" t="s">
        <v>104</v>
      </c>
      <c r="H174">
        <v>1</v>
      </c>
    </row>
    <row r="175" spans="2:8" x14ac:dyDescent="0.25">
      <c r="B175" s="4">
        <v>3</v>
      </c>
      <c r="C175" t="s">
        <v>738</v>
      </c>
      <c r="D175" t="s">
        <v>739</v>
      </c>
      <c r="E175" t="s">
        <v>740</v>
      </c>
      <c r="F175" t="s">
        <v>23</v>
      </c>
      <c r="G175" t="s">
        <v>24</v>
      </c>
      <c r="H175">
        <v>1</v>
      </c>
    </row>
    <row r="176" spans="2:8" x14ac:dyDescent="0.25">
      <c r="B176" s="4">
        <v>3</v>
      </c>
      <c r="C176" t="s">
        <v>738</v>
      </c>
      <c r="D176" t="s">
        <v>739</v>
      </c>
      <c r="E176" t="s">
        <v>740</v>
      </c>
      <c r="F176" t="s">
        <v>15</v>
      </c>
      <c r="G176" t="s">
        <v>16</v>
      </c>
      <c r="H176">
        <v>1</v>
      </c>
    </row>
    <row r="177" spans="2:8" x14ac:dyDescent="0.25">
      <c r="B177" s="4">
        <v>3</v>
      </c>
      <c r="C177" t="s">
        <v>738</v>
      </c>
      <c r="D177" t="s">
        <v>741</v>
      </c>
      <c r="E177" t="s">
        <v>742</v>
      </c>
      <c r="F177" t="s">
        <v>23</v>
      </c>
      <c r="G177" t="s">
        <v>24</v>
      </c>
      <c r="H177">
        <v>1</v>
      </c>
    </row>
    <row r="178" spans="2:8" x14ac:dyDescent="0.25">
      <c r="B178" s="4">
        <v>3</v>
      </c>
      <c r="C178" t="s">
        <v>738</v>
      </c>
      <c r="D178" t="s">
        <v>741</v>
      </c>
      <c r="E178" t="s">
        <v>742</v>
      </c>
      <c r="F178" t="s">
        <v>15</v>
      </c>
      <c r="G178" t="s">
        <v>16</v>
      </c>
      <c r="H178">
        <v>1</v>
      </c>
    </row>
    <row r="179" spans="2:8" x14ac:dyDescent="0.25">
      <c r="B179" s="4">
        <v>3</v>
      </c>
      <c r="C179" t="s">
        <v>738</v>
      </c>
      <c r="D179" t="s">
        <v>743</v>
      </c>
      <c r="E179" t="s">
        <v>176</v>
      </c>
      <c r="F179" t="s">
        <v>103</v>
      </c>
      <c r="G179" t="s">
        <v>104</v>
      </c>
      <c r="H179">
        <v>1</v>
      </c>
    </row>
    <row r="180" spans="2:8" x14ac:dyDescent="0.25">
      <c r="B180" s="4">
        <v>3</v>
      </c>
      <c r="C180" t="s">
        <v>738</v>
      </c>
      <c r="D180" t="s">
        <v>744</v>
      </c>
      <c r="E180" t="s">
        <v>745</v>
      </c>
      <c r="F180" t="s">
        <v>23</v>
      </c>
      <c r="G180" t="s">
        <v>24</v>
      </c>
      <c r="H180">
        <v>1</v>
      </c>
    </row>
    <row r="181" spans="2:8" x14ac:dyDescent="0.25">
      <c r="B181" s="4">
        <v>3</v>
      </c>
      <c r="C181" t="s">
        <v>738</v>
      </c>
      <c r="D181" t="s">
        <v>744</v>
      </c>
      <c r="E181" t="s">
        <v>745</v>
      </c>
      <c r="F181" t="s">
        <v>15</v>
      </c>
      <c r="G181" t="s">
        <v>16</v>
      </c>
      <c r="H181">
        <v>1</v>
      </c>
    </row>
    <row r="182" spans="2:8" x14ac:dyDescent="0.25">
      <c r="B182" s="4">
        <v>3</v>
      </c>
      <c r="C182" t="s">
        <v>738</v>
      </c>
      <c r="D182" t="s">
        <v>746</v>
      </c>
      <c r="E182" t="s">
        <v>91</v>
      </c>
      <c r="F182" t="s">
        <v>118</v>
      </c>
      <c r="G182" t="s">
        <v>119</v>
      </c>
      <c r="H182">
        <v>1</v>
      </c>
    </row>
    <row r="183" spans="2:8" x14ac:dyDescent="0.25">
      <c r="B183" s="4">
        <v>3</v>
      </c>
      <c r="C183" t="s">
        <v>738</v>
      </c>
      <c r="D183" t="s">
        <v>747</v>
      </c>
      <c r="E183" t="s">
        <v>91</v>
      </c>
      <c r="F183" t="s">
        <v>118</v>
      </c>
      <c r="G183" t="s">
        <v>119</v>
      </c>
      <c r="H183">
        <v>1</v>
      </c>
    </row>
    <row r="184" spans="2:8" x14ac:dyDescent="0.25">
      <c r="B184" s="4">
        <v>3</v>
      </c>
      <c r="C184" t="s">
        <v>738</v>
      </c>
      <c r="D184" t="s">
        <v>749</v>
      </c>
      <c r="E184" t="s">
        <v>256</v>
      </c>
      <c r="F184">
        <v>201002</v>
      </c>
      <c r="G184" t="s">
        <v>70</v>
      </c>
      <c r="H184">
        <v>2</v>
      </c>
    </row>
    <row r="185" spans="2:8" x14ac:dyDescent="0.25">
      <c r="B185" s="4">
        <v>3</v>
      </c>
      <c r="C185" t="s">
        <v>738</v>
      </c>
      <c r="D185" t="s">
        <v>749</v>
      </c>
      <c r="E185" t="s">
        <v>256</v>
      </c>
      <c r="F185">
        <v>201008</v>
      </c>
      <c r="G185" t="s">
        <v>29</v>
      </c>
      <c r="H185">
        <v>1</v>
      </c>
    </row>
    <row r="186" spans="2:8" x14ac:dyDescent="0.25">
      <c r="B186" s="4">
        <v>3</v>
      </c>
      <c r="C186" t="s">
        <v>738</v>
      </c>
      <c r="D186" t="s">
        <v>750</v>
      </c>
      <c r="E186" t="s">
        <v>469</v>
      </c>
      <c r="F186" t="s">
        <v>13</v>
      </c>
      <c r="G186" t="s">
        <v>14</v>
      </c>
      <c r="H186">
        <v>1</v>
      </c>
    </row>
    <row r="187" spans="2:8" x14ac:dyDescent="0.25">
      <c r="B187" s="4">
        <v>3</v>
      </c>
      <c r="C187" t="s">
        <v>738</v>
      </c>
      <c r="D187" t="s">
        <v>750</v>
      </c>
      <c r="E187" t="s">
        <v>469</v>
      </c>
      <c r="F187" t="s">
        <v>15</v>
      </c>
      <c r="G187" t="s">
        <v>16</v>
      </c>
      <c r="H187">
        <v>1</v>
      </c>
    </row>
    <row r="188" spans="2:8" x14ac:dyDescent="0.25">
      <c r="B188" s="4" t="s">
        <v>75</v>
      </c>
      <c r="C188"/>
      <c r="D188"/>
      <c r="F188"/>
      <c r="G188"/>
    </row>
    <row r="189" spans="2:8" x14ac:dyDescent="0.25">
      <c r="C189"/>
      <c r="D189"/>
      <c r="F189"/>
      <c r="G189"/>
    </row>
    <row r="190" spans="2:8" x14ac:dyDescent="0.25">
      <c r="C190"/>
      <c r="D190"/>
      <c r="F190"/>
      <c r="G190"/>
    </row>
    <row r="191" spans="2:8" x14ac:dyDescent="0.25">
      <c r="C191"/>
      <c r="D191"/>
      <c r="F191"/>
      <c r="G191"/>
    </row>
    <row r="192" spans="2:8" x14ac:dyDescent="0.25">
      <c r="C192"/>
      <c r="D192"/>
      <c r="F192"/>
      <c r="G192"/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spans="3:7" x14ac:dyDescent="0.25">
      <c r="C241"/>
      <c r="D241"/>
      <c r="F241" s="1"/>
      <c r="G241"/>
    </row>
    <row r="242" spans="3:7" x14ac:dyDescent="0.25">
      <c r="C242"/>
      <c r="D242"/>
      <c r="F242" s="1"/>
      <c r="G242"/>
    </row>
    <row r="243" spans="3:7" x14ac:dyDescent="0.25">
      <c r="C243"/>
      <c r="D243"/>
      <c r="F243" s="1"/>
      <c r="G243"/>
    </row>
    <row r="244" spans="3:7" x14ac:dyDescent="0.25">
      <c r="C244"/>
      <c r="D244"/>
      <c r="F244" s="1"/>
      <c r="G244"/>
    </row>
    <row r="245" spans="3:7" x14ac:dyDescent="0.25">
      <c r="C245"/>
      <c r="D245"/>
      <c r="F245" s="1"/>
      <c r="G245"/>
    </row>
    <row r="246" spans="3:7" x14ac:dyDescent="0.25">
      <c r="C246"/>
      <c r="D246"/>
      <c r="F246" s="1"/>
      <c r="G246"/>
    </row>
    <row r="247" spans="3:7" x14ac:dyDescent="0.25">
      <c r="C247"/>
      <c r="D247"/>
      <c r="F247" s="1"/>
      <c r="G247"/>
    </row>
    <row r="248" spans="3:7" x14ac:dyDescent="0.25">
      <c r="C248"/>
      <c r="D248"/>
      <c r="F248" s="1"/>
      <c r="G248"/>
    </row>
    <row r="249" spans="3:7" x14ac:dyDescent="0.25">
      <c r="C249"/>
      <c r="D249"/>
      <c r="F249" s="1"/>
      <c r="G249"/>
    </row>
    <row r="250" spans="3:7" x14ac:dyDescent="0.25">
      <c r="C250"/>
      <c r="D250"/>
      <c r="F250" s="1"/>
      <c r="G250"/>
    </row>
    <row r="251" spans="3:7" x14ac:dyDescent="0.25">
      <c r="C251"/>
      <c r="D251"/>
      <c r="F251" s="1"/>
      <c r="G251"/>
    </row>
    <row r="252" spans="3:7" x14ac:dyDescent="0.25">
      <c r="C252"/>
      <c r="D252"/>
      <c r="F252" s="1"/>
      <c r="G252"/>
    </row>
    <row r="253" spans="3:7" x14ac:dyDescent="0.25">
      <c r="C253"/>
      <c r="D253"/>
      <c r="F253" s="1"/>
      <c r="G253"/>
    </row>
    <row r="254" spans="3:7" x14ac:dyDescent="0.25">
      <c r="C254"/>
      <c r="D254"/>
      <c r="F254" s="1"/>
      <c r="G254"/>
    </row>
    <row r="255" spans="3:7" x14ac:dyDescent="0.25">
      <c r="C255"/>
      <c r="D255"/>
      <c r="F255" s="1"/>
      <c r="G255"/>
    </row>
    <row r="256" spans="3:7" x14ac:dyDescent="0.25">
      <c r="C256"/>
      <c r="D256"/>
      <c r="F256" s="1"/>
      <c r="G256"/>
    </row>
    <row r="257" spans="3:7" x14ac:dyDescent="0.25">
      <c r="C257"/>
      <c r="D257"/>
      <c r="F257" s="1"/>
      <c r="G257"/>
    </row>
    <row r="258" spans="3:7" x14ac:dyDescent="0.25">
      <c r="C258"/>
      <c r="D258"/>
      <c r="F258" s="1"/>
      <c r="G258"/>
    </row>
    <row r="259" spans="3:7" x14ac:dyDescent="0.25">
      <c r="C259"/>
      <c r="D259"/>
      <c r="F259" s="1"/>
      <c r="G259"/>
    </row>
    <row r="260" spans="3:7" x14ac:dyDescent="0.25">
      <c r="C260"/>
      <c r="D260"/>
      <c r="F260" s="1"/>
      <c r="G260"/>
    </row>
    <row r="261" spans="3:7" x14ac:dyDescent="0.25">
      <c r="C261"/>
      <c r="D261"/>
      <c r="F261" s="1"/>
      <c r="G261"/>
    </row>
    <row r="262" spans="3:7" x14ac:dyDescent="0.25">
      <c r="C262"/>
      <c r="D262"/>
      <c r="F262" s="1"/>
      <c r="G262"/>
    </row>
    <row r="263" spans="3:7" x14ac:dyDescent="0.25">
      <c r="C263"/>
      <c r="D263"/>
      <c r="F263" s="1"/>
      <c r="G263"/>
    </row>
    <row r="264" spans="3:7" x14ac:dyDescent="0.25">
      <c r="C264"/>
      <c r="D264"/>
      <c r="F264" s="1"/>
      <c r="G264"/>
    </row>
    <row r="265" spans="3:7" x14ac:dyDescent="0.25">
      <c r="C265"/>
      <c r="D265"/>
      <c r="F265" s="1"/>
      <c r="G265"/>
    </row>
    <row r="266" spans="3:7" x14ac:dyDescent="0.25">
      <c r="C266"/>
      <c r="D266"/>
      <c r="F266" s="1"/>
      <c r="G266"/>
    </row>
    <row r="267" spans="3:7" x14ac:dyDescent="0.25">
      <c r="C267"/>
      <c r="D267"/>
      <c r="F267" s="1"/>
      <c r="G267"/>
    </row>
    <row r="268" spans="3:7" x14ac:dyDescent="0.25">
      <c r="C268"/>
      <c r="D268"/>
      <c r="F268" s="1"/>
      <c r="G268"/>
    </row>
    <row r="269" spans="3:7" x14ac:dyDescent="0.25">
      <c r="C269"/>
      <c r="D269"/>
      <c r="F269" s="1"/>
      <c r="G269"/>
    </row>
    <row r="270" spans="3:7" x14ac:dyDescent="0.25">
      <c r="C270"/>
      <c r="D270"/>
      <c r="F270" s="1"/>
      <c r="G270"/>
    </row>
    <row r="271" spans="3:7" x14ac:dyDescent="0.25">
      <c r="C271"/>
      <c r="D271"/>
      <c r="F271" s="1"/>
      <c r="G271"/>
    </row>
    <row r="272" spans="3:7" x14ac:dyDescent="0.25">
      <c r="C272"/>
      <c r="D272"/>
      <c r="F272" s="1"/>
      <c r="G272"/>
    </row>
    <row r="273" spans="3:7" x14ac:dyDescent="0.25">
      <c r="C273"/>
      <c r="D273"/>
      <c r="F273" s="1"/>
      <c r="G273"/>
    </row>
    <row r="274" spans="3:7" x14ac:dyDescent="0.25">
      <c r="C274"/>
      <c r="D274"/>
      <c r="F274" s="1"/>
      <c r="G274"/>
    </row>
    <row r="275" spans="3:7" x14ac:dyDescent="0.25">
      <c r="C275"/>
      <c r="D275"/>
      <c r="F275" s="1"/>
      <c r="G275"/>
    </row>
    <row r="276" spans="3:7" x14ac:dyDescent="0.25">
      <c r="C276"/>
      <c r="D276"/>
      <c r="F276" s="1"/>
      <c r="G276"/>
    </row>
    <row r="277" spans="3:7" x14ac:dyDescent="0.25">
      <c r="C277"/>
      <c r="D277"/>
      <c r="F277" s="1"/>
      <c r="G277"/>
    </row>
    <row r="278" spans="3:7" x14ac:dyDescent="0.25">
      <c r="C278"/>
      <c r="D278"/>
      <c r="F278" s="1"/>
      <c r="G278"/>
    </row>
    <row r="279" spans="3:7" x14ac:dyDescent="0.25">
      <c r="C279"/>
      <c r="D279"/>
      <c r="F279" s="1"/>
      <c r="G279"/>
    </row>
    <row r="280" spans="3:7" x14ac:dyDescent="0.25">
      <c r="C280"/>
      <c r="D280"/>
      <c r="F280" s="1"/>
      <c r="G280"/>
    </row>
    <row r="281" spans="3:7" x14ac:dyDescent="0.25">
      <c r="C281"/>
      <c r="D281"/>
      <c r="F281" s="1"/>
      <c r="G281"/>
    </row>
    <row r="282" spans="3:7" x14ac:dyDescent="0.25">
      <c r="C282"/>
      <c r="D282"/>
      <c r="F282" s="1"/>
      <c r="G282"/>
    </row>
    <row r="283" spans="3:7" x14ac:dyDescent="0.25">
      <c r="C283"/>
      <c r="D283"/>
      <c r="F283" s="1"/>
      <c r="G283"/>
    </row>
    <row r="284" spans="3:7" x14ac:dyDescent="0.25">
      <c r="C284"/>
      <c r="D284"/>
      <c r="F284" s="1"/>
      <c r="G284"/>
    </row>
    <row r="285" spans="3:7" x14ac:dyDescent="0.25">
      <c r="C285"/>
      <c r="D285"/>
      <c r="F285" s="1"/>
      <c r="G285"/>
    </row>
    <row r="286" spans="3:7" x14ac:dyDescent="0.25">
      <c r="C286"/>
      <c r="D286"/>
      <c r="F286" s="1"/>
      <c r="G286"/>
    </row>
    <row r="287" spans="3:7" x14ac:dyDescent="0.25">
      <c r="C287"/>
      <c r="D287"/>
      <c r="F287" s="1"/>
      <c r="G287"/>
    </row>
    <row r="288" spans="3:7" x14ac:dyDescent="0.25">
      <c r="C288"/>
      <c r="D288"/>
      <c r="F288" s="1"/>
      <c r="G288"/>
    </row>
    <row r="289" spans="3:7" x14ac:dyDescent="0.25">
      <c r="C289"/>
      <c r="D289"/>
      <c r="F289" s="1"/>
      <c r="G289"/>
    </row>
    <row r="290" spans="3:7" x14ac:dyDescent="0.25">
      <c r="C290"/>
      <c r="D290"/>
      <c r="F290" s="1"/>
      <c r="G290"/>
    </row>
    <row r="291" spans="3:7" x14ac:dyDescent="0.25">
      <c r="C291"/>
      <c r="D291"/>
      <c r="F291" s="1"/>
      <c r="G291"/>
    </row>
    <row r="292" spans="3:7" x14ac:dyDescent="0.25">
      <c r="C292"/>
      <c r="D292"/>
      <c r="F292" s="1"/>
      <c r="G292"/>
    </row>
    <row r="293" spans="3:7" x14ac:dyDescent="0.25">
      <c r="C293"/>
      <c r="D293"/>
      <c r="F293" s="1"/>
      <c r="G293"/>
    </row>
    <row r="294" spans="3:7" x14ac:dyDescent="0.25">
      <c r="C294"/>
      <c r="D294"/>
      <c r="F294" s="1"/>
      <c r="G294"/>
    </row>
    <row r="295" spans="3:7" x14ac:dyDescent="0.25">
      <c r="C295"/>
      <c r="D295"/>
      <c r="F295" s="1"/>
      <c r="G295"/>
    </row>
    <row r="296" spans="3:7" x14ac:dyDescent="0.25">
      <c r="C296"/>
      <c r="D296"/>
      <c r="F296" s="1"/>
      <c r="G296"/>
    </row>
    <row r="297" spans="3:7" x14ac:dyDescent="0.25">
      <c r="C297"/>
      <c r="D297"/>
      <c r="F297" s="1"/>
      <c r="G297"/>
    </row>
    <row r="298" spans="3:7" x14ac:dyDescent="0.25">
      <c r="C298"/>
      <c r="D298"/>
      <c r="F298" s="1"/>
      <c r="G298"/>
    </row>
    <row r="299" spans="3:7" x14ac:dyDescent="0.25">
      <c r="C299"/>
      <c r="D299"/>
      <c r="F299" s="1"/>
      <c r="G299"/>
    </row>
    <row r="300" spans="3:7" x14ac:dyDescent="0.25">
      <c r="C300"/>
      <c r="D300"/>
      <c r="F300" s="1"/>
      <c r="G300"/>
    </row>
    <row r="301" spans="3:7" x14ac:dyDescent="0.25">
      <c r="C301"/>
      <c r="D301"/>
      <c r="F301" s="1"/>
      <c r="G301"/>
    </row>
    <row r="302" spans="3:7" x14ac:dyDescent="0.25">
      <c r="C302"/>
      <c r="D302"/>
      <c r="F302" s="1"/>
      <c r="G302"/>
    </row>
    <row r="303" spans="3:7" x14ac:dyDescent="0.25">
      <c r="C303"/>
      <c r="D303"/>
      <c r="F303" s="1"/>
      <c r="G303"/>
    </row>
    <row r="304" spans="3:7" x14ac:dyDescent="0.25">
      <c r="C304"/>
      <c r="D304"/>
      <c r="F304" s="1"/>
      <c r="G304"/>
    </row>
    <row r="305" spans="3:7" x14ac:dyDescent="0.25">
      <c r="C305"/>
      <c r="D305"/>
      <c r="F305" s="1"/>
      <c r="G305"/>
    </row>
    <row r="306" spans="3:7" x14ac:dyDescent="0.25">
      <c r="C306"/>
      <c r="D306"/>
      <c r="F306" s="1"/>
      <c r="G306"/>
    </row>
    <row r="307" spans="3:7" x14ac:dyDescent="0.25">
      <c r="C307"/>
      <c r="D307"/>
      <c r="F307" s="1"/>
      <c r="G307"/>
    </row>
    <row r="308" spans="3:7" x14ac:dyDescent="0.25">
      <c r="C308"/>
      <c r="D308"/>
      <c r="F308" s="1"/>
      <c r="G308"/>
    </row>
    <row r="309" spans="3:7" x14ac:dyDescent="0.25">
      <c r="C309"/>
      <c r="D309"/>
      <c r="F309" s="1"/>
      <c r="G309"/>
    </row>
    <row r="310" spans="3:7" x14ac:dyDescent="0.25">
      <c r="C310"/>
      <c r="D310"/>
      <c r="F310" s="1"/>
      <c r="G310"/>
    </row>
    <row r="311" spans="3:7" x14ac:dyDescent="0.25">
      <c r="C311"/>
      <c r="D311"/>
      <c r="F311" s="1"/>
      <c r="G311"/>
    </row>
    <row r="312" spans="3:7" x14ac:dyDescent="0.25">
      <c r="C312"/>
      <c r="D312"/>
      <c r="F312" s="1"/>
      <c r="G312"/>
    </row>
    <row r="313" spans="3:7" x14ac:dyDescent="0.25">
      <c r="C313"/>
      <c r="D313"/>
      <c r="F313" s="1"/>
      <c r="G313"/>
    </row>
    <row r="314" spans="3:7" x14ac:dyDescent="0.25">
      <c r="C314"/>
      <c r="D314"/>
      <c r="F314" s="1"/>
      <c r="G314"/>
    </row>
    <row r="315" spans="3:7" x14ac:dyDescent="0.25">
      <c r="C315"/>
      <c r="D315"/>
      <c r="F315" s="1"/>
      <c r="G315"/>
    </row>
    <row r="316" spans="3:7" x14ac:dyDescent="0.25">
      <c r="C316"/>
      <c r="D316"/>
      <c r="F316" s="1"/>
      <c r="G316"/>
    </row>
    <row r="317" spans="3:7" x14ac:dyDescent="0.25">
      <c r="C317"/>
      <c r="D317"/>
      <c r="F317" s="1"/>
      <c r="G317"/>
    </row>
    <row r="318" spans="3:7" x14ac:dyDescent="0.25">
      <c r="C318"/>
      <c r="D318"/>
      <c r="F318" s="1"/>
      <c r="G318"/>
    </row>
    <row r="319" spans="3:7" x14ac:dyDescent="0.25">
      <c r="C319"/>
      <c r="D319"/>
      <c r="F319" s="1"/>
      <c r="G319"/>
    </row>
    <row r="320" spans="3:7" x14ac:dyDescent="0.25">
      <c r="C320"/>
      <c r="D320"/>
      <c r="F320" s="1"/>
      <c r="G320"/>
    </row>
    <row r="321" spans="3:7" x14ac:dyDescent="0.25">
      <c r="C321"/>
      <c r="D321"/>
      <c r="F321" s="1"/>
      <c r="G321"/>
    </row>
    <row r="322" spans="3:7" x14ac:dyDescent="0.25">
      <c r="C322"/>
      <c r="D322"/>
      <c r="F322" s="1"/>
      <c r="G322"/>
    </row>
    <row r="323" spans="3:7" x14ac:dyDescent="0.25">
      <c r="C323"/>
      <c r="D323"/>
      <c r="F323" s="1"/>
      <c r="G323"/>
    </row>
    <row r="324" spans="3:7" x14ac:dyDescent="0.25">
      <c r="C324"/>
      <c r="D324"/>
      <c r="F324" s="1"/>
      <c r="G324"/>
    </row>
    <row r="325" spans="3:7" x14ac:dyDescent="0.25">
      <c r="C325"/>
      <c r="D325"/>
      <c r="F325" s="1"/>
      <c r="G325"/>
    </row>
    <row r="326" spans="3:7" x14ac:dyDescent="0.25">
      <c r="C326"/>
      <c r="D326"/>
      <c r="F326" s="1"/>
      <c r="G326"/>
    </row>
    <row r="327" spans="3:7" x14ac:dyDescent="0.25">
      <c r="C327"/>
      <c r="D327"/>
      <c r="F327" s="1"/>
      <c r="G327"/>
    </row>
    <row r="328" spans="3:7" x14ac:dyDescent="0.25">
      <c r="C328"/>
      <c r="D328"/>
      <c r="F328" s="1"/>
      <c r="G328"/>
    </row>
    <row r="329" spans="3:7" x14ac:dyDescent="0.25">
      <c r="C329"/>
      <c r="D329"/>
      <c r="F329" s="1"/>
      <c r="G329"/>
    </row>
    <row r="330" spans="3:7" x14ac:dyDescent="0.25">
      <c r="C330"/>
      <c r="D330"/>
      <c r="F330" s="1"/>
      <c r="G330"/>
    </row>
    <row r="331" spans="3:7" x14ac:dyDescent="0.25">
      <c r="C331"/>
      <c r="D331"/>
      <c r="F331" s="1"/>
      <c r="G331"/>
    </row>
    <row r="332" spans="3:7" x14ac:dyDescent="0.25">
      <c r="C332"/>
      <c r="D332"/>
      <c r="F332" s="1"/>
      <c r="G332"/>
    </row>
    <row r="333" spans="3:7" x14ac:dyDescent="0.25">
      <c r="C333"/>
      <c r="D333"/>
      <c r="F333" s="1"/>
      <c r="G333"/>
    </row>
    <row r="334" spans="3:7" x14ac:dyDescent="0.25">
      <c r="C334"/>
      <c r="D334"/>
      <c r="F334" s="1"/>
      <c r="G334"/>
    </row>
    <row r="335" spans="3:7" x14ac:dyDescent="0.25">
      <c r="C335"/>
      <c r="D335"/>
      <c r="F335" s="1"/>
      <c r="G335"/>
    </row>
    <row r="336" spans="3:7" x14ac:dyDescent="0.25">
      <c r="C336"/>
      <c r="D336"/>
      <c r="F336" s="1"/>
      <c r="G336"/>
    </row>
    <row r="337" spans="3:7" x14ac:dyDescent="0.25">
      <c r="C337"/>
      <c r="D337"/>
      <c r="F337" s="1"/>
      <c r="G337"/>
    </row>
    <row r="338" spans="3:7" x14ac:dyDescent="0.25">
      <c r="C338"/>
      <c r="D338"/>
      <c r="F338" s="1"/>
      <c r="G338"/>
    </row>
    <row r="339" spans="3:7" x14ac:dyDescent="0.25">
      <c r="C339"/>
      <c r="D339"/>
      <c r="F339" s="1"/>
      <c r="G339"/>
    </row>
    <row r="340" spans="3:7" x14ac:dyDescent="0.25">
      <c r="C340"/>
      <c r="D340"/>
      <c r="F340" s="1"/>
      <c r="G340"/>
    </row>
    <row r="341" spans="3:7" x14ac:dyDescent="0.25">
      <c r="C341"/>
      <c r="D341"/>
      <c r="F341" s="1"/>
      <c r="G341"/>
    </row>
    <row r="342" spans="3:7" x14ac:dyDescent="0.25">
      <c r="C342"/>
      <c r="D342"/>
      <c r="F342" s="1"/>
      <c r="G342"/>
    </row>
    <row r="343" spans="3:7" x14ac:dyDescent="0.25">
      <c r="C343"/>
      <c r="D343"/>
      <c r="F343" s="1"/>
      <c r="G343"/>
    </row>
    <row r="344" spans="3:7" x14ac:dyDescent="0.25">
      <c r="C344"/>
      <c r="D344"/>
      <c r="F344" s="1"/>
      <c r="G344"/>
    </row>
    <row r="345" spans="3:7" x14ac:dyDescent="0.25">
      <c r="C345"/>
      <c r="D345"/>
      <c r="F345" s="1"/>
      <c r="G345"/>
    </row>
    <row r="346" spans="3:7" x14ac:dyDescent="0.25">
      <c r="C346"/>
      <c r="D346"/>
      <c r="F346" s="1"/>
      <c r="G346"/>
    </row>
    <row r="347" spans="3:7" x14ac:dyDescent="0.25">
      <c r="C347"/>
      <c r="D347"/>
      <c r="F347" s="1"/>
      <c r="G347"/>
    </row>
    <row r="348" spans="3:7" x14ac:dyDescent="0.25">
      <c r="C348"/>
      <c r="D348"/>
      <c r="F348" s="1"/>
      <c r="G348"/>
    </row>
    <row r="349" spans="3:7" x14ac:dyDescent="0.25">
      <c r="C349"/>
      <c r="D349"/>
      <c r="F349" s="1"/>
      <c r="G349"/>
    </row>
    <row r="350" spans="3:7" x14ac:dyDescent="0.25">
      <c r="C350"/>
      <c r="D350"/>
      <c r="F350" s="1"/>
      <c r="G350"/>
    </row>
    <row r="351" spans="3:7" x14ac:dyDescent="0.25">
      <c r="C351"/>
      <c r="D351"/>
      <c r="F351" s="1"/>
      <c r="G351"/>
    </row>
    <row r="352" spans="3:7" x14ac:dyDescent="0.25">
      <c r="C352"/>
      <c r="D352"/>
      <c r="F352" s="1"/>
      <c r="G352"/>
    </row>
    <row r="353" spans="3:7" x14ac:dyDescent="0.25">
      <c r="C353"/>
      <c r="D353"/>
      <c r="F353" s="1"/>
      <c r="G353"/>
    </row>
    <row r="354" spans="3:7" x14ac:dyDescent="0.25">
      <c r="C354"/>
      <c r="D354"/>
      <c r="F354" s="1"/>
      <c r="G354"/>
    </row>
    <row r="355" spans="3:7" x14ac:dyDescent="0.25">
      <c r="C355"/>
      <c r="D355"/>
      <c r="F355" s="1"/>
      <c r="G355"/>
    </row>
    <row r="356" spans="3:7" x14ac:dyDescent="0.25">
      <c r="C356"/>
      <c r="D356"/>
      <c r="F356" s="1"/>
      <c r="G356"/>
    </row>
    <row r="357" spans="3:7" x14ac:dyDescent="0.25">
      <c r="C357"/>
      <c r="D357"/>
      <c r="F357" s="1"/>
      <c r="G357"/>
    </row>
    <row r="358" spans="3:7" x14ac:dyDescent="0.25">
      <c r="C358"/>
      <c r="D358"/>
      <c r="F358" s="1"/>
      <c r="G358"/>
    </row>
    <row r="359" spans="3:7" x14ac:dyDescent="0.25">
      <c r="C359"/>
      <c r="D359"/>
      <c r="F359" s="1"/>
      <c r="G359"/>
    </row>
    <row r="360" spans="3:7" x14ac:dyDescent="0.25">
      <c r="C360"/>
      <c r="D360"/>
      <c r="F360" s="1"/>
      <c r="G360"/>
    </row>
    <row r="361" spans="3:7" x14ac:dyDescent="0.25">
      <c r="C361"/>
      <c r="D361"/>
      <c r="F361" s="1"/>
      <c r="G361"/>
    </row>
    <row r="362" spans="3:7" x14ac:dyDescent="0.25">
      <c r="C362"/>
      <c r="D362"/>
      <c r="F362" s="1"/>
      <c r="G362"/>
    </row>
    <row r="363" spans="3:7" x14ac:dyDescent="0.25">
      <c r="C363"/>
      <c r="D363"/>
      <c r="F363" s="1"/>
      <c r="G363"/>
    </row>
    <row r="364" spans="3:7" x14ac:dyDescent="0.25">
      <c r="C364"/>
      <c r="D364"/>
      <c r="F364" s="1"/>
      <c r="G364"/>
    </row>
    <row r="365" spans="3:7" x14ac:dyDescent="0.25">
      <c r="C365"/>
      <c r="D365"/>
      <c r="F365" s="1"/>
      <c r="G365"/>
    </row>
    <row r="366" spans="3:7" x14ac:dyDescent="0.25">
      <c r="C366"/>
      <c r="D366"/>
      <c r="F366" s="1"/>
      <c r="G366"/>
    </row>
    <row r="367" spans="3:7" x14ac:dyDescent="0.25">
      <c r="C367"/>
      <c r="D367"/>
      <c r="F367" s="1"/>
      <c r="G367"/>
    </row>
    <row r="368" spans="3:7" x14ac:dyDescent="0.25">
      <c r="C368"/>
      <c r="D368"/>
      <c r="F368" s="1"/>
      <c r="G368"/>
    </row>
    <row r="369" spans="3:7" x14ac:dyDescent="0.25">
      <c r="C369"/>
      <c r="D369"/>
      <c r="F369" s="1"/>
      <c r="G369"/>
    </row>
    <row r="370" spans="3:7" x14ac:dyDescent="0.25">
      <c r="C370"/>
      <c r="D370"/>
      <c r="F370" s="1"/>
      <c r="G370"/>
    </row>
    <row r="371" spans="3:7" x14ac:dyDescent="0.25">
      <c r="C371"/>
      <c r="D371"/>
      <c r="F371" s="1"/>
      <c r="G371"/>
    </row>
    <row r="372" spans="3:7" x14ac:dyDescent="0.25">
      <c r="C372"/>
      <c r="D372"/>
      <c r="F372" s="1"/>
      <c r="G372"/>
    </row>
    <row r="373" spans="3:7" x14ac:dyDescent="0.25">
      <c r="C373"/>
      <c r="D373"/>
      <c r="F373" s="1"/>
      <c r="G373"/>
    </row>
    <row r="374" spans="3:7" x14ac:dyDescent="0.25">
      <c r="C374"/>
      <c r="D374"/>
      <c r="F374" s="1"/>
      <c r="G374"/>
    </row>
    <row r="375" spans="3:7" x14ac:dyDescent="0.25">
      <c r="C375"/>
      <c r="D375"/>
      <c r="F375" s="1"/>
      <c r="G375"/>
    </row>
    <row r="376" spans="3:7" x14ac:dyDescent="0.25">
      <c r="C376"/>
      <c r="D376"/>
      <c r="F376" s="1"/>
      <c r="G376"/>
    </row>
    <row r="377" spans="3:7" x14ac:dyDescent="0.25">
      <c r="C377"/>
      <c r="D377"/>
      <c r="F377" s="1"/>
      <c r="G377"/>
    </row>
    <row r="378" spans="3:7" x14ac:dyDescent="0.25">
      <c r="C378"/>
      <c r="D378"/>
      <c r="F378" s="1"/>
      <c r="G378"/>
    </row>
    <row r="379" spans="3:7" x14ac:dyDescent="0.25">
      <c r="C379"/>
      <c r="D379"/>
      <c r="F379" s="1"/>
      <c r="G379"/>
    </row>
    <row r="380" spans="3:7" x14ac:dyDescent="0.25">
      <c r="C380"/>
      <c r="D380"/>
      <c r="F380" s="1"/>
      <c r="G380"/>
    </row>
    <row r="381" spans="3:7" x14ac:dyDescent="0.25">
      <c r="C381"/>
      <c r="D381"/>
      <c r="F381" s="1"/>
      <c r="G381"/>
    </row>
    <row r="382" spans="3:7" x14ac:dyDescent="0.25">
      <c r="C382"/>
      <c r="D382"/>
      <c r="F382" s="1"/>
      <c r="G382"/>
    </row>
    <row r="383" spans="3:7" x14ac:dyDescent="0.25">
      <c r="C383"/>
      <c r="D383"/>
      <c r="F383" s="1"/>
      <c r="G383"/>
    </row>
    <row r="384" spans="3:7" x14ac:dyDescent="0.25">
      <c r="C384"/>
      <c r="D384"/>
      <c r="F384" s="1"/>
      <c r="G384"/>
    </row>
    <row r="385" spans="3:7" x14ac:dyDescent="0.25">
      <c r="C385"/>
      <c r="D385"/>
      <c r="F385" s="1"/>
      <c r="G385"/>
    </row>
    <row r="386" spans="3:7" x14ac:dyDescent="0.25">
      <c r="C386"/>
      <c r="D386"/>
      <c r="F386" s="1"/>
      <c r="G386"/>
    </row>
    <row r="387" spans="3:7" x14ac:dyDescent="0.25">
      <c r="C387"/>
      <c r="D387"/>
      <c r="F387" s="1"/>
      <c r="G387"/>
    </row>
    <row r="388" spans="3:7" x14ac:dyDescent="0.25">
      <c r="C388"/>
      <c r="D388"/>
      <c r="F388" s="1"/>
      <c r="G388"/>
    </row>
    <row r="389" spans="3:7" x14ac:dyDescent="0.25">
      <c r="C389"/>
      <c r="D389"/>
      <c r="F389" s="1"/>
      <c r="G389"/>
    </row>
    <row r="390" spans="3:7" x14ac:dyDescent="0.25">
      <c r="C390"/>
      <c r="D390"/>
      <c r="F390" s="1"/>
      <c r="G390"/>
    </row>
    <row r="391" spans="3:7" x14ac:dyDescent="0.25">
      <c r="C391"/>
      <c r="D391"/>
      <c r="F391" s="1"/>
      <c r="G391"/>
    </row>
    <row r="392" spans="3:7" x14ac:dyDescent="0.25">
      <c r="C392"/>
      <c r="D392"/>
      <c r="F392" s="1"/>
      <c r="G392"/>
    </row>
    <row r="393" spans="3:7" x14ac:dyDescent="0.25">
      <c r="C393"/>
      <c r="D393"/>
      <c r="F393" s="1"/>
      <c r="G393"/>
    </row>
    <row r="394" spans="3:7" x14ac:dyDescent="0.25">
      <c r="C394"/>
      <c r="D394"/>
      <c r="F394" s="1"/>
      <c r="G394"/>
    </row>
    <row r="395" spans="3:7" x14ac:dyDescent="0.25">
      <c r="C395"/>
      <c r="D395"/>
      <c r="F395" s="1"/>
      <c r="G395"/>
    </row>
    <row r="396" spans="3:7" x14ac:dyDescent="0.25">
      <c r="C396"/>
      <c r="D396"/>
      <c r="F396" s="1"/>
      <c r="G396"/>
    </row>
    <row r="397" spans="3:7" x14ac:dyDescent="0.25">
      <c r="C397"/>
      <c r="D397"/>
      <c r="F397" s="1"/>
      <c r="G397"/>
    </row>
    <row r="398" spans="3:7" x14ac:dyDescent="0.25">
      <c r="C398"/>
      <c r="D398"/>
      <c r="F398" s="1"/>
      <c r="G398"/>
    </row>
    <row r="399" spans="3:7" x14ac:dyDescent="0.25">
      <c r="C399"/>
      <c r="D399"/>
      <c r="F399" s="1"/>
      <c r="G399"/>
    </row>
    <row r="400" spans="3:7" x14ac:dyDescent="0.25">
      <c r="C400"/>
      <c r="D400"/>
      <c r="F400" s="1"/>
      <c r="G400"/>
    </row>
    <row r="401" spans="3:7" x14ac:dyDescent="0.25">
      <c r="C401"/>
      <c r="D401"/>
      <c r="F401" s="1"/>
      <c r="G401"/>
    </row>
    <row r="402" spans="3:7" x14ac:dyDescent="0.25">
      <c r="C402"/>
      <c r="D402"/>
      <c r="F402" s="1"/>
      <c r="G402"/>
    </row>
    <row r="403" spans="3:7" x14ac:dyDescent="0.25">
      <c r="C403"/>
      <c r="D403"/>
      <c r="F403" s="1"/>
      <c r="G403"/>
    </row>
    <row r="404" spans="3:7" x14ac:dyDescent="0.25">
      <c r="C404"/>
      <c r="D404"/>
      <c r="F404" s="1"/>
      <c r="G404"/>
    </row>
    <row r="405" spans="3:7" x14ac:dyDescent="0.25">
      <c r="C405"/>
      <c r="D405"/>
      <c r="F405" s="1"/>
      <c r="G405"/>
    </row>
    <row r="406" spans="3:7" x14ac:dyDescent="0.25">
      <c r="C406"/>
      <c r="D406"/>
      <c r="F406" s="1"/>
      <c r="G406"/>
    </row>
    <row r="407" spans="3:7" x14ac:dyDescent="0.25">
      <c r="C407"/>
      <c r="D407"/>
      <c r="F407" s="1"/>
      <c r="G407"/>
    </row>
    <row r="408" spans="3:7" x14ac:dyDescent="0.25">
      <c r="C408"/>
      <c r="D408"/>
      <c r="F408" s="1"/>
      <c r="G408"/>
    </row>
    <row r="409" spans="3:7" x14ac:dyDescent="0.25">
      <c r="C409"/>
      <c r="D409"/>
      <c r="F409" s="1"/>
      <c r="G409"/>
    </row>
    <row r="410" spans="3:7" x14ac:dyDescent="0.25">
      <c r="C410"/>
      <c r="D410"/>
      <c r="F410" s="1"/>
      <c r="G410"/>
    </row>
    <row r="411" spans="3:7" x14ac:dyDescent="0.25">
      <c r="C411"/>
      <c r="D411"/>
      <c r="F411" s="1"/>
      <c r="G411"/>
    </row>
    <row r="412" spans="3:7" x14ac:dyDescent="0.25">
      <c r="C412"/>
      <c r="D412"/>
      <c r="F412" s="1"/>
      <c r="G412"/>
    </row>
    <row r="413" spans="3:7" x14ac:dyDescent="0.25">
      <c r="C413"/>
      <c r="D413"/>
      <c r="F413" s="1"/>
      <c r="G413"/>
    </row>
    <row r="414" spans="3:7" x14ac:dyDescent="0.25">
      <c r="C414"/>
      <c r="D414"/>
      <c r="F414" s="1"/>
      <c r="G414"/>
    </row>
    <row r="415" spans="3:7" x14ac:dyDescent="0.25">
      <c r="C415"/>
      <c r="D415"/>
      <c r="F415" s="1"/>
      <c r="G415"/>
    </row>
    <row r="416" spans="3:7" x14ac:dyDescent="0.25">
      <c r="C416"/>
      <c r="D416"/>
      <c r="F416" s="1"/>
      <c r="G416"/>
    </row>
    <row r="417" spans="3:7" x14ac:dyDescent="0.25">
      <c r="C417"/>
      <c r="D417"/>
      <c r="F417" s="1"/>
      <c r="G417"/>
    </row>
    <row r="418" spans="3:7" x14ac:dyDescent="0.25">
      <c r="C418"/>
      <c r="D418"/>
      <c r="F418" s="1"/>
      <c r="G418"/>
    </row>
    <row r="419" spans="3:7" x14ac:dyDescent="0.25">
      <c r="C419"/>
      <c r="D419"/>
      <c r="F419" s="1"/>
      <c r="G419"/>
    </row>
    <row r="420" spans="3:7" x14ac:dyDescent="0.25">
      <c r="C420"/>
      <c r="D420"/>
      <c r="F420" s="1"/>
      <c r="G420"/>
    </row>
    <row r="421" spans="3:7" x14ac:dyDescent="0.25">
      <c r="C421"/>
      <c r="D421"/>
      <c r="F421" s="1"/>
      <c r="G421"/>
    </row>
    <row r="422" spans="3:7" x14ac:dyDescent="0.25">
      <c r="C422"/>
      <c r="D422"/>
      <c r="F422" s="1"/>
      <c r="G422"/>
    </row>
    <row r="423" spans="3:7" x14ac:dyDescent="0.25">
      <c r="C423"/>
      <c r="D423"/>
      <c r="F423" s="1"/>
      <c r="G423"/>
    </row>
    <row r="424" spans="3:7" x14ac:dyDescent="0.25">
      <c r="C424"/>
      <c r="D424"/>
      <c r="F424" s="1"/>
      <c r="G424"/>
    </row>
    <row r="425" spans="3:7" x14ac:dyDescent="0.25">
      <c r="C425"/>
      <c r="D425"/>
      <c r="F425" s="1"/>
      <c r="G425"/>
    </row>
    <row r="426" spans="3:7" x14ac:dyDescent="0.25">
      <c r="C426"/>
      <c r="D426"/>
      <c r="F426" s="1"/>
      <c r="G426"/>
    </row>
    <row r="427" spans="3:7" x14ac:dyDescent="0.25">
      <c r="C427"/>
      <c r="D427"/>
      <c r="F427" s="1"/>
      <c r="G427"/>
    </row>
    <row r="428" spans="3:7" x14ac:dyDescent="0.25">
      <c r="C428"/>
      <c r="D428"/>
      <c r="F428" s="1"/>
      <c r="G428"/>
    </row>
    <row r="429" spans="3:7" x14ac:dyDescent="0.25">
      <c r="C429"/>
      <c r="D429"/>
      <c r="F429" s="1"/>
      <c r="G429"/>
    </row>
    <row r="430" spans="3:7" x14ac:dyDescent="0.25">
      <c r="C430"/>
      <c r="D430"/>
      <c r="F430" s="1"/>
      <c r="G430"/>
    </row>
    <row r="431" spans="3:7" x14ac:dyDescent="0.25">
      <c r="C431"/>
      <c r="D431"/>
      <c r="F431" s="1"/>
      <c r="G431"/>
    </row>
    <row r="432" spans="3:7" x14ac:dyDescent="0.25">
      <c r="C432"/>
      <c r="D432"/>
      <c r="F432" s="1"/>
      <c r="G432"/>
    </row>
    <row r="433" spans="3:7" x14ac:dyDescent="0.25">
      <c r="C433"/>
      <c r="D433"/>
      <c r="F433" s="1"/>
      <c r="G433"/>
    </row>
    <row r="434" spans="3:7" x14ac:dyDescent="0.25">
      <c r="C434"/>
      <c r="D434"/>
      <c r="F434" s="1"/>
      <c r="G434"/>
    </row>
    <row r="435" spans="3:7" x14ac:dyDescent="0.25">
      <c r="C435"/>
      <c r="D435"/>
      <c r="F435" s="1"/>
      <c r="G435"/>
    </row>
    <row r="436" spans="3:7" x14ac:dyDescent="0.25">
      <c r="C436"/>
      <c r="D436"/>
      <c r="F436" s="1"/>
      <c r="G436"/>
    </row>
    <row r="437" spans="3:7" x14ac:dyDescent="0.25">
      <c r="C437"/>
      <c r="D437"/>
      <c r="F437" s="1"/>
      <c r="G437"/>
    </row>
    <row r="438" spans="3:7" x14ac:dyDescent="0.25">
      <c r="C438"/>
      <c r="D438"/>
      <c r="F438" s="1"/>
      <c r="G438"/>
    </row>
    <row r="439" spans="3:7" x14ac:dyDescent="0.25">
      <c r="C439"/>
      <c r="D439"/>
      <c r="F439" s="1"/>
      <c r="G439"/>
    </row>
    <row r="440" spans="3:7" x14ac:dyDescent="0.25">
      <c r="C440"/>
      <c r="D440"/>
      <c r="F440" s="1"/>
      <c r="G440"/>
    </row>
    <row r="441" spans="3:7" x14ac:dyDescent="0.25">
      <c r="C441"/>
      <c r="D441"/>
      <c r="F441" s="1"/>
      <c r="G441"/>
    </row>
    <row r="442" spans="3:7" x14ac:dyDescent="0.25">
      <c r="C442"/>
      <c r="D442"/>
      <c r="F442" s="1"/>
      <c r="G442"/>
    </row>
    <row r="443" spans="3:7" x14ac:dyDescent="0.25">
      <c r="C443"/>
      <c r="D443"/>
      <c r="F443" s="1"/>
      <c r="G443"/>
    </row>
    <row r="444" spans="3:7" x14ac:dyDescent="0.25">
      <c r="C444"/>
      <c r="D444"/>
      <c r="F444" s="1"/>
      <c r="G444"/>
    </row>
    <row r="445" spans="3:7" x14ac:dyDescent="0.25">
      <c r="C445"/>
      <c r="D445"/>
      <c r="F445" s="1"/>
      <c r="G445"/>
    </row>
    <row r="446" spans="3:7" x14ac:dyDescent="0.25">
      <c r="C446"/>
      <c r="D446"/>
      <c r="F446" s="1"/>
      <c r="G446"/>
    </row>
    <row r="447" spans="3:7" x14ac:dyDescent="0.25">
      <c r="C447"/>
      <c r="D447"/>
      <c r="F447" s="1"/>
      <c r="G447"/>
    </row>
    <row r="448" spans="3:7" x14ac:dyDescent="0.25">
      <c r="C448"/>
      <c r="D448"/>
      <c r="F448" s="1"/>
      <c r="G448"/>
    </row>
    <row r="449" spans="3:7" x14ac:dyDescent="0.25">
      <c r="C449"/>
      <c r="D449"/>
      <c r="F449" s="1"/>
      <c r="G449"/>
    </row>
    <row r="450" spans="3:7" x14ac:dyDescent="0.25">
      <c r="C450"/>
      <c r="D450"/>
      <c r="F450" s="1"/>
      <c r="G450"/>
    </row>
    <row r="451" spans="3:7" x14ac:dyDescent="0.25">
      <c r="C451"/>
      <c r="D451"/>
      <c r="F451" s="1"/>
      <c r="G451"/>
    </row>
    <row r="452" spans="3:7" x14ac:dyDescent="0.25">
      <c r="C452"/>
      <c r="D452"/>
      <c r="F452" s="1"/>
      <c r="G452"/>
    </row>
    <row r="453" spans="3:7" x14ac:dyDescent="0.25">
      <c r="C453"/>
      <c r="D453"/>
      <c r="F453" s="1"/>
      <c r="G453"/>
    </row>
    <row r="454" spans="3:7" x14ac:dyDescent="0.25">
      <c r="C454"/>
      <c r="D454"/>
      <c r="F454" s="1"/>
      <c r="G454"/>
    </row>
    <row r="455" spans="3:7" x14ac:dyDescent="0.25">
      <c r="C455"/>
      <c r="D455"/>
      <c r="F455" s="1"/>
      <c r="G455"/>
    </row>
    <row r="456" spans="3:7" x14ac:dyDescent="0.25">
      <c r="C456"/>
      <c r="D456"/>
      <c r="F456" s="1"/>
      <c r="G456"/>
    </row>
    <row r="457" spans="3:7" x14ac:dyDescent="0.25">
      <c r="C457"/>
      <c r="D457"/>
      <c r="F457" s="1"/>
      <c r="G457"/>
    </row>
    <row r="458" spans="3:7" x14ac:dyDescent="0.25">
      <c r="C458"/>
      <c r="D458"/>
      <c r="F458" s="1"/>
      <c r="G458"/>
    </row>
    <row r="459" spans="3:7" x14ac:dyDescent="0.25">
      <c r="C459"/>
      <c r="D459"/>
      <c r="F459" s="1"/>
      <c r="G459"/>
    </row>
    <row r="460" spans="3:7" x14ac:dyDescent="0.25">
      <c r="C460"/>
      <c r="D460"/>
      <c r="F460" s="1"/>
      <c r="G460"/>
    </row>
    <row r="461" spans="3:7" x14ac:dyDescent="0.25">
      <c r="C461"/>
      <c r="D461"/>
      <c r="F461" s="1"/>
      <c r="G461"/>
    </row>
    <row r="462" spans="3:7" x14ac:dyDescent="0.25">
      <c r="C462"/>
      <c r="D462"/>
      <c r="F462" s="1"/>
      <c r="G462"/>
    </row>
    <row r="463" spans="3:7" x14ac:dyDescent="0.25">
      <c r="C463"/>
      <c r="D463"/>
      <c r="F463" s="1"/>
      <c r="G463"/>
    </row>
    <row r="464" spans="3:7" x14ac:dyDescent="0.25">
      <c r="C464"/>
      <c r="D464"/>
      <c r="F464" s="1"/>
      <c r="G464"/>
    </row>
    <row r="465" spans="3:7" x14ac:dyDescent="0.25">
      <c r="C465"/>
      <c r="D465"/>
      <c r="F465" s="1"/>
      <c r="G465"/>
    </row>
    <row r="466" spans="3:7" x14ac:dyDescent="0.25">
      <c r="C466"/>
      <c r="D466"/>
      <c r="F466" s="1"/>
      <c r="G466"/>
    </row>
    <row r="467" spans="3:7" x14ac:dyDescent="0.25">
      <c r="C467"/>
      <c r="D467"/>
      <c r="F467" s="1"/>
      <c r="G467"/>
    </row>
    <row r="468" spans="3:7" x14ac:dyDescent="0.25">
      <c r="C468"/>
      <c r="D468"/>
      <c r="F468" s="1"/>
      <c r="G468"/>
    </row>
    <row r="469" spans="3:7" x14ac:dyDescent="0.25">
      <c r="C469"/>
      <c r="D469"/>
      <c r="F469" s="1"/>
      <c r="G469"/>
    </row>
    <row r="470" spans="3:7" x14ac:dyDescent="0.25">
      <c r="C470"/>
      <c r="D470"/>
      <c r="F470" s="1"/>
      <c r="G470"/>
    </row>
    <row r="471" spans="3:7" x14ac:dyDescent="0.25">
      <c r="C471"/>
      <c r="D471"/>
      <c r="F471" s="1"/>
      <c r="G471"/>
    </row>
    <row r="472" spans="3:7" x14ac:dyDescent="0.25">
      <c r="C472"/>
      <c r="D472"/>
      <c r="F472" s="1"/>
      <c r="G472"/>
    </row>
    <row r="473" spans="3:7" x14ac:dyDescent="0.25">
      <c r="C473"/>
      <c r="D473"/>
      <c r="F473" s="1"/>
      <c r="G473"/>
    </row>
    <row r="474" spans="3:7" x14ac:dyDescent="0.25">
      <c r="C474"/>
      <c r="D474"/>
      <c r="F474" s="1"/>
      <c r="G474"/>
    </row>
    <row r="475" spans="3:7" x14ac:dyDescent="0.25">
      <c r="C475"/>
      <c r="D475"/>
      <c r="F475" s="1"/>
      <c r="G475"/>
    </row>
    <row r="476" spans="3:7" x14ac:dyDescent="0.25">
      <c r="C476"/>
      <c r="D476"/>
      <c r="F476" s="1"/>
      <c r="G476"/>
    </row>
    <row r="477" spans="3:7" x14ac:dyDescent="0.25">
      <c r="C477"/>
      <c r="D477"/>
      <c r="F477" s="1"/>
      <c r="G477"/>
    </row>
    <row r="478" spans="3:7" x14ac:dyDescent="0.25">
      <c r="C478"/>
      <c r="D478"/>
      <c r="F478" s="1"/>
      <c r="G478"/>
    </row>
    <row r="479" spans="3:7" x14ac:dyDescent="0.25">
      <c r="C479"/>
      <c r="D479"/>
      <c r="F479" s="1"/>
      <c r="G479"/>
    </row>
    <row r="480" spans="3:7" x14ac:dyDescent="0.25">
      <c r="C480"/>
      <c r="D480"/>
      <c r="F480" s="1"/>
      <c r="G480"/>
    </row>
    <row r="481" spans="3:7" x14ac:dyDescent="0.25">
      <c r="C481"/>
      <c r="D481"/>
      <c r="F481" s="1"/>
      <c r="G481"/>
    </row>
    <row r="482" spans="3:7" x14ac:dyDescent="0.25">
      <c r="C482"/>
      <c r="D482"/>
      <c r="F482" s="1"/>
      <c r="G482"/>
    </row>
    <row r="483" spans="3:7" x14ac:dyDescent="0.25">
      <c r="C483"/>
      <c r="D483"/>
      <c r="F483" s="1"/>
      <c r="G483"/>
    </row>
    <row r="484" spans="3:7" x14ac:dyDescent="0.25">
      <c r="C484"/>
      <c r="D484"/>
      <c r="F484" s="1"/>
      <c r="G484"/>
    </row>
    <row r="485" spans="3:7" x14ac:dyDescent="0.25">
      <c r="C485"/>
      <c r="D485"/>
      <c r="F485" s="1"/>
      <c r="G485"/>
    </row>
    <row r="486" spans="3:7" x14ac:dyDescent="0.25">
      <c r="C486"/>
      <c r="D486"/>
      <c r="F486" s="1"/>
      <c r="G486"/>
    </row>
    <row r="487" spans="3:7" x14ac:dyDescent="0.25">
      <c r="C487"/>
      <c r="D487"/>
      <c r="F487" s="1"/>
      <c r="G487"/>
    </row>
    <row r="488" spans="3:7" x14ac:dyDescent="0.25">
      <c r="C488"/>
      <c r="D488"/>
      <c r="F488" s="1"/>
      <c r="G488"/>
    </row>
    <row r="489" spans="3:7" x14ac:dyDescent="0.25">
      <c r="C489"/>
      <c r="D489"/>
      <c r="F489" s="1"/>
      <c r="G489"/>
    </row>
    <row r="490" spans="3:7" x14ac:dyDescent="0.25">
      <c r="C490"/>
      <c r="D490"/>
      <c r="F490" s="1"/>
      <c r="G490"/>
    </row>
    <row r="491" spans="3:7" x14ac:dyDescent="0.25">
      <c r="C491"/>
      <c r="D491"/>
      <c r="F491" s="1"/>
      <c r="G491"/>
    </row>
    <row r="492" spans="3:7" x14ac:dyDescent="0.25">
      <c r="C492"/>
      <c r="D492"/>
      <c r="F492" s="1"/>
      <c r="G492"/>
    </row>
    <row r="493" spans="3:7" x14ac:dyDescent="0.25">
      <c r="C493"/>
      <c r="D493"/>
      <c r="F493" s="1"/>
      <c r="G493"/>
    </row>
    <row r="494" spans="3:7" x14ac:dyDescent="0.25">
      <c r="C494"/>
      <c r="D494"/>
      <c r="F494" s="1"/>
      <c r="G494"/>
    </row>
    <row r="495" spans="3:7" x14ac:dyDescent="0.25">
      <c r="C495"/>
      <c r="D495"/>
      <c r="F495" s="1"/>
      <c r="G495"/>
    </row>
    <row r="496" spans="3:7" x14ac:dyDescent="0.25">
      <c r="C496"/>
      <c r="D496"/>
      <c r="F496" s="1"/>
      <c r="G496"/>
    </row>
    <row r="497" spans="3:7" x14ac:dyDescent="0.25">
      <c r="C497"/>
      <c r="D497"/>
      <c r="F497" s="1"/>
      <c r="G497"/>
    </row>
    <row r="498" spans="3:7" x14ac:dyDescent="0.25">
      <c r="C498"/>
      <c r="D498"/>
      <c r="F498" s="1"/>
      <c r="G498"/>
    </row>
    <row r="499" spans="3:7" x14ac:dyDescent="0.25">
      <c r="C499"/>
      <c r="D499"/>
      <c r="F499" s="1"/>
      <c r="G499"/>
    </row>
    <row r="500" spans="3:7" x14ac:dyDescent="0.25">
      <c r="C500"/>
      <c r="D500"/>
      <c r="F500" s="1"/>
      <c r="G500"/>
    </row>
    <row r="501" spans="3:7" x14ac:dyDescent="0.25">
      <c r="C501"/>
      <c r="D501"/>
      <c r="F501" s="1"/>
      <c r="G501"/>
    </row>
    <row r="502" spans="3:7" x14ac:dyDescent="0.25">
      <c r="C502"/>
      <c r="D502"/>
      <c r="F502" s="1"/>
      <c r="G502"/>
    </row>
    <row r="503" spans="3:7" x14ac:dyDescent="0.25">
      <c r="C503"/>
      <c r="D503"/>
      <c r="F503" s="1"/>
      <c r="G503"/>
    </row>
    <row r="504" spans="3:7" x14ac:dyDescent="0.25">
      <c r="C504"/>
      <c r="D504"/>
      <c r="F504" s="1"/>
      <c r="G504"/>
    </row>
    <row r="505" spans="3:7" x14ac:dyDescent="0.25">
      <c r="C505"/>
      <c r="D505"/>
      <c r="F505" s="1"/>
      <c r="G505"/>
    </row>
    <row r="506" spans="3:7" x14ac:dyDescent="0.25">
      <c r="C506"/>
      <c r="D506"/>
      <c r="F506" s="1"/>
      <c r="G506"/>
    </row>
    <row r="507" spans="3:7" x14ac:dyDescent="0.25">
      <c r="C507"/>
      <c r="D507"/>
      <c r="F507" s="1"/>
      <c r="G507"/>
    </row>
    <row r="508" spans="3:7" x14ac:dyDescent="0.25">
      <c r="C508"/>
      <c r="D508"/>
      <c r="F508" s="1"/>
      <c r="G508"/>
    </row>
    <row r="509" spans="3:7" x14ac:dyDescent="0.25">
      <c r="C509"/>
      <c r="D509"/>
      <c r="F509" s="1"/>
      <c r="G509"/>
    </row>
    <row r="510" spans="3:7" x14ac:dyDescent="0.25">
      <c r="C510"/>
      <c r="D510"/>
      <c r="F510" s="1"/>
      <c r="G510"/>
    </row>
    <row r="511" spans="3:7" x14ac:dyDescent="0.25">
      <c r="C511"/>
      <c r="D511"/>
      <c r="F511" s="1"/>
      <c r="G511"/>
    </row>
    <row r="512" spans="3:7" x14ac:dyDescent="0.25">
      <c r="C512"/>
      <c r="D512"/>
      <c r="F512" s="1"/>
      <c r="G512"/>
    </row>
    <row r="513" spans="3:7" x14ac:dyDescent="0.25">
      <c r="C513"/>
      <c r="D513"/>
      <c r="F513" s="1"/>
      <c r="G513"/>
    </row>
    <row r="514" spans="3:7" x14ac:dyDescent="0.25">
      <c r="C514"/>
      <c r="D514"/>
      <c r="F514" s="1"/>
      <c r="G514"/>
    </row>
    <row r="515" spans="3:7" x14ac:dyDescent="0.25">
      <c r="C515"/>
      <c r="D515"/>
      <c r="F515" s="1"/>
      <c r="G515"/>
    </row>
    <row r="516" spans="3:7" x14ac:dyDescent="0.25">
      <c r="C516"/>
      <c r="D516"/>
      <c r="F516" s="1"/>
      <c r="G516"/>
    </row>
    <row r="517" spans="3:7" x14ac:dyDescent="0.25">
      <c r="C517"/>
      <c r="D517"/>
      <c r="F517" s="1"/>
      <c r="G517"/>
    </row>
    <row r="518" spans="3:7" x14ac:dyDescent="0.25">
      <c r="C518"/>
      <c r="D518"/>
      <c r="F518" s="1"/>
      <c r="G518"/>
    </row>
    <row r="519" spans="3:7" x14ac:dyDescent="0.25">
      <c r="C519"/>
      <c r="D519"/>
      <c r="F519" s="1"/>
      <c r="G519"/>
    </row>
    <row r="520" spans="3:7" x14ac:dyDescent="0.25">
      <c r="C520"/>
      <c r="D520"/>
      <c r="F520" s="1"/>
      <c r="G520"/>
    </row>
    <row r="521" spans="3:7" x14ac:dyDescent="0.25">
      <c r="C521"/>
      <c r="D521"/>
      <c r="F521" s="1"/>
      <c r="G521"/>
    </row>
    <row r="522" spans="3:7" x14ac:dyDescent="0.25">
      <c r="C522"/>
      <c r="D522"/>
      <c r="F522" s="1"/>
      <c r="G522"/>
    </row>
    <row r="523" spans="3:7" x14ac:dyDescent="0.25">
      <c r="C523"/>
      <c r="D523"/>
      <c r="F523" s="1"/>
      <c r="G523"/>
    </row>
    <row r="524" spans="3:7" x14ac:dyDescent="0.25">
      <c r="C524"/>
      <c r="D524"/>
      <c r="F524" s="1"/>
      <c r="G524"/>
    </row>
    <row r="525" spans="3:7" x14ac:dyDescent="0.25">
      <c r="C525"/>
      <c r="D525"/>
      <c r="F525" s="1"/>
      <c r="G525"/>
    </row>
    <row r="526" spans="3:7" x14ac:dyDescent="0.25">
      <c r="C526"/>
      <c r="D526"/>
      <c r="F526" s="1"/>
      <c r="G526"/>
    </row>
    <row r="527" spans="3:7" x14ac:dyDescent="0.25">
      <c r="C527"/>
      <c r="D527"/>
      <c r="F527" s="1"/>
      <c r="G527"/>
    </row>
    <row r="528" spans="3:7" x14ac:dyDescent="0.25">
      <c r="C528"/>
      <c r="D528"/>
      <c r="F528" s="1"/>
      <c r="G528"/>
    </row>
    <row r="529" spans="3:7" x14ac:dyDescent="0.25">
      <c r="C529"/>
      <c r="D529"/>
      <c r="F529" s="1"/>
      <c r="G529"/>
    </row>
    <row r="530" spans="3:7" x14ac:dyDescent="0.25">
      <c r="C530"/>
      <c r="D530"/>
      <c r="F530" s="1"/>
      <c r="G530"/>
    </row>
    <row r="531" spans="3:7" x14ac:dyDescent="0.25">
      <c r="C531"/>
      <c r="D531"/>
      <c r="F531" s="1"/>
      <c r="G531"/>
    </row>
    <row r="532" spans="3:7" x14ac:dyDescent="0.25">
      <c r="C532"/>
      <c r="D532"/>
      <c r="F532" s="1"/>
      <c r="G532"/>
    </row>
    <row r="533" spans="3:7" x14ac:dyDescent="0.25">
      <c r="C533"/>
      <c r="D533"/>
      <c r="F533" s="1"/>
      <c r="G533"/>
    </row>
    <row r="534" spans="3:7" x14ac:dyDescent="0.25">
      <c r="C534"/>
      <c r="D534"/>
      <c r="F534" s="1"/>
      <c r="G534"/>
    </row>
    <row r="535" spans="3:7" x14ac:dyDescent="0.25">
      <c r="C535"/>
      <c r="D535"/>
      <c r="F535" s="1"/>
      <c r="G535"/>
    </row>
    <row r="536" spans="3:7" x14ac:dyDescent="0.25">
      <c r="C536"/>
      <c r="D536"/>
      <c r="F536" s="1"/>
      <c r="G536"/>
    </row>
    <row r="537" spans="3:7" x14ac:dyDescent="0.25">
      <c r="C537"/>
      <c r="D537"/>
      <c r="F537" s="1"/>
      <c r="G537"/>
    </row>
    <row r="538" spans="3:7" x14ac:dyDescent="0.25">
      <c r="C538"/>
      <c r="D538"/>
      <c r="F538" s="1"/>
      <c r="G538"/>
    </row>
    <row r="539" spans="3:7" x14ac:dyDescent="0.25">
      <c r="C539"/>
      <c r="D539"/>
      <c r="F539" s="1"/>
      <c r="G539"/>
    </row>
    <row r="540" spans="3:7" x14ac:dyDescent="0.25">
      <c r="C540"/>
      <c r="D540"/>
      <c r="F540" s="1"/>
      <c r="G540"/>
    </row>
    <row r="541" spans="3:7" x14ac:dyDescent="0.25">
      <c r="C541"/>
      <c r="D541"/>
      <c r="F541" s="1"/>
      <c r="G541"/>
    </row>
    <row r="542" spans="3:7" x14ac:dyDescent="0.25">
      <c r="C542"/>
      <c r="D542"/>
      <c r="F542" s="1"/>
      <c r="G542"/>
    </row>
    <row r="543" spans="3:7" x14ac:dyDescent="0.25">
      <c r="C543"/>
      <c r="D543"/>
      <c r="F543" s="1"/>
      <c r="G543"/>
    </row>
    <row r="544" spans="3:7" x14ac:dyDescent="0.25">
      <c r="C544"/>
      <c r="D544"/>
      <c r="F544" s="1"/>
      <c r="G544"/>
    </row>
    <row r="545" spans="3:7" x14ac:dyDescent="0.25">
      <c r="C545"/>
      <c r="D545"/>
      <c r="F545" s="1"/>
      <c r="G545"/>
    </row>
    <row r="546" spans="3:7" x14ac:dyDescent="0.25">
      <c r="C546"/>
      <c r="D546"/>
      <c r="F546" s="1"/>
      <c r="G546"/>
    </row>
    <row r="547" spans="3:7" x14ac:dyDescent="0.25">
      <c r="C547"/>
      <c r="D547"/>
      <c r="F547" s="1"/>
      <c r="G547"/>
    </row>
    <row r="548" spans="3:7" x14ac:dyDescent="0.25">
      <c r="C548"/>
      <c r="D548"/>
      <c r="F548" s="1"/>
      <c r="G548"/>
    </row>
    <row r="549" spans="3:7" x14ac:dyDescent="0.25">
      <c r="C549"/>
      <c r="D549"/>
      <c r="F549" s="1"/>
      <c r="G549"/>
    </row>
    <row r="550" spans="3:7" x14ac:dyDescent="0.25">
      <c r="C550"/>
      <c r="D550"/>
      <c r="F550" s="1"/>
      <c r="G550"/>
    </row>
    <row r="551" spans="3:7" x14ac:dyDescent="0.25">
      <c r="C551"/>
      <c r="D551"/>
      <c r="F551" s="1"/>
      <c r="G551"/>
    </row>
    <row r="552" spans="3:7" x14ac:dyDescent="0.25">
      <c r="C552"/>
      <c r="D552"/>
      <c r="F552" s="1"/>
      <c r="G552"/>
    </row>
    <row r="553" spans="3:7" x14ac:dyDescent="0.25">
      <c r="C553"/>
      <c r="D553"/>
      <c r="F553" s="1"/>
      <c r="G553"/>
    </row>
    <row r="554" spans="3:7" x14ac:dyDescent="0.25">
      <c r="C554"/>
      <c r="D554"/>
      <c r="F554" s="1"/>
      <c r="G554"/>
    </row>
    <row r="555" spans="3:7" x14ac:dyDescent="0.25">
      <c r="C555"/>
      <c r="D555"/>
      <c r="F555" s="1"/>
      <c r="G555"/>
    </row>
    <row r="556" spans="3:7" x14ac:dyDescent="0.25">
      <c r="C556"/>
      <c r="D556"/>
      <c r="F556" s="1"/>
      <c r="G556"/>
    </row>
    <row r="557" spans="3:7" x14ac:dyDescent="0.25">
      <c r="C557"/>
      <c r="D557"/>
      <c r="F557" s="1"/>
      <c r="G557"/>
    </row>
    <row r="558" spans="3:7" x14ac:dyDescent="0.25">
      <c r="C558"/>
      <c r="D558"/>
      <c r="F558" s="1"/>
      <c r="G558"/>
    </row>
    <row r="559" spans="3:7" x14ac:dyDescent="0.25">
      <c r="C559"/>
      <c r="D559"/>
      <c r="F559" s="1"/>
      <c r="G559"/>
    </row>
    <row r="560" spans="3:7" x14ac:dyDescent="0.25">
      <c r="C560"/>
      <c r="D560"/>
      <c r="F560" s="1"/>
      <c r="G560"/>
    </row>
    <row r="561" spans="3:7" x14ac:dyDescent="0.25">
      <c r="C561"/>
      <c r="D561"/>
      <c r="F561" s="1"/>
      <c r="G561"/>
    </row>
    <row r="562" spans="3:7" x14ac:dyDescent="0.25">
      <c r="C562"/>
      <c r="D562"/>
      <c r="F562" s="1"/>
      <c r="G562"/>
    </row>
    <row r="563" spans="3:7" x14ac:dyDescent="0.25">
      <c r="C563"/>
      <c r="D563"/>
      <c r="F563" s="1"/>
      <c r="G563"/>
    </row>
    <row r="564" spans="3:7" x14ac:dyDescent="0.25">
      <c r="C564"/>
      <c r="D564"/>
      <c r="F564" s="1"/>
      <c r="G564"/>
    </row>
    <row r="565" spans="3:7" x14ac:dyDescent="0.25">
      <c r="C565"/>
      <c r="D565"/>
      <c r="F565" s="1"/>
      <c r="G565"/>
    </row>
    <row r="566" spans="3:7" x14ac:dyDescent="0.25">
      <c r="C566"/>
      <c r="D566"/>
      <c r="F566" s="1"/>
      <c r="G566"/>
    </row>
    <row r="567" spans="3:7" x14ac:dyDescent="0.25">
      <c r="C567"/>
      <c r="D567"/>
      <c r="F567" s="1"/>
      <c r="G567"/>
    </row>
    <row r="568" spans="3:7" x14ac:dyDescent="0.25">
      <c r="C568"/>
      <c r="D568"/>
      <c r="F568" s="1"/>
      <c r="G568"/>
    </row>
    <row r="569" spans="3:7" x14ac:dyDescent="0.25">
      <c r="C569"/>
      <c r="D569"/>
      <c r="F569" s="1"/>
      <c r="G569"/>
    </row>
    <row r="570" spans="3:7" x14ac:dyDescent="0.25">
      <c r="C570"/>
      <c r="D570"/>
      <c r="F570" s="1"/>
      <c r="G570"/>
    </row>
    <row r="571" spans="3:7" x14ac:dyDescent="0.25">
      <c r="C571"/>
      <c r="D571"/>
      <c r="F571" s="1"/>
      <c r="G571"/>
    </row>
    <row r="572" spans="3:7" x14ac:dyDescent="0.25">
      <c r="C572"/>
      <c r="D572"/>
      <c r="F572" s="1"/>
      <c r="G572"/>
    </row>
    <row r="573" spans="3:7" x14ac:dyDescent="0.25">
      <c r="C573"/>
      <c r="D573"/>
      <c r="F573" s="1"/>
      <c r="G573"/>
    </row>
    <row r="574" spans="3:7" x14ac:dyDescent="0.25">
      <c r="C574"/>
      <c r="D574"/>
      <c r="F574" s="1"/>
      <c r="G574"/>
    </row>
    <row r="575" spans="3:7" x14ac:dyDescent="0.25">
      <c r="C575"/>
      <c r="D575"/>
      <c r="F575" s="1"/>
      <c r="G575"/>
    </row>
    <row r="576" spans="3:7" x14ac:dyDescent="0.25">
      <c r="C576"/>
      <c r="D576"/>
      <c r="F576" s="1"/>
      <c r="G576"/>
    </row>
    <row r="577" spans="3:7" x14ac:dyDescent="0.25">
      <c r="C577"/>
      <c r="D577"/>
      <c r="F577" s="1"/>
      <c r="G577"/>
    </row>
    <row r="578" spans="3:7" x14ac:dyDescent="0.25">
      <c r="C578"/>
      <c r="D578"/>
      <c r="F578" s="1"/>
      <c r="G578"/>
    </row>
    <row r="579" spans="3:7" x14ac:dyDescent="0.25">
      <c r="C579"/>
      <c r="D579"/>
      <c r="F579" s="1"/>
      <c r="G579"/>
    </row>
    <row r="580" spans="3:7" x14ac:dyDescent="0.25">
      <c r="C580"/>
      <c r="D580"/>
      <c r="F580" s="1"/>
      <c r="G580"/>
    </row>
    <row r="581" spans="3:7" x14ac:dyDescent="0.25">
      <c r="C581"/>
      <c r="D581"/>
      <c r="F581" s="1"/>
      <c r="G581"/>
    </row>
    <row r="582" spans="3:7" x14ac:dyDescent="0.25">
      <c r="C582"/>
      <c r="D582"/>
      <c r="F582" s="1"/>
      <c r="G582"/>
    </row>
    <row r="583" spans="3:7" x14ac:dyDescent="0.25">
      <c r="C583"/>
      <c r="D583"/>
      <c r="F583" s="1"/>
      <c r="G583"/>
    </row>
    <row r="584" spans="3:7" x14ac:dyDescent="0.25">
      <c r="C584"/>
      <c r="D584"/>
      <c r="F584" s="1"/>
      <c r="G584"/>
    </row>
    <row r="585" spans="3:7" x14ac:dyDescent="0.25">
      <c r="C585"/>
      <c r="D585"/>
      <c r="F585" s="1"/>
      <c r="G585"/>
    </row>
    <row r="586" spans="3:7" x14ac:dyDescent="0.25">
      <c r="C586"/>
      <c r="D586"/>
      <c r="F586" s="1"/>
      <c r="G586"/>
    </row>
    <row r="587" spans="3:7" x14ac:dyDescent="0.25">
      <c r="C587"/>
      <c r="D587"/>
      <c r="F587" s="1"/>
      <c r="G587"/>
    </row>
    <row r="588" spans="3:7" x14ac:dyDescent="0.25">
      <c r="C588"/>
      <c r="D588"/>
      <c r="F588" s="1"/>
      <c r="G588"/>
    </row>
    <row r="589" spans="3:7" x14ac:dyDescent="0.25">
      <c r="C589"/>
      <c r="D589"/>
      <c r="F589" s="1"/>
      <c r="G589"/>
    </row>
    <row r="590" spans="3:7" x14ac:dyDescent="0.25">
      <c r="C590"/>
      <c r="D590"/>
      <c r="F590" s="1"/>
      <c r="G590"/>
    </row>
    <row r="591" spans="3:7" x14ac:dyDescent="0.25">
      <c r="C591"/>
      <c r="D591"/>
      <c r="F591" s="1"/>
      <c r="G591"/>
    </row>
    <row r="592" spans="3:7" x14ac:dyDescent="0.25">
      <c r="C592"/>
      <c r="D592"/>
      <c r="F592" s="1"/>
      <c r="G592"/>
    </row>
    <row r="593" spans="3:7" x14ac:dyDescent="0.25">
      <c r="C593"/>
      <c r="D593"/>
      <c r="F593" s="1"/>
      <c r="G593"/>
    </row>
    <row r="594" spans="3:7" x14ac:dyDescent="0.25">
      <c r="C594"/>
      <c r="D594"/>
      <c r="F594" s="1"/>
      <c r="G594"/>
    </row>
    <row r="595" spans="3:7" x14ac:dyDescent="0.25">
      <c r="C595"/>
      <c r="D595"/>
      <c r="F595" s="1"/>
      <c r="G595"/>
    </row>
    <row r="596" spans="3:7" x14ac:dyDescent="0.25">
      <c r="C596"/>
      <c r="D596"/>
      <c r="F596" s="1"/>
      <c r="G596"/>
    </row>
    <row r="597" spans="3:7" x14ac:dyDescent="0.25">
      <c r="C597"/>
      <c r="D597"/>
      <c r="F597" s="1"/>
      <c r="G597"/>
    </row>
    <row r="598" spans="3:7" x14ac:dyDescent="0.25">
      <c r="C598"/>
      <c r="D598"/>
      <c r="F598" s="1"/>
      <c r="G598"/>
    </row>
    <row r="599" spans="3:7" x14ac:dyDescent="0.25">
      <c r="C599"/>
      <c r="D599"/>
      <c r="F599" s="1"/>
      <c r="G599"/>
    </row>
    <row r="600" spans="3:7" x14ac:dyDescent="0.25">
      <c r="C600"/>
      <c r="D600"/>
      <c r="F600" s="1"/>
      <c r="G600"/>
    </row>
    <row r="601" spans="3:7" x14ac:dyDescent="0.25">
      <c r="C601"/>
      <c r="D601"/>
      <c r="F601" s="1"/>
      <c r="G601"/>
    </row>
    <row r="602" spans="3:7" x14ac:dyDescent="0.25">
      <c r="C602"/>
      <c r="D602"/>
      <c r="F602" s="1"/>
      <c r="G602"/>
    </row>
    <row r="603" spans="3:7" x14ac:dyDescent="0.25">
      <c r="C603"/>
      <c r="D603"/>
      <c r="F603" s="1"/>
      <c r="G603"/>
    </row>
    <row r="604" spans="3:7" x14ac:dyDescent="0.25">
      <c r="C604"/>
      <c r="D604"/>
      <c r="F604" s="1"/>
      <c r="G604"/>
    </row>
    <row r="605" spans="3:7" x14ac:dyDescent="0.25">
      <c r="C605"/>
      <c r="D605"/>
      <c r="F605" s="1"/>
      <c r="G605"/>
    </row>
    <row r="606" spans="3:7" x14ac:dyDescent="0.25">
      <c r="C606"/>
      <c r="D606"/>
      <c r="F606" s="1"/>
      <c r="G606"/>
    </row>
    <row r="607" spans="3:7" x14ac:dyDescent="0.25">
      <c r="C607"/>
      <c r="D607"/>
      <c r="F607" s="1"/>
      <c r="G607"/>
    </row>
    <row r="608" spans="3:7" x14ac:dyDescent="0.25">
      <c r="C608"/>
      <c r="D608"/>
      <c r="F608" s="1"/>
      <c r="G608"/>
    </row>
    <row r="609" spans="3:7" x14ac:dyDescent="0.25">
      <c r="C609"/>
      <c r="D609"/>
      <c r="F609" s="1"/>
      <c r="G609"/>
    </row>
    <row r="610" spans="3:7" x14ac:dyDescent="0.25">
      <c r="C610"/>
      <c r="D610"/>
      <c r="F610" s="1"/>
      <c r="G610"/>
    </row>
    <row r="611" spans="3:7" x14ac:dyDescent="0.25">
      <c r="C611"/>
      <c r="D611"/>
      <c r="F611" s="1"/>
      <c r="G611"/>
    </row>
    <row r="612" spans="3:7" x14ac:dyDescent="0.25">
      <c r="C612"/>
      <c r="D612"/>
      <c r="F612" s="1"/>
      <c r="G612"/>
    </row>
    <row r="613" spans="3:7" x14ac:dyDescent="0.25">
      <c r="C613"/>
      <c r="D613"/>
      <c r="F613" s="1"/>
      <c r="G613"/>
    </row>
    <row r="614" spans="3:7" x14ac:dyDescent="0.25">
      <c r="C614"/>
      <c r="D614"/>
      <c r="F614" s="1"/>
      <c r="G614"/>
    </row>
    <row r="615" spans="3:7" x14ac:dyDescent="0.25">
      <c r="C615"/>
      <c r="D615"/>
      <c r="F615" s="1"/>
      <c r="G615"/>
    </row>
    <row r="616" spans="3:7" x14ac:dyDescent="0.25">
      <c r="C616"/>
      <c r="D616"/>
      <c r="F616" s="1"/>
      <c r="G616"/>
    </row>
    <row r="617" spans="3:7" x14ac:dyDescent="0.25">
      <c r="C617"/>
      <c r="D617"/>
      <c r="F617" s="1"/>
      <c r="G617"/>
    </row>
    <row r="618" spans="3:7" x14ac:dyDescent="0.25">
      <c r="C618"/>
      <c r="D618"/>
      <c r="F618" s="1"/>
      <c r="G618"/>
    </row>
    <row r="619" spans="3:7" x14ac:dyDescent="0.25">
      <c r="C619"/>
      <c r="D619"/>
      <c r="F619" s="1"/>
      <c r="G619"/>
    </row>
    <row r="620" spans="3:7" x14ac:dyDescent="0.25">
      <c r="C620"/>
      <c r="D620"/>
      <c r="F620" s="1"/>
      <c r="G620"/>
    </row>
    <row r="621" spans="3:7" x14ac:dyDescent="0.25">
      <c r="C621"/>
      <c r="D621"/>
      <c r="F621" s="1"/>
      <c r="G621"/>
    </row>
    <row r="622" spans="3:7" x14ac:dyDescent="0.25">
      <c r="C622"/>
      <c r="D622"/>
      <c r="F622" s="1"/>
      <c r="G622"/>
    </row>
    <row r="623" spans="3:7" x14ac:dyDescent="0.25">
      <c r="C623"/>
      <c r="D623"/>
      <c r="F623" s="1"/>
      <c r="G623"/>
    </row>
    <row r="624" spans="3:7" x14ac:dyDescent="0.25">
      <c r="C624"/>
      <c r="D624"/>
      <c r="F624" s="1"/>
      <c r="G624"/>
    </row>
    <row r="625" spans="3:7" x14ac:dyDescent="0.25">
      <c r="C625"/>
      <c r="D625"/>
      <c r="F625" s="1"/>
      <c r="G625"/>
    </row>
    <row r="626" spans="3:7" x14ac:dyDescent="0.25">
      <c r="C626"/>
      <c r="D626"/>
      <c r="F626" s="1"/>
      <c r="G626"/>
    </row>
    <row r="627" spans="3:7" x14ac:dyDescent="0.25">
      <c r="C627"/>
      <c r="D627"/>
      <c r="F627" s="1"/>
      <c r="G627"/>
    </row>
    <row r="628" spans="3:7" x14ac:dyDescent="0.25">
      <c r="C628"/>
      <c r="D628"/>
      <c r="F628" s="1"/>
      <c r="G628"/>
    </row>
    <row r="629" spans="3:7" x14ac:dyDescent="0.25">
      <c r="C629"/>
      <c r="D629"/>
      <c r="F629" s="1"/>
      <c r="G629"/>
    </row>
    <row r="630" spans="3:7" x14ac:dyDescent="0.25">
      <c r="C630"/>
      <c r="D630"/>
      <c r="F630" s="1"/>
      <c r="G630"/>
    </row>
    <row r="631" spans="3:7" x14ac:dyDescent="0.25">
      <c r="C631"/>
      <c r="D631"/>
      <c r="F631" s="1"/>
      <c r="G631"/>
    </row>
    <row r="632" spans="3:7" x14ac:dyDescent="0.25">
      <c r="C632"/>
      <c r="D632"/>
      <c r="F632" s="1"/>
      <c r="G632"/>
    </row>
    <row r="633" spans="3:7" x14ac:dyDescent="0.25">
      <c r="C633"/>
      <c r="D633"/>
      <c r="F633" s="1"/>
      <c r="G633"/>
    </row>
    <row r="634" spans="3:7" x14ac:dyDescent="0.25">
      <c r="C634"/>
      <c r="D634"/>
      <c r="F634" s="1"/>
      <c r="G634"/>
    </row>
    <row r="635" spans="3:7" x14ac:dyDescent="0.25">
      <c r="C635"/>
      <c r="D635"/>
      <c r="F635" s="1"/>
      <c r="G635"/>
    </row>
    <row r="636" spans="3:7" x14ac:dyDescent="0.25">
      <c r="C636"/>
      <c r="D636"/>
      <c r="F636" s="1"/>
      <c r="G636"/>
    </row>
    <row r="637" spans="3:7" x14ac:dyDescent="0.25">
      <c r="C637"/>
      <c r="D637"/>
      <c r="F637" s="1"/>
      <c r="G637"/>
    </row>
    <row r="638" spans="3:7" x14ac:dyDescent="0.25">
      <c r="C638"/>
      <c r="D638"/>
      <c r="F638" s="1"/>
      <c r="G638"/>
    </row>
    <row r="639" spans="3:7" x14ac:dyDescent="0.25">
      <c r="C639"/>
      <c r="D639"/>
      <c r="F639" s="1"/>
      <c r="G639"/>
    </row>
    <row r="640" spans="3:7" x14ac:dyDescent="0.25">
      <c r="C640"/>
      <c r="D640"/>
      <c r="F640" s="1"/>
      <c r="G640"/>
    </row>
    <row r="641" spans="3:7" x14ac:dyDescent="0.25">
      <c r="C641"/>
      <c r="D641"/>
      <c r="F641" s="1"/>
      <c r="G641"/>
    </row>
    <row r="642" spans="3:7" x14ac:dyDescent="0.25">
      <c r="C642"/>
      <c r="D642"/>
      <c r="F642" s="1"/>
      <c r="G642"/>
    </row>
    <row r="643" spans="3:7" x14ac:dyDescent="0.25">
      <c r="C643"/>
      <c r="D643"/>
      <c r="F643" s="1"/>
      <c r="G643"/>
    </row>
    <row r="644" spans="3:7" x14ac:dyDescent="0.25">
      <c r="C644"/>
      <c r="D644"/>
      <c r="F644" s="1"/>
      <c r="G644"/>
    </row>
    <row r="645" spans="3:7" x14ac:dyDescent="0.25">
      <c r="C645"/>
      <c r="D645"/>
      <c r="F645" s="1"/>
      <c r="G645"/>
    </row>
    <row r="646" spans="3:7" x14ac:dyDescent="0.25">
      <c r="C646"/>
      <c r="D646"/>
      <c r="F646" s="1"/>
      <c r="G646"/>
    </row>
    <row r="647" spans="3:7" x14ac:dyDescent="0.25">
      <c r="C647"/>
      <c r="D647"/>
      <c r="F647" s="1"/>
      <c r="G647"/>
    </row>
    <row r="648" spans="3:7" x14ac:dyDescent="0.25">
      <c r="C648"/>
      <c r="D648"/>
      <c r="F648" s="1"/>
      <c r="G648"/>
    </row>
    <row r="649" spans="3:7" x14ac:dyDescent="0.25">
      <c r="C649"/>
      <c r="D649"/>
      <c r="F649" s="1"/>
      <c r="G649"/>
    </row>
    <row r="650" spans="3:7" x14ac:dyDescent="0.25">
      <c r="C650"/>
      <c r="D650"/>
      <c r="F650" s="1"/>
      <c r="G650"/>
    </row>
    <row r="651" spans="3:7" x14ac:dyDescent="0.25">
      <c r="C651"/>
      <c r="D651"/>
      <c r="F651" s="1"/>
      <c r="G651"/>
    </row>
    <row r="652" spans="3:7" x14ac:dyDescent="0.25">
      <c r="C652"/>
      <c r="D652"/>
      <c r="F652" s="1"/>
      <c r="G652"/>
    </row>
    <row r="653" spans="3:7" x14ac:dyDescent="0.25">
      <c r="C653"/>
      <c r="D653"/>
      <c r="F653" s="1"/>
      <c r="G653"/>
    </row>
    <row r="654" spans="3:7" x14ac:dyDescent="0.25">
      <c r="C654"/>
      <c r="D654"/>
      <c r="F654" s="1"/>
      <c r="G654"/>
    </row>
    <row r="655" spans="3:7" x14ac:dyDescent="0.25">
      <c r="C655"/>
      <c r="D655"/>
      <c r="F655" s="1"/>
      <c r="G655"/>
    </row>
    <row r="656" spans="3:7" x14ac:dyDescent="0.25">
      <c r="C656"/>
      <c r="D656"/>
      <c r="F656" s="1"/>
      <c r="G656"/>
    </row>
    <row r="657" spans="3:7" x14ac:dyDescent="0.25">
      <c r="C657"/>
      <c r="D657"/>
      <c r="F657" s="1"/>
      <c r="G657"/>
    </row>
    <row r="658" spans="3:7" x14ac:dyDescent="0.25">
      <c r="C658"/>
      <c r="D658"/>
      <c r="F658" s="1"/>
      <c r="G658"/>
    </row>
    <row r="659" spans="3:7" x14ac:dyDescent="0.25">
      <c r="C659"/>
      <c r="D659"/>
      <c r="F659" s="1"/>
      <c r="G659"/>
    </row>
    <row r="660" spans="3:7" x14ac:dyDescent="0.25">
      <c r="C660"/>
      <c r="D660"/>
      <c r="F660" s="1"/>
      <c r="G660"/>
    </row>
    <row r="661" spans="3:7" x14ac:dyDescent="0.25">
      <c r="C661"/>
      <c r="D661"/>
      <c r="F661" s="1"/>
      <c r="G661"/>
    </row>
    <row r="662" spans="3:7" x14ac:dyDescent="0.25">
      <c r="C662"/>
      <c r="D662"/>
      <c r="F662" s="1"/>
      <c r="G662"/>
    </row>
    <row r="663" spans="3:7" x14ac:dyDescent="0.25">
      <c r="C663"/>
      <c r="D663"/>
      <c r="F663" s="1"/>
      <c r="G663"/>
    </row>
    <row r="664" spans="3:7" x14ac:dyDescent="0.25">
      <c r="C664"/>
      <c r="D664"/>
      <c r="F664" s="1"/>
      <c r="G664"/>
    </row>
    <row r="665" spans="3:7" x14ac:dyDescent="0.25">
      <c r="C665"/>
      <c r="D665"/>
      <c r="F665" s="1"/>
      <c r="G665"/>
    </row>
    <row r="666" spans="3:7" x14ac:dyDescent="0.25">
      <c r="C666"/>
      <c r="D666"/>
      <c r="F666" s="1"/>
      <c r="G666"/>
    </row>
    <row r="667" spans="3:7" x14ac:dyDescent="0.25">
      <c r="C667"/>
      <c r="D667"/>
      <c r="F667" s="1"/>
      <c r="G667"/>
    </row>
    <row r="668" spans="3:7" x14ac:dyDescent="0.25">
      <c r="C668"/>
      <c r="D668"/>
      <c r="F668" s="1"/>
      <c r="G668"/>
    </row>
    <row r="669" spans="3:7" x14ac:dyDescent="0.25">
      <c r="C669"/>
      <c r="D669"/>
      <c r="F669" s="1"/>
      <c r="G669"/>
    </row>
    <row r="670" spans="3:7" x14ac:dyDescent="0.25">
      <c r="C670"/>
      <c r="D670"/>
      <c r="F670" s="1"/>
      <c r="G670"/>
    </row>
    <row r="671" spans="3:7" x14ac:dyDescent="0.25">
      <c r="C671"/>
      <c r="D671"/>
      <c r="F671" s="1"/>
      <c r="G671"/>
    </row>
    <row r="672" spans="3:7" x14ac:dyDescent="0.25">
      <c r="C672"/>
      <c r="D672"/>
      <c r="F672" s="1"/>
      <c r="G672"/>
    </row>
    <row r="673" spans="3:7" x14ac:dyDescent="0.25">
      <c r="C673"/>
      <c r="D673"/>
      <c r="F673" s="1"/>
      <c r="G673"/>
    </row>
    <row r="674" spans="3:7" x14ac:dyDescent="0.25">
      <c r="C674"/>
      <c r="D674"/>
      <c r="F674" s="1"/>
      <c r="G674"/>
    </row>
    <row r="675" spans="3:7" x14ac:dyDescent="0.25">
      <c r="C675"/>
      <c r="D675"/>
      <c r="F675" s="1"/>
      <c r="G675"/>
    </row>
    <row r="676" spans="3:7" x14ac:dyDescent="0.25">
      <c r="C676"/>
      <c r="D676"/>
      <c r="F676" s="1"/>
      <c r="G676"/>
    </row>
    <row r="677" spans="3:7" x14ac:dyDescent="0.25">
      <c r="C677"/>
      <c r="D677"/>
      <c r="F677" s="1"/>
      <c r="G677"/>
    </row>
    <row r="678" spans="3:7" x14ac:dyDescent="0.25">
      <c r="C678"/>
      <c r="D678"/>
      <c r="F678" s="1"/>
      <c r="G678"/>
    </row>
    <row r="679" spans="3:7" x14ac:dyDescent="0.25">
      <c r="C679"/>
      <c r="D679"/>
      <c r="F679" s="1"/>
      <c r="G679"/>
    </row>
    <row r="680" spans="3:7" x14ac:dyDescent="0.25">
      <c r="C680"/>
      <c r="D680"/>
      <c r="F680" s="1"/>
      <c r="G680"/>
    </row>
    <row r="681" spans="3:7" x14ac:dyDescent="0.25">
      <c r="C681"/>
      <c r="D681"/>
      <c r="F681" s="1"/>
      <c r="G681"/>
    </row>
    <row r="682" spans="3:7" x14ac:dyDescent="0.25">
      <c r="C682"/>
      <c r="D682"/>
      <c r="F682" s="1"/>
      <c r="G682"/>
    </row>
    <row r="683" spans="3:7" x14ac:dyDescent="0.25">
      <c r="C683"/>
      <c r="D683"/>
      <c r="F683" s="1"/>
      <c r="G683"/>
    </row>
    <row r="684" spans="3:7" x14ac:dyDescent="0.25">
      <c r="C684"/>
      <c r="D684"/>
      <c r="F684" s="1"/>
      <c r="G684"/>
    </row>
    <row r="685" spans="3:7" x14ac:dyDescent="0.25">
      <c r="C685"/>
      <c r="D685"/>
      <c r="F685" s="1"/>
      <c r="G685"/>
    </row>
    <row r="686" spans="3:7" x14ac:dyDescent="0.25">
      <c r="C686"/>
      <c r="D686"/>
      <c r="F686" s="1"/>
      <c r="G686"/>
    </row>
    <row r="687" spans="3:7" x14ac:dyDescent="0.25">
      <c r="C687"/>
      <c r="D687"/>
      <c r="F687" s="1"/>
      <c r="G687"/>
    </row>
    <row r="688" spans="3:7" x14ac:dyDescent="0.25">
      <c r="C688"/>
      <c r="D688"/>
      <c r="F688" s="1"/>
      <c r="G688"/>
    </row>
    <row r="689" spans="3:7" x14ac:dyDescent="0.25">
      <c r="C689"/>
      <c r="D689"/>
      <c r="F689" s="1"/>
      <c r="G689"/>
    </row>
    <row r="690" spans="3:7" x14ac:dyDescent="0.25">
      <c r="C690"/>
      <c r="D690"/>
      <c r="F690" s="1"/>
      <c r="G690"/>
    </row>
    <row r="691" spans="3:7" x14ac:dyDescent="0.25">
      <c r="C691"/>
      <c r="D691"/>
      <c r="F691" s="1"/>
      <c r="G691"/>
    </row>
    <row r="692" spans="3:7" x14ac:dyDescent="0.25">
      <c r="C692"/>
      <c r="D692"/>
      <c r="F692" s="1"/>
      <c r="G692"/>
    </row>
    <row r="693" spans="3:7" x14ac:dyDescent="0.25">
      <c r="C693"/>
      <c r="D693"/>
      <c r="F693" s="1"/>
      <c r="G693"/>
    </row>
    <row r="694" spans="3:7" x14ac:dyDescent="0.25">
      <c r="C694"/>
      <c r="D694"/>
      <c r="F694" s="1"/>
      <c r="G694"/>
    </row>
    <row r="695" spans="3:7" x14ac:dyDescent="0.25">
      <c r="C695"/>
      <c r="D695"/>
      <c r="F695" s="1"/>
      <c r="G695"/>
    </row>
    <row r="696" spans="3:7" x14ac:dyDescent="0.25">
      <c r="C696"/>
      <c r="D696"/>
      <c r="F696" s="1"/>
      <c r="G696"/>
    </row>
    <row r="697" spans="3:7" x14ac:dyDescent="0.25">
      <c r="C697"/>
      <c r="D697"/>
      <c r="F697" s="1"/>
      <c r="G697"/>
    </row>
    <row r="698" spans="3:7" x14ac:dyDescent="0.25">
      <c r="C698"/>
      <c r="D698"/>
      <c r="F698" s="1"/>
      <c r="G698"/>
    </row>
    <row r="699" spans="3:7" x14ac:dyDescent="0.25">
      <c r="C699"/>
      <c r="D699"/>
      <c r="F699" s="1"/>
      <c r="G699"/>
    </row>
    <row r="700" spans="3:7" x14ac:dyDescent="0.25">
      <c r="C700"/>
      <c r="D700"/>
      <c r="F700" s="1"/>
      <c r="G700"/>
    </row>
    <row r="701" spans="3:7" x14ac:dyDescent="0.25">
      <c r="C701"/>
      <c r="D701"/>
      <c r="F701" s="1"/>
      <c r="G701"/>
    </row>
    <row r="702" spans="3:7" x14ac:dyDescent="0.25">
      <c r="C702"/>
      <c r="D702"/>
      <c r="F702" s="1"/>
      <c r="G702"/>
    </row>
    <row r="703" spans="3:7" x14ac:dyDescent="0.25">
      <c r="C703"/>
      <c r="D703"/>
      <c r="F703" s="1"/>
      <c r="G703"/>
    </row>
    <row r="704" spans="3:7" x14ac:dyDescent="0.25">
      <c r="C704"/>
      <c r="D704"/>
      <c r="F704" s="1"/>
      <c r="G704"/>
    </row>
    <row r="705" spans="3:7" x14ac:dyDescent="0.25">
      <c r="C705"/>
      <c r="D705"/>
      <c r="F705" s="1"/>
      <c r="G705"/>
    </row>
    <row r="706" spans="3:7" x14ac:dyDescent="0.25">
      <c r="C706"/>
      <c r="D706"/>
      <c r="F706" s="1"/>
      <c r="G706"/>
    </row>
    <row r="707" spans="3:7" x14ac:dyDescent="0.25">
      <c r="C707"/>
      <c r="D707"/>
      <c r="F707" s="1"/>
      <c r="G707"/>
    </row>
    <row r="708" spans="3:7" x14ac:dyDescent="0.25">
      <c r="C708"/>
      <c r="D708"/>
      <c r="F708" s="1"/>
      <c r="G708"/>
    </row>
    <row r="709" spans="3:7" x14ac:dyDescent="0.25">
      <c r="C709"/>
      <c r="D709"/>
      <c r="F709" s="1"/>
      <c r="G709"/>
    </row>
    <row r="710" spans="3:7" x14ac:dyDescent="0.25">
      <c r="C710"/>
      <c r="D710"/>
      <c r="F710" s="1"/>
      <c r="G710"/>
    </row>
    <row r="711" spans="3:7" x14ac:dyDescent="0.25">
      <c r="C711"/>
      <c r="D711"/>
      <c r="F711" s="1"/>
      <c r="G711"/>
    </row>
    <row r="712" spans="3:7" x14ac:dyDescent="0.25">
      <c r="C712"/>
      <c r="D712"/>
      <c r="F712" s="1"/>
      <c r="G712"/>
    </row>
    <row r="713" spans="3:7" x14ac:dyDescent="0.25">
      <c r="C713"/>
      <c r="D713"/>
      <c r="F713" s="1"/>
      <c r="G713"/>
    </row>
    <row r="714" spans="3:7" x14ac:dyDescent="0.25">
      <c r="C714"/>
      <c r="D714"/>
      <c r="F714" s="1"/>
      <c r="G714"/>
    </row>
    <row r="715" spans="3:7" x14ac:dyDescent="0.25">
      <c r="C715"/>
      <c r="D715"/>
      <c r="F715" s="1"/>
      <c r="G715"/>
    </row>
    <row r="716" spans="3:7" x14ac:dyDescent="0.25">
      <c r="C716"/>
      <c r="D716"/>
      <c r="F716" s="1"/>
      <c r="G716"/>
    </row>
    <row r="717" spans="3:7" x14ac:dyDescent="0.25">
      <c r="C717"/>
      <c r="D717"/>
      <c r="F717" s="1"/>
      <c r="G717"/>
    </row>
    <row r="718" spans="3:7" x14ac:dyDescent="0.25">
      <c r="C718"/>
      <c r="D718"/>
      <c r="F718" s="1"/>
      <c r="G718"/>
    </row>
    <row r="719" spans="3:7" x14ac:dyDescent="0.25">
      <c r="C719"/>
      <c r="D719"/>
      <c r="F719" s="1"/>
      <c r="G719"/>
    </row>
    <row r="720" spans="3:7" x14ac:dyDescent="0.25">
      <c r="C720"/>
      <c r="D720"/>
      <c r="F720" s="1"/>
      <c r="G720"/>
    </row>
    <row r="721" spans="3:7" x14ac:dyDescent="0.25">
      <c r="C721"/>
      <c r="D721"/>
      <c r="F721" s="1"/>
      <c r="G721"/>
    </row>
    <row r="722" spans="3:7" x14ac:dyDescent="0.25">
      <c r="C722"/>
      <c r="D722"/>
      <c r="F722" s="1"/>
      <c r="G722"/>
    </row>
    <row r="723" spans="3:7" x14ac:dyDescent="0.25">
      <c r="C723"/>
      <c r="D723"/>
      <c r="F723" s="1"/>
      <c r="G723"/>
    </row>
    <row r="724" spans="3:7" x14ac:dyDescent="0.25">
      <c r="C724"/>
      <c r="D724"/>
      <c r="F724" s="1"/>
      <c r="G724"/>
    </row>
    <row r="725" spans="3:7" x14ac:dyDescent="0.25">
      <c r="C725"/>
      <c r="D725"/>
      <c r="F725" s="1"/>
      <c r="G725"/>
    </row>
    <row r="726" spans="3:7" x14ac:dyDescent="0.25">
      <c r="C726"/>
      <c r="D726"/>
      <c r="F726" s="1"/>
      <c r="G726"/>
    </row>
    <row r="727" spans="3:7" x14ac:dyDescent="0.25">
      <c r="C727"/>
      <c r="D727"/>
      <c r="F727" s="1"/>
      <c r="G727"/>
    </row>
    <row r="728" spans="3:7" x14ac:dyDescent="0.25">
      <c r="C728"/>
      <c r="D728"/>
      <c r="F728" s="1"/>
      <c r="G728"/>
    </row>
    <row r="729" spans="3:7" x14ac:dyDescent="0.25">
      <c r="C729"/>
      <c r="D729"/>
      <c r="F729" s="1"/>
      <c r="G729"/>
    </row>
    <row r="730" spans="3:7" x14ac:dyDescent="0.25">
      <c r="C730"/>
      <c r="D730"/>
      <c r="F730" s="1"/>
      <c r="G730"/>
    </row>
    <row r="731" spans="3:7" x14ac:dyDescent="0.25">
      <c r="C731"/>
      <c r="D731"/>
      <c r="F731" s="1"/>
      <c r="G731"/>
    </row>
    <row r="732" spans="3:7" x14ac:dyDescent="0.25">
      <c r="C732"/>
      <c r="D732"/>
      <c r="F732" s="1"/>
      <c r="G732"/>
    </row>
    <row r="733" spans="3:7" x14ac:dyDescent="0.25">
      <c r="C733"/>
      <c r="D733"/>
      <c r="F733" s="1"/>
      <c r="G733"/>
    </row>
    <row r="734" spans="3:7" x14ac:dyDescent="0.25">
      <c r="C734"/>
      <c r="D734"/>
      <c r="F734" s="1"/>
      <c r="G734"/>
    </row>
    <row r="735" spans="3:7" x14ac:dyDescent="0.25">
      <c r="C735"/>
      <c r="D735"/>
      <c r="F735" s="1"/>
      <c r="G735"/>
    </row>
    <row r="736" spans="3:7" x14ac:dyDescent="0.25">
      <c r="C736"/>
      <c r="D736"/>
      <c r="F736" s="1"/>
      <c r="G736"/>
    </row>
    <row r="737" spans="3:7" x14ac:dyDescent="0.25">
      <c r="C737"/>
      <c r="D737"/>
      <c r="F737" s="1"/>
      <c r="G737"/>
    </row>
    <row r="738" spans="3:7" x14ac:dyDescent="0.25">
      <c r="C738"/>
      <c r="D738"/>
      <c r="F738" s="1"/>
      <c r="G738"/>
    </row>
    <row r="739" spans="3:7" x14ac:dyDescent="0.25">
      <c r="C739"/>
      <c r="D739"/>
      <c r="F739" s="1"/>
      <c r="G739"/>
    </row>
    <row r="740" spans="3:7" x14ac:dyDescent="0.25">
      <c r="C740"/>
      <c r="D740"/>
      <c r="F740" s="1"/>
      <c r="G740"/>
    </row>
    <row r="741" spans="3:7" x14ac:dyDescent="0.25">
      <c r="C741"/>
      <c r="D741"/>
      <c r="F741" s="1"/>
      <c r="G741"/>
    </row>
    <row r="742" spans="3:7" x14ac:dyDescent="0.25">
      <c r="C742"/>
      <c r="D742"/>
      <c r="F742" s="1"/>
      <c r="G742"/>
    </row>
    <row r="743" spans="3:7" x14ac:dyDescent="0.25">
      <c r="C743"/>
      <c r="D743"/>
      <c r="F743" s="1"/>
      <c r="G743"/>
    </row>
    <row r="744" spans="3:7" x14ac:dyDescent="0.25">
      <c r="C744"/>
      <c r="D744"/>
      <c r="F744" s="1"/>
      <c r="G744"/>
    </row>
    <row r="745" spans="3:7" x14ac:dyDescent="0.25">
      <c r="C745"/>
      <c r="D745"/>
      <c r="F745" s="1"/>
      <c r="G745"/>
    </row>
    <row r="746" spans="3:7" x14ac:dyDescent="0.25">
      <c r="C746"/>
      <c r="D746"/>
      <c r="F746" s="1"/>
      <c r="G746"/>
    </row>
    <row r="747" spans="3:7" x14ac:dyDescent="0.25">
      <c r="C747"/>
      <c r="D747"/>
      <c r="F747" s="1"/>
      <c r="G747"/>
    </row>
    <row r="748" spans="3:7" x14ac:dyDescent="0.25">
      <c r="C748"/>
      <c r="D748"/>
      <c r="F748" s="1"/>
      <c r="G748"/>
    </row>
    <row r="749" spans="3:7" x14ac:dyDescent="0.25">
      <c r="C749"/>
      <c r="D749"/>
      <c r="F749" s="1"/>
      <c r="G749"/>
    </row>
    <row r="750" spans="3:7" x14ac:dyDescent="0.25">
      <c r="C750"/>
      <c r="D750"/>
      <c r="F750" s="1"/>
      <c r="G750"/>
    </row>
    <row r="751" spans="3:7" x14ac:dyDescent="0.25">
      <c r="C751"/>
      <c r="D751"/>
      <c r="F751" s="1"/>
      <c r="G751"/>
    </row>
    <row r="752" spans="3:7" x14ac:dyDescent="0.25">
      <c r="C752"/>
      <c r="D752"/>
      <c r="F752" s="1"/>
      <c r="G752"/>
    </row>
    <row r="753" spans="3:7" x14ac:dyDescent="0.25">
      <c r="C753"/>
      <c r="D753"/>
      <c r="F753" s="1"/>
      <c r="G753"/>
    </row>
    <row r="754" spans="3:7" x14ac:dyDescent="0.25">
      <c r="C754"/>
      <c r="D754"/>
      <c r="F754" s="1"/>
      <c r="G754"/>
    </row>
    <row r="755" spans="3:7" x14ac:dyDescent="0.25">
      <c r="C755"/>
      <c r="D755"/>
      <c r="F755" s="1"/>
      <c r="G755"/>
    </row>
    <row r="756" spans="3:7" x14ac:dyDescent="0.25">
      <c r="C756"/>
      <c r="D756"/>
      <c r="F756" s="1"/>
      <c r="G756"/>
    </row>
    <row r="757" spans="3:7" x14ac:dyDescent="0.25">
      <c r="C757"/>
      <c r="D757"/>
      <c r="F757" s="1"/>
      <c r="G757"/>
    </row>
    <row r="758" spans="3:7" x14ac:dyDescent="0.25">
      <c r="C758"/>
      <c r="D758"/>
      <c r="F758" s="1"/>
      <c r="G758"/>
    </row>
    <row r="759" spans="3:7" x14ac:dyDescent="0.25">
      <c r="C759"/>
      <c r="D759"/>
      <c r="F759" s="1"/>
      <c r="G759"/>
    </row>
    <row r="760" spans="3:7" x14ac:dyDescent="0.25">
      <c r="C760"/>
      <c r="D760"/>
      <c r="F760" s="1"/>
      <c r="G760"/>
    </row>
    <row r="761" spans="3:7" x14ac:dyDescent="0.25">
      <c r="C761"/>
      <c r="D761"/>
      <c r="F761" s="1"/>
      <c r="G761"/>
    </row>
    <row r="762" spans="3:7" x14ac:dyDescent="0.25">
      <c r="C762"/>
      <c r="D762"/>
      <c r="F762" s="1"/>
      <c r="G762"/>
    </row>
    <row r="763" spans="3:7" x14ac:dyDescent="0.25">
      <c r="C763"/>
      <c r="D763"/>
      <c r="F763" s="1"/>
      <c r="G763"/>
    </row>
    <row r="764" spans="3:7" x14ac:dyDescent="0.25">
      <c r="C764"/>
      <c r="D764"/>
      <c r="F764" s="1"/>
      <c r="G764"/>
    </row>
    <row r="765" spans="3:7" x14ac:dyDescent="0.25">
      <c r="C765"/>
      <c r="D765"/>
      <c r="F765" s="1"/>
      <c r="G765"/>
    </row>
    <row r="766" spans="3:7" x14ac:dyDescent="0.25">
      <c r="C766"/>
      <c r="D766"/>
      <c r="F766" s="1"/>
      <c r="G766"/>
    </row>
    <row r="767" spans="3:7" x14ac:dyDescent="0.25">
      <c r="C767"/>
      <c r="D767"/>
      <c r="F767" s="1"/>
      <c r="G767"/>
    </row>
    <row r="768" spans="3:7" x14ac:dyDescent="0.25">
      <c r="C768"/>
      <c r="D768"/>
      <c r="F768" s="1"/>
      <c r="G768"/>
    </row>
    <row r="769" spans="3:7" x14ac:dyDescent="0.25">
      <c r="C769"/>
      <c r="D769"/>
      <c r="F769" s="1"/>
      <c r="G769"/>
    </row>
    <row r="770" spans="3:7" x14ac:dyDescent="0.25">
      <c r="C770"/>
      <c r="D770"/>
      <c r="F770" s="1"/>
      <c r="G770"/>
    </row>
    <row r="771" spans="3:7" x14ac:dyDescent="0.25">
      <c r="C771"/>
      <c r="D771"/>
      <c r="F771" s="1"/>
      <c r="G771"/>
    </row>
    <row r="772" spans="3:7" x14ac:dyDescent="0.25">
      <c r="C772"/>
      <c r="D772"/>
      <c r="F772" s="1"/>
      <c r="G772"/>
    </row>
    <row r="773" spans="3:7" x14ac:dyDescent="0.25">
      <c r="C773"/>
      <c r="D773"/>
      <c r="F773" s="1"/>
      <c r="G773"/>
    </row>
    <row r="774" spans="3:7" x14ac:dyDescent="0.25">
      <c r="C774"/>
      <c r="D774"/>
      <c r="F774" s="1"/>
      <c r="G774"/>
    </row>
    <row r="775" spans="3:7" x14ac:dyDescent="0.25">
      <c r="C775"/>
      <c r="D775"/>
      <c r="F775" s="1"/>
      <c r="G775"/>
    </row>
    <row r="776" spans="3:7" x14ac:dyDescent="0.25">
      <c r="C776"/>
      <c r="D776"/>
      <c r="F776" s="1"/>
      <c r="G776"/>
    </row>
    <row r="777" spans="3:7" x14ac:dyDescent="0.25">
      <c r="C777"/>
      <c r="D777"/>
      <c r="F777" s="1"/>
      <c r="G777"/>
    </row>
    <row r="778" spans="3:7" x14ac:dyDescent="0.25">
      <c r="C778"/>
      <c r="D778"/>
      <c r="F778" s="1"/>
      <c r="G778"/>
    </row>
    <row r="779" spans="3:7" x14ac:dyDescent="0.25">
      <c r="C779"/>
      <c r="D779"/>
      <c r="F779" s="1"/>
      <c r="G779"/>
    </row>
    <row r="780" spans="3:7" x14ac:dyDescent="0.25">
      <c r="C780"/>
      <c r="D780"/>
      <c r="F780" s="1"/>
      <c r="G780"/>
    </row>
    <row r="781" spans="3:7" x14ac:dyDescent="0.25">
      <c r="C781"/>
      <c r="D781"/>
      <c r="F781" s="1"/>
      <c r="G781"/>
    </row>
    <row r="782" spans="3:7" x14ac:dyDescent="0.25">
      <c r="C782"/>
      <c r="D782"/>
      <c r="F782" s="1"/>
      <c r="G782"/>
    </row>
    <row r="783" spans="3:7" x14ac:dyDescent="0.25">
      <c r="C783"/>
      <c r="D783"/>
      <c r="F783" s="1"/>
      <c r="G783"/>
    </row>
    <row r="784" spans="3:7" x14ac:dyDescent="0.25">
      <c r="C784"/>
      <c r="D784"/>
      <c r="F784" s="1"/>
      <c r="G784"/>
    </row>
    <row r="785" spans="3:7" x14ac:dyDescent="0.25">
      <c r="C785"/>
      <c r="D785"/>
      <c r="F785" s="1"/>
      <c r="G785"/>
    </row>
    <row r="786" spans="3:7" x14ac:dyDescent="0.25">
      <c r="C786"/>
      <c r="D786"/>
      <c r="F786" s="1"/>
      <c r="G786"/>
    </row>
    <row r="787" spans="3:7" x14ac:dyDescent="0.25">
      <c r="C787"/>
      <c r="D787"/>
      <c r="F787" s="1"/>
      <c r="G787"/>
    </row>
    <row r="788" spans="3:7" x14ac:dyDescent="0.25">
      <c r="C788"/>
      <c r="D788"/>
      <c r="F788" s="1"/>
      <c r="G788"/>
    </row>
    <row r="789" spans="3:7" x14ac:dyDescent="0.25">
      <c r="C789"/>
      <c r="D789"/>
      <c r="F789" s="1"/>
      <c r="G789"/>
    </row>
    <row r="790" spans="3:7" x14ac:dyDescent="0.25">
      <c r="C790"/>
      <c r="D790"/>
      <c r="F790" s="1"/>
      <c r="G790"/>
    </row>
    <row r="791" spans="3:7" x14ac:dyDescent="0.25">
      <c r="C791"/>
      <c r="D791"/>
      <c r="F791" s="1"/>
      <c r="G791"/>
    </row>
    <row r="792" spans="3:7" x14ac:dyDescent="0.25">
      <c r="C792"/>
      <c r="D792"/>
      <c r="F792" s="1"/>
      <c r="G792"/>
    </row>
    <row r="793" spans="3:7" x14ac:dyDescent="0.25">
      <c r="C793"/>
      <c r="D793"/>
      <c r="F793" s="1"/>
      <c r="G793"/>
    </row>
    <row r="794" spans="3:7" x14ac:dyDescent="0.25">
      <c r="C794"/>
      <c r="D794"/>
      <c r="F794" s="1"/>
      <c r="G794"/>
    </row>
    <row r="795" spans="3:7" x14ac:dyDescent="0.25">
      <c r="C795"/>
      <c r="D795"/>
      <c r="F795" s="1"/>
      <c r="G795"/>
    </row>
    <row r="796" spans="3:7" x14ac:dyDescent="0.25">
      <c r="C796"/>
      <c r="D796"/>
      <c r="F796" s="1"/>
      <c r="G796"/>
    </row>
    <row r="797" spans="3:7" x14ac:dyDescent="0.25">
      <c r="C797"/>
      <c r="D797"/>
      <c r="F797" s="1"/>
      <c r="G797"/>
    </row>
    <row r="798" spans="3:7" x14ac:dyDescent="0.25">
      <c r="C798"/>
      <c r="D798"/>
      <c r="F798" s="1"/>
      <c r="G798"/>
    </row>
    <row r="799" spans="3:7" x14ac:dyDescent="0.25">
      <c r="C799"/>
      <c r="D799"/>
      <c r="F799" s="1"/>
      <c r="G799"/>
    </row>
    <row r="800" spans="3:7" x14ac:dyDescent="0.25">
      <c r="C800"/>
      <c r="D800"/>
      <c r="F800" s="1"/>
      <c r="G800"/>
    </row>
    <row r="801" spans="3:7" x14ac:dyDescent="0.25">
      <c r="C801"/>
      <c r="D801"/>
      <c r="F801" s="1"/>
      <c r="G801"/>
    </row>
    <row r="802" spans="3:7" x14ac:dyDescent="0.25">
      <c r="C802"/>
      <c r="D802"/>
      <c r="F802" s="1"/>
      <c r="G802"/>
    </row>
    <row r="803" spans="3:7" x14ac:dyDescent="0.25">
      <c r="C803"/>
      <c r="D803"/>
      <c r="F803" s="1"/>
      <c r="G803"/>
    </row>
    <row r="804" spans="3:7" x14ac:dyDescent="0.25">
      <c r="C804"/>
      <c r="D804"/>
      <c r="F804" s="1"/>
      <c r="G804"/>
    </row>
    <row r="805" spans="3:7" x14ac:dyDescent="0.25">
      <c r="C805"/>
      <c r="D805"/>
      <c r="F805" s="1"/>
      <c r="G805"/>
    </row>
    <row r="806" spans="3:7" x14ac:dyDescent="0.25">
      <c r="C806"/>
      <c r="D806"/>
      <c r="F806" s="1"/>
      <c r="G806"/>
    </row>
    <row r="807" spans="3:7" x14ac:dyDescent="0.25">
      <c r="C807"/>
      <c r="D807"/>
      <c r="F807" s="1"/>
      <c r="G807"/>
    </row>
    <row r="808" spans="3:7" x14ac:dyDescent="0.25">
      <c r="C808"/>
      <c r="D808"/>
      <c r="F808" s="1"/>
      <c r="G808"/>
    </row>
    <row r="809" spans="3:7" x14ac:dyDescent="0.25">
      <c r="C809"/>
      <c r="D809"/>
      <c r="F809" s="1"/>
      <c r="G809"/>
    </row>
    <row r="810" spans="3:7" x14ac:dyDescent="0.25">
      <c r="C810"/>
      <c r="D810"/>
      <c r="F810" s="1"/>
      <c r="G810"/>
    </row>
    <row r="811" spans="3:7" x14ac:dyDescent="0.25">
      <c r="C811"/>
      <c r="D811"/>
      <c r="F811" s="1"/>
      <c r="G811"/>
    </row>
    <row r="812" spans="3:7" x14ac:dyDescent="0.25">
      <c r="C812"/>
      <c r="D812"/>
      <c r="F812" s="1"/>
      <c r="G812"/>
    </row>
    <row r="813" spans="3:7" x14ac:dyDescent="0.25">
      <c r="C813"/>
      <c r="D813"/>
      <c r="F813" s="1"/>
      <c r="G813"/>
    </row>
    <row r="814" spans="3:7" x14ac:dyDescent="0.25">
      <c r="C814"/>
      <c r="D814"/>
      <c r="F814" s="1"/>
      <c r="G814"/>
    </row>
    <row r="815" spans="3:7" x14ac:dyDescent="0.25">
      <c r="C815"/>
      <c r="D815"/>
      <c r="F815" s="1"/>
      <c r="G815"/>
    </row>
    <row r="816" spans="3:7" x14ac:dyDescent="0.25">
      <c r="C816"/>
      <c r="D816"/>
      <c r="F816" s="1"/>
      <c r="G816"/>
    </row>
    <row r="817" spans="3:7" x14ac:dyDescent="0.25">
      <c r="C817"/>
      <c r="D817"/>
      <c r="F817" s="1"/>
      <c r="G817"/>
    </row>
    <row r="818" spans="3:7" x14ac:dyDescent="0.25">
      <c r="C818"/>
      <c r="D818"/>
      <c r="F818" s="1"/>
      <c r="G818"/>
    </row>
    <row r="819" spans="3:7" x14ac:dyDescent="0.25">
      <c r="C819"/>
      <c r="D819"/>
      <c r="F819" s="1"/>
      <c r="G819"/>
    </row>
    <row r="820" spans="3:7" x14ac:dyDescent="0.25">
      <c r="C820"/>
      <c r="D820"/>
      <c r="F820" s="1"/>
      <c r="G820"/>
    </row>
    <row r="821" spans="3:7" x14ac:dyDescent="0.25">
      <c r="C821"/>
      <c r="D821"/>
      <c r="F821" s="1"/>
      <c r="G821"/>
    </row>
    <row r="822" spans="3:7" x14ac:dyDescent="0.25">
      <c r="C822"/>
      <c r="D822"/>
      <c r="F822" s="1"/>
      <c r="G822"/>
    </row>
    <row r="823" spans="3:7" x14ac:dyDescent="0.25">
      <c r="C823"/>
      <c r="D823"/>
      <c r="F823" s="1"/>
      <c r="G823"/>
    </row>
    <row r="824" spans="3:7" x14ac:dyDescent="0.25">
      <c r="C824"/>
      <c r="D824"/>
      <c r="F824" s="1"/>
      <c r="G824"/>
    </row>
    <row r="825" spans="3:7" x14ac:dyDescent="0.25">
      <c r="C825"/>
      <c r="D825"/>
      <c r="F825" s="1"/>
      <c r="G825"/>
    </row>
    <row r="826" spans="3:7" x14ac:dyDescent="0.25">
      <c r="C826"/>
      <c r="D826"/>
      <c r="F826" s="1"/>
      <c r="G826"/>
    </row>
    <row r="827" spans="3:7" x14ac:dyDescent="0.25">
      <c r="C827"/>
      <c r="D827"/>
      <c r="F827" s="1"/>
      <c r="G827"/>
    </row>
    <row r="828" spans="3:7" x14ac:dyDescent="0.25">
      <c r="C828"/>
      <c r="D828"/>
      <c r="F828" s="1"/>
      <c r="G828"/>
    </row>
    <row r="829" spans="3:7" x14ac:dyDescent="0.25">
      <c r="C829"/>
      <c r="D829"/>
      <c r="F829" s="1"/>
      <c r="G829"/>
    </row>
    <row r="830" spans="3:7" x14ac:dyDescent="0.25">
      <c r="C830"/>
      <c r="D830"/>
      <c r="F830" s="1"/>
      <c r="G830"/>
    </row>
    <row r="831" spans="3:7" x14ac:dyDescent="0.25">
      <c r="C831"/>
      <c r="D831"/>
      <c r="F831" s="1"/>
      <c r="G831"/>
    </row>
    <row r="832" spans="3:7" x14ac:dyDescent="0.25">
      <c r="C832"/>
      <c r="D832"/>
      <c r="F832" s="1"/>
      <c r="G832"/>
    </row>
    <row r="833" spans="3:7" x14ac:dyDescent="0.25">
      <c r="C833"/>
      <c r="D833"/>
      <c r="F833" s="1"/>
      <c r="G833"/>
    </row>
    <row r="834" spans="3:7" x14ac:dyDescent="0.25">
      <c r="C834"/>
      <c r="D834"/>
      <c r="F834" s="1"/>
      <c r="G834"/>
    </row>
    <row r="835" spans="3:7" x14ac:dyDescent="0.25">
      <c r="C835"/>
      <c r="D835"/>
      <c r="F835" s="1"/>
      <c r="G835"/>
    </row>
    <row r="836" spans="3:7" x14ac:dyDescent="0.25">
      <c r="C836"/>
      <c r="D836"/>
      <c r="F836" s="1"/>
      <c r="G836"/>
    </row>
    <row r="837" spans="3:7" x14ac:dyDescent="0.25">
      <c r="C837"/>
      <c r="D837"/>
      <c r="F837" s="1"/>
      <c r="G837"/>
    </row>
    <row r="838" spans="3:7" x14ac:dyDescent="0.25">
      <c r="C838"/>
      <c r="D838"/>
      <c r="F838" s="1"/>
      <c r="G838"/>
    </row>
    <row r="839" spans="3:7" x14ac:dyDescent="0.25">
      <c r="C839"/>
      <c r="D839"/>
      <c r="F839" s="1"/>
      <c r="G839"/>
    </row>
    <row r="840" spans="3:7" x14ac:dyDescent="0.25">
      <c r="C840"/>
      <c r="D840"/>
      <c r="F840" s="1"/>
      <c r="G840"/>
    </row>
    <row r="841" spans="3:7" x14ac:dyDescent="0.25">
      <c r="C841"/>
      <c r="D841"/>
      <c r="F841" s="1"/>
      <c r="G841"/>
    </row>
    <row r="842" spans="3:7" x14ac:dyDescent="0.25">
      <c r="C842"/>
      <c r="D842"/>
      <c r="F842" s="1"/>
      <c r="G842"/>
    </row>
    <row r="843" spans="3:7" x14ac:dyDescent="0.25">
      <c r="C843"/>
      <c r="D843"/>
      <c r="F843" s="1"/>
      <c r="G843"/>
    </row>
    <row r="844" spans="3:7" x14ac:dyDescent="0.25">
      <c r="C844"/>
      <c r="D844"/>
      <c r="F844" s="1"/>
      <c r="G844"/>
    </row>
    <row r="845" spans="3:7" x14ac:dyDescent="0.25">
      <c r="C845"/>
      <c r="D845"/>
      <c r="F845" s="1"/>
      <c r="G845"/>
    </row>
    <row r="846" spans="3:7" x14ac:dyDescent="0.25">
      <c r="C846"/>
      <c r="D846"/>
      <c r="F846" s="1"/>
      <c r="G846"/>
    </row>
    <row r="847" spans="3:7" x14ac:dyDescent="0.25">
      <c r="C847"/>
      <c r="D847"/>
      <c r="F847" s="1"/>
      <c r="G847"/>
    </row>
    <row r="848" spans="3:7" x14ac:dyDescent="0.25">
      <c r="C848"/>
      <c r="D848"/>
      <c r="F848" s="1"/>
      <c r="G848"/>
    </row>
    <row r="849" spans="3:7" x14ac:dyDescent="0.25">
      <c r="C849"/>
      <c r="D849"/>
      <c r="F849" s="1"/>
      <c r="G849"/>
    </row>
    <row r="850" spans="3:7" x14ac:dyDescent="0.25">
      <c r="C850"/>
      <c r="D850"/>
      <c r="F850" s="1"/>
      <c r="G850"/>
    </row>
    <row r="851" spans="3:7" x14ac:dyDescent="0.25">
      <c r="C851"/>
      <c r="D851"/>
      <c r="F851" s="1"/>
      <c r="G851"/>
    </row>
    <row r="852" spans="3:7" x14ac:dyDescent="0.25">
      <c r="C852"/>
      <c r="D852"/>
      <c r="F852" s="1"/>
      <c r="G852"/>
    </row>
    <row r="853" spans="3:7" x14ac:dyDescent="0.25">
      <c r="C853"/>
      <c r="D853"/>
      <c r="F853" s="1"/>
      <c r="G853"/>
    </row>
    <row r="854" spans="3:7" x14ac:dyDescent="0.25">
      <c r="C854"/>
      <c r="D854"/>
      <c r="F854" s="1"/>
      <c r="G854"/>
    </row>
    <row r="855" spans="3:7" x14ac:dyDescent="0.25">
      <c r="C855"/>
      <c r="D855"/>
      <c r="F855" s="1"/>
      <c r="G855"/>
    </row>
    <row r="856" spans="3:7" x14ac:dyDescent="0.25">
      <c r="C856"/>
      <c r="D856"/>
      <c r="F856" s="1"/>
      <c r="G856"/>
    </row>
    <row r="857" spans="3:7" x14ac:dyDescent="0.25">
      <c r="C857"/>
      <c r="D857"/>
      <c r="F857" s="1"/>
      <c r="G857"/>
    </row>
    <row r="858" spans="3:7" x14ac:dyDescent="0.25">
      <c r="C858"/>
      <c r="D858"/>
      <c r="F858" s="1"/>
      <c r="G858"/>
    </row>
    <row r="859" spans="3:7" x14ac:dyDescent="0.25">
      <c r="C859"/>
      <c r="D859"/>
      <c r="F859" s="1"/>
      <c r="G859"/>
    </row>
    <row r="860" spans="3:7" x14ac:dyDescent="0.25">
      <c r="C860"/>
      <c r="D860"/>
      <c r="F860" s="1"/>
      <c r="G860"/>
    </row>
    <row r="861" spans="3:7" x14ac:dyDescent="0.25">
      <c r="C861"/>
      <c r="D861"/>
      <c r="F861" s="1"/>
      <c r="G861"/>
    </row>
    <row r="862" spans="3:7" x14ac:dyDescent="0.25">
      <c r="C862"/>
      <c r="D862"/>
      <c r="F862" s="1"/>
      <c r="G862"/>
    </row>
    <row r="863" spans="3:7" x14ac:dyDescent="0.25">
      <c r="C863"/>
      <c r="D863"/>
      <c r="F863" s="1"/>
      <c r="G863"/>
    </row>
    <row r="864" spans="3:7" x14ac:dyDescent="0.25">
      <c r="C864"/>
      <c r="D864"/>
      <c r="F864" s="1"/>
      <c r="G864"/>
    </row>
    <row r="865" spans="3:7" x14ac:dyDescent="0.25">
      <c r="C865"/>
      <c r="D865"/>
      <c r="F865" s="1"/>
      <c r="G865"/>
    </row>
    <row r="866" spans="3:7" x14ac:dyDescent="0.25">
      <c r="C866"/>
      <c r="D866"/>
      <c r="F866" s="1"/>
      <c r="G866"/>
    </row>
    <row r="867" spans="3:7" x14ac:dyDescent="0.25">
      <c r="C867"/>
      <c r="D867"/>
      <c r="F867" s="1"/>
      <c r="G867"/>
    </row>
    <row r="868" spans="3:7" x14ac:dyDescent="0.25">
      <c r="C868"/>
      <c r="D868"/>
      <c r="F868" s="1"/>
      <c r="G868"/>
    </row>
    <row r="869" spans="3:7" x14ac:dyDescent="0.25">
      <c r="C869"/>
      <c r="D869"/>
      <c r="F869" s="1"/>
      <c r="G869"/>
    </row>
    <row r="870" spans="3:7" x14ac:dyDescent="0.25">
      <c r="C870"/>
      <c r="D870"/>
      <c r="F870" s="1"/>
      <c r="G870"/>
    </row>
    <row r="871" spans="3:7" x14ac:dyDescent="0.25">
      <c r="C871"/>
      <c r="D871"/>
      <c r="F871" s="1"/>
      <c r="G871"/>
    </row>
    <row r="872" spans="3:7" x14ac:dyDescent="0.25">
      <c r="C872"/>
      <c r="D872"/>
      <c r="F872" s="1"/>
      <c r="G872"/>
    </row>
    <row r="873" spans="3:7" x14ac:dyDescent="0.25">
      <c r="C873"/>
      <c r="D873"/>
      <c r="F873" s="1"/>
      <c r="G873"/>
    </row>
    <row r="874" spans="3:7" x14ac:dyDescent="0.25">
      <c r="C874"/>
      <c r="D874"/>
      <c r="F874" s="1"/>
      <c r="G874"/>
    </row>
    <row r="875" spans="3:7" x14ac:dyDescent="0.25">
      <c r="C875"/>
      <c r="D875"/>
      <c r="F875" s="1"/>
      <c r="G875"/>
    </row>
    <row r="876" spans="3:7" x14ac:dyDescent="0.25">
      <c r="C876"/>
      <c r="D876"/>
      <c r="F876" s="1"/>
      <c r="G876"/>
    </row>
    <row r="877" spans="3:7" x14ac:dyDescent="0.25">
      <c r="C877"/>
      <c r="D877"/>
      <c r="F877" s="1"/>
      <c r="G877"/>
    </row>
    <row r="878" spans="3:7" x14ac:dyDescent="0.25">
      <c r="C878"/>
      <c r="D878"/>
      <c r="F878" s="1"/>
      <c r="G878"/>
    </row>
    <row r="879" spans="3:7" x14ac:dyDescent="0.25">
      <c r="C879"/>
      <c r="D879"/>
      <c r="F879" s="1"/>
      <c r="G879"/>
    </row>
    <row r="880" spans="3:7" x14ac:dyDescent="0.25">
      <c r="C880"/>
      <c r="D880"/>
      <c r="F880" s="1"/>
      <c r="G880"/>
    </row>
    <row r="881" spans="3:7" x14ac:dyDescent="0.25">
      <c r="C881"/>
      <c r="D881"/>
      <c r="F881" s="1"/>
      <c r="G881"/>
    </row>
    <row r="882" spans="3:7" x14ac:dyDescent="0.25">
      <c r="C882"/>
      <c r="D882"/>
      <c r="F882" s="1"/>
      <c r="G882"/>
    </row>
    <row r="883" spans="3:7" x14ac:dyDescent="0.25">
      <c r="C883"/>
      <c r="D883"/>
      <c r="F883" s="1"/>
      <c r="G883"/>
    </row>
    <row r="884" spans="3:7" x14ac:dyDescent="0.25">
      <c r="C884"/>
      <c r="D884"/>
      <c r="F884" s="1"/>
      <c r="G884"/>
    </row>
    <row r="885" spans="3:7" x14ac:dyDescent="0.25">
      <c r="C885"/>
      <c r="D885"/>
      <c r="F885" s="1"/>
      <c r="G885"/>
    </row>
    <row r="886" spans="3:7" x14ac:dyDescent="0.25">
      <c r="C886"/>
      <c r="D886"/>
      <c r="F886" s="1"/>
      <c r="G886"/>
    </row>
    <row r="887" spans="3:7" x14ac:dyDescent="0.25">
      <c r="C887"/>
      <c r="D887"/>
      <c r="F887" s="1"/>
      <c r="G887"/>
    </row>
    <row r="888" spans="3:7" x14ac:dyDescent="0.25">
      <c r="C888"/>
      <c r="D888"/>
      <c r="F888" s="1"/>
      <c r="G888"/>
    </row>
    <row r="889" spans="3:7" x14ac:dyDescent="0.25">
      <c r="C889"/>
      <c r="D889"/>
      <c r="F889" s="1"/>
      <c r="G889"/>
    </row>
    <row r="890" spans="3:7" x14ac:dyDescent="0.25">
      <c r="C890"/>
      <c r="D890"/>
      <c r="F890" s="1"/>
      <c r="G890"/>
    </row>
    <row r="891" spans="3:7" x14ac:dyDescent="0.25">
      <c r="C891"/>
      <c r="D891"/>
      <c r="F891" s="1"/>
      <c r="G891"/>
    </row>
    <row r="892" spans="3:7" x14ac:dyDescent="0.25">
      <c r="C892"/>
      <c r="D892"/>
      <c r="F892" s="1"/>
      <c r="G892"/>
    </row>
    <row r="893" spans="3:7" x14ac:dyDescent="0.25">
      <c r="C893"/>
      <c r="D893"/>
      <c r="F893" s="1"/>
      <c r="G893"/>
    </row>
    <row r="894" spans="3:7" x14ac:dyDescent="0.25">
      <c r="C894"/>
      <c r="D894"/>
      <c r="F894" s="1"/>
      <c r="G894"/>
    </row>
    <row r="895" spans="3:7" x14ac:dyDescent="0.25">
      <c r="C895"/>
      <c r="D895"/>
      <c r="F895" s="1"/>
      <c r="G895"/>
    </row>
    <row r="896" spans="3:7" x14ac:dyDescent="0.25">
      <c r="C896"/>
      <c r="D896"/>
      <c r="F896" s="1"/>
      <c r="G896"/>
    </row>
    <row r="897" spans="3:7" x14ac:dyDescent="0.25">
      <c r="C897"/>
      <c r="D897"/>
      <c r="F897" s="1"/>
      <c r="G897"/>
    </row>
    <row r="898" spans="3:7" x14ac:dyDescent="0.25">
      <c r="C898"/>
      <c r="D898"/>
      <c r="F898" s="1"/>
      <c r="G898"/>
    </row>
    <row r="899" spans="3:7" x14ac:dyDescent="0.25">
      <c r="C899"/>
      <c r="D899"/>
      <c r="F899" s="1"/>
      <c r="G899"/>
    </row>
    <row r="900" spans="3:7" x14ac:dyDescent="0.25">
      <c r="C900"/>
      <c r="D900"/>
      <c r="F900" s="1"/>
      <c r="G900"/>
    </row>
    <row r="901" spans="3:7" x14ac:dyDescent="0.25">
      <c r="C901"/>
      <c r="D901"/>
      <c r="F901" s="1"/>
      <c r="G901"/>
    </row>
    <row r="902" spans="3:7" x14ac:dyDescent="0.25">
      <c r="C902"/>
      <c r="D902"/>
      <c r="F902" s="1"/>
      <c r="G902"/>
    </row>
    <row r="903" spans="3:7" x14ac:dyDescent="0.25">
      <c r="C903"/>
      <c r="D903"/>
      <c r="F903" s="1"/>
      <c r="G903"/>
    </row>
    <row r="904" spans="3:7" x14ac:dyDescent="0.25">
      <c r="C904"/>
      <c r="D904"/>
      <c r="F904" s="1"/>
      <c r="G904"/>
    </row>
    <row r="905" spans="3:7" x14ac:dyDescent="0.25">
      <c r="C905"/>
      <c r="D905"/>
      <c r="F905" s="1"/>
      <c r="G905"/>
    </row>
    <row r="906" spans="3:7" x14ac:dyDescent="0.25">
      <c r="C906"/>
      <c r="D906"/>
      <c r="F906" s="1"/>
      <c r="G906"/>
    </row>
    <row r="907" spans="3:7" x14ac:dyDescent="0.25">
      <c r="C907"/>
      <c r="D907"/>
      <c r="F907" s="1"/>
      <c r="G907"/>
    </row>
    <row r="908" spans="3:7" x14ac:dyDescent="0.25">
      <c r="C908"/>
      <c r="D908"/>
      <c r="F908" s="1"/>
      <c r="G908"/>
    </row>
    <row r="909" spans="3:7" x14ac:dyDescent="0.25">
      <c r="C909"/>
      <c r="D909"/>
      <c r="F909" s="1"/>
      <c r="G909"/>
    </row>
    <row r="910" spans="3:7" x14ac:dyDescent="0.25">
      <c r="C910"/>
      <c r="D910"/>
      <c r="F910" s="1"/>
      <c r="G910"/>
    </row>
    <row r="911" spans="3:7" x14ac:dyDescent="0.25">
      <c r="C911"/>
      <c r="D911"/>
      <c r="F911" s="1"/>
      <c r="G911"/>
    </row>
    <row r="912" spans="3:7" x14ac:dyDescent="0.25">
      <c r="C912"/>
      <c r="D912"/>
      <c r="F912" s="1"/>
      <c r="G912"/>
    </row>
    <row r="913" spans="3:7" x14ac:dyDescent="0.25">
      <c r="C913"/>
      <c r="D913"/>
      <c r="F913" s="1"/>
      <c r="G913"/>
    </row>
    <row r="914" spans="3:7" x14ac:dyDescent="0.25">
      <c r="C914"/>
      <c r="D914"/>
      <c r="F914" s="1"/>
      <c r="G914"/>
    </row>
    <row r="915" spans="3:7" x14ac:dyDescent="0.25">
      <c r="C915"/>
      <c r="D915"/>
      <c r="F915" s="1"/>
      <c r="G915"/>
    </row>
    <row r="916" spans="3:7" x14ac:dyDescent="0.25">
      <c r="C916"/>
      <c r="D916"/>
      <c r="F916" s="1"/>
      <c r="G916"/>
    </row>
    <row r="917" spans="3:7" x14ac:dyDescent="0.25">
      <c r="C917"/>
      <c r="D917"/>
      <c r="F917" s="1"/>
      <c r="G917"/>
    </row>
    <row r="918" spans="3:7" x14ac:dyDescent="0.25">
      <c r="C918"/>
      <c r="D918"/>
      <c r="F918" s="1"/>
      <c r="G918"/>
    </row>
    <row r="919" spans="3:7" x14ac:dyDescent="0.25">
      <c r="C919"/>
      <c r="D919"/>
      <c r="F919" s="1"/>
      <c r="G919"/>
    </row>
    <row r="920" spans="3:7" x14ac:dyDescent="0.25">
      <c r="C920"/>
      <c r="D920"/>
      <c r="F920" s="1"/>
      <c r="G920"/>
    </row>
    <row r="921" spans="3:7" x14ac:dyDescent="0.25">
      <c r="C921"/>
      <c r="D921"/>
      <c r="F921" s="1"/>
      <c r="G921"/>
    </row>
    <row r="922" spans="3:7" x14ac:dyDescent="0.25">
      <c r="C922"/>
      <c r="D922"/>
      <c r="F922" s="1"/>
      <c r="G922"/>
    </row>
    <row r="923" spans="3:7" x14ac:dyDescent="0.25">
      <c r="C923"/>
      <c r="D923"/>
      <c r="F923" s="1"/>
      <c r="G923"/>
    </row>
    <row r="924" spans="3:7" x14ac:dyDescent="0.25">
      <c r="C924"/>
      <c r="D924"/>
      <c r="F924" s="1"/>
      <c r="G924"/>
    </row>
    <row r="925" spans="3:7" x14ac:dyDescent="0.25">
      <c r="C925"/>
      <c r="D925"/>
      <c r="F925" s="1"/>
      <c r="G925"/>
    </row>
    <row r="926" spans="3:7" x14ac:dyDescent="0.25">
      <c r="C926"/>
      <c r="D926"/>
      <c r="F926" s="1"/>
      <c r="G926"/>
    </row>
    <row r="927" spans="3:7" x14ac:dyDescent="0.25">
      <c r="C927"/>
      <c r="D927"/>
      <c r="F927" s="1"/>
      <c r="G927"/>
    </row>
    <row r="928" spans="3:7" x14ac:dyDescent="0.25">
      <c r="C928"/>
      <c r="D928"/>
      <c r="F928" s="1"/>
      <c r="G928"/>
    </row>
    <row r="929" spans="3:7" x14ac:dyDescent="0.25">
      <c r="C929"/>
      <c r="D929"/>
      <c r="F929" s="1"/>
      <c r="G929"/>
    </row>
    <row r="930" spans="3:7" x14ac:dyDescent="0.25">
      <c r="C930"/>
      <c r="D930"/>
      <c r="F930" s="1"/>
      <c r="G930"/>
    </row>
    <row r="931" spans="3:7" x14ac:dyDescent="0.25">
      <c r="C931"/>
      <c r="D931"/>
      <c r="F931" s="1"/>
      <c r="G931"/>
    </row>
    <row r="932" spans="3:7" x14ac:dyDescent="0.25">
      <c r="C932"/>
      <c r="D932"/>
      <c r="F932" s="1"/>
      <c r="G932"/>
    </row>
    <row r="933" spans="3:7" x14ac:dyDescent="0.25">
      <c r="C933"/>
      <c r="D933"/>
      <c r="F933" s="1"/>
      <c r="G933"/>
    </row>
    <row r="934" spans="3:7" x14ac:dyDescent="0.25">
      <c r="C934"/>
      <c r="D934"/>
      <c r="F934" s="1"/>
      <c r="G934"/>
    </row>
    <row r="935" spans="3:7" x14ac:dyDescent="0.25">
      <c r="C935"/>
      <c r="D935"/>
      <c r="F935" s="1"/>
      <c r="G935"/>
    </row>
    <row r="936" spans="3:7" x14ac:dyDescent="0.25">
      <c r="C936"/>
      <c r="D936"/>
      <c r="F936" s="1"/>
      <c r="G936"/>
    </row>
    <row r="937" spans="3:7" x14ac:dyDescent="0.25">
      <c r="C937"/>
      <c r="D937"/>
      <c r="F937" s="1"/>
      <c r="G937"/>
    </row>
    <row r="938" spans="3:7" x14ac:dyDescent="0.25">
      <c r="C938"/>
      <c r="D938"/>
      <c r="F938" s="1"/>
      <c r="G938"/>
    </row>
    <row r="939" spans="3:7" x14ac:dyDescent="0.25">
      <c r="C939"/>
      <c r="D939"/>
      <c r="F939" s="1"/>
      <c r="G939"/>
    </row>
    <row r="940" spans="3:7" x14ac:dyDescent="0.25">
      <c r="C940"/>
      <c r="D940"/>
      <c r="F940" s="1"/>
      <c r="G940"/>
    </row>
    <row r="941" spans="3:7" x14ac:dyDescent="0.25">
      <c r="C941"/>
      <c r="D941"/>
      <c r="F941" s="1"/>
      <c r="G941"/>
    </row>
    <row r="942" spans="3:7" x14ac:dyDescent="0.25">
      <c r="C942"/>
      <c r="D942"/>
      <c r="F942" s="1"/>
      <c r="G942"/>
    </row>
    <row r="943" spans="3:7" x14ac:dyDescent="0.25">
      <c r="C943"/>
      <c r="D943"/>
      <c r="F943" s="1"/>
      <c r="G943"/>
    </row>
    <row r="944" spans="3:7" x14ac:dyDescent="0.25">
      <c r="C944"/>
      <c r="D944"/>
      <c r="F944" s="1"/>
      <c r="G944"/>
    </row>
    <row r="945" spans="3:7" x14ac:dyDescent="0.25">
      <c r="C945"/>
      <c r="D945"/>
      <c r="F945" s="1"/>
      <c r="G945"/>
    </row>
    <row r="946" spans="3:7" x14ac:dyDescent="0.25">
      <c r="C946"/>
      <c r="D946"/>
      <c r="F946" s="1"/>
      <c r="G946"/>
    </row>
    <row r="947" spans="3:7" x14ac:dyDescent="0.25">
      <c r="C947"/>
      <c r="D947"/>
      <c r="F947" s="1"/>
      <c r="G947"/>
    </row>
    <row r="948" spans="3:7" x14ac:dyDescent="0.25">
      <c r="C948"/>
      <c r="D948"/>
      <c r="F948" s="1"/>
      <c r="G948"/>
    </row>
    <row r="949" spans="3:7" x14ac:dyDescent="0.25">
      <c r="C949"/>
      <c r="D949"/>
      <c r="F949" s="1"/>
      <c r="G949"/>
    </row>
    <row r="950" spans="3:7" x14ac:dyDescent="0.25">
      <c r="C950"/>
      <c r="D950"/>
      <c r="F950" s="1"/>
      <c r="G950"/>
    </row>
    <row r="951" spans="3:7" x14ac:dyDescent="0.25">
      <c r="C951"/>
      <c r="D951"/>
      <c r="F951" s="1"/>
      <c r="G951"/>
    </row>
    <row r="952" spans="3:7" x14ac:dyDescent="0.25">
      <c r="C952"/>
      <c r="D952"/>
      <c r="F952" s="1"/>
      <c r="G952"/>
    </row>
    <row r="953" spans="3:7" x14ac:dyDescent="0.25">
      <c r="C953"/>
      <c r="D953"/>
      <c r="F953" s="1"/>
      <c r="G953"/>
    </row>
    <row r="954" spans="3:7" x14ac:dyDescent="0.25">
      <c r="C954"/>
      <c r="D954"/>
      <c r="F954" s="1"/>
      <c r="G954"/>
    </row>
    <row r="955" spans="3:7" x14ac:dyDescent="0.25">
      <c r="C955"/>
      <c r="D955"/>
      <c r="F955" s="1"/>
      <c r="G955"/>
    </row>
    <row r="956" spans="3:7" x14ac:dyDescent="0.25">
      <c r="C956"/>
      <c r="D956"/>
      <c r="F956" s="1"/>
      <c r="G956"/>
    </row>
    <row r="957" spans="3:7" x14ac:dyDescent="0.25">
      <c r="C957"/>
      <c r="D957"/>
      <c r="F957" s="1"/>
      <c r="G957"/>
    </row>
    <row r="958" spans="3:7" x14ac:dyDescent="0.25">
      <c r="C958"/>
      <c r="D958"/>
      <c r="F958" s="1"/>
      <c r="G958"/>
    </row>
    <row r="959" spans="3:7" x14ac:dyDescent="0.25">
      <c r="C959"/>
      <c r="D959"/>
      <c r="F959" s="1"/>
      <c r="G959"/>
    </row>
    <row r="960" spans="3:7" x14ac:dyDescent="0.25">
      <c r="C960"/>
      <c r="D960"/>
      <c r="F960" s="1"/>
      <c r="G960"/>
    </row>
    <row r="961" spans="3:7" x14ac:dyDescent="0.25">
      <c r="C961"/>
      <c r="D961"/>
      <c r="F961" s="1"/>
      <c r="G961"/>
    </row>
    <row r="962" spans="3:7" x14ac:dyDescent="0.25">
      <c r="C962"/>
      <c r="D962"/>
      <c r="F962" s="1"/>
      <c r="G962"/>
    </row>
    <row r="963" spans="3:7" x14ac:dyDescent="0.25">
      <c r="C963"/>
      <c r="D963"/>
      <c r="F963" s="1"/>
      <c r="G963"/>
    </row>
    <row r="964" spans="3:7" x14ac:dyDescent="0.25">
      <c r="C964"/>
      <c r="D964"/>
      <c r="F964" s="1"/>
      <c r="G964"/>
    </row>
    <row r="965" spans="3:7" x14ac:dyDescent="0.25">
      <c r="C965"/>
      <c r="D965"/>
      <c r="F965" s="1"/>
      <c r="G965"/>
    </row>
    <row r="966" spans="3:7" x14ac:dyDescent="0.25">
      <c r="C966"/>
      <c r="D966"/>
      <c r="F966" s="1"/>
      <c r="G966"/>
    </row>
    <row r="967" spans="3:7" x14ac:dyDescent="0.25">
      <c r="C967"/>
      <c r="D967"/>
      <c r="F967" s="1"/>
      <c r="G967"/>
    </row>
    <row r="968" spans="3:7" x14ac:dyDescent="0.25">
      <c r="C968"/>
      <c r="D968"/>
      <c r="F968" s="1"/>
      <c r="G968"/>
    </row>
    <row r="969" spans="3:7" x14ac:dyDescent="0.25">
      <c r="C969"/>
      <c r="D969"/>
      <c r="F969" s="1"/>
      <c r="G969"/>
    </row>
    <row r="970" spans="3:7" x14ac:dyDescent="0.25">
      <c r="C970"/>
      <c r="D970"/>
      <c r="F970" s="1"/>
      <c r="G970"/>
    </row>
    <row r="971" spans="3:7" x14ac:dyDescent="0.25">
      <c r="C971"/>
      <c r="D971"/>
      <c r="F971" s="1"/>
      <c r="G971"/>
    </row>
    <row r="972" spans="3:7" x14ac:dyDescent="0.25">
      <c r="C972"/>
      <c r="D972"/>
      <c r="F972" s="1"/>
      <c r="G972"/>
    </row>
    <row r="973" spans="3:7" x14ac:dyDescent="0.25">
      <c r="C973"/>
      <c r="D973"/>
      <c r="F973" s="1"/>
      <c r="G973"/>
    </row>
    <row r="974" spans="3:7" x14ac:dyDescent="0.25">
      <c r="C974"/>
      <c r="D974"/>
      <c r="F974" s="1"/>
      <c r="G974"/>
    </row>
    <row r="975" spans="3:7" x14ac:dyDescent="0.25">
      <c r="C975"/>
      <c r="D975"/>
      <c r="F975" s="1"/>
      <c r="G975"/>
    </row>
    <row r="976" spans="3:7" x14ac:dyDescent="0.25">
      <c r="C976"/>
      <c r="D976"/>
      <c r="F976" s="1"/>
      <c r="G976"/>
    </row>
    <row r="977" spans="3:7" x14ac:dyDescent="0.25">
      <c r="C977"/>
      <c r="D977"/>
      <c r="F977" s="1"/>
      <c r="G977"/>
    </row>
    <row r="978" spans="3:7" x14ac:dyDescent="0.25">
      <c r="C978"/>
      <c r="D978"/>
      <c r="F978" s="1"/>
      <c r="G978"/>
    </row>
    <row r="979" spans="3:7" x14ac:dyDescent="0.25">
      <c r="C979"/>
      <c r="D979"/>
      <c r="F979" s="1"/>
      <c r="G979"/>
    </row>
    <row r="980" spans="3:7" x14ac:dyDescent="0.25">
      <c r="C980"/>
      <c r="D980"/>
      <c r="F980" s="1"/>
      <c r="G980"/>
    </row>
    <row r="981" spans="3:7" x14ac:dyDescent="0.25">
      <c r="C981"/>
      <c r="D981"/>
      <c r="F981" s="1"/>
      <c r="G981"/>
    </row>
    <row r="982" spans="3:7" x14ac:dyDescent="0.25">
      <c r="C982"/>
      <c r="D982"/>
      <c r="F982" s="1"/>
      <c r="G982"/>
    </row>
    <row r="983" spans="3:7" x14ac:dyDescent="0.25">
      <c r="C983"/>
      <c r="D983"/>
      <c r="F983" s="1"/>
      <c r="G983"/>
    </row>
    <row r="984" spans="3:7" x14ac:dyDescent="0.25">
      <c r="C984"/>
      <c r="D984"/>
      <c r="F984" s="1"/>
      <c r="G984"/>
    </row>
    <row r="985" spans="3:7" x14ac:dyDescent="0.25">
      <c r="C985"/>
      <c r="D985"/>
      <c r="F985" s="1"/>
      <c r="G985"/>
    </row>
    <row r="986" spans="3:7" x14ac:dyDescent="0.25">
      <c r="C986"/>
      <c r="D986"/>
      <c r="F986" s="1"/>
      <c r="G986"/>
    </row>
    <row r="987" spans="3:7" x14ac:dyDescent="0.25">
      <c r="C987"/>
      <c r="D987"/>
      <c r="F987" s="1"/>
      <c r="G987"/>
    </row>
    <row r="988" spans="3:7" x14ac:dyDescent="0.25">
      <c r="C988"/>
      <c r="D988"/>
      <c r="F988" s="1"/>
      <c r="G988"/>
    </row>
    <row r="989" spans="3:7" x14ac:dyDescent="0.25">
      <c r="C989"/>
      <c r="D989"/>
      <c r="F989" s="1"/>
      <c r="G989"/>
    </row>
    <row r="990" spans="3:7" x14ac:dyDescent="0.25">
      <c r="C990"/>
      <c r="D990"/>
      <c r="F990" s="1"/>
      <c r="G990"/>
    </row>
    <row r="991" spans="3:7" x14ac:dyDescent="0.25">
      <c r="C991"/>
      <c r="D991"/>
      <c r="F991" s="1"/>
      <c r="G991"/>
    </row>
    <row r="992" spans="3:7" x14ac:dyDescent="0.25">
      <c r="C992"/>
      <c r="D992"/>
      <c r="F992" s="1"/>
      <c r="G992"/>
    </row>
    <row r="993" spans="3:7" x14ac:dyDescent="0.25">
      <c r="C993"/>
      <c r="D993"/>
      <c r="F993" s="1"/>
      <c r="G993"/>
    </row>
    <row r="994" spans="3:7" x14ac:dyDescent="0.25">
      <c r="C994"/>
      <c r="D994"/>
      <c r="F994" s="1"/>
      <c r="G994"/>
    </row>
    <row r="995" spans="3:7" x14ac:dyDescent="0.25">
      <c r="C995"/>
      <c r="D995"/>
      <c r="F995" s="1"/>
      <c r="G995"/>
    </row>
    <row r="996" spans="3:7" x14ac:dyDescent="0.25">
      <c r="C996"/>
      <c r="D996"/>
      <c r="F996" s="1"/>
      <c r="G996"/>
    </row>
    <row r="997" spans="3:7" x14ac:dyDescent="0.25">
      <c r="C997"/>
      <c r="D997"/>
      <c r="F997" s="1"/>
      <c r="G997"/>
    </row>
    <row r="998" spans="3:7" x14ac:dyDescent="0.25">
      <c r="C998"/>
      <c r="D998"/>
      <c r="F998" s="1"/>
      <c r="G998"/>
    </row>
    <row r="999" spans="3:7" x14ac:dyDescent="0.25">
      <c r="C999"/>
      <c r="D999"/>
      <c r="F999" s="1"/>
      <c r="G999"/>
    </row>
    <row r="1000" spans="3:7" x14ac:dyDescent="0.25">
      <c r="C1000"/>
      <c r="D1000"/>
      <c r="F1000" s="1"/>
      <c r="G1000"/>
    </row>
    <row r="1001" spans="3:7" x14ac:dyDescent="0.25">
      <c r="C1001"/>
      <c r="D1001"/>
      <c r="F1001" s="1"/>
      <c r="G1001"/>
    </row>
    <row r="1002" spans="3:7" x14ac:dyDescent="0.25">
      <c r="C1002"/>
      <c r="D1002"/>
      <c r="F1002" s="1"/>
      <c r="G1002"/>
    </row>
    <row r="1003" spans="3:7" x14ac:dyDescent="0.25">
      <c r="C1003"/>
      <c r="D1003"/>
      <c r="F1003" s="1"/>
      <c r="G1003"/>
    </row>
    <row r="1004" spans="3:7" x14ac:dyDescent="0.25">
      <c r="C1004"/>
      <c r="D1004"/>
      <c r="F1004" s="1"/>
      <c r="G1004"/>
    </row>
    <row r="1005" spans="3:7" x14ac:dyDescent="0.25">
      <c r="C1005"/>
      <c r="D1005"/>
      <c r="F1005" s="1"/>
      <c r="G1005"/>
    </row>
    <row r="1006" spans="3:7" x14ac:dyDescent="0.25">
      <c r="C1006"/>
      <c r="D1006"/>
      <c r="F1006" s="1"/>
      <c r="G1006"/>
    </row>
    <row r="1007" spans="3:7" x14ac:dyDescent="0.25">
      <c r="C1007"/>
      <c r="D1007"/>
      <c r="F1007" s="1"/>
      <c r="G1007"/>
    </row>
    <row r="1008" spans="3:7" x14ac:dyDescent="0.25">
      <c r="C1008"/>
      <c r="D1008"/>
      <c r="F1008" s="1"/>
      <c r="G1008"/>
    </row>
    <row r="1009" spans="3:7" x14ac:dyDescent="0.25">
      <c r="C1009"/>
      <c r="D1009"/>
      <c r="F1009" s="1"/>
      <c r="G1009"/>
    </row>
    <row r="1010" spans="3:7" x14ac:dyDescent="0.25">
      <c r="C1010"/>
      <c r="D1010"/>
      <c r="F1010" s="1"/>
      <c r="G1010"/>
    </row>
    <row r="1011" spans="3:7" x14ac:dyDescent="0.25">
      <c r="C1011"/>
      <c r="D1011"/>
      <c r="F1011" s="1"/>
      <c r="G1011"/>
    </row>
    <row r="1012" spans="3:7" x14ac:dyDescent="0.25">
      <c r="C1012"/>
      <c r="D1012"/>
      <c r="F1012" s="1"/>
      <c r="G1012"/>
    </row>
    <row r="1013" spans="3:7" x14ac:dyDescent="0.25">
      <c r="C1013"/>
      <c r="D1013"/>
      <c r="F1013" s="1"/>
      <c r="G1013"/>
    </row>
    <row r="1014" spans="3:7" x14ac:dyDescent="0.25">
      <c r="C1014"/>
      <c r="D1014"/>
      <c r="F1014" s="1"/>
      <c r="G1014"/>
    </row>
    <row r="1015" spans="3:7" x14ac:dyDescent="0.25">
      <c r="C1015"/>
      <c r="D1015"/>
      <c r="F1015" s="1"/>
      <c r="G1015"/>
    </row>
    <row r="1016" spans="3:7" x14ac:dyDescent="0.25">
      <c r="C1016"/>
      <c r="D1016"/>
      <c r="F1016" s="1"/>
      <c r="G1016"/>
    </row>
    <row r="1017" spans="3:7" x14ac:dyDescent="0.25">
      <c r="C1017"/>
      <c r="D1017"/>
      <c r="F1017" s="1"/>
      <c r="G1017"/>
    </row>
    <row r="1018" spans="3:7" x14ac:dyDescent="0.25">
      <c r="C1018"/>
      <c r="D1018"/>
      <c r="F1018" s="1"/>
      <c r="G1018"/>
    </row>
    <row r="1019" spans="3:7" x14ac:dyDescent="0.25">
      <c r="C1019"/>
      <c r="D1019"/>
      <c r="F1019" s="1"/>
      <c r="G1019"/>
    </row>
    <row r="1020" spans="3:7" x14ac:dyDescent="0.25">
      <c r="C1020"/>
      <c r="D1020"/>
      <c r="F1020" s="1"/>
      <c r="G1020"/>
    </row>
    <row r="1021" spans="3:7" x14ac:dyDescent="0.25">
      <c r="C1021"/>
      <c r="D1021"/>
      <c r="F1021" s="1"/>
      <c r="G1021"/>
    </row>
    <row r="1022" spans="3:7" x14ac:dyDescent="0.25">
      <c r="C1022"/>
      <c r="D1022"/>
      <c r="F1022" s="1"/>
      <c r="G1022"/>
    </row>
    <row r="1023" spans="3:7" x14ac:dyDescent="0.25">
      <c r="C1023"/>
      <c r="D1023"/>
      <c r="F1023" s="1"/>
      <c r="G1023"/>
    </row>
    <row r="1024" spans="3:7" x14ac:dyDescent="0.25">
      <c r="C1024"/>
      <c r="D1024"/>
      <c r="F1024" s="1"/>
      <c r="G1024"/>
    </row>
    <row r="1025" spans="3:7" x14ac:dyDescent="0.25">
      <c r="C1025"/>
      <c r="D1025"/>
      <c r="F1025" s="1"/>
      <c r="G1025"/>
    </row>
    <row r="1026" spans="3:7" x14ac:dyDescent="0.25">
      <c r="C1026"/>
      <c r="D1026"/>
      <c r="F1026" s="1"/>
      <c r="G1026"/>
    </row>
    <row r="1027" spans="3:7" x14ac:dyDescent="0.25">
      <c r="C1027"/>
      <c r="D1027"/>
      <c r="F1027" s="1"/>
      <c r="G1027"/>
    </row>
    <row r="1028" spans="3:7" x14ac:dyDescent="0.25">
      <c r="C1028"/>
      <c r="D1028"/>
      <c r="F1028" s="1"/>
      <c r="G1028"/>
    </row>
    <row r="1029" spans="3:7" x14ac:dyDescent="0.25">
      <c r="C1029"/>
      <c r="D1029"/>
      <c r="F1029" s="1"/>
      <c r="G1029"/>
    </row>
    <row r="1030" spans="3:7" x14ac:dyDescent="0.25">
      <c r="C1030"/>
      <c r="D1030"/>
      <c r="F1030" s="1"/>
      <c r="G1030"/>
    </row>
    <row r="1031" spans="3:7" x14ac:dyDescent="0.25">
      <c r="C1031"/>
      <c r="D1031"/>
      <c r="F1031" s="1"/>
      <c r="G1031"/>
    </row>
    <row r="1032" spans="3:7" x14ac:dyDescent="0.25">
      <c r="C1032"/>
      <c r="D1032"/>
      <c r="F1032" s="1"/>
      <c r="G1032"/>
    </row>
    <row r="1033" spans="3:7" x14ac:dyDescent="0.25">
      <c r="C1033"/>
      <c r="D1033"/>
      <c r="F1033" s="1"/>
      <c r="G1033"/>
    </row>
    <row r="1034" spans="3:7" x14ac:dyDescent="0.25">
      <c r="C1034"/>
      <c r="D1034"/>
      <c r="F1034" s="1"/>
      <c r="G1034"/>
    </row>
    <row r="1035" spans="3:7" x14ac:dyDescent="0.25">
      <c r="C1035"/>
      <c r="D1035"/>
      <c r="F1035" s="1"/>
      <c r="G1035"/>
    </row>
    <row r="1036" spans="3:7" x14ac:dyDescent="0.25">
      <c r="C1036"/>
      <c r="D1036"/>
      <c r="F1036" s="1"/>
      <c r="G1036"/>
    </row>
    <row r="1037" spans="3:7" x14ac:dyDescent="0.25">
      <c r="C1037"/>
      <c r="D1037"/>
      <c r="F1037" s="1"/>
      <c r="G1037"/>
    </row>
    <row r="1038" spans="3:7" x14ac:dyDescent="0.25">
      <c r="C1038"/>
      <c r="D1038"/>
      <c r="F1038" s="1"/>
      <c r="G1038"/>
    </row>
    <row r="1039" spans="3:7" x14ac:dyDescent="0.25">
      <c r="C1039"/>
      <c r="D1039"/>
      <c r="F1039" s="1"/>
      <c r="G1039"/>
    </row>
    <row r="1040" spans="3:7" x14ac:dyDescent="0.25">
      <c r="C1040"/>
      <c r="D1040"/>
      <c r="F1040" s="1"/>
      <c r="G1040"/>
    </row>
    <row r="1041" spans="3:7" x14ac:dyDescent="0.25">
      <c r="C1041"/>
      <c r="D1041"/>
      <c r="F1041" s="1"/>
      <c r="G1041"/>
    </row>
    <row r="1042" spans="3:7" x14ac:dyDescent="0.25">
      <c r="C1042"/>
      <c r="D1042"/>
      <c r="F1042" s="1"/>
      <c r="G1042"/>
    </row>
    <row r="1043" spans="3:7" x14ac:dyDescent="0.25">
      <c r="C1043"/>
      <c r="D1043"/>
      <c r="F1043" s="1"/>
      <c r="G1043"/>
    </row>
    <row r="1044" spans="3:7" x14ac:dyDescent="0.25">
      <c r="C1044"/>
      <c r="D1044"/>
      <c r="F1044" s="1"/>
      <c r="G1044"/>
    </row>
    <row r="1045" spans="3:7" x14ac:dyDescent="0.25">
      <c r="C1045"/>
      <c r="D1045"/>
      <c r="F1045" s="1"/>
      <c r="G1045"/>
    </row>
    <row r="1046" spans="3:7" x14ac:dyDescent="0.25">
      <c r="C1046"/>
      <c r="D1046"/>
      <c r="F1046" s="1"/>
      <c r="G1046"/>
    </row>
    <row r="1047" spans="3:7" x14ac:dyDescent="0.25">
      <c r="C1047"/>
      <c r="D1047"/>
      <c r="F1047" s="1"/>
      <c r="G1047"/>
    </row>
    <row r="1048" spans="3:7" x14ac:dyDescent="0.25">
      <c r="C1048"/>
      <c r="D1048"/>
      <c r="F1048" s="1"/>
      <c r="G1048"/>
    </row>
    <row r="1049" spans="3:7" x14ac:dyDescent="0.25">
      <c r="C1049"/>
      <c r="D1049"/>
      <c r="F1049" s="1"/>
      <c r="G1049"/>
    </row>
    <row r="1050" spans="3:7" x14ac:dyDescent="0.25">
      <c r="C1050"/>
      <c r="D1050"/>
      <c r="F1050" s="1"/>
      <c r="G1050"/>
    </row>
    <row r="1051" spans="3:7" x14ac:dyDescent="0.25">
      <c r="C1051"/>
      <c r="D1051"/>
      <c r="F1051" s="1"/>
      <c r="G1051"/>
    </row>
    <row r="1052" spans="3:7" x14ac:dyDescent="0.25">
      <c r="C1052"/>
      <c r="D1052"/>
      <c r="F1052" s="1"/>
      <c r="G1052"/>
    </row>
    <row r="1053" spans="3:7" x14ac:dyDescent="0.25">
      <c r="C1053"/>
      <c r="D1053"/>
      <c r="F1053" s="1"/>
      <c r="G1053"/>
    </row>
    <row r="1054" spans="3:7" x14ac:dyDescent="0.25">
      <c r="C1054"/>
      <c r="D1054"/>
      <c r="F1054" s="1"/>
      <c r="G1054"/>
    </row>
    <row r="1055" spans="3:7" x14ac:dyDescent="0.25">
      <c r="C1055"/>
      <c r="D1055"/>
      <c r="F1055" s="1"/>
      <c r="G1055"/>
    </row>
    <row r="1056" spans="3:7" x14ac:dyDescent="0.25">
      <c r="C1056"/>
      <c r="D1056"/>
      <c r="F1056" s="1"/>
      <c r="G1056"/>
    </row>
    <row r="1057" spans="3:7" x14ac:dyDescent="0.25">
      <c r="C1057"/>
      <c r="D1057"/>
      <c r="F1057" s="1"/>
      <c r="G1057"/>
    </row>
    <row r="1058" spans="3:7" x14ac:dyDescent="0.25">
      <c r="C1058"/>
      <c r="D1058"/>
      <c r="F1058" s="1"/>
      <c r="G1058"/>
    </row>
    <row r="1059" spans="3:7" x14ac:dyDescent="0.25">
      <c r="C1059"/>
      <c r="D1059"/>
      <c r="F1059" s="1"/>
      <c r="G1059"/>
    </row>
    <row r="1060" spans="3:7" x14ac:dyDescent="0.25">
      <c r="C1060"/>
      <c r="D1060"/>
      <c r="F1060" s="1"/>
      <c r="G1060"/>
    </row>
    <row r="1061" spans="3:7" x14ac:dyDescent="0.25">
      <c r="C1061"/>
      <c r="D1061"/>
      <c r="F1061" s="1"/>
      <c r="G1061"/>
    </row>
    <row r="1062" spans="3:7" x14ac:dyDescent="0.25">
      <c r="C1062"/>
      <c r="D1062"/>
      <c r="F1062" s="1"/>
      <c r="G1062"/>
    </row>
    <row r="1063" spans="3:7" x14ac:dyDescent="0.25">
      <c r="C1063"/>
      <c r="D1063"/>
      <c r="F1063" s="1"/>
      <c r="G1063"/>
    </row>
    <row r="1064" spans="3:7" x14ac:dyDescent="0.25">
      <c r="C1064"/>
      <c r="D1064"/>
      <c r="F1064" s="1"/>
      <c r="G1064"/>
    </row>
    <row r="1065" spans="3:7" x14ac:dyDescent="0.25">
      <c r="C1065"/>
      <c r="D1065"/>
      <c r="F1065" s="1"/>
      <c r="G1065"/>
    </row>
    <row r="1066" spans="3:7" x14ac:dyDescent="0.25">
      <c r="C1066"/>
      <c r="D1066"/>
      <c r="F1066" s="1"/>
      <c r="G1066"/>
    </row>
    <row r="1067" spans="3:7" x14ac:dyDescent="0.25">
      <c r="C1067"/>
      <c r="D1067"/>
      <c r="F1067" s="1"/>
      <c r="G1067"/>
    </row>
    <row r="1068" spans="3:7" x14ac:dyDescent="0.25">
      <c r="C1068"/>
      <c r="D1068"/>
      <c r="F1068" s="1"/>
      <c r="G1068"/>
    </row>
    <row r="1069" spans="3:7" x14ac:dyDescent="0.25">
      <c r="C1069"/>
      <c r="D1069"/>
      <c r="F1069" s="1"/>
      <c r="G1069"/>
    </row>
    <row r="1070" spans="3:7" x14ac:dyDescent="0.25">
      <c r="C1070"/>
      <c r="D1070"/>
      <c r="F1070" s="1"/>
      <c r="G1070"/>
    </row>
    <row r="1071" spans="3:7" x14ac:dyDescent="0.25">
      <c r="C1071"/>
      <c r="D1071"/>
      <c r="F1071" s="1"/>
      <c r="G1071"/>
    </row>
    <row r="1072" spans="3:7" x14ac:dyDescent="0.25">
      <c r="C1072"/>
      <c r="D1072"/>
      <c r="F1072" s="1"/>
      <c r="G1072"/>
    </row>
    <row r="1073" spans="3:7" x14ac:dyDescent="0.25">
      <c r="C1073"/>
      <c r="D1073"/>
      <c r="F1073" s="1"/>
      <c r="G1073"/>
    </row>
    <row r="1074" spans="3:7" x14ac:dyDescent="0.25">
      <c r="C1074"/>
      <c r="D1074"/>
      <c r="F1074" s="1"/>
      <c r="G1074"/>
    </row>
    <row r="1075" spans="3:7" x14ac:dyDescent="0.25">
      <c r="C1075"/>
      <c r="D1075"/>
      <c r="F1075" s="1"/>
      <c r="G1075"/>
    </row>
    <row r="1076" spans="3:7" x14ac:dyDescent="0.25">
      <c r="C1076"/>
      <c r="D1076"/>
      <c r="F1076" s="1"/>
      <c r="G1076"/>
    </row>
    <row r="1077" spans="3:7" x14ac:dyDescent="0.25">
      <c r="C1077"/>
      <c r="D1077"/>
      <c r="F1077" s="1"/>
      <c r="G1077"/>
    </row>
    <row r="1078" spans="3:7" x14ac:dyDescent="0.25">
      <c r="C1078"/>
      <c r="D1078"/>
      <c r="F1078" s="1"/>
      <c r="G1078"/>
    </row>
    <row r="1079" spans="3:7" x14ac:dyDescent="0.25">
      <c r="C1079"/>
      <c r="D1079"/>
      <c r="F1079" s="1"/>
      <c r="G1079"/>
    </row>
    <row r="1080" spans="3:7" x14ac:dyDescent="0.25">
      <c r="C1080"/>
      <c r="D1080"/>
      <c r="F1080" s="1"/>
      <c r="G1080"/>
    </row>
    <row r="1081" spans="3:7" x14ac:dyDescent="0.25">
      <c r="C1081"/>
      <c r="D1081"/>
      <c r="F1081" s="1"/>
      <c r="G1081"/>
    </row>
    <row r="1082" spans="3:7" x14ac:dyDescent="0.25">
      <c r="C1082"/>
      <c r="D1082"/>
      <c r="F1082" s="1"/>
      <c r="G1082"/>
    </row>
    <row r="1083" spans="3:7" x14ac:dyDescent="0.25">
      <c r="C1083"/>
      <c r="D1083"/>
      <c r="F1083" s="1"/>
      <c r="G1083"/>
    </row>
    <row r="1084" spans="3:7" x14ac:dyDescent="0.25">
      <c r="C1084"/>
      <c r="D1084"/>
      <c r="F1084" s="1"/>
      <c r="G1084"/>
    </row>
    <row r="1085" spans="3:7" x14ac:dyDescent="0.25">
      <c r="C1085"/>
      <c r="D1085"/>
      <c r="F1085" s="1"/>
      <c r="G1085"/>
    </row>
    <row r="1086" spans="3:7" x14ac:dyDescent="0.25">
      <c r="C1086"/>
      <c r="D1086"/>
      <c r="F1086" s="1"/>
      <c r="G1086"/>
    </row>
    <row r="1087" spans="3:7" x14ac:dyDescent="0.25">
      <c r="C1087"/>
      <c r="D1087"/>
      <c r="F1087" s="1"/>
      <c r="G1087"/>
    </row>
    <row r="1088" spans="3:7" x14ac:dyDescent="0.25">
      <c r="C1088"/>
      <c r="D1088"/>
      <c r="F1088" s="1"/>
      <c r="G1088"/>
    </row>
    <row r="1089" spans="3:7" x14ac:dyDescent="0.25">
      <c r="C1089"/>
      <c r="D1089"/>
      <c r="F1089" s="1"/>
      <c r="G1089"/>
    </row>
    <row r="1090" spans="3:7" x14ac:dyDescent="0.25">
      <c r="C1090"/>
      <c r="D1090"/>
      <c r="F1090" s="1"/>
      <c r="G1090"/>
    </row>
    <row r="1091" spans="3:7" x14ac:dyDescent="0.25">
      <c r="C1091"/>
      <c r="D1091"/>
      <c r="F1091" s="1"/>
      <c r="G1091"/>
    </row>
    <row r="1092" spans="3:7" x14ac:dyDescent="0.25">
      <c r="C1092"/>
      <c r="D1092"/>
      <c r="F1092" s="1"/>
      <c r="G1092"/>
    </row>
    <row r="1093" spans="3:7" x14ac:dyDescent="0.25">
      <c r="C1093"/>
      <c r="D1093"/>
      <c r="F1093" s="1"/>
      <c r="G1093"/>
    </row>
    <row r="1094" spans="3:7" x14ac:dyDescent="0.25">
      <c r="C1094"/>
      <c r="D1094"/>
      <c r="F1094" s="1"/>
      <c r="G1094"/>
    </row>
    <row r="1095" spans="3:7" x14ac:dyDescent="0.25">
      <c r="C1095"/>
      <c r="D1095"/>
      <c r="F1095" s="1"/>
      <c r="G1095"/>
    </row>
    <row r="1096" spans="3:7" x14ac:dyDescent="0.25">
      <c r="C1096"/>
      <c r="D1096"/>
      <c r="F1096" s="1"/>
      <c r="G1096"/>
    </row>
    <row r="1097" spans="3:7" x14ac:dyDescent="0.25">
      <c r="C1097"/>
      <c r="D1097"/>
      <c r="F1097" s="1"/>
      <c r="G1097"/>
    </row>
    <row r="1098" spans="3:7" x14ac:dyDescent="0.25">
      <c r="C1098"/>
      <c r="D1098"/>
      <c r="F1098" s="1"/>
      <c r="G1098"/>
    </row>
    <row r="1099" spans="3:7" x14ac:dyDescent="0.25">
      <c r="C1099"/>
      <c r="D1099"/>
      <c r="F1099" s="1"/>
      <c r="G1099"/>
    </row>
    <row r="1100" spans="3:7" x14ac:dyDescent="0.25">
      <c r="C1100"/>
      <c r="D1100"/>
      <c r="F1100" s="1"/>
      <c r="G1100"/>
    </row>
    <row r="1101" spans="3:7" x14ac:dyDescent="0.25">
      <c r="C1101"/>
      <c r="D1101"/>
      <c r="F1101" s="1"/>
      <c r="G1101"/>
    </row>
    <row r="1102" spans="3:7" x14ac:dyDescent="0.25">
      <c r="C1102"/>
      <c r="D1102"/>
      <c r="F1102" s="1"/>
      <c r="G1102"/>
    </row>
    <row r="1103" spans="3:7" x14ac:dyDescent="0.25">
      <c r="C1103"/>
      <c r="D1103"/>
      <c r="F1103" s="1"/>
      <c r="G1103"/>
    </row>
    <row r="1104" spans="3:7" x14ac:dyDescent="0.25">
      <c r="C1104"/>
      <c r="D1104"/>
      <c r="F1104" s="1"/>
      <c r="G1104"/>
    </row>
    <row r="1105" spans="3:7" x14ac:dyDescent="0.25">
      <c r="C1105"/>
      <c r="D1105"/>
      <c r="F1105" s="1"/>
      <c r="G1105"/>
    </row>
    <row r="1106" spans="3:7" x14ac:dyDescent="0.25">
      <c r="C1106"/>
      <c r="D1106"/>
      <c r="F1106" s="1"/>
      <c r="G1106"/>
    </row>
    <row r="1107" spans="3:7" x14ac:dyDescent="0.25">
      <c r="C1107"/>
      <c r="D1107"/>
      <c r="F1107" s="1"/>
      <c r="G1107"/>
    </row>
    <row r="1108" spans="3:7" x14ac:dyDescent="0.25">
      <c r="C1108"/>
      <c r="D1108"/>
      <c r="F1108" s="1"/>
      <c r="G1108"/>
    </row>
    <row r="1109" spans="3:7" x14ac:dyDescent="0.25">
      <c r="C1109"/>
      <c r="D1109"/>
      <c r="F1109" s="1"/>
      <c r="G1109"/>
    </row>
    <row r="1110" spans="3:7" x14ac:dyDescent="0.25">
      <c r="C1110"/>
      <c r="D1110"/>
      <c r="F1110" s="1"/>
      <c r="G1110"/>
    </row>
    <row r="1111" spans="3:7" x14ac:dyDescent="0.25">
      <c r="C1111"/>
      <c r="D1111"/>
      <c r="F1111" s="1"/>
      <c r="G1111"/>
    </row>
    <row r="1112" spans="3:7" x14ac:dyDescent="0.25">
      <c r="C1112"/>
      <c r="D1112"/>
      <c r="F1112" s="1"/>
      <c r="G1112"/>
    </row>
    <row r="1113" spans="3:7" x14ac:dyDescent="0.25">
      <c r="C1113"/>
      <c r="D1113"/>
      <c r="F1113" s="1"/>
      <c r="G1113"/>
    </row>
    <row r="1114" spans="3:7" x14ac:dyDescent="0.25">
      <c r="C1114"/>
      <c r="D1114"/>
      <c r="F1114" s="1"/>
      <c r="G1114"/>
    </row>
    <row r="1115" spans="3:7" x14ac:dyDescent="0.25">
      <c r="C1115"/>
      <c r="D1115"/>
      <c r="F1115" s="1"/>
      <c r="G1115"/>
    </row>
    <row r="1116" spans="3:7" x14ac:dyDescent="0.25">
      <c r="C1116"/>
      <c r="D1116"/>
      <c r="F1116" s="1"/>
      <c r="G1116"/>
    </row>
    <row r="1117" spans="3:7" x14ac:dyDescent="0.25">
      <c r="C1117"/>
      <c r="D1117"/>
      <c r="F1117" s="1"/>
      <c r="G1117"/>
    </row>
    <row r="1118" spans="3:7" x14ac:dyDescent="0.25">
      <c r="C1118"/>
      <c r="D1118"/>
      <c r="F1118" s="1"/>
      <c r="G1118"/>
    </row>
    <row r="1119" spans="3:7" x14ac:dyDescent="0.25">
      <c r="C1119"/>
      <c r="D1119"/>
      <c r="F1119" s="1"/>
      <c r="G1119"/>
    </row>
    <row r="1120" spans="3:7" x14ac:dyDescent="0.25">
      <c r="C1120"/>
      <c r="D1120"/>
      <c r="F1120" s="1"/>
      <c r="G1120"/>
    </row>
    <row r="1121" spans="3:7" x14ac:dyDescent="0.25">
      <c r="C1121"/>
      <c r="D1121"/>
      <c r="F1121" s="1"/>
      <c r="G1121"/>
    </row>
    <row r="1122" spans="3:7" x14ac:dyDescent="0.25">
      <c r="C1122"/>
      <c r="D1122"/>
      <c r="F1122" s="1"/>
      <c r="G1122"/>
    </row>
    <row r="1123" spans="3:7" x14ac:dyDescent="0.25">
      <c r="C1123"/>
      <c r="D1123"/>
      <c r="F1123" s="1"/>
      <c r="G1123"/>
    </row>
    <row r="1124" spans="3:7" x14ac:dyDescent="0.25">
      <c r="C1124"/>
      <c r="D1124"/>
      <c r="F1124" s="1"/>
      <c r="G1124"/>
    </row>
    <row r="1125" spans="3:7" x14ac:dyDescent="0.25">
      <c r="C1125"/>
      <c r="D1125"/>
      <c r="F1125" s="1"/>
      <c r="G1125"/>
    </row>
    <row r="1126" spans="3:7" x14ac:dyDescent="0.25">
      <c r="C1126"/>
      <c r="D1126"/>
      <c r="F1126" s="1"/>
      <c r="G1126"/>
    </row>
    <row r="1127" spans="3:7" x14ac:dyDescent="0.25">
      <c r="C1127"/>
      <c r="D1127"/>
      <c r="F1127" s="1"/>
      <c r="G1127"/>
    </row>
    <row r="1128" spans="3:7" x14ac:dyDescent="0.25">
      <c r="C1128"/>
      <c r="D1128"/>
      <c r="F1128" s="1"/>
      <c r="G1128"/>
    </row>
    <row r="1129" spans="3:7" x14ac:dyDescent="0.25">
      <c r="C1129"/>
      <c r="D1129"/>
      <c r="F1129" s="1"/>
      <c r="G1129"/>
    </row>
    <row r="1130" spans="3:7" x14ac:dyDescent="0.25">
      <c r="C1130"/>
      <c r="D1130"/>
      <c r="F1130" s="1"/>
      <c r="G1130"/>
    </row>
    <row r="1131" spans="3:7" x14ac:dyDescent="0.25">
      <c r="C1131"/>
      <c r="D1131"/>
      <c r="F1131" s="1"/>
      <c r="G1131"/>
    </row>
    <row r="1132" spans="3:7" x14ac:dyDescent="0.25">
      <c r="C1132"/>
      <c r="D1132"/>
      <c r="F1132" s="1"/>
      <c r="G1132"/>
    </row>
    <row r="1133" spans="3:7" x14ac:dyDescent="0.25">
      <c r="C1133"/>
      <c r="D1133"/>
      <c r="F1133" s="1"/>
      <c r="G1133"/>
    </row>
    <row r="1134" spans="3:7" x14ac:dyDescent="0.25">
      <c r="C1134"/>
      <c r="D1134"/>
      <c r="F1134" s="1"/>
      <c r="G1134"/>
    </row>
    <row r="1135" spans="3:7" x14ac:dyDescent="0.25">
      <c r="C1135"/>
      <c r="D1135"/>
      <c r="F1135" s="1"/>
      <c r="G1135"/>
    </row>
    <row r="1136" spans="3:7" x14ac:dyDescent="0.25">
      <c r="C1136"/>
      <c r="D1136"/>
      <c r="F1136" s="1"/>
      <c r="G1136"/>
    </row>
    <row r="1137" spans="3:7" x14ac:dyDescent="0.25">
      <c r="C1137"/>
      <c r="D1137"/>
      <c r="F1137" s="1"/>
      <c r="G1137"/>
    </row>
    <row r="1138" spans="3:7" x14ac:dyDescent="0.25">
      <c r="C1138"/>
      <c r="D1138"/>
      <c r="F1138" s="1"/>
      <c r="G1138"/>
    </row>
    <row r="1139" spans="3:7" x14ac:dyDescent="0.25">
      <c r="C1139"/>
      <c r="D1139"/>
      <c r="F1139" s="1"/>
      <c r="G1139"/>
    </row>
    <row r="1140" spans="3:7" x14ac:dyDescent="0.25">
      <c r="C1140"/>
      <c r="D1140"/>
      <c r="F1140" s="1"/>
      <c r="G1140"/>
    </row>
    <row r="1141" spans="3:7" x14ac:dyDescent="0.25">
      <c r="C1141"/>
      <c r="D1141"/>
      <c r="F1141" s="1"/>
      <c r="G1141"/>
    </row>
    <row r="1142" spans="3:7" x14ac:dyDescent="0.25">
      <c r="C1142"/>
      <c r="D1142"/>
      <c r="F1142" s="1"/>
      <c r="G1142"/>
    </row>
    <row r="1143" spans="3:7" x14ac:dyDescent="0.25">
      <c r="C1143"/>
      <c r="D1143"/>
      <c r="F1143" s="1"/>
      <c r="G1143"/>
    </row>
    <row r="1144" spans="3:7" x14ac:dyDescent="0.25">
      <c r="C1144"/>
      <c r="D1144"/>
      <c r="F1144" s="1"/>
      <c r="G1144"/>
    </row>
    <row r="1145" spans="3:7" x14ac:dyDescent="0.25">
      <c r="C1145"/>
      <c r="D1145"/>
      <c r="F1145" s="1"/>
      <c r="G1145"/>
    </row>
    <row r="1146" spans="3:7" x14ac:dyDescent="0.25">
      <c r="C1146"/>
      <c r="D1146"/>
      <c r="F1146" s="1"/>
      <c r="G1146"/>
    </row>
    <row r="1147" spans="3:7" x14ac:dyDescent="0.25">
      <c r="C1147"/>
      <c r="D1147"/>
      <c r="F1147" s="1"/>
      <c r="G1147"/>
    </row>
    <row r="1148" spans="3:7" x14ac:dyDescent="0.25">
      <c r="C1148"/>
      <c r="D1148"/>
      <c r="F1148" s="1"/>
      <c r="G1148"/>
    </row>
    <row r="1149" spans="3:7" x14ac:dyDescent="0.25">
      <c r="C1149"/>
      <c r="D1149"/>
      <c r="F1149" s="1"/>
      <c r="G1149"/>
    </row>
    <row r="1150" spans="3:7" x14ac:dyDescent="0.25">
      <c r="C1150"/>
      <c r="D1150"/>
      <c r="F1150" s="1"/>
      <c r="G1150"/>
    </row>
    <row r="1151" spans="3:7" x14ac:dyDescent="0.25">
      <c r="C1151"/>
      <c r="D1151"/>
      <c r="F1151" s="1"/>
      <c r="G1151"/>
    </row>
    <row r="1152" spans="3:7" x14ac:dyDescent="0.25">
      <c r="C1152"/>
      <c r="D1152"/>
      <c r="F1152" s="1"/>
      <c r="G1152"/>
    </row>
    <row r="1153" spans="3:7" x14ac:dyDescent="0.25">
      <c r="C1153"/>
      <c r="D1153"/>
      <c r="F1153" s="1"/>
      <c r="G1153"/>
    </row>
    <row r="1154" spans="3:7" x14ac:dyDescent="0.25">
      <c r="C1154"/>
      <c r="D1154"/>
      <c r="F1154" s="1"/>
      <c r="G1154"/>
    </row>
    <row r="1155" spans="3:7" x14ac:dyDescent="0.25">
      <c r="C1155"/>
      <c r="D1155"/>
      <c r="F1155" s="1"/>
      <c r="G1155"/>
    </row>
    <row r="1156" spans="3:7" x14ac:dyDescent="0.25">
      <c r="C1156"/>
      <c r="D1156"/>
      <c r="F1156" s="1"/>
      <c r="G1156"/>
    </row>
    <row r="1157" spans="3:7" x14ac:dyDescent="0.25">
      <c r="C1157"/>
      <c r="D1157"/>
      <c r="F1157" s="1"/>
      <c r="G1157"/>
    </row>
    <row r="1158" spans="3:7" x14ac:dyDescent="0.25">
      <c r="C1158"/>
      <c r="D1158"/>
      <c r="F1158" s="1"/>
      <c r="G1158"/>
    </row>
    <row r="1159" spans="3:7" x14ac:dyDescent="0.25">
      <c r="C1159"/>
      <c r="D1159"/>
      <c r="F1159" s="1"/>
      <c r="G1159"/>
    </row>
    <row r="1160" spans="3:7" x14ac:dyDescent="0.25">
      <c r="C1160"/>
      <c r="D1160"/>
      <c r="F1160" s="1"/>
      <c r="G1160"/>
    </row>
    <row r="1161" spans="3:7" x14ac:dyDescent="0.25">
      <c r="C1161"/>
      <c r="D1161"/>
      <c r="F1161" s="1"/>
      <c r="G1161"/>
    </row>
    <row r="1162" spans="3:7" x14ac:dyDescent="0.25">
      <c r="C1162"/>
      <c r="D1162"/>
      <c r="F1162" s="1"/>
      <c r="G1162"/>
    </row>
    <row r="1163" spans="3:7" x14ac:dyDescent="0.25">
      <c r="C1163"/>
      <c r="D1163"/>
      <c r="F1163" s="1"/>
      <c r="G1163"/>
    </row>
    <row r="1164" spans="3:7" x14ac:dyDescent="0.25">
      <c r="C1164"/>
      <c r="D1164"/>
      <c r="F1164" s="1"/>
      <c r="G1164"/>
    </row>
    <row r="1165" spans="3:7" x14ac:dyDescent="0.25">
      <c r="C1165"/>
      <c r="D1165"/>
      <c r="F1165" s="1"/>
      <c r="G1165"/>
    </row>
    <row r="1166" spans="3:7" x14ac:dyDescent="0.25">
      <c r="C1166"/>
      <c r="D1166"/>
      <c r="F1166" s="1"/>
      <c r="G1166"/>
    </row>
    <row r="1167" spans="3:7" x14ac:dyDescent="0.25">
      <c r="C1167"/>
      <c r="D1167"/>
      <c r="F1167" s="1"/>
      <c r="G1167"/>
    </row>
    <row r="1168" spans="3:7" x14ac:dyDescent="0.25">
      <c r="C1168"/>
      <c r="D1168"/>
      <c r="F1168" s="1"/>
      <c r="G1168"/>
    </row>
    <row r="1169" spans="3:7" x14ac:dyDescent="0.25">
      <c r="C1169"/>
      <c r="D1169"/>
      <c r="F1169" s="1"/>
      <c r="G1169"/>
    </row>
    <row r="1170" spans="3:7" x14ac:dyDescent="0.25">
      <c r="C1170"/>
      <c r="D1170"/>
      <c r="F1170" s="1"/>
      <c r="G1170"/>
    </row>
    <row r="1171" spans="3:7" x14ac:dyDescent="0.25">
      <c r="C1171"/>
      <c r="D1171"/>
      <c r="F1171" s="1"/>
      <c r="G1171"/>
    </row>
    <row r="1172" spans="3:7" x14ac:dyDescent="0.25">
      <c r="C1172"/>
      <c r="D1172"/>
      <c r="F1172" s="1"/>
      <c r="G1172"/>
    </row>
    <row r="1173" spans="3:7" x14ac:dyDescent="0.25">
      <c r="C1173"/>
      <c r="D1173"/>
      <c r="F1173" s="1"/>
      <c r="G1173"/>
    </row>
    <row r="1174" spans="3:7" x14ac:dyDescent="0.25">
      <c r="C1174"/>
      <c r="D1174"/>
      <c r="F1174" s="1"/>
      <c r="G1174"/>
    </row>
    <row r="1175" spans="3:7" x14ac:dyDescent="0.25">
      <c r="C1175"/>
      <c r="D1175"/>
      <c r="F1175" s="1"/>
      <c r="G1175"/>
    </row>
    <row r="1176" spans="3:7" x14ac:dyDescent="0.25">
      <c r="C1176"/>
      <c r="D1176"/>
      <c r="F1176" s="1"/>
      <c r="G1176"/>
    </row>
    <row r="1177" spans="3:7" x14ac:dyDescent="0.25">
      <c r="C1177"/>
      <c r="D1177"/>
      <c r="F1177" s="1"/>
      <c r="G1177"/>
    </row>
    <row r="1178" spans="3:7" x14ac:dyDescent="0.25">
      <c r="C1178"/>
      <c r="D1178"/>
      <c r="F1178" s="1"/>
      <c r="G1178"/>
    </row>
    <row r="1179" spans="3:7" x14ac:dyDescent="0.25">
      <c r="C1179"/>
      <c r="D1179"/>
      <c r="F1179" s="1"/>
      <c r="G1179"/>
    </row>
    <row r="1180" spans="3:7" x14ac:dyDescent="0.25">
      <c r="C1180"/>
      <c r="D1180"/>
      <c r="F1180" s="1"/>
      <c r="G1180"/>
    </row>
    <row r="1181" spans="3:7" x14ac:dyDescent="0.25">
      <c r="C1181"/>
      <c r="D1181"/>
      <c r="F1181" s="1"/>
      <c r="G1181"/>
    </row>
    <row r="1182" spans="3:7" x14ac:dyDescent="0.25">
      <c r="C1182"/>
      <c r="D1182"/>
      <c r="F1182" s="1"/>
      <c r="G1182"/>
    </row>
    <row r="1183" spans="3:7" x14ac:dyDescent="0.25">
      <c r="C1183"/>
      <c r="D1183"/>
      <c r="F1183" s="1"/>
      <c r="G1183"/>
    </row>
    <row r="1184" spans="3:7" x14ac:dyDescent="0.25">
      <c r="C1184"/>
      <c r="D1184"/>
      <c r="F1184" s="1"/>
      <c r="G1184"/>
    </row>
    <row r="1185" spans="3:7" x14ac:dyDescent="0.25">
      <c r="C1185"/>
      <c r="D1185"/>
      <c r="F1185" s="1"/>
      <c r="G1185"/>
    </row>
    <row r="1186" spans="3:7" x14ac:dyDescent="0.25">
      <c r="C1186"/>
      <c r="D1186"/>
      <c r="F1186" s="1"/>
      <c r="G1186"/>
    </row>
    <row r="1187" spans="3:7" x14ac:dyDescent="0.25">
      <c r="C1187"/>
      <c r="D1187"/>
      <c r="F1187" s="1"/>
      <c r="G1187"/>
    </row>
    <row r="1188" spans="3:7" x14ac:dyDescent="0.25">
      <c r="C1188"/>
      <c r="D1188"/>
      <c r="F1188" s="1"/>
      <c r="G1188"/>
    </row>
    <row r="1189" spans="3:7" x14ac:dyDescent="0.25">
      <c r="C1189"/>
      <c r="D1189"/>
      <c r="F1189" s="1"/>
      <c r="G1189"/>
    </row>
    <row r="1190" spans="3:7" x14ac:dyDescent="0.25">
      <c r="C1190"/>
      <c r="D1190"/>
      <c r="F1190" s="1"/>
      <c r="G1190"/>
    </row>
    <row r="1191" spans="3:7" x14ac:dyDescent="0.25">
      <c r="C1191"/>
      <c r="D1191"/>
      <c r="F1191" s="1"/>
      <c r="G1191"/>
    </row>
    <row r="1192" spans="3:7" x14ac:dyDescent="0.25">
      <c r="C1192"/>
      <c r="D1192"/>
      <c r="F1192" s="1"/>
      <c r="G1192"/>
    </row>
    <row r="1193" spans="3:7" x14ac:dyDescent="0.25">
      <c r="C1193"/>
      <c r="D1193"/>
      <c r="F1193" s="1"/>
      <c r="G1193"/>
    </row>
    <row r="1194" spans="3:7" x14ac:dyDescent="0.25">
      <c r="C1194"/>
      <c r="D1194"/>
      <c r="F1194" s="1"/>
      <c r="G1194"/>
    </row>
    <row r="1195" spans="3:7" x14ac:dyDescent="0.25">
      <c r="C1195"/>
      <c r="D1195"/>
      <c r="F1195" s="1"/>
      <c r="G1195"/>
    </row>
    <row r="1196" spans="3:7" x14ac:dyDescent="0.25">
      <c r="C1196"/>
      <c r="D1196"/>
      <c r="F1196" s="1"/>
      <c r="G1196"/>
    </row>
    <row r="1197" spans="3:7" x14ac:dyDescent="0.25">
      <c r="C1197"/>
      <c r="D1197"/>
      <c r="F1197" s="1"/>
      <c r="G1197"/>
    </row>
    <row r="1198" spans="3:7" x14ac:dyDescent="0.25">
      <c r="C1198"/>
      <c r="D1198"/>
      <c r="F1198" s="1"/>
      <c r="G1198"/>
    </row>
    <row r="1199" spans="3:7" x14ac:dyDescent="0.25">
      <c r="C1199"/>
      <c r="D1199"/>
      <c r="F1199" s="1"/>
      <c r="G1199"/>
    </row>
    <row r="1200" spans="3:7" x14ac:dyDescent="0.25">
      <c r="C1200"/>
      <c r="D1200"/>
      <c r="F1200" s="1"/>
      <c r="G1200"/>
    </row>
    <row r="1201" spans="3:7" x14ac:dyDescent="0.25">
      <c r="C1201"/>
      <c r="D1201"/>
      <c r="F1201" s="1"/>
      <c r="G1201"/>
    </row>
    <row r="1202" spans="3:7" x14ac:dyDescent="0.25">
      <c r="C1202"/>
      <c r="D1202"/>
      <c r="F1202" s="1"/>
      <c r="G1202"/>
    </row>
    <row r="1203" spans="3:7" x14ac:dyDescent="0.25">
      <c r="C1203"/>
      <c r="D1203"/>
      <c r="F1203" s="1"/>
      <c r="G1203"/>
    </row>
    <row r="1204" spans="3:7" x14ac:dyDescent="0.25">
      <c r="C1204"/>
      <c r="D1204"/>
      <c r="F1204" s="1"/>
      <c r="G1204"/>
    </row>
    <row r="1205" spans="3:7" x14ac:dyDescent="0.25">
      <c r="C1205"/>
      <c r="D1205"/>
      <c r="F1205" s="1"/>
      <c r="G1205"/>
    </row>
    <row r="1206" spans="3:7" x14ac:dyDescent="0.25">
      <c r="C1206"/>
      <c r="D1206"/>
      <c r="F1206" s="1"/>
      <c r="G1206"/>
    </row>
    <row r="1207" spans="3:7" x14ac:dyDescent="0.25">
      <c r="C1207"/>
      <c r="D1207"/>
      <c r="F1207" s="1"/>
      <c r="G1207"/>
    </row>
    <row r="1208" spans="3:7" x14ac:dyDescent="0.25">
      <c r="C1208"/>
      <c r="D1208"/>
      <c r="F1208" s="1"/>
      <c r="G1208"/>
    </row>
    <row r="1209" spans="3:7" x14ac:dyDescent="0.25">
      <c r="C1209"/>
      <c r="D1209"/>
      <c r="F1209" s="1"/>
      <c r="G1209"/>
    </row>
    <row r="1210" spans="3:7" x14ac:dyDescent="0.25">
      <c r="C1210"/>
      <c r="D1210"/>
      <c r="F1210" s="1"/>
      <c r="G1210"/>
    </row>
    <row r="1211" spans="3:7" x14ac:dyDescent="0.25">
      <c r="C1211"/>
      <c r="D1211"/>
      <c r="F1211" s="1"/>
      <c r="G1211"/>
    </row>
    <row r="1212" spans="3:7" x14ac:dyDescent="0.25">
      <c r="C1212"/>
      <c r="D1212"/>
      <c r="F1212" s="1"/>
      <c r="G1212"/>
    </row>
    <row r="1213" spans="3:7" x14ac:dyDescent="0.25">
      <c r="C1213"/>
      <c r="D1213"/>
      <c r="F1213" s="1"/>
      <c r="G1213"/>
    </row>
    <row r="1214" spans="3:7" x14ac:dyDescent="0.25">
      <c r="C1214"/>
      <c r="D1214"/>
      <c r="F1214" s="1"/>
      <c r="G1214"/>
    </row>
    <row r="1215" spans="3:7" x14ac:dyDescent="0.25">
      <c r="C1215"/>
      <c r="D1215"/>
      <c r="F1215" s="1"/>
      <c r="G1215"/>
    </row>
    <row r="1216" spans="3:7" x14ac:dyDescent="0.25">
      <c r="C1216"/>
      <c r="D1216"/>
      <c r="F1216" s="1"/>
      <c r="G1216"/>
    </row>
    <row r="1217" spans="3:7" x14ac:dyDescent="0.25">
      <c r="C1217"/>
      <c r="D1217"/>
      <c r="F1217" s="1"/>
      <c r="G1217"/>
    </row>
    <row r="1218" spans="3:7" x14ac:dyDescent="0.25">
      <c r="C1218"/>
      <c r="D1218"/>
      <c r="F1218" s="1"/>
      <c r="G1218"/>
    </row>
    <row r="1219" spans="3:7" x14ac:dyDescent="0.25">
      <c r="C1219"/>
      <c r="D1219"/>
      <c r="F1219" s="1"/>
      <c r="G1219"/>
    </row>
    <row r="1220" spans="3:7" x14ac:dyDescent="0.25">
      <c r="C1220"/>
      <c r="D1220"/>
      <c r="F1220" s="1"/>
      <c r="G1220"/>
    </row>
    <row r="1221" spans="3:7" x14ac:dyDescent="0.25">
      <c r="C1221"/>
      <c r="D1221"/>
      <c r="F1221" s="1"/>
      <c r="G1221"/>
    </row>
    <row r="1222" spans="3:7" x14ac:dyDescent="0.25">
      <c r="C1222"/>
      <c r="D1222"/>
      <c r="F1222" s="1"/>
      <c r="G1222"/>
    </row>
    <row r="1223" spans="3:7" x14ac:dyDescent="0.25">
      <c r="C1223"/>
      <c r="D1223"/>
      <c r="F1223" s="1"/>
      <c r="G1223"/>
    </row>
    <row r="1224" spans="3:7" x14ac:dyDescent="0.25">
      <c r="C1224"/>
      <c r="D1224"/>
      <c r="F1224" s="1"/>
      <c r="G1224"/>
    </row>
    <row r="1225" spans="3:7" x14ac:dyDescent="0.25">
      <c r="C1225"/>
      <c r="D1225"/>
      <c r="F1225" s="1"/>
      <c r="G1225"/>
    </row>
    <row r="1226" spans="3:7" x14ac:dyDescent="0.25">
      <c r="C1226"/>
      <c r="D1226"/>
      <c r="F1226" s="1"/>
      <c r="G1226"/>
    </row>
    <row r="1227" spans="3:7" x14ac:dyDescent="0.25">
      <c r="C1227"/>
      <c r="D1227"/>
      <c r="F1227" s="1"/>
      <c r="G1227"/>
    </row>
    <row r="1228" spans="3:7" x14ac:dyDescent="0.25">
      <c r="C1228"/>
      <c r="D1228"/>
      <c r="F1228" s="1"/>
      <c r="G1228"/>
    </row>
    <row r="1229" spans="3:7" x14ac:dyDescent="0.25">
      <c r="C1229"/>
      <c r="D1229"/>
      <c r="F1229" s="1"/>
      <c r="G1229"/>
    </row>
    <row r="1230" spans="3:7" x14ac:dyDescent="0.25">
      <c r="C1230"/>
      <c r="D1230"/>
      <c r="F1230" s="1"/>
      <c r="G1230"/>
    </row>
    <row r="1231" spans="3:7" x14ac:dyDescent="0.25">
      <c r="C1231"/>
      <c r="D1231"/>
      <c r="F1231" s="1"/>
      <c r="G1231"/>
    </row>
    <row r="1232" spans="3:7" x14ac:dyDescent="0.25">
      <c r="C1232"/>
      <c r="D1232"/>
      <c r="F1232" s="1"/>
      <c r="G1232"/>
    </row>
    <row r="1233" spans="3:7" x14ac:dyDescent="0.25">
      <c r="C1233"/>
      <c r="D1233"/>
      <c r="F1233" s="1"/>
      <c r="G1233"/>
    </row>
    <row r="1234" spans="3:7" x14ac:dyDescent="0.25">
      <c r="C1234"/>
      <c r="D1234"/>
      <c r="F1234" s="1"/>
      <c r="G1234"/>
    </row>
    <row r="1235" spans="3:7" x14ac:dyDescent="0.25">
      <c r="C1235"/>
      <c r="D1235"/>
      <c r="F1235" s="1"/>
      <c r="G1235"/>
    </row>
    <row r="1236" spans="3:7" x14ac:dyDescent="0.25">
      <c r="C1236"/>
      <c r="D1236"/>
      <c r="F1236" s="1"/>
      <c r="G1236"/>
    </row>
    <row r="1237" spans="3:7" x14ac:dyDescent="0.25">
      <c r="C1237"/>
      <c r="D1237"/>
      <c r="F1237" s="1"/>
      <c r="G1237"/>
    </row>
    <row r="1238" spans="3:7" x14ac:dyDescent="0.25">
      <c r="C1238"/>
      <c r="D1238"/>
      <c r="F1238" s="1"/>
      <c r="G1238"/>
    </row>
    <row r="1239" spans="3:7" x14ac:dyDescent="0.25">
      <c r="C1239"/>
      <c r="D1239"/>
      <c r="F1239" s="1"/>
      <c r="G1239"/>
    </row>
    <row r="1240" spans="3:7" x14ac:dyDescent="0.25">
      <c r="C1240"/>
      <c r="D1240"/>
      <c r="F1240" s="1"/>
      <c r="G1240"/>
    </row>
    <row r="1241" spans="3:7" x14ac:dyDescent="0.25">
      <c r="C1241"/>
      <c r="D1241"/>
      <c r="F1241" s="1"/>
      <c r="G1241"/>
    </row>
    <row r="1242" spans="3:7" x14ac:dyDescent="0.25">
      <c r="C1242"/>
      <c r="D1242"/>
      <c r="F1242" s="1"/>
      <c r="G1242"/>
    </row>
    <row r="1243" spans="3:7" x14ac:dyDescent="0.25">
      <c r="C1243"/>
      <c r="D1243"/>
      <c r="F1243" s="1"/>
      <c r="G1243"/>
    </row>
    <row r="1244" spans="3:7" x14ac:dyDescent="0.25">
      <c r="C1244"/>
      <c r="D1244"/>
      <c r="F1244" s="1"/>
      <c r="G1244"/>
    </row>
    <row r="1245" spans="3:7" x14ac:dyDescent="0.25">
      <c r="C1245"/>
      <c r="D1245"/>
      <c r="F1245" s="1"/>
      <c r="G1245"/>
    </row>
    <row r="1246" spans="3:7" x14ac:dyDescent="0.25">
      <c r="C1246"/>
      <c r="D1246"/>
      <c r="F1246" s="1"/>
      <c r="G1246"/>
    </row>
    <row r="1247" spans="3:7" x14ac:dyDescent="0.25">
      <c r="C1247"/>
      <c r="D1247"/>
      <c r="F1247" s="1"/>
      <c r="G1247"/>
    </row>
    <row r="1248" spans="3:7" x14ac:dyDescent="0.25">
      <c r="C1248"/>
      <c r="D1248"/>
      <c r="F1248" s="1"/>
      <c r="G1248"/>
    </row>
    <row r="1249" spans="3:7" x14ac:dyDescent="0.25">
      <c r="C1249"/>
      <c r="D1249"/>
      <c r="F1249" s="1"/>
      <c r="G1249"/>
    </row>
    <row r="1250" spans="3:7" x14ac:dyDescent="0.25">
      <c r="C1250"/>
      <c r="D1250"/>
      <c r="F1250" s="1"/>
      <c r="G1250"/>
    </row>
    <row r="1251" spans="3:7" x14ac:dyDescent="0.25">
      <c r="C1251"/>
      <c r="D1251"/>
      <c r="F1251" s="1"/>
      <c r="G1251"/>
    </row>
    <row r="1252" spans="3:7" x14ac:dyDescent="0.25">
      <c r="C1252"/>
      <c r="D1252"/>
      <c r="F1252" s="1"/>
      <c r="G1252"/>
    </row>
    <row r="1253" spans="3:7" x14ac:dyDescent="0.25">
      <c r="C1253"/>
      <c r="D1253"/>
      <c r="F1253" s="1"/>
      <c r="G1253"/>
    </row>
    <row r="1254" spans="3:7" x14ac:dyDescent="0.25">
      <c r="C1254"/>
      <c r="D1254"/>
      <c r="F1254" s="1"/>
      <c r="G1254"/>
    </row>
    <row r="1255" spans="3:7" x14ac:dyDescent="0.25">
      <c r="C1255"/>
      <c r="D1255"/>
      <c r="F1255" s="1"/>
      <c r="G1255"/>
    </row>
    <row r="1256" spans="3:7" x14ac:dyDescent="0.25">
      <c r="C1256"/>
      <c r="D1256"/>
      <c r="F1256" s="1"/>
      <c r="G1256"/>
    </row>
    <row r="1257" spans="3:7" x14ac:dyDescent="0.25">
      <c r="C1257"/>
      <c r="D1257"/>
      <c r="F1257" s="1"/>
      <c r="G1257"/>
    </row>
    <row r="1258" spans="3:7" x14ac:dyDescent="0.25">
      <c r="C1258"/>
      <c r="D1258"/>
      <c r="F1258" s="1"/>
      <c r="G1258"/>
    </row>
    <row r="1259" spans="3:7" x14ac:dyDescent="0.25">
      <c r="C1259"/>
      <c r="D1259"/>
      <c r="F1259" s="1"/>
      <c r="G1259"/>
    </row>
    <row r="1260" spans="3:7" x14ac:dyDescent="0.25">
      <c r="C1260"/>
      <c r="D1260"/>
      <c r="F1260" s="1"/>
      <c r="G1260"/>
    </row>
    <row r="1261" spans="3:7" x14ac:dyDescent="0.25">
      <c r="C1261"/>
      <c r="D1261"/>
      <c r="F1261" s="1"/>
      <c r="G1261"/>
    </row>
    <row r="1262" spans="3:7" x14ac:dyDescent="0.25">
      <c r="C1262"/>
      <c r="D1262"/>
      <c r="F1262" s="1"/>
      <c r="G1262"/>
    </row>
    <row r="1263" spans="3:7" x14ac:dyDescent="0.25">
      <c r="C1263"/>
      <c r="D1263"/>
      <c r="F1263" s="1"/>
      <c r="G1263"/>
    </row>
    <row r="1264" spans="3:7" x14ac:dyDescent="0.25">
      <c r="C1264"/>
      <c r="D1264"/>
      <c r="F1264" s="1"/>
      <c r="G1264"/>
    </row>
    <row r="1265" spans="3:7" x14ac:dyDescent="0.25">
      <c r="C1265"/>
      <c r="D1265"/>
      <c r="F1265" s="1"/>
      <c r="G1265"/>
    </row>
    <row r="1266" spans="3:7" x14ac:dyDescent="0.25">
      <c r="C1266"/>
      <c r="D1266"/>
      <c r="F1266" s="1"/>
      <c r="G1266"/>
    </row>
    <row r="1267" spans="3:7" x14ac:dyDescent="0.25">
      <c r="C1267"/>
      <c r="D1267"/>
      <c r="F1267" s="1"/>
      <c r="G1267"/>
    </row>
    <row r="1268" spans="3:7" x14ac:dyDescent="0.25">
      <c r="C1268"/>
      <c r="D1268"/>
      <c r="F1268" s="1"/>
      <c r="G1268"/>
    </row>
    <row r="1269" spans="3:7" x14ac:dyDescent="0.25">
      <c r="C1269"/>
      <c r="D1269"/>
      <c r="F1269" s="1"/>
      <c r="G1269"/>
    </row>
    <row r="1270" spans="3:7" x14ac:dyDescent="0.25">
      <c r="C1270"/>
      <c r="D1270"/>
      <c r="F1270" s="1"/>
      <c r="G1270"/>
    </row>
    <row r="1271" spans="3:7" x14ac:dyDescent="0.25">
      <c r="C1271"/>
      <c r="D1271"/>
      <c r="F1271" s="1"/>
      <c r="G1271"/>
    </row>
    <row r="1272" spans="3:7" x14ac:dyDescent="0.25">
      <c r="C1272"/>
      <c r="D1272"/>
      <c r="F1272" s="1"/>
      <c r="G1272"/>
    </row>
    <row r="1273" spans="3:7" x14ac:dyDescent="0.25">
      <c r="C1273"/>
      <c r="D1273"/>
      <c r="F1273" s="1"/>
      <c r="G1273"/>
    </row>
    <row r="1274" spans="3:7" x14ac:dyDescent="0.25">
      <c r="C1274"/>
      <c r="D1274"/>
      <c r="F1274" s="1"/>
      <c r="G1274"/>
    </row>
    <row r="1275" spans="3:7" x14ac:dyDescent="0.25">
      <c r="C1275"/>
      <c r="D1275"/>
      <c r="F1275" s="1"/>
      <c r="G1275"/>
    </row>
    <row r="1276" spans="3:7" x14ac:dyDescent="0.25">
      <c r="C1276"/>
      <c r="D1276"/>
      <c r="F1276" s="1"/>
      <c r="G1276"/>
    </row>
    <row r="1277" spans="3:7" x14ac:dyDescent="0.25">
      <c r="C1277"/>
      <c r="D1277"/>
      <c r="F1277" s="1"/>
      <c r="G1277"/>
    </row>
    <row r="1278" spans="3:7" x14ac:dyDescent="0.25">
      <c r="C1278"/>
      <c r="D1278"/>
      <c r="F1278" s="1"/>
      <c r="G1278"/>
    </row>
    <row r="1279" spans="3:7" x14ac:dyDescent="0.25">
      <c r="C1279"/>
      <c r="D1279"/>
      <c r="F1279" s="1"/>
      <c r="G1279"/>
    </row>
    <row r="1280" spans="3:7" x14ac:dyDescent="0.25">
      <c r="C1280"/>
      <c r="D1280"/>
      <c r="F1280" s="1"/>
      <c r="G1280"/>
    </row>
    <row r="1281" spans="3:7" x14ac:dyDescent="0.25">
      <c r="C1281"/>
      <c r="D1281"/>
      <c r="F1281" s="1"/>
      <c r="G1281"/>
    </row>
    <row r="1282" spans="3:7" x14ac:dyDescent="0.25">
      <c r="C1282"/>
      <c r="D1282"/>
      <c r="F1282" s="1"/>
      <c r="G1282"/>
    </row>
    <row r="1283" spans="3:7" x14ac:dyDescent="0.25">
      <c r="C1283"/>
      <c r="D1283"/>
      <c r="F1283" s="1"/>
      <c r="G1283"/>
    </row>
    <row r="1284" spans="3:7" x14ac:dyDescent="0.25">
      <c r="C1284"/>
      <c r="D1284"/>
      <c r="F1284" s="1"/>
      <c r="G1284"/>
    </row>
    <row r="1285" spans="3:7" x14ac:dyDescent="0.25">
      <c r="C1285"/>
      <c r="D1285"/>
      <c r="F1285" s="1"/>
      <c r="G1285"/>
    </row>
    <row r="1286" spans="3:7" x14ac:dyDescent="0.25">
      <c r="C1286"/>
      <c r="D1286"/>
      <c r="F1286" s="1"/>
      <c r="G1286"/>
    </row>
    <row r="1287" spans="3:7" x14ac:dyDescent="0.25">
      <c r="C1287"/>
      <c r="D1287"/>
      <c r="F1287" s="1"/>
      <c r="G1287"/>
    </row>
    <row r="1288" spans="3:7" x14ac:dyDescent="0.25">
      <c r="C1288"/>
      <c r="D1288"/>
      <c r="F1288" s="1"/>
      <c r="G1288"/>
    </row>
    <row r="1289" spans="3:7" x14ac:dyDescent="0.25">
      <c r="C1289"/>
      <c r="D1289"/>
      <c r="F1289" s="1"/>
      <c r="G1289"/>
    </row>
    <row r="1290" spans="3:7" x14ac:dyDescent="0.25">
      <c r="C1290"/>
      <c r="D1290"/>
      <c r="F1290" s="1"/>
      <c r="G1290"/>
    </row>
    <row r="1291" spans="3:7" x14ac:dyDescent="0.25">
      <c r="C1291"/>
      <c r="D1291"/>
      <c r="F1291" s="1"/>
      <c r="G1291"/>
    </row>
    <row r="1292" spans="3:7" x14ac:dyDescent="0.25">
      <c r="C1292"/>
      <c r="D1292"/>
      <c r="F1292" s="1"/>
      <c r="G1292"/>
    </row>
    <row r="1293" spans="3:7" x14ac:dyDescent="0.25">
      <c r="C1293"/>
      <c r="D1293"/>
      <c r="F1293" s="1"/>
      <c r="G1293"/>
    </row>
    <row r="1294" spans="3:7" x14ac:dyDescent="0.25">
      <c r="C1294"/>
      <c r="D1294"/>
      <c r="F1294" s="1"/>
      <c r="G1294"/>
    </row>
    <row r="1295" spans="3:7" x14ac:dyDescent="0.25">
      <c r="C1295"/>
      <c r="D1295"/>
      <c r="F1295" s="1"/>
      <c r="G1295"/>
    </row>
    <row r="1296" spans="3:7" x14ac:dyDescent="0.25">
      <c r="C1296"/>
      <c r="D1296"/>
      <c r="F1296" s="1"/>
      <c r="G1296"/>
    </row>
    <row r="1297" spans="3:7" x14ac:dyDescent="0.25">
      <c r="C1297"/>
      <c r="D1297"/>
      <c r="F1297" s="1"/>
      <c r="G1297"/>
    </row>
    <row r="1298" spans="3:7" x14ac:dyDescent="0.25">
      <c r="C1298"/>
      <c r="D1298"/>
      <c r="F1298" s="1"/>
      <c r="G1298"/>
    </row>
    <row r="1299" spans="3:7" x14ac:dyDescent="0.25">
      <c r="C1299"/>
      <c r="D1299"/>
      <c r="F1299" s="1"/>
      <c r="G1299"/>
    </row>
    <row r="1300" spans="3:7" x14ac:dyDescent="0.25">
      <c r="C1300"/>
      <c r="D1300"/>
      <c r="F1300" s="1"/>
      <c r="G1300"/>
    </row>
    <row r="1301" spans="3:7" x14ac:dyDescent="0.25">
      <c r="C1301"/>
      <c r="D1301"/>
      <c r="F1301" s="1"/>
      <c r="G1301"/>
    </row>
    <row r="1302" spans="3:7" x14ac:dyDescent="0.25">
      <c r="C1302"/>
      <c r="D1302"/>
      <c r="F1302" s="1"/>
      <c r="G1302"/>
    </row>
    <row r="1303" spans="3:7" x14ac:dyDescent="0.25">
      <c r="C1303"/>
      <c r="D1303"/>
      <c r="F1303" s="1"/>
      <c r="G1303"/>
    </row>
    <row r="1304" spans="3:7" x14ac:dyDescent="0.25">
      <c r="C1304"/>
      <c r="D1304"/>
      <c r="F1304" s="1"/>
      <c r="G1304"/>
    </row>
    <row r="1305" spans="3:7" x14ac:dyDescent="0.25">
      <c r="C1305"/>
      <c r="D1305"/>
      <c r="F1305" s="1"/>
      <c r="G1305"/>
    </row>
    <row r="1306" spans="3:7" x14ac:dyDescent="0.25">
      <c r="C1306"/>
      <c r="D1306"/>
      <c r="F1306" s="1"/>
      <c r="G1306"/>
    </row>
    <row r="1307" spans="3:7" x14ac:dyDescent="0.25">
      <c r="C1307"/>
      <c r="D1307"/>
      <c r="F1307" s="1"/>
      <c r="G1307"/>
    </row>
    <row r="1308" spans="3:7" x14ac:dyDescent="0.25">
      <c r="C1308"/>
      <c r="D1308"/>
      <c r="F1308" s="1"/>
      <c r="G1308"/>
    </row>
    <row r="1309" spans="3:7" x14ac:dyDescent="0.25">
      <c r="C1309"/>
      <c r="D1309"/>
      <c r="F1309" s="1"/>
      <c r="G1309"/>
    </row>
    <row r="1310" spans="3:7" x14ac:dyDescent="0.25">
      <c r="C1310"/>
      <c r="D1310"/>
      <c r="F1310" s="1"/>
      <c r="G1310"/>
    </row>
    <row r="1311" spans="3:7" x14ac:dyDescent="0.25">
      <c r="C1311"/>
      <c r="D1311"/>
      <c r="F1311" s="1"/>
      <c r="G1311"/>
    </row>
    <row r="1312" spans="3:7" x14ac:dyDescent="0.25">
      <c r="C1312"/>
      <c r="D1312"/>
      <c r="F1312" s="1"/>
      <c r="G1312"/>
    </row>
    <row r="1313" spans="3:7" x14ac:dyDescent="0.25">
      <c r="C1313"/>
      <c r="D1313"/>
      <c r="F1313" s="1"/>
      <c r="G1313"/>
    </row>
    <row r="1314" spans="3:7" x14ac:dyDescent="0.25">
      <c r="C1314"/>
      <c r="D1314"/>
      <c r="F1314" s="1"/>
      <c r="G1314"/>
    </row>
    <row r="1315" spans="3:7" x14ac:dyDescent="0.25">
      <c r="C1315"/>
      <c r="D1315"/>
      <c r="F1315" s="1"/>
      <c r="G1315"/>
    </row>
    <row r="1316" spans="3:7" x14ac:dyDescent="0.25">
      <c r="C1316"/>
      <c r="D1316"/>
      <c r="F1316" s="1"/>
      <c r="G1316"/>
    </row>
    <row r="1317" spans="3:7" x14ac:dyDescent="0.25">
      <c r="C1317"/>
      <c r="D1317"/>
      <c r="F1317" s="1"/>
      <c r="G1317"/>
    </row>
    <row r="1318" spans="3:7" x14ac:dyDescent="0.25">
      <c r="C1318"/>
      <c r="D1318"/>
      <c r="F1318" s="1"/>
      <c r="G1318"/>
    </row>
    <row r="1319" spans="3:7" x14ac:dyDescent="0.25">
      <c r="C1319"/>
      <c r="D1319"/>
      <c r="F1319" s="1"/>
      <c r="G1319"/>
    </row>
    <row r="1320" spans="3:7" x14ac:dyDescent="0.25">
      <c r="C1320"/>
      <c r="D1320"/>
      <c r="F1320" s="1"/>
      <c r="G1320"/>
    </row>
    <row r="1321" spans="3:7" x14ac:dyDescent="0.25">
      <c r="C1321"/>
      <c r="D1321"/>
      <c r="F1321" s="1"/>
      <c r="G1321"/>
    </row>
    <row r="1322" spans="3:7" x14ac:dyDescent="0.25">
      <c r="C1322"/>
      <c r="D1322"/>
      <c r="F1322" s="1"/>
      <c r="G1322"/>
    </row>
    <row r="1323" spans="3:7" x14ac:dyDescent="0.25">
      <c r="C1323"/>
      <c r="D1323"/>
      <c r="F1323" s="1"/>
      <c r="G1323"/>
    </row>
    <row r="1324" spans="3:7" x14ac:dyDescent="0.25">
      <c r="C1324"/>
      <c r="D1324"/>
      <c r="F1324" s="1"/>
      <c r="G1324"/>
    </row>
    <row r="1325" spans="3:7" x14ac:dyDescent="0.25">
      <c r="C1325"/>
      <c r="D1325"/>
      <c r="F1325" s="1"/>
      <c r="G1325"/>
    </row>
    <row r="1326" spans="3:7" x14ac:dyDescent="0.25">
      <c r="C1326"/>
      <c r="D1326"/>
      <c r="F1326" s="1"/>
      <c r="G1326"/>
    </row>
    <row r="1327" spans="3:7" x14ac:dyDescent="0.25">
      <c r="C1327"/>
      <c r="D1327"/>
      <c r="F1327" s="1"/>
      <c r="G1327"/>
    </row>
    <row r="1328" spans="3:7" x14ac:dyDescent="0.25">
      <c r="C1328"/>
      <c r="D1328"/>
      <c r="F1328" s="1"/>
      <c r="G1328"/>
    </row>
    <row r="1329" spans="3:7" x14ac:dyDescent="0.25">
      <c r="C1329"/>
      <c r="D1329"/>
      <c r="F1329" s="1"/>
      <c r="G1329"/>
    </row>
    <row r="1330" spans="3:7" x14ac:dyDescent="0.25">
      <c r="C1330"/>
      <c r="D1330"/>
      <c r="F1330" s="1"/>
      <c r="G1330"/>
    </row>
    <row r="1331" spans="3:7" x14ac:dyDescent="0.25">
      <c r="C1331"/>
      <c r="D1331"/>
      <c r="F1331" s="1"/>
      <c r="G1331"/>
    </row>
    <row r="1332" spans="3:7" x14ac:dyDescent="0.25">
      <c r="C1332"/>
      <c r="D1332"/>
      <c r="F1332" s="1"/>
      <c r="G1332"/>
    </row>
    <row r="1333" spans="3:7" x14ac:dyDescent="0.25">
      <c r="C1333"/>
      <c r="D1333"/>
      <c r="F1333" s="1"/>
      <c r="G1333"/>
    </row>
    <row r="1334" spans="3:7" x14ac:dyDescent="0.25">
      <c r="C1334"/>
      <c r="D1334"/>
      <c r="F1334" s="1"/>
      <c r="G1334"/>
    </row>
    <row r="1335" spans="3:7" x14ac:dyDescent="0.25">
      <c r="C1335"/>
      <c r="D1335"/>
      <c r="F1335" s="1"/>
      <c r="G1335"/>
    </row>
    <row r="1336" spans="3:7" x14ac:dyDescent="0.25">
      <c r="C1336"/>
      <c r="D1336"/>
      <c r="F1336" s="1"/>
      <c r="G1336"/>
    </row>
    <row r="1337" spans="3:7" x14ac:dyDescent="0.25">
      <c r="C1337"/>
      <c r="D1337"/>
      <c r="F1337" s="1"/>
      <c r="G1337"/>
    </row>
    <row r="1338" spans="3:7" x14ac:dyDescent="0.25">
      <c r="C1338"/>
      <c r="D1338"/>
      <c r="F1338" s="1"/>
      <c r="G1338"/>
    </row>
    <row r="1339" spans="3:7" x14ac:dyDescent="0.25">
      <c r="C1339"/>
      <c r="D1339"/>
      <c r="F1339" s="1"/>
      <c r="G1339"/>
    </row>
    <row r="1340" spans="3:7" x14ac:dyDescent="0.25">
      <c r="C1340"/>
      <c r="D1340"/>
      <c r="F1340" s="1"/>
      <c r="G1340"/>
    </row>
    <row r="1341" spans="3:7" x14ac:dyDescent="0.25">
      <c r="C1341"/>
      <c r="D1341"/>
      <c r="F1341" s="1"/>
      <c r="G1341"/>
    </row>
    <row r="1342" spans="3:7" x14ac:dyDescent="0.25">
      <c r="C1342"/>
      <c r="D1342"/>
      <c r="F1342" s="1"/>
      <c r="G1342"/>
    </row>
    <row r="1343" spans="3:7" x14ac:dyDescent="0.25">
      <c r="C1343"/>
      <c r="D1343"/>
      <c r="F1343" s="1"/>
      <c r="G1343"/>
    </row>
    <row r="1344" spans="3:7" x14ac:dyDescent="0.25">
      <c r="C1344"/>
      <c r="D1344"/>
      <c r="F1344" s="1"/>
      <c r="G1344"/>
    </row>
    <row r="1345" spans="3:7" x14ac:dyDescent="0.25">
      <c r="C1345"/>
      <c r="D1345"/>
      <c r="F1345" s="1"/>
      <c r="G1345"/>
    </row>
    <row r="1346" spans="3:7" x14ac:dyDescent="0.25">
      <c r="C1346"/>
      <c r="D1346"/>
      <c r="F1346" s="1"/>
      <c r="G1346"/>
    </row>
    <row r="1347" spans="3:7" x14ac:dyDescent="0.25">
      <c r="C1347"/>
      <c r="D1347"/>
      <c r="F1347" s="1"/>
      <c r="G1347"/>
    </row>
    <row r="1348" spans="3:7" x14ac:dyDescent="0.25">
      <c r="C1348"/>
      <c r="D1348"/>
      <c r="F1348" s="1"/>
      <c r="G1348"/>
    </row>
    <row r="1349" spans="3:7" x14ac:dyDescent="0.25">
      <c r="C1349"/>
      <c r="D1349"/>
      <c r="F1349" s="1"/>
      <c r="G1349"/>
    </row>
    <row r="1350" spans="3:7" x14ac:dyDescent="0.25">
      <c r="C1350"/>
      <c r="D1350"/>
      <c r="F1350" s="1"/>
      <c r="G1350"/>
    </row>
    <row r="1351" spans="3:7" x14ac:dyDescent="0.25">
      <c r="C1351"/>
      <c r="D1351"/>
      <c r="F1351" s="1"/>
      <c r="G1351"/>
    </row>
    <row r="1352" spans="3:7" x14ac:dyDescent="0.25">
      <c r="C1352"/>
      <c r="D1352"/>
      <c r="F1352" s="1"/>
      <c r="G1352"/>
    </row>
    <row r="1353" spans="3:7" x14ac:dyDescent="0.25">
      <c r="C1353"/>
      <c r="D1353"/>
      <c r="F1353" s="1"/>
      <c r="G1353"/>
    </row>
    <row r="1354" spans="3:7" x14ac:dyDescent="0.25">
      <c r="C1354"/>
      <c r="D1354"/>
      <c r="F1354" s="1"/>
      <c r="G1354"/>
    </row>
    <row r="1355" spans="3:7" x14ac:dyDescent="0.25">
      <c r="C1355"/>
      <c r="D1355"/>
      <c r="F1355" s="1"/>
      <c r="G1355"/>
    </row>
    <row r="1356" spans="3:7" x14ac:dyDescent="0.25">
      <c r="C1356"/>
      <c r="D1356"/>
      <c r="F1356" s="1"/>
      <c r="G1356"/>
    </row>
    <row r="1357" spans="3:7" x14ac:dyDescent="0.25">
      <c r="C1357"/>
      <c r="D1357"/>
      <c r="F1357" s="1"/>
      <c r="G1357"/>
    </row>
    <row r="1358" spans="3:7" x14ac:dyDescent="0.25">
      <c r="C1358"/>
      <c r="D1358"/>
      <c r="F1358" s="1"/>
      <c r="G1358"/>
    </row>
    <row r="1359" spans="3:7" x14ac:dyDescent="0.25">
      <c r="C1359"/>
      <c r="D1359"/>
      <c r="F1359" s="1"/>
      <c r="G1359"/>
    </row>
    <row r="1360" spans="3:7" x14ac:dyDescent="0.25">
      <c r="C1360"/>
      <c r="D1360"/>
      <c r="F1360" s="1"/>
      <c r="G1360"/>
    </row>
    <row r="1361" spans="3:7" x14ac:dyDescent="0.25">
      <c r="C1361"/>
      <c r="D1361"/>
      <c r="F1361" s="1"/>
      <c r="G1361"/>
    </row>
    <row r="1362" spans="3:7" x14ac:dyDescent="0.25">
      <c r="C1362"/>
      <c r="D1362"/>
      <c r="F1362" s="1"/>
      <c r="G1362"/>
    </row>
    <row r="1363" spans="3:7" x14ac:dyDescent="0.25">
      <c r="C1363"/>
      <c r="D1363"/>
      <c r="F1363" s="1"/>
      <c r="G1363"/>
    </row>
    <row r="1364" spans="3:7" x14ac:dyDescent="0.25">
      <c r="C1364"/>
      <c r="D1364"/>
      <c r="F1364" s="1"/>
      <c r="G1364"/>
    </row>
    <row r="1365" spans="3:7" x14ac:dyDescent="0.25">
      <c r="C1365"/>
      <c r="D1365"/>
      <c r="F1365" s="1"/>
      <c r="G1365"/>
    </row>
    <row r="1366" spans="3:7" x14ac:dyDescent="0.25">
      <c r="C1366"/>
      <c r="D1366"/>
      <c r="F1366" s="1"/>
      <c r="G1366"/>
    </row>
    <row r="1367" spans="3:7" x14ac:dyDescent="0.25">
      <c r="C1367"/>
      <c r="D1367"/>
      <c r="F1367" s="1"/>
      <c r="G1367"/>
    </row>
    <row r="1368" spans="3:7" x14ac:dyDescent="0.25">
      <c r="C1368"/>
      <c r="D1368"/>
      <c r="F1368" s="1"/>
      <c r="G1368"/>
    </row>
    <row r="1369" spans="3:7" x14ac:dyDescent="0.25">
      <c r="C1369"/>
      <c r="D1369"/>
      <c r="F1369" s="1"/>
      <c r="G1369"/>
    </row>
    <row r="1370" spans="3:7" x14ac:dyDescent="0.25">
      <c r="C1370"/>
      <c r="D1370"/>
      <c r="F1370" s="1"/>
      <c r="G1370"/>
    </row>
    <row r="1371" spans="3:7" x14ac:dyDescent="0.25">
      <c r="C1371"/>
      <c r="D1371"/>
      <c r="F1371" s="1"/>
      <c r="G1371"/>
    </row>
    <row r="1372" spans="3:7" x14ac:dyDescent="0.25">
      <c r="C1372"/>
      <c r="D1372"/>
      <c r="F1372" s="1"/>
      <c r="G1372"/>
    </row>
    <row r="1373" spans="3:7" x14ac:dyDescent="0.25">
      <c r="C1373"/>
      <c r="D1373"/>
      <c r="F1373" s="1"/>
      <c r="G1373"/>
    </row>
    <row r="1374" spans="3:7" x14ac:dyDescent="0.25">
      <c r="C1374"/>
      <c r="D1374"/>
      <c r="F1374" s="1"/>
      <c r="G1374"/>
    </row>
    <row r="1375" spans="3:7" x14ac:dyDescent="0.25">
      <c r="C1375"/>
      <c r="D1375"/>
      <c r="F1375" s="1"/>
      <c r="G1375"/>
    </row>
    <row r="1376" spans="3:7" x14ac:dyDescent="0.25">
      <c r="C1376"/>
      <c r="D1376"/>
      <c r="F1376" s="1"/>
      <c r="G1376"/>
    </row>
    <row r="1377" spans="3:7" x14ac:dyDescent="0.25">
      <c r="C1377"/>
      <c r="D1377"/>
      <c r="F1377" s="1"/>
      <c r="G1377"/>
    </row>
    <row r="1378" spans="3:7" x14ac:dyDescent="0.25">
      <c r="C1378"/>
      <c r="D1378"/>
      <c r="F1378" s="1"/>
      <c r="G1378"/>
    </row>
    <row r="1379" spans="3:7" x14ac:dyDescent="0.25">
      <c r="C1379"/>
      <c r="D1379"/>
      <c r="F1379" s="1"/>
      <c r="G1379"/>
    </row>
    <row r="1380" spans="3:7" x14ac:dyDescent="0.25">
      <c r="C1380"/>
      <c r="D1380"/>
      <c r="F1380" s="1"/>
      <c r="G1380"/>
    </row>
    <row r="1381" spans="3:7" x14ac:dyDescent="0.25">
      <c r="C1381"/>
      <c r="D1381"/>
      <c r="F1381" s="1"/>
      <c r="G1381"/>
    </row>
    <row r="1382" spans="3:7" x14ac:dyDescent="0.25">
      <c r="C1382"/>
      <c r="D1382"/>
      <c r="F1382" s="1"/>
      <c r="G1382"/>
    </row>
    <row r="1383" spans="3:7" x14ac:dyDescent="0.25">
      <c r="C1383"/>
      <c r="D1383"/>
      <c r="F1383" s="1"/>
      <c r="G1383"/>
    </row>
    <row r="1384" spans="3:7" x14ac:dyDescent="0.25">
      <c r="C1384"/>
      <c r="D1384"/>
      <c r="F1384" s="1"/>
      <c r="G1384"/>
    </row>
    <row r="1385" spans="3:7" x14ac:dyDescent="0.25">
      <c r="C1385"/>
      <c r="D1385"/>
      <c r="F1385" s="1"/>
      <c r="G1385"/>
    </row>
    <row r="1386" spans="3:7" x14ac:dyDescent="0.25">
      <c r="C1386"/>
      <c r="D1386"/>
      <c r="F1386" s="1"/>
      <c r="G1386"/>
    </row>
    <row r="1387" spans="3:7" x14ac:dyDescent="0.25">
      <c r="C1387"/>
      <c r="D1387"/>
      <c r="F1387" s="1"/>
      <c r="G1387"/>
    </row>
    <row r="1388" spans="3:7" x14ac:dyDescent="0.25">
      <c r="C1388"/>
      <c r="D1388"/>
      <c r="F1388" s="1"/>
      <c r="G1388"/>
    </row>
    <row r="1389" spans="3:7" x14ac:dyDescent="0.25">
      <c r="C1389"/>
      <c r="D1389"/>
      <c r="F1389" s="1"/>
      <c r="G1389"/>
    </row>
    <row r="1390" spans="3:7" x14ac:dyDescent="0.25">
      <c r="C1390"/>
      <c r="D1390"/>
      <c r="F1390" s="1"/>
      <c r="G1390"/>
    </row>
    <row r="1391" spans="3:7" x14ac:dyDescent="0.25">
      <c r="C1391"/>
      <c r="D1391"/>
      <c r="F1391" s="1"/>
      <c r="G1391"/>
    </row>
    <row r="1392" spans="3:7" x14ac:dyDescent="0.25">
      <c r="C1392"/>
      <c r="D1392"/>
      <c r="F1392" s="1"/>
      <c r="G1392"/>
    </row>
    <row r="1393" spans="3:7" x14ac:dyDescent="0.25">
      <c r="C1393"/>
      <c r="D1393"/>
      <c r="F1393" s="1"/>
      <c r="G1393"/>
    </row>
    <row r="1394" spans="3:7" x14ac:dyDescent="0.25">
      <c r="C1394"/>
      <c r="D1394"/>
      <c r="F1394" s="1"/>
      <c r="G1394"/>
    </row>
    <row r="1395" spans="3:7" x14ac:dyDescent="0.25">
      <c r="C1395"/>
      <c r="D1395"/>
      <c r="F1395" s="1"/>
      <c r="G1395"/>
    </row>
    <row r="1396" spans="3:7" x14ac:dyDescent="0.25">
      <c r="C1396"/>
      <c r="D1396"/>
      <c r="F1396" s="1"/>
      <c r="G1396"/>
    </row>
    <row r="1397" spans="3:7" x14ac:dyDescent="0.25">
      <c r="C1397"/>
      <c r="D1397"/>
      <c r="F1397" s="1"/>
      <c r="G1397"/>
    </row>
    <row r="1398" spans="3:7" x14ac:dyDescent="0.25">
      <c r="C1398"/>
      <c r="D1398"/>
      <c r="F1398" s="1"/>
      <c r="G1398"/>
    </row>
    <row r="1399" spans="3:7" x14ac:dyDescent="0.25">
      <c r="C1399"/>
      <c r="D1399"/>
      <c r="F1399" s="1"/>
      <c r="G1399"/>
    </row>
    <row r="1400" spans="3:7" x14ac:dyDescent="0.25">
      <c r="C1400"/>
      <c r="D1400"/>
      <c r="F1400" s="1"/>
      <c r="G1400"/>
    </row>
    <row r="1401" spans="3:7" x14ac:dyDescent="0.25">
      <c r="C1401"/>
      <c r="D1401"/>
      <c r="F1401" s="1"/>
      <c r="G1401"/>
    </row>
    <row r="1402" spans="3:7" x14ac:dyDescent="0.25">
      <c r="C1402"/>
      <c r="D1402"/>
      <c r="F1402" s="1"/>
      <c r="G1402"/>
    </row>
    <row r="1403" spans="3:7" x14ac:dyDescent="0.25">
      <c r="C1403"/>
      <c r="D1403"/>
      <c r="F1403" s="1"/>
      <c r="G1403"/>
    </row>
    <row r="1404" spans="3:7" x14ac:dyDescent="0.25">
      <c r="C1404"/>
      <c r="D1404"/>
      <c r="F1404" s="1"/>
      <c r="G1404"/>
    </row>
    <row r="1405" spans="3:7" x14ac:dyDescent="0.25">
      <c r="C1405"/>
      <c r="D1405"/>
      <c r="F1405" s="1"/>
      <c r="G1405"/>
    </row>
    <row r="1406" spans="3:7" x14ac:dyDescent="0.25">
      <c r="C1406"/>
      <c r="D1406"/>
      <c r="F1406" s="1"/>
      <c r="G1406"/>
    </row>
    <row r="1407" spans="3:7" x14ac:dyDescent="0.25">
      <c r="C1407"/>
      <c r="D1407"/>
      <c r="F1407" s="1"/>
      <c r="G1407"/>
    </row>
    <row r="1408" spans="3:7" x14ac:dyDescent="0.25">
      <c r="C1408"/>
      <c r="D1408"/>
      <c r="F1408" s="1"/>
      <c r="G1408"/>
    </row>
    <row r="1409" spans="3:7" x14ac:dyDescent="0.25">
      <c r="C1409"/>
      <c r="D1409"/>
      <c r="F1409" s="1"/>
      <c r="G1409"/>
    </row>
    <row r="1410" spans="3:7" x14ac:dyDescent="0.25">
      <c r="C1410"/>
      <c r="D1410"/>
      <c r="F1410" s="1"/>
      <c r="G1410"/>
    </row>
    <row r="1411" spans="3:7" x14ac:dyDescent="0.25">
      <c r="C1411"/>
      <c r="D1411"/>
      <c r="F1411" s="1"/>
      <c r="G1411"/>
    </row>
    <row r="1412" spans="3:7" x14ac:dyDescent="0.25">
      <c r="C1412"/>
      <c r="D1412"/>
      <c r="F1412" s="1"/>
      <c r="G1412"/>
    </row>
    <row r="1413" spans="3:7" x14ac:dyDescent="0.25">
      <c r="C1413"/>
      <c r="D1413"/>
      <c r="F1413" s="1"/>
      <c r="G1413"/>
    </row>
    <row r="1414" spans="3:7" x14ac:dyDescent="0.25">
      <c r="C1414"/>
      <c r="D1414"/>
      <c r="F1414" s="1"/>
      <c r="G1414"/>
    </row>
    <row r="1415" spans="3:7" x14ac:dyDescent="0.25">
      <c r="C1415"/>
      <c r="D1415"/>
      <c r="F1415" s="1"/>
      <c r="G1415"/>
    </row>
    <row r="1416" spans="3:7" x14ac:dyDescent="0.25">
      <c r="C1416"/>
      <c r="D1416"/>
      <c r="F1416" s="1"/>
      <c r="G1416"/>
    </row>
    <row r="1417" spans="3:7" x14ac:dyDescent="0.25">
      <c r="C1417"/>
      <c r="D1417"/>
      <c r="F1417" s="1"/>
      <c r="G1417"/>
    </row>
    <row r="1418" spans="3:7" x14ac:dyDescent="0.25">
      <c r="C1418"/>
      <c r="D1418"/>
      <c r="F1418" s="1"/>
      <c r="G1418"/>
    </row>
    <row r="1419" spans="3:7" x14ac:dyDescent="0.25">
      <c r="C1419"/>
      <c r="D1419"/>
      <c r="F1419" s="1"/>
      <c r="G1419"/>
    </row>
    <row r="1420" spans="3:7" x14ac:dyDescent="0.25">
      <c r="C1420"/>
      <c r="D1420"/>
      <c r="F1420" s="1"/>
      <c r="G1420"/>
    </row>
    <row r="1421" spans="3:7" x14ac:dyDescent="0.25">
      <c r="C1421"/>
      <c r="D1421"/>
      <c r="F1421" s="1"/>
      <c r="G1421"/>
    </row>
    <row r="1422" spans="3:7" x14ac:dyDescent="0.25">
      <c r="C1422"/>
      <c r="D1422"/>
      <c r="F1422" s="1"/>
      <c r="G1422"/>
    </row>
    <row r="1423" spans="3:7" x14ac:dyDescent="0.25">
      <c r="C1423"/>
      <c r="D1423"/>
      <c r="F1423" s="1"/>
      <c r="G1423"/>
    </row>
    <row r="1424" spans="3:7" x14ac:dyDescent="0.25">
      <c r="C1424"/>
      <c r="D1424"/>
      <c r="F1424" s="1"/>
      <c r="G1424"/>
    </row>
    <row r="1425" spans="3:7" x14ac:dyDescent="0.25">
      <c r="C1425"/>
      <c r="D1425"/>
      <c r="F1425" s="1"/>
      <c r="G1425"/>
    </row>
    <row r="1426" spans="3:7" x14ac:dyDescent="0.25">
      <c r="C1426"/>
      <c r="D1426"/>
      <c r="F1426" s="1"/>
      <c r="G1426"/>
    </row>
    <row r="1427" spans="3:7" x14ac:dyDescent="0.25">
      <c r="C1427"/>
      <c r="D1427"/>
      <c r="F1427" s="1"/>
      <c r="G1427"/>
    </row>
    <row r="1428" spans="3:7" x14ac:dyDescent="0.25">
      <c r="C1428"/>
      <c r="D1428"/>
      <c r="F1428" s="1"/>
      <c r="G1428"/>
    </row>
    <row r="1429" spans="3:7" x14ac:dyDescent="0.25">
      <c r="C1429"/>
      <c r="D1429"/>
      <c r="F1429" s="1"/>
      <c r="G1429"/>
    </row>
    <row r="1430" spans="3:7" x14ac:dyDescent="0.25">
      <c r="C1430"/>
      <c r="D1430"/>
      <c r="F1430" s="1"/>
      <c r="G1430"/>
    </row>
    <row r="1431" spans="3:7" x14ac:dyDescent="0.25">
      <c r="C1431"/>
      <c r="D1431"/>
      <c r="F1431" s="1"/>
      <c r="G1431"/>
    </row>
    <row r="1432" spans="3:7" x14ac:dyDescent="0.25">
      <c r="C1432"/>
      <c r="D1432"/>
      <c r="F1432" s="1"/>
      <c r="G1432"/>
    </row>
    <row r="1433" spans="3:7" x14ac:dyDescent="0.25">
      <c r="C1433"/>
      <c r="D1433"/>
      <c r="F1433" s="1"/>
      <c r="G1433"/>
    </row>
    <row r="1434" spans="3:7" x14ac:dyDescent="0.25">
      <c r="C1434"/>
      <c r="D1434"/>
      <c r="F1434" s="1"/>
      <c r="G1434"/>
    </row>
    <row r="1435" spans="3:7" x14ac:dyDescent="0.25">
      <c r="C1435"/>
      <c r="D1435"/>
      <c r="F1435" s="1"/>
      <c r="G1435"/>
    </row>
    <row r="1436" spans="3:7" x14ac:dyDescent="0.25">
      <c r="C1436"/>
      <c r="D1436"/>
      <c r="F1436" s="1"/>
      <c r="G1436"/>
    </row>
    <row r="1437" spans="3:7" x14ac:dyDescent="0.25">
      <c r="C1437"/>
      <c r="D1437"/>
      <c r="F1437" s="1"/>
      <c r="G1437"/>
    </row>
    <row r="1438" spans="3:7" x14ac:dyDescent="0.25">
      <c r="C1438"/>
      <c r="D1438"/>
      <c r="F1438" s="1"/>
      <c r="G1438"/>
    </row>
    <row r="1439" spans="3:7" x14ac:dyDescent="0.25">
      <c r="C1439"/>
      <c r="D1439"/>
      <c r="F1439" s="1"/>
      <c r="G1439"/>
    </row>
    <row r="1440" spans="3:7" x14ac:dyDescent="0.25">
      <c r="C1440"/>
      <c r="D1440"/>
      <c r="F1440" s="1"/>
      <c r="G1440"/>
    </row>
    <row r="1441" spans="3:7" x14ac:dyDescent="0.25">
      <c r="C1441"/>
      <c r="D1441"/>
      <c r="F1441" s="1"/>
      <c r="G1441"/>
    </row>
    <row r="1442" spans="3:7" x14ac:dyDescent="0.25">
      <c r="C1442"/>
      <c r="D1442"/>
      <c r="F1442" s="1"/>
      <c r="G1442"/>
    </row>
    <row r="1443" spans="3:7" x14ac:dyDescent="0.25">
      <c r="C1443"/>
      <c r="D1443"/>
      <c r="F1443" s="1"/>
      <c r="G1443"/>
    </row>
    <row r="1444" spans="3:7" x14ac:dyDescent="0.25">
      <c r="C1444"/>
      <c r="D1444"/>
      <c r="F1444" s="1"/>
      <c r="G1444"/>
    </row>
    <row r="1445" spans="3:7" x14ac:dyDescent="0.25">
      <c r="C1445"/>
      <c r="D1445"/>
      <c r="F1445" s="1"/>
      <c r="G1445"/>
    </row>
    <row r="1446" spans="3:7" x14ac:dyDescent="0.25">
      <c r="C1446"/>
      <c r="D1446"/>
      <c r="F1446" s="1"/>
      <c r="G1446"/>
    </row>
    <row r="1447" spans="3:7" x14ac:dyDescent="0.25">
      <c r="C1447"/>
      <c r="D1447"/>
      <c r="F1447" s="1"/>
      <c r="G1447"/>
    </row>
    <row r="1448" spans="3:7" x14ac:dyDescent="0.25">
      <c r="C1448"/>
      <c r="D1448"/>
      <c r="F1448" s="1"/>
      <c r="G1448"/>
    </row>
    <row r="1449" spans="3:7" x14ac:dyDescent="0.25">
      <c r="C1449"/>
      <c r="D1449"/>
      <c r="F1449" s="1"/>
      <c r="G1449"/>
    </row>
    <row r="1450" spans="3:7" x14ac:dyDescent="0.25">
      <c r="C1450"/>
      <c r="D1450"/>
      <c r="F1450" s="1"/>
      <c r="G1450"/>
    </row>
    <row r="1451" spans="3:7" x14ac:dyDescent="0.25">
      <c r="C1451"/>
      <c r="D1451"/>
      <c r="F1451" s="1"/>
      <c r="G1451"/>
    </row>
    <row r="1452" spans="3:7" x14ac:dyDescent="0.25">
      <c r="C1452"/>
      <c r="D1452"/>
      <c r="F1452" s="1"/>
      <c r="G1452"/>
    </row>
    <row r="1453" spans="3:7" x14ac:dyDescent="0.25">
      <c r="C1453"/>
      <c r="D1453"/>
      <c r="F1453" s="1"/>
      <c r="G1453"/>
    </row>
    <row r="1454" spans="3:7" x14ac:dyDescent="0.25">
      <c r="C1454"/>
      <c r="D1454"/>
      <c r="F1454" s="1"/>
      <c r="G1454"/>
    </row>
    <row r="1455" spans="3:7" x14ac:dyDescent="0.25">
      <c r="C1455"/>
      <c r="D1455"/>
      <c r="F1455" s="1"/>
      <c r="G1455"/>
    </row>
    <row r="1456" spans="3:7" x14ac:dyDescent="0.25">
      <c r="C1456"/>
      <c r="D1456"/>
      <c r="F1456" s="1"/>
      <c r="G1456"/>
    </row>
    <row r="1457" spans="3:7" x14ac:dyDescent="0.25">
      <c r="C1457"/>
      <c r="D1457"/>
      <c r="F1457" s="1"/>
      <c r="G1457"/>
    </row>
    <row r="1458" spans="3:7" x14ac:dyDescent="0.25">
      <c r="C1458"/>
      <c r="D1458"/>
      <c r="F1458" s="1"/>
      <c r="G1458"/>
    </row>
    <row r="1459" spans="3:7" x14ac:dyDescent="0.25">
      <c r="C1459"/>
      <c r="D1459"/>
      <c r="F1459" s="1"/>
      <c r="G1459"/>
    </row>
    <row r="1460" spans="3:7" x14ac:dyDescent="0.25">
      <c r="C1460"/>
      <c r="D1460"/>
      <c r="F1460" s="1"/>
      <c r="G1460"/>
    </row>
    <row r="1461" spans="3:7" x14ac:dyDescent="0.25">
      <c r="C1461"/>
      <c r="D1461"/>
      <c r="F1461" s="1"/>
      <c r="G1461"/>
    </row>
    <row r="1462" spans="3:7" x14ac:dyDescent="0.25">
      <c r="C1462"/>
      <c r="D1462"/>
      <c r="F1462" s="1"/>
      <c r="G1462"/>
    </row>
    <row r="1463" spans="3:7" x14ac:dyDescent="0.25">
      <c r="C1463"/>
      <c r="D1463"/>
      <c r="F1463" s="1"/>
      <c r="G1463"/>
    </row>
    <row r="1464" spans="3:7" x14ac:dyDescent="0.25">
      <c r="C1464"/>
      <c r="D1464"/>
      <c r="F1464" s="1"/>
      <c r="G1464"/>
    </row>
    <row r="1465" spans="3:7" x14ac:dyDescent="0.25">
      <c r="C1465"/>
      <c r="D1465"/>
      <c r="F1465" s="1"/>
      <c r="G1465"/>
    </row>
    <row r="1466" spans="3:7" x14ac:dyDescent="0.25">
      <c r="C1466"/>
      <c r="D1466"/>
      <c r="F1466" s="1"/>
      <c r="G1466"/>
    </row>
    <row r="1467" spans="3:7" x14ac:dyDescent="0.25">
      <c r="C1467"/>
      <c r="D1467"/>
      <c r="F1467" s="1"/>
      <c r="G1467"/>
    </row>
    <row r="1468" spans="3:7" x14ac:dyDescent="0.25">
      <c r="C1468"/>
      <c r="D1468"/>
      <c r="F1468" s="1"/>
      <c r="G1468"/>
    </row>
    <row r="1469" spans="3:7" x14ac:dyDescent="0.25">
      <c r="C1469"/>
      <c r="D1469"/>
      <c r="F1469" s="1"/>
      <c r="G1469"/>
    </row>
    <row r="1470" spans="3:7" x14ac:dyDescent="0.25">
      <c r="C1470"/>
      <c r="D1470"/>
      <c r="F1470" s="1"/>
      <c r="G1470"/>
    </row>
    <row r="1471" spans="3:7" x14ac:dyDescent="0.25">
      <c r="C1471"/>
      <c r="D1471"/>
      <c r="F1471" s="1"/>
      <c r="G1471"/>
    </row>
    <row r="1472" spans="3:7" x14ac:dyDescent="0.25">
      <c r="C1472"/>
      <c r="D1472"/>
      <c r="F1472" s="1"/>
      <c r="G1472"/>
    </row>
    <row r="1473" spans="3:7" x14ac:dyDescent="0.25">
      <c r="C1473"/>
      <c r="D1473"/>
      <c r="F1473" s="1"/>
      <c r="G1473"/>
    </row>
    <row r="1474" spans="3:7" x14ac:dyDescent="0.25">
      <c r="C1474"/>
      <c r="D1474"/>
      <c r="F1474" s="1"/>
      <c r="G1474"/>
    </row>
    <row r="1475" spans="3:7" x14ac:dyDescent="0.25">
      <c r="C1475"/>
      <c r="D1475"/>
      <c r="F1475" s="1"/>
      <c r="G1475"/>
    </row>
    <row r="1476" spans="3:7" x14ac:dyDescent="0.25">
      <c r="C1476"/>
      <c r="D1476"/>
      <c r="F1476" s="1"/>
      <c r="G1476"/>
    </row>
    <row r="1477" spans="3:7" x14ac:dyDescent="0.25">
      <c r="C1477"/>
      <c r="D1477"/>
      <c r="F1477" s="1"/>
      <c r="G1477"/>
    </row>
    <row r="1478" spans="3:7" x14ac:dyDescent="0.25">
      <c r="C1478"/>
      <c r="D1478"/>
      <c r="F1478" s="1"/>
      <c r="G1478"/>
    </row>
    <row r="1479" spans="3:7" x14ac:dyDescent="0.25">
      <c r="C1479"/>
      <c r="D1479"/>
      <c r="F1479" s="1"/>
      <c r="G1479"/>
    </row>
    <row r="1480" spans="3:7" x14ac:dyDescent="0.25">
      <c r="C1480"/>
      <c r="D1480"/>
      <c r="F1480" s="1"/>
      <c r="G1480"/>
    </row>
    <row r="1481" spans="3:7" x14ac:dyDescent="0.25">
      <c r="C1481"/>
      <c r="D1481"/>
      <c r="F1481" s="1"/>
      <c r="G1481"/>
    </row>
    <row r="1482" spans="3:7" x14ac:dyDescent="0.25">
      <c r="C1482"/>
      <c r="D1482"/>
      <c r="F1482" s="1"/>
      <c r="G1482"/>
    </row>
    <row r="1483" spans="3:7" x14ac:dyDescent="0.25">
      <c r="C1483"/>
      <c r="D1483"/>
      <c r="F1483" s="1"/>
      <c r="G1483"/>
    </row>
    <row r="1484" spans="3:7" x14ac:dyDescent="0.25">
      <c r="C1484"/>
      <c r="D1484"/>
      <c r="F1484" s="1"/>
      <c r="G1484"/>
    </row>
    <row r="1485" spans="3:7" x14ac:dyDescent="0.25">
      <c r="C1485"/>
      <c r="D1485"/>
      <c r="F1485" s="1"/>
      <c r="G1485"/>
    </row>
    <row r="1486" spans="3:7" x14ac:dyDescent="0.25">
      <c r="C1486"/>
      <c r="D1486"/>
      <c r="F1486" s="1"/>
      <c r="G1486"/>
    </row>
    <row r="1487" spans="3:7" x14ac:dyDescent="0.25">
      <c r="C1487"/>
      <c r="D1487"/>
      <c r="F1487" s="1"/>
      <c r="G1487"/>
    </row>
    <row r="1488" spans="3:7" x14ac:dyDescent="0.25">
      <c r="C1488"/>
      <c r="D1488"/>
      <c r="F1488" s="1"/>
      <c r="G1488"/>
    </row>
    <row r="1489" spans="3:7" x14ac:dyDescent="0.25">
      <c r="C1489"/>
      <c r="D1489"/>
      <c r="F1489" s="1"/>
      <c r="G1489"/>
    </row>
    <row r="1490" spans="3:7" x14ac:dyDescent="0.25">
      <c r="C1490"/>
      <c r="D1490"/>
      <c r="F1490" s="1"/>
      <c r="G1490"/>
    </row>
    <row r="1491" spans="3:7" x14ac:dyDescent="0.25">
      <c r="C1491"/>
      <c r="D1491"/>
      <c r="F1491" s="1"/>
      <c r="G1491"/>
    </row>
    <row r="1492" spans="3:7" x14ac:dyDescent="0.25">
      <c r="C1492"/>
      <c r="D1492"/>
      <c r="F1492" s="1"/>
      <c r="G1492"/>
    </row>
    <row r="1493" spans="3:7" x14ac:dyDescent="0.25">
      <c r="C1493"/>
      <c r="D1493"/>
      <c r="F1493" s="1"/>
      <c r="G1493"/>
    </row>
    <row r="1494" spans="3:7" x14ac:dyDescent="0.25">
      <c r="C1494"/>
      <c r="D1494"/>
      <c r="F1494" s="1"/>
      <c r="G1494"/>
    </row>
    <row r="1495" spans="3:7" x14ac:dyDescent="0.25">
      <c r="C1495"/>
      <c r="D1495"/>
      <c r="F1495" s="1"/>
      <c r="G1495"/>
    </row>
    <row r="1496" spans="3:7" x14ac:dyDescent="0.25">
      <c r="C1496"/>
      <c r="D1496"/>
      <c r="F1496" s="1"/>
      <c r="G1496"/>
    </row>
    <row r="1497" spans="3:7" x14ac:dyDescent="0.25">
      <c r="C1497"/>
      <c r="D1497"/>
      <c r="F1497" s="1"/>
      <c r="G1497"/>
    </row>
    <row r="1498" spans="3:7" x14ac:dyDescent="0.25">
      <c r="C1498"/>
      <c r="D1498"/>
      <c r="F1498" s="1"/>
      <c r="G1498"/>
    </row>
    <row r="1499" spans="3:7" x14ac:dyDescent="0.25">
      <c r="C1499"/>
      <c r="D1499"/>
      <c r="F1499" s="1"/>
      <c r="G1499"/>
    </row>
    <row r="1500" spans="3:7" x14ac:dyDescent="0.25">
      <c r="C1500"/>
      <c r="D1500"/>
      <c r="F1500" s="1"/>
      <c r="G1500"/>
    </row>
    <row r="1501" spans="3:7" x14ac:dyDescent="0.25">
      <c r="C1501"/>
      <c r="D1501"/>
      <c r="F1501" s="1"/>
      <c r="G1501"/>
    </row>
    <row r="1502" spans="3:7" x14ac:dyDescent="0.25">
      <c r="C1502"/>
      <c r="D1502"/>
      <c r="F1502" s="1"/>
      <c r="G1502"/>
    </row>
    <row r="1503" spans="3:7" x14ac:dyDescent="0.25">
      <c r="C1503"/>
      <c r="D1503"/>
      <c r="F1503" s="1"/>
      <c r="G1503"/>
    </row>
    <row r="1504" spans="3:7" x14ac:dyDescent="0.25">
      <c r="C1504"/>
      <c r="D1504"/>
      <c r="F1504" s="1"/>
      <c r="G1504"/>
    </row>
    <row r="1505" spans="3:7" x14ac:dyDescent="0.25">
      <c r="C1505"/>
      <c r="D1505"/>
      <c r="F1505" s="1"/>
      <c r="G1505"/>
    </row>
    <row r="1506" spans="3:7" x14ac:dyDescent="0.25">
      <c r="C1506"/>
      <c r="D1506"/>
      <c r="F1506" s="1"/>
      <c r="G1506"/>
    </row>
    <row r="1507" spans="3:7" x14ac:dyDescent="0.25">
      <c r="C1507"/>
      <c r="D1507"/>
      <c r="F1507" s="1"/>
      <c r="G1507"/>
    </row>
    <row r="1508" spans="3:7" x14ac:dyDescent="0.25">
      <c r="C1508"/>
      <c r="D1508"/>
      <c r="F1508" s="1"/>
      <c r="G1508"/>
    </row>
    <row r="1509" spans="3:7" x14ac:dyDescent="0.25">
      <c r="C1509"/>
      <c r="D1509"/>
      <c r="F1509" s="1"/>
      <c r="G1509"/>
    </row>
    <row r="1510" spans="3:7" x14ac:dyDescent="0.25">
      <c r="C1510"/>
      <c r="D1510"/>
      <c r="F1510" s="1"/>
      <c r="G1510"/>
    </row>
    <row r="1511" spans="3:7" x14ac:dyDescent="0.25">
      <c r="C1511"/>
      <c r="D1511"/>
      <c r="F1511" s="1"/>
      <c r="G1511"/>
    </row>
    <row r="1512" spans="3:7" x14ac:dyDescent="0.25">
      <c r="C1512"/>
      <c r="D1512"/>
      <c r="F1512" s="1"/>
      <c r="G1512"/>
    </row>
    <row r="1513" spans="3:7" x14ac:dyDescent="0.25">
      <c r="C1513"/>
      <c r="D1513"/>
      <c r="F1513" s="1"/>
      <c r="G1513"/>
    </row>
    <row r="1514" spans="3:7" x14ac:dyDescent="0.25">
      <c r="C1514"/>
      <c r="D1514"/>
      <c r="F1514" s="1"/>
      <c r="G1514"/>
    </row>
    <row r="1515" spans="3:7" x14ac:dyDescent="0.25">
      <c r="C1515"/>
      <c r="D1515"/>
      <c r="F1515" s="1"/>
      <c r="G1515"/>
    </row>
    <row r="1516" spans="3:7" x14ac:dyDescent="0.25">
      <c r="C1516"/>
      <c r="D1516"/>
      <c r="F1516" s="1"/>
      <c r="G1516"/>
    </row>
    <row r="1517" spans="3:7" x14ac:dyDescent="0.25">
      <c r="C1517"/>
      <c r="D1517"/>
      <c r="F1517" s="1"/>
      <c r="G1517"/>
    </row>
    <row r="1518" spans="3:7" x14ac:dyDescent="0.25">
      <c r="C1518"/>
      <c r="D1518"/>
      <c r="F1518" s="1"/>
      <c r="G1518"/>
    </row>
    <row r="1519" spans="3:7" x14ac:dyDescent="0.25">
      <c r="C1519"/>
      <c r="D1519"/>
      <c r="F1519" s="1"/>
      <c r="G1519"/>
    </row>
    <row r="1520" spans="3:7" x14ac:dyDescent="0.25">
      <c r="C1520"/>
      <c r="D1520"/>
      <c r="F1520" s="1"/>
      <c r="G1520"/>
    </row>
    <row r="1521" spans="3:7" x14ac:dyDescent="0.25">
      <c r="C1521"/>
      <c r="D1521"/>
      <c r="F1521" s="1"/>
      <c r="G1521"/>
    </row>
    <row r="1522" spans="3:7" x14ac:dyDescent="0.25">
      <c r="C1522"/>
      <c r="D1522"/>
      <c r="F1522" s="1"/>
      <c r="G1522"/>
    </row>
    <row r="1523" spans="3:7" x14ac:dyDescent="0.25">
      <c r="C1523"/>
      <c r="D1523"/>
      <c r="F1523" s="1"/>
      <c r="G1523"/>
    </row>
    <row r="1524" spans="3:7" x14ac:dyDescent="0.25">
      <c r="C1524"/>
      <c r="D1524"/>
      <c r="F1524" s="1"/>
      <c r="G1524"/>
    </row>
    <row r="1525" spans="3:7" x14ac:dyDescent="0.25">
      <c r="C1525"/>
      <c r="D1525"/>
      <c r="F1525" s="1"/>
      <c r="G1525"/>
    </row>
    <row r="1526" spans="3:7" x14ac:dyDescent="0.25">
      <c r="C1526"/>
      <c r="D1526"/>
      <c r="F1526" s="1"/>
      <c r="G1526"/>
    </row>
    <row r="1527" spans="3:7" x14ac:dyDescent="0.25">
      <c r="C1527"/>
      <c r="D1527"/>
      <c r="F1527" s="1"/>
      <c r="G1527"/>
    </row>
    <row r="1528" spans="3:7" x14ac:dyDescent="0.25">
      <c r="C1528"/>
      <c r="D1528"/>
      <c r="F1528" s="1"/>
      <c r="G1528"/>
    </row>
    <row r="1529" spans="3:7" x14ac:dyDescent="0.25">
      <c r="C1529"/>
      <c r="D1529"/>
      <c r="F1529" s="1"/>
      <c r="G1529"/>
    </row>
    <row r="1530" spans="3:7" x14ac:dyDescent="0.25">
      <c r="C1530"/>
      <c r="D1530"/>
      <c r="F1530" s="1"/>
      <c r="G1530"/>
    </row>
    <row r="1531" spans="3:7" x14ac:dyDescent="0.25">
      <c r="C1531"/>
      <c r="D1531"/>
      <c r="F1531" s="1"/>
      <c r="G1531"/>
    </row>
    <row r="1532" spans="3:7" x14ac:dyDescent="0.25">
      <c r="C1532"/>
      <c r="D1532"/>
      <c r="F1532" s="1"/>
      <c r="G1532"/>
    </row>
    <row r="1533" spans="3:7" x14ac:dyDescent="0.25">
      <c r="C1533"/>
      <c r="D1533"/>
      <c r="F1533" s="1"/>
      <c r="G1533"/>
    </row>
    <row r="1534" spans="3:7" x14ac:dyDescent="0.25">
      <c r="C1534"/>
      <c r="D1534"/>
      <c r="F1534" s="1"/>
      <c r="G1534"/>
    </row>
    <row r="1535" spans="3:7" x14ac:dyDescent="0.25">
      <c r="C1535"/>
      <c r="D1535"/>
      <c r="F1535" s="1"/>
      <c r="G1535"/>
    </row>
    <row r="1536" spans="3:7" x14ac:dyDescent="0.25">
      <c r="C1536"/>
      <c r="D1536"/>
      <c r="F1536" s="1"/>
      <c r="G1536"/>
    </row>
    <row r="1537" spans="3:7" x14ac:dyDescent="0.25">
      <c r="C1537"/>
      <c r="D1537"/>
      <c r="F1537" s="1"/>
      <c r="G1537"/>
    </row>
    <row r="1538" spans="3:7" x14ac:dyDescent="0.25">
      <c r="C1538"/>
      <c r="D1538"/>
      <c r="F1538" s="1"/>
      <c r="G1538"/>
    </row>
    <row r="1539" spans="3:7" x14ac:dyDescent="0.25">
      <c r="C1539"/>
      <c r="D1539"/>
      <c r="F1539" s="1"/>
      <c r="G1539"/>
    </row>
    <row r="1540" spans="3:7" x14ac:dyDescent="0.25">
      <c r="C1540"/>
      <c r="D1540"/>
      <c r="F1540" s="1"/>
      <c r="G1540"/>
    </row>
    <row r="1541" spans="3:7" x14ac:dyDescent="0.25">
      <c r="C1541"/>
      <c r="D1541"/>
      <c r="F1541" s="1"/>
      <c r="G1541"/>
    </row>
    <row r="1542" spans="3:7" x14ac:dyDescent="0.25">
      <c r="C1542"/>
      <c r="D1542"/>
      <c r="F1542" s="1"/>
      <c r="G1542"/>
    </row>
    <row r="1543" spans="3:7" x14ac:dyDescent="0.25">
      <c r="C1543"/>
      <c r="D1543"/>
      <c r="F1543" s="1"/>
      <c r="G1543"/>
    </row>
    <row r="1544" spans="3:7" x14ac:dyDescent="0.25">
      <c r="C1544"/>
      <c r="D1544"/>
      <c r="F1544" s="1"/>
      <c r="G1544"/>
    </row>
    <row r="1545" spans="3:7" x14ac:dyDescent="0.25">
      <c r="C1545"/>
      <c r="D1545"/>
      <c r="F1545" s="1"/>
      <c r="G1545"/>
    </row>
    <row r="1546" spans="3:7" x14ac:dyDescent="0.25">
      <c r="C1546"/>
      <c r="D1546"/>
      <c r="F1546" s="1"/>
      <c r="G1546"/>
    </row>
    <row r="1547" spans="3:7" x14ac:dyDescent="0.25">
      <c r="C1547"/>
      <c r="D1547"/>
      <c r="F1547" s="1"/>
      <c r="G1547"/>
    </row>
    <row r="1548" spans="3:7" x14ac:dyDescent="0.25">
      <c r="C1548"/>
      <c r="D1548"/>
      <c r="F1548" s="1"/>
      <c r="G1548"/>
    </row>
    <row r="1549" spans="3:7" x14ac:dyDescent="0.25">
      <c r="C1549"/>
      <c r="D1549"/>
      <c r="F1549" s="1"/>
      <c r="G1549"/>
    </row>
    <row r="1550" spans="3:7" x14ac:dyDescent="0.25">
      <c r="C1550"/>
      <c r="D1550"/>
      <c r="F1550" s="1"/>
      <c r="G1550"/>
    </row>
    <row r="1551" spans="3:7" x14ac:dyDescent="0.25">
      <c r="C1551"/>
      <c r="D1551"/>
      <c r="F1551" s="1"/>
      <c r="G1551"/>
    </row>
    <row r="1552" spans="3:7" x14ac:dyDescent="0.25">
      <c r="C1552"/>
      <c r="D1552"/>
      <c r="F1552" s="1"/>
      <c r="G1552"/>
    </row>
    <row r="1553" spans="3:7" x14ac:dyDescent="0.25">
      <c r="C1553"/>
      <c r="D1553"/>
      <c r="F1553" s="1"/>
      <c r="G1553"/>
    </row>
    <row r="1554" spans="3:7" x14ac:dyDescent="0.25">
      <c r="C1554"/>
      <c r="D1554"/>
      <c r="F1554" s="1"/>
      <c r="G1554"/>
    </row>
    <row r="1555" spans="3:7" x14ac:dyDescent="0.25">
      <c r="C1555"/>
      <c r="D1555"/>
      <c r="F1555" s="1"/>
      <c r="G1555"/>
    </row>
    <row r="1556" spans="3:7" x14ac:dyDescent="0.25">
      <c r="C1556"/>
      <c r="D1556"/>
      <c r="F1556" s="1"/>
      <c r="G1556"/>
    </row>
    <row r="1557" spans="3:7" x14ac:dyDescent="0.25">
      <c r="C1557"/>
      <c r="D1557"/>
      <c r="F1557" s="1"/>
      <c r="G1557"/>
    </row>
    <row r="1558" spans="3:7" x14ac:dyDescent="0.25">
      <c r="C1558"/>
      <c r="D1558"/>
      <c r="F1558" s="1"/>
      <c r="G1558"/>
    </row>
    <row r="1559" spans="3:7" x14ac:dyDescent="0.25">
      <c r="C1559"/>
      <c r="D1559"/>
      <c r="F1559" s="1"/>
      <c r="G1559"/>
    </row>
    <row r="1560" spans="3:7" x14ac:dyDescent="0.25">
      <c r="C1560"/>
      <c r="D1560"/>
      <c r="F1560" s="1"/>
      <c r="G1560"/>
    </row>
    <row r="1561" spans="3:7" x14ac:dyDescent="0.25">
      <c r="C1561"/>
      <c r="D1561"/>
      <c r="F1561" s="1"/>
      <c r="G1561"/>
    </row>
    <row r="1562" spans="3:7" x14ac:dyDescent="0.25">
      <c r="C1562"/>
      <c r="D1562"/>
      <c r="F1562" s="1"/>
      <c r="G1562"/>
    </row>
    <row r="1563" spans="3:7" x14ac:dyDescent="0.25">
      <c r="C1563"/>
      <c r="D1563"/>
      <c r="F1563" s="1"/>
      <c r="G1563"/>
    </row>
    <row r="1564" spans="3:7" x14ac:dyDescent="0.25">
      <c r="C1564"/>
      <c r="D1564"/>
      <c r="F1564" s="1"/>
      <c r="G1564"/>
    </row>
    <row r="1565" spans="3:7" x14ac:dyDescent="0.25">
      <c r="C1565"/>
      <c r="D1565"/>
      <c r="F1565" s="1"/>
      <c r="G1565"/>
    </row>
    <row r="1566" spans="3:7" x14ac:dyDescent="0.25">
      <c r="C1566"/>
      <c r="D1566"/>
      <c r="F1566" s="1"/>
      <c r="G1566"/>
    </row>
    <row r="1567" spans="3:7" x14ac:dyDescent="0.25">
      <c r="C1567"/>
      <c r="D1567"/>
      <c r="F1567" s="1"/>
      <c r="G1567"/>
    </row>
    <row r="1568" spans="3:7" x14ac:dyDescent="0.25">
      <c r="C1568"/>
      <c r="D1568"/>
      <c r="F1568" s="1"/>
      <c r="G1568"/>
    </row>
    <row r="1569" spans="3:7" x14ac:dyDescent="0.25">
      <c r="C1569"/>
      <c r="D1569"/>
      <c r="F1569" s="1"/>
      <c r="G1569"/>
    </row>
    <row r="1570" spans="3:7" x14ac:dyDescent="0.25">
      <c r="C1570"/>
      <c r="D1570"/>
      <c r="F1570" s="1"/>
      <c r="G1570"/>
    </row>
    <row r="1571" spans="3:7" x14ac:dyDescent="0.25">
      <c r="C1571"/>
      <c r="D1571"/>
      <c r="F1571" s="1"/>
      <c r="G1571"/>
    </row>
    <row r="1572" spans="3:7" x14ac:dyDescent="0.25">
      <c r="C1572"/>
      <c r="D1572"/>
      <c r="F1572" s="1"/>
      <c r="G1572"/>
    </row>
    <row r="1573" spans="3:7" x14ac:dyDescent="0.25">
      <c r="C1573"/>
      <c r="D1573"/>
      <c r="F1573" s="1"/>
      <c r="G1573"/>
    </row>
    <row r="1574" spans="3:7" x14ac:dyDescent="0.25">
      <c r="C1574"/>
      <c r="D1574"/>
      <c r="F1574" s="1"/>
      <c r="G1574"/>
    </row>
    <row r="1575" spans="3:7" x14ac:dyDescent="0.25">
      <c r="C1575"/>
      <c r="D1575"/>
      <c r="F1575" s="1"/>
      <c r="G1575"/>
    </row>
    <row r="1576" spans="3:7" x14ac:dyDescent="0.25">
      <c r="C1576"/>
      <c r="D1576"/>
      <c r="F1576" s="1"/>
      <c r="G1576"/>
    </row>
    <row r="1577" spans="3:7" x14ac:dyDescent="0.25">
      <c r="C1577"/>
      <c r="D1577"/>
      <c r="F1577" s="1"/>
      <c r="G1577"/>
    </row>
    <row r="1578" spans="3:7" x14ac:dyDescent="0.25">
      <c r="C1578"/>
      <c r="D1578"/>
      <c r="F1578" s="1"/>
      <c r="G1578"/>
    </row>
    <row r="1579" spans="3:7" x14ac:dyDescent="0.25">
      <c r="C1579"/>
      <c r="D1579"/>
      <c r="F1579" s="1"/>
      <c r="G1579"/>
    </row>
    <row r="1580" spans="3:7" x14ac:dyDescent="0.25">
      <c r="C1580"/>
      <c r="D1580"/>
      <c r="F1580" s="1"/>
      <c r="G1580"/>
    </row>
    <row r="1581" spans="3:7" x14ac:dyDescent="0.25">
      <c r="C1581"/>
      <c r="D1581"/>
      <c r="F1581" s="1"/>
      <c r="G1581"/>
    </row>
    <row r="1582" spans="3:7" x14ac:dyDescent="0.25">
      <c r="C1582"/>
      <c r="D1582"/>
      <c r="F1582" s="1"/>
      <c r="G1582"/>
    </row>
    <row r="1583" spans="3:7" x14ac:dyDescent="0.25">
      <c r="C1583"/>
      <c r="D1583"/>
      <c r="F1583" s="1"/>
      <c r="G1583"/>
    </row>
    <row r="1584" spans="3:7" x14ac:dyDescent="0.25">
      <c r="C1584"/>
      <c r="D1584"/>
      <c r="F1584" s="1"/>
      <c r="G1584"/>
    </row>
    <row r="1585" spans="3:7" x14ac:dyDescent="0.25">
      <c r="C1585"/>
      <c r="D1585"/>
      <c r="F1585" s="1"/>
      <c r="G1585"/>
    </row>
    <row r="1586" spans="3:7" x14ac:dyDescent="0.25">
      <c r="C1586"/>
      <c r="D1586"/>
      <c r="F1586" s="1"/>
      <c r="G1586"/>
    </row>
    <row r="1587" spans="3:7" x14ac:dyDescent="0.25">
      <c r="C1587"/>
      <c r="D1587"/>
      <c r="F1587" s="1"/>
      <c r="G1587"/>
    </row>
    <row r="1588" spans="3:7" x14ac:dyDescent="0.25">
      <c r="C1588"/>
      <c r="D1588"/>
      <c r="F1588" s="1"/>
      <c r="G1588"/>
    </row>
    <row r="1589" spans="3:7" x14ac:dyDescent="0.25">
      <c r="C1589"/>
      <c r="D1589"/>
      <c r="F1589" s="1"/>
      <c r="G1589"/>
    </row>
    <row r="1590" spans="3:7" x14ac:dyDescent="0.25">
      <c r="C1590"/>
      <c r="D1590"/>
      <c r="F1590" s="1"/>
      <c r="G1590"/>
    </row>
    <row r="1591" spans="3:7" x14ac:dyDescent="0.25">
      <c r="C1591"/>
      <c r="D1591"/>
      <c r="F1591" s="1"/>
      <c r="G1591"/>
    </row>
    <row r="1592" spans="3:7" x14ac:dyDescent="0.25">
      <c r="C1592"/>
      <c r="D1592"/>
      <c r="F1592" s="1"/>
      <c r="G1592"/>
    </row>
    <row r="1593" spans="3:7" x14ac:dyDescent="0.25">
      <c r="C1593"/>
      <c r="D1593"/>
      <c r="F1593" s="1"/>
      <c r="G1593"/>
    </row>
    <row r="1594" spans="3:7" x14ac:dyDescent="0.25">
      <c r="C1594"/>
      <c r="D1594"/>
      <c r="F1594" s="1"/>
      <c r="G1594"/>
    </row>
    <row r="1595" spans="3:7" x14ac:dyDescent="0.25">
      <c r="C1595"/>
      <c r="D1595"/>
      <c r="F1595" s="1"/>
      <c r="G1595"/>
    </row>
    <row r="1596" spans="3:7" x14ac:dyDescent="0.25">
      <c r="C1596"/>
      <c r="D1596"/>
      <c r="F1596" s="1"/>
      <c r="G1596"/>
    </row>
    <row r="1597" spans="3:7" x14ac:dyDescent="0.25">
      <c r="C1597"/>
      <c r="D1597"/>
      <c r="F1597" s="1"/>
      <c r="G1597"/>
    </row>
    <row r="1598" spans="3:7" x14ac:dyDescent="0.25">
      <c r="C1598"/>
      <c r="D1598"/>
      <c r="F1598" s="1"/>
      <c r="G1598"/>
    </row>
    <row r="1599" spans="3:7" x14ac:dyDescent="0.25">
      <c r="C1599"/>
      <c r="D1599"/>
      <c r="F1599" s="1"/>
      <c r="G1599"/>
    </row>
    <row r="1600" spans="3:7" x14ac:dyDescent="0.25">
      <c r="C1600"/>
      <c r="D1600"/>
      <c r="F1600" s="1"/>
      <c r="G1600"/>
    </row>
    <row r="1601" spans="3:7" x14ac:dyDescent="0.25">
      <c r="C1601"/>
      <c r="D1601"/>
      <c r="F1601" s="1"/>
      <c r="G1601"/>
    </row>
    <row r="1602" spans="3:7" x14ac:dyDescent="0.25">
      <c r="C1602"/>
      <c r="D1602"/>
      <c r="F1602" s="1"/>
      <c r="G1602"/>
    </row>
    <row r="1603" spans="3:7" x14ac:dyDescent="0.25">
      <c r="C1603"/>
      <c r="D1603"/>
      <c r="F1603" s="1"/>
      <c r="G1603"/>
    </row>
    <row r="1604" spans="3:7" x14ac:dyDescent="0.25">
      <c r="C1604"/>
      <c r="D1604"/>
      <c r="F1604" s="1"/>
      <c r="G1604"/>
    </row>
    <row r="1605" spans="3:7" x14ac:dyDescent="0.25">
      <c r="C1605"/>
      <c r="D1605"/>
      <c r="F1605" s="1"/>
      <c r="G1605"/>
    </row>
    <row r="1606" spans="3:7" x14ac:dyDescent="0.25">
      <c r="C1606"/>
      <c r="D1606"/>
      <c r="F1606" s="1"/>
      <c r="G1606"/>
    </row>
    <row r="1607" spans="3:7" x14ac:dyDescent="0.25">
      <c r="C1607"/>
      <c r="D1607"/>
      <c r="F1607" s="1"/>
      <c r="G1607"/>
    </row>
    <row r="1608" spans="3:7" x14ac:dyDescent="0.25">
      <c r="C1608"/>
      <c r="D1608"/>
      <c r="F1608" s="1"/>
      <c r="G1608"/>
    </row>
    <row r="1609" spans="3:7" x14ac:dyDescent="0.25">
      <c r="C1609"/>
      <c r="D1609"/>
      <c r="F1609" s="1"/>
      <c r="G1609"/>
    </row>
    <row r="1610" spans="3:7" x14ac:dyDescent="0.25">
      <c r="C1610"/>
      <c r="D1610"/>
      <c r="F1610" s="1"/>
      <c r="G1610"/>
    </row>
    <row r="1611" spans="3:7" x14ac:dyDescent="0.25">
      <c r="C1611"/>
      <c r="D1611"/>
      <c r="F1611" s="1"/>
      <c r="G1611"/>
    </row>
    <row r="1612" spans="3:7" x14ac:dyDescent="0.25">
      <c r="C1612"/>
      <c r="D1612"/>
      <c r="F1612" s="1"/>
      <c r="G1612"/>
    </row>
    <row r="1613" spans="3:7" x14ac:dyDescent="0.25">
      <c r="C1613"/>
      <c r="D1613"/>
      <c r="F1613" s="1"/>
      <c r="G1613"/>
    </row>
    <row r="1614" spans="3:7" x14ac:dyDescent="0.25">
      <c r="C1614"/>
      <c r="D1614"/>
      <c r="F1614" s="1"/>
      <c r="G1614"/>
    </row>
    <row r="1615" spans="3:7" x14ac:dyDescent="0.25">
      <c r="C1615"/>
      <c r="D1615"/>
      <c r="F1615" s="1"/>
      <c r="G1615"/>
    </row>
    <row r="1616" spans="3:7" x14ac:dyDescent="0.25">
      <c r="C1616"/>
      <c r="D1616"/>
      <c r="F1616" s="1"/>
      <c r="G1616"/>
    </row>
    <row r="1617" spans="3:7" x14ac:dyDescent="0.25">
      <c r="C1617"/>
      <c r="D1617"/>
      <c r="F1617" s="1"/>
      <c r="G1617"/>
    </row>
    <row r="1618" spans="3:7" x14ac:dyDescent="0.25">
      <c r="C1618"/>
      <c r="D1618"/>
      <c r="F1618" s="1"/>
      <c r="G1618"/>
    </row>
    <row r="1619" spans="3:7" x14ac:dyDescent="0.25">
      <c r="C1619"/>
      <c r="D1619"/>
      <c r="F1619" s="1"/>
      <c r="G1619"/>
    </row>
    <row r="1620" spans="3:7" x14ac:dyDescent="0.25">
      <c r="C1620"/>
      <c r="D1620"/>
      <c r="F1620" s="1"/>
      <c r="G1620"/>
    </row>
    <row r="1621" spans="3:7" x14ac:dyDescent="0.25">
      <c r="C1621"/>
      <c r="D1621"/>
      <c r="F1621" s="1"/>
      <c r="G1621"/>
    </row>
    <row r="1622" spans="3:7" x14ac:dyDescent="0.25">
      <c r="C1622"/>
      <c r="D1622"/>
      <c r="F1622" s="1"/>
      <c r="G1622"/>
    </row>
    <row r="1623" spans="3:7" x14ac:dyDescent="0.25">
      <c r="C1623"/>
      <c r="D1623"/>
      <c r="F1623" s="1"/>
      <c r="G1623"/>
    </row>
    <row r="1624" spans="3:7" x14ac:dyDescent="0.25">
      <c r="C1624"/>
      <c r="D1624"/>
      <c r="F1624" s="1"/>
      <c r="G1624"/>
    </row>
    <row r="1625" spans="3:7" x14ac:dyDescent="0.25">
      <c r="C1625"/>
      <c r="D1625"/>
      <c r="F1625" s="1"/>
      <c r="G1625"/>
    </row>
    <row r="1626" spans="3:7" x14ac:dyDescent="0.25">
      <c r="C1626"/>
      <c r="D1626"/>
      <c r="F1626" s="1"/>
      <c r="G1626"/>
    </row>
    <row r="1627" spans="3:7" x14ac:dyDescent="0.25">
      <c r="C1627"/>
      <c r="D1627"/>
      <c r="F1627" s="1"/>
      <c r="G1627"/>
    </row>
    <row r="1628" spans="3:7" x14ac:dyDescent="0.25">
      <c r="C1628"/>
      <c r="D1628"/>
      <c r="F1628" s="1"/>
      <c r="G1628"/>
    </row>
    <row r="1629" spans="3:7" x14ac:dyDescent="0.25">
      <c r="C1629"/>
      <c r="D1629"/>
      <c r="F1629" s="1"/>
      <c r="G1629"/>
    </row>
    <row r="1630" spans="3:7" x14ac:dyDescent="0.25">
      <c r="C1630"/>
      <c r="D1630"/>
      <c r="F1630" s="1"/>
      <c r="G1630"/>
    </row>
    <row r="1631" spans="3:7" x14ac:dyDescent="0.25">
      <c r="C1631"/>
      <c r="D1631"/>
      <c r="F1631" s="1"/>
      <c r="G1631"/>
    </row>
    <row r="1632" spans="3:7" x14ac:dyDescent="0.25">
      <c r="C1632"/>
      <c r="D1632"/>
      <c r="F1632" s="1"/>
      <c r="G1632"/>
    </row>
    <row r="1633" spans="3:7" x14ac:dyDescent="0.25">
      <c r="C1633"/>
      <c r="D1633"/>
      <c r="F1633" s="1"/>
      <c r="G1633"/>
    </row>
    <row r="1634" spans="3:7" x14ac:dyDescent="0.25">
      <c r="C1634"/>
      <c r="D1634"/>
      <c r="F1634" s="1"/>
      <c r="G1634"/>
    </row>
    <row r="1635" spans="3:7" x14ac:dyDescent="0.25">
      <c r="C1635"/>
      <c r="D1635"/>
      <c r="F1635" s="1"/>
      <c r="G1635"/>
    </row>
    <row r="1636" spans="3:7" x14ac:dyDescent="0.25">
      <c r="C1636"/>
      <c r="D1636"/>
      <c r="F1636" s="1"/>
      <c r="G1636"/>
    </row>
    <row r="1637" spans="3:7" x14ac:dyDescent="0.25">
      <c r="C1637"/>
      <c r="D1637"/>
      <c r="F1637" s="1"/>
      <c r="G1637"/>
    </row>
    <row r="1638" spans="3:7" x14ac:dyDescent="0.25">
      <c r="C1638"/>
      <c r="D1638"/>
      <c r="F1638" s="1"/>
      <c r="G1638"/>
    </row>
    <row r="1639" spans="3:7" x14ac:dyDescent="0.25">
      <c r="C1639"/>
      <c r="D1639"/>
      <c r="F1639" s="1"/>
      <c r="G1639"/>
    </row>
    <row r="1640" spans="3:7" x14ac:dyDescent="0.25">
      <c r="C1640"/>
      <c r="D1640"/>
      <c r="F1640" s="1"/>
      <c r="G1640"/>
    </row>
    <row r="1641" spans="3:7" x14ac:dyDescent="0.25">
      <c r="C1641"/>
      <c r="D1641"/>
      <c r="F1641" s="1"/>
      <c r="G1641"/>
    </row>
    <row r="1642" spans="3:7" x14ac:dyDescent="0.25">
      <c r="C1642"/>
      <c r="D1642"/>
      <c r="F1642" s="1"/>
      <c r="G1642"/>
    </row>
    <row r="1643" spans="3:7" x14ac:dyDescent="0.25">
      <c r="C1643"/>
      <c r="D1643"/>
      <c r="F1643" s="1"/>
      <c r="G1643"/>
    </row>
    <row r="1644" spans="3:7" x14ac:dyDescent="0.25">
      <c r="C1644"/>
      <c r="D1644"/>
      <c r="F1644" s="1"/>
      <c r="G1644"/>
    </row>
    <row r="1645" spans="3:7" x14ac:dyDescent="0.25">
      <c r="C1645"/>
      <c r="D1645"/>
      <c r="F1645" s="1"/>
      <c r="G1645"/>
    </row>
    <row r="1646" spans="3:7" x14ac:dyDescent="0.25">
      <c r="C1646"/>
      <c r="D1646"/>
      <c r="F1646" s="1"/>
      <c r="G1646"/>
    </row>
    <row r="1647" spans="3:7" x14ac:dyDescent="0.25">
      <c r="C1647"/>
      <c r="D1647"/>
      <c r="F1647" s="1"/>
      <c r="G1647"/>
    </row>
    <row r="1648" spans="3:7" x14ac:dyDescent="0.25">
      <c r="C1648"/>
      <c r="D1648"/>
      <c r="F1648" s="1"/>
      <c r="G1648"/>
    </row>
    <row r="1649" spans="3:7" x14ac:dyDescent="0.25">
      <c r="C1649"/>
      <c r="D1649"/>
      <c r="F1649" s="1"/>
      <c r="G1649"/>
    </row>
    <row r="1650" spans="3:7" x14ac:dyDescent="0.25">
      <c r="C1650"/>
      <c r="D1650"/>
      <c r="F1650" s="1"/>
      <c r="G1650"/>
    </row>
    <row r="1651" spans="3:7" x14ac:dyDescent="0.25">
      <c r="C1651"/>
      <c r="D1651"/>
      <c r="F1651" s="1"/>
      <c r="G1651"/>
    </row>
    <row r="1652" spans="3:7" x14ac:dyDescent="0.25">
      <c r="C1652"/>
      <c r="D1652"/>
      <c r="F1652" s="1"/>
      <c r="G1652"/>
    </row>
    <row r="1653" spans="3:7" x14ac:dyDescent="0.25">
      <c r="C1653"/>
      <c r="D1653"/>
      <c r="F1653" s="1"/>
      <c r="G1653"/>
    </row>
    <row r="1654" spans="3:7" x14ac:dyDescent="0.25">
      <c r="C1654"/>
      <c r="D1654"/>
      <c r="F1654" s="1"/>
      <c r="G1654"/>
    </row>
    <row r="1655" spans="3:7" x14ac:dyDescent="0.25">
      <c r="C1655"/>
      <c r="D1655"/>
      <c r="F1655" s="1"/>
      <c r="G1655"/>
    </row>
    <row r="1656" spans="3:7" x14ac:dyDescent="0.25">
      <c r="C1656"/>
      <c r="D1656"/>
      <c r="F1656" s="1"/>
      <c r="G1656"/>
    </row>
    <row r="1657" spans="3:7" x14ac:dyDescent="0.25">
      <c r="C1657"/>
      <c r="D1657"/>
      <c r="F1657" s="1"/>
      <c r="G1657"/>
    </row>
    <row r="1658" spans="3:7" x14ac:dyDescent="0.25">
      <c r="C1658"/>
      <c r="D1658"/>
      <c r="F1658" s="1"/>
      <c r="G1658"/>
    </row>
    <row r="1659" spans="3:7" x14ac:dyDescent="0.25">
      <c r="C1659"/>
      <c r="D1659"/>
      <c r="F1659" s="1"/>
      <c r="G1659"/>
    </row>
    <row r="1660" spans="3:7" x14ac:dyDescent="0.25">
      <c r="C1660"/>
      <c r="D1660"/>
      <c r="F1660" s="1"/>
      <c r="G1660"/>
    </row>
    <row r="1661" spans="3:7" x14ac:dyDescent="0.25">
      <c r="C1661"/>
      <c r="D1661"/>
      <c r="F1661" s="1"/>
      <c r="G1661"/>
    </row>
    <row r="1662" spans="3:7" x14ac:dyDescent="0.25">
      <c r="C1662"/>
      <c r="D1662"/>
      <c r="F1662" s="1"/>
      <c r="G1662"/>
    </row>
    <row r="1663" spans="3:7" x14ac:dyDescent="0.25">
      <c r="C1663"/>
      <c r="D1663"/>
      <c r="F1663" s="1"/>
      <c r="G1663"/>
    </row>
    <row r="1664" spans="3:7" x14ac:dyDescent="0.25">
      <c r="C1664"/>
      <c r="D1664"/>
      <c r="F1664" s="1"/>
      <c r="G1664"/>
    </row>
    <row r="1665" spans="3:7" x14ac:dyDescent="0.25">
      <c r="C1665"/>
      <c r="D1665"/>
      <c r="F1665" s="1"/>
      <c r="G1665"/>
    </row>
    <row r="1666" spans="3:7" x14ac:dyDescent="0.25">
      <c r="C1666"/>
      <c r="D1666"/>
      <c r="F1666" s="1"/>
      <c r="G1666"/>
    </row>
    <row r="1667" spans="3:7" x14ac:dyDescent="0.25">
      <c r="C1667"/>
      <c r="D1667"/>
      <c r="F1667" s="1"/>
      <c r="G1667"/>
    </row>
    <row r="1668" spans="3:7" x14ac:dyDescent="0.25">
      <c r="C1668"/>
      <c r="D1668"/>
      <c r="F1668" s="1"/>
      <c r="G1668"/>
    </row>
    <row r="1669" spans="3:7" x14ac:dyDescent="0.25">
      <c r="C1669"/>
      <c r="D1669"/>
      <c r="F1669" s="1"/>
      <c r="G1669"/>
    </row>
    <row r="1670" spans="3:7" x14ac:dyDescent="0.25">
      <c r="C1670"/>
      <c r="D1670"/>
      <c r="F1670" s="1"/>
      <c r="G1670"/>
    </row>
    <row r="1671" spans="3:7" x14ac:dyDescent="0.25">
      <c r="C1671"/>
      <c r="D1671"/>
      <c r="F1671" s="1"/>
      <c r="G1671"/>
    </row>
    <row r="1672" spans="3:7" x14ac:dyDescent="0.25">
      <c r="C1672"/>
      <c r="D1672"/>
      <c r="F1672" s="1"/>
      <c r="G1672"/>
    </row>
    <row r="1673" spans="3:7" x14ac:dyDescent="0.25">
      <c r="C1673"/>
      <c r="D1673"/>
      <c r="F1673" s="1"/>
      <c r="G1673"/>
    </row>
    <row r="1674" spans="3:7" x14ac:dyDescent="0.25">
      <c r="C1674"/>
      <c r="D1674"/>
      <c r="F1674" s="1"/>
      <c r="G1674"/>
    </row>
    <row r="1675" spans="3:7" x14ac:dyDescent="0.25">
      <c r="C1675"/>
      <c r="D1675"/>
      <c r="F1675" s="1"/>
      <c r="G1675"/>
    </row>
    <row r="1676" spans="3:7" x14ac:dyDescent="0.25">
      <c r="C1676"/>
      <c r="D1676"/>
      <c r="F1676" s="1"/>
      <c r="G1676"/>
    </row>
    <row r="1677" spans="3:7" x14ac:dyDescent="0.25">
      <c r="C1677"/>
      <c r="D1677"/>
      <c r="F1677" s="1"/>
      <c r="G1677"/>
    </row>
    <row r="1678" spans="3:7" x14ac:dyDescent="0.25">
      <c r="C1678"/>
      <c r="D1678"/>
      <c r="F1678" s="1"/>
      <c r="G1678"/>
    </row>
    <row r="1679" spans="3:7" x14ac:dyDescent="0.25">
      <c r="C1679"/>
      <c r="D1679"/>
      <c r="F1679" s="1"/>
      <c r="G1679"/>
    </row>
    <row r="1680" spans="3:7" x14ac:dyDescent="0.25">
      <c r="C1680"/>
      <c r="D1680"/>
      <c r="F1680" s="1"/>
      <c r="G1680"/>
    </row>
    <row r="1681" spans="3:7" x14ac:dyDescent="0.25">
      <c r="C1681"/>
      <c r="D1681"/>
      <c r="F1681" s="1"/>
      <c r="G1681"/>
    </row>
    <row r="1682" spans="3:7" x14ac:dyDescent="0.25">
      <c r="C1682"/>
      <c r="D1682"/>
      <c r="F1682" s="1"/>
      <c r="G1682"/>
    </row>
    <row r="1683" spans="3:7" x14ac:dyDescent="0.25">
      <c r="C1683"/>
      <c r="D1683"/>
      <c r="F1683" s="1"/>
      <c r="G1683"/>
    </row>
    <row r="1684" spans="3:7" x14ac:dyDescent="0.25">
      <c r="C1684"/>
      <c r="D1684"/>
      <c r="F1684" s="1"/>
      <c r="G1684"/>
    </row>
    <row r="1685" spans="3:7" x14ac:dyDescent="0.25">
      <c r="C1685"/>
      <c r="D1685"/>
      <c r="F1685" s="1"/>
      <c r="G1685"/>
    </row>
    <row r="1686" spans="3:7" x14ac:dyDescent="0.25">
      <c r="C1686"/>
      <c r="D1686"/>
      <c r="F1686" s="1"/>
      <c r="G1686"/>
    </row>
    <row r="1687" spans="3:7" x14ac:dyDescent="0.25">
      <c r="C1687"/>
      <c r="D1687"/>
      <c r="F1687" s="1"/>
      <c r="G1687"/>
    </row>
    <row r="1688" spans="3:7" x14ac:dyDescent="0.25">
      <c r="C1688"/>
      <c r="D1688"/>
      <c r="F1688" s="1"/>
      <c r="G1688"/>
    </row>
    <row r="1689" spans="3:7" x14ac:dyDescent="0.25">
      <c r="C1689"/>
      <c r="D1689"/>
      <c r="F1689" s="1"/>
      <c r="G1689"/>
    </row>
    <row r="1690" spans="3:7" x14ac:dyDescent="0.25">
      <c r="C1690"/>
      <c r="D1690"/>
      <c r="F1690" s="1"/>
      <c r="G1690"/>
    </row>
    <row r="1691" spans="3:7" x14ac:dyDescent="0.25">
      <c r="C1691"/>
      <c r="D1691"/>
      <c r="F1691" s="1"/>
      <c r="G1691"/>
    </row>
    <row r="1692" spans="3:7" x14ac:dyDescent="0.25">
      <c r="C1692"/>
      <c r="D1692"/>
      <c r="F1692" s="1"/>
      <c r="G1692"/>
    </row>
    <row r="1693" spans="3:7" x14ac:dyDescent="0.25">
      <c r="C1693"/>
      <c r="D1693"/>
      <c r="F1693" s="1"/>
      <c r="G1693"/>
    </row>
    <row r="1694" spans="3:7" x14ac:dyDescent="0.25">
      <c r="C1694"/>
      <c r="D1694"/>
      <c r="F1694" s="1"/>
      <c r="G1694"/>
    </row>
    <row r="1695" spans="3:7" x14ac:dyDescent="0.25">
      <c r="C1695"/>
      <c r="D1695"/>
      <c r="F1695" s="1"/>
      <c r="G1695"/>
    </row>
    <row r="1696" spans="3:7" x14ac:dyDescent="0.25">
      <c r="C1696"/>
      <c r="D1696"/>
      <c r="F1696" s="1"/>
      <c r="G1696"/>
    </row>
    <row r="1697" spans="3:7" x14ac:dyDescent="0.25">
      <c r="C1697"/>
      <c r="D1697"/>
      <c r="F1697" s="1"/>
      <c r="G1697"/>
    </row>
    <row r="1698" spans="3:7" x14ac:dyDescent="0.25">
      <c r="C1698"/>
      <c r="D1698"/>
      <c r="F1698" s="1"/>
      <c r="G1698"/>
    </row>
    <row r="1699" spans="3:7" x14ac:dyDescent="0.25">
      <c r="C1699"/>
      <c r="D1699"/>
      <c r="F1699" s="1"/>
      <c r="G1699"/>
    </row>
    <row r="1700" spans="3:7" x14ac:dyDescent="0.25">
      <c r="C1700"/>
      <c r="D1700"/>
      <c r="F1700" s="1"/>
      <c r="G1700"/>
    </row>
    <row r="1701" spans="3:7" x14ac:dyDescent="0.25">
      <c r="C1701"/>
      <c r="D1701"/>
      <c r="F1701" s="1"/>
      <c r="G1701"/>
    </row>
    <row r="1702" spans="3:7" x14ac:dyDescent="0.25">
      <c r="C1702"/>
      <c r="D1702"/>
      <c r="F1702" s="1"/>
      <c r="G1702"/>
    </row>
    <row r="1703" spans="3:7" x14ac:dyDescent="0.25">
      <c r="C1703"/>
      <c r="D1703"/>
      <c r="F1703" s="1"/>
      <c r="G1703"/>
    </row>
    <row r="1704" spans="3:7" x14ac:dyDescent="0.25">
      <c r="C1704"/>
      <c r="D1704"/>
      <c r="F1704" s="1"/>
      <c r="G1704"/>
    </row>
    <row r="1705" spans="3:7" x14ac:dyDescent="0.25">
      <c r="C1705"/>
      <c r="D1705"/>
      <c r="F1705" s="1"/>
      <c r="G1705"/>
    </row>
    <row r="1706" spans="3:7" x14ac:dyDescent="0.25">
      <c r="C1706"/>
      <c r="D1706"/>
      <c r="F1706" s="1"/>
      <c r="G1706"/>
    </row>
    <row r="1707" spans="3:7" x14ac:dyDescent="0.25">
      <c r="C1707"/>
      <c r="D1707"/>
      <c r="F1707" s="1"/>
      <c r="G1707"/>
    </row>
    <row r="1708" spans="3:7" x14ac:dyDescent="0.25">
      <c r="C1708"/>
      <c r="D1708"/>
      <c r="F1708" s="1"/>
      <c r="G1708"/>
    </row>
    <row r="1709" spans="3:7" x14ac:dyDescent="0.25">
      <c r="C1709"/>
      <c r="D1709"/>
      <c r="F1709" s="1"/>
      <c r="G1709"/>
    </row>
    <row r="1710" spans="3:7" x14ac:dyDescent="0.25">
      <c r="C1710"/>
      <c r="D1710"/>
      <c r="F1710" s="1"/>
      <c r="G1710"/>
    </row>
    <row r="1711" spans="3:7" x14ac:dyDescent="0.25">
      <c r="C1711"/>
      <c r="D1711"/>
      <c r="F1711" s="1"/>
      <c r="G1711"/>
    </row>
    <row r="1712" spans="3:7" x14ac:dyDescent="0.25">
      <c r="C1712"/>
      <c r="D1712"/>
      <c r="F1712" s="1"/>
      <c r="G1712"/>
    </row>
    <row r="1713" spans="3:7" x14ac:dyDescent="0.25">
      <c r="C1713"/>
      <c r="D1713"/>
      <c r="F1713" s="1"/>
      <c r="G1713"/>
    </row>
    <row r="1714" spans="3:7" x14ac:dyDescent="0.25">
      <c r="C1714"/>
      <c r="D1714"/>
      <c r="F1714" s="1"/>
      <c r="G1714"/>
    </row>
    <row r="1715" spans="3:7" x14ac:dyDescent="0.25">
      <c r="C1715"/>
      <c r="D1715"/>
      <c r="F1715" s="1"/>
      <c r="G1715"/>
    </row>
    <row r="1716" spans="3:7" x14ac:dyDescent="0.25">
      <c r="C1716"/>
      <c r="D1716"/>
      <c r="F1716" s="1"/>
      <c r="G1716"/>
    </row>
    <row r="1717" spans="3:7" x14ac:dyDescent="0.25">
      <c r="C1717"/>
      <c r="D1717"/>
      <c r="F1717" s="1"/>
      <c r="G1717"/>
    </row>
    <row r="1718" spans="3:7" x14ac:dyDescent="0.25">
      <c r="C1718"/>
      <c r="D1718"/>
      <c r="F1718" s="1"/>
      <c r="G1718"/>
    </row>
    <row r="1719" spans="3:7" x14ac:dyDescent="0.25">
      <c r="C1719"/>
      <c r="D1719"/>
      <c r="F1719" s="1"/>
      <c r="G1719"/>
    </row>
    <row r="1720" spans="3:7" x14ac:dyDescent="0.25">
      <c r="C1720"/>
      <c r="D1720"/>
      <c r="F1720" s="1"/>
      <c r="G1720"/>
    </row>
    <row r="1721" spans="3:7" x14ac:dyDescent="0.25">
      <c r="C1721"/>
      <c r="D1721"/>
      <c r="F1721" s="1"/>
      <c r="G1721"/>
    </row>
    <row r="1722" spans="3:7" x14ac:dyDescent="0.25">
      <c r="C1722"/>
      <c r="D1722"/>
      <c r="F1722" s="1"/>
      <c r="G1722"/>
    </row>
    <row r="1723" spans="3:7" x14ac:dyDescent="0.25">
      <c r="C1723"/>
      <c r="D1723"/>
      <c r="F1723" s="1"/>
      <c r="G1723"/>
    </row>
    <row r="1724" spans="3:7" x14ac:dyDescent="0.25">
      <c r="C1724"/>
      <c r="D1724"/>
      <c r="F1724" s="1"/>
      <c r="G1724"/>
    </row>
    <row r="1725" spans="3:7" x14ac:dyDescent="0.25">
      <c r="C1725"/>
      <c r="D1725"/>
      <c r="F1725" s="1"/>
      <c r="G1725"/>
    </row>
    <row r="1726" spans="3:7" x14ac:dyDescent="0.25">
      <c r="C1726"/>
      <c r="D1726"/>
      <c r="F1726" s="1"/>
      <c r="G1726"/>
    </row>
    <row r="1727" spans="3:7" x14ac:dyDescent="0.25">
      <c r="C1727"/>
      <c r="D1727"/>
      <c r="F1727" s="1"/>
      <c r="G1727"/>
    </row>
    <row r="1728" spans="3:7" x14ac:dyDescent="0.25">
      <c r="C1728"/>
      <c r="D1728"/>
      <c r="F1728" s="1"/>
      <c r="G1728"/>
    </row>
    <row r="1729" spans="3:7" x14ac:dyDescent="0.25">
      <c r="C1729"/>
      <c r="D1729"/>
      <c r="F1729" s="1"/>
      <c r="G1729"/>
    </row>
    <row r="1730" spans="3:7" x14ac:dyDescent="0.25">
      <c r="C1730"/>
      <c r="D1730"/>
      <c r="F1730" s="1"/>
      <c r="G1730"/>
    </row>
    <row r="1731" spans="3:7" x14ac:dyDescent="0.25">
      <c r="C1731"/>
      <c r="D1731"/>
      <c r="F1731" s="1"/>
      <c r="G1731"/>
    </row>
    <row r="1732" spans="3:7" x14ac:dyDescent="0.25">
      <c r="C1732"/>
      <c r="D1732"/>
      <c r="F1732" s="1"/>
      <c r="G1732"/>
    </row>
    <row r="1733" spans="3:7" x14ac:dyDescent="0.25">
      <c r="C1733"/>
      <c r="D1733"/>
      <c r="F1733" s="1"/>
      <c r="G1733"/>
    </row>
    <row r="1734" spans="3:7" x14ac:dyDescent="0.25">
      <c r="C1734"/>
      <c r="D1734"/>
      <c r="F1734" s="1"/>
      <c r="G1734"/>
    </row>
    <row r="1735" spans="3:7" x14ac:dyDescent="0.25">
      <c r="C1735"/>
      <c r="D1735"/>
      <c r="F1735" s="1"/>
      <c r="G1735"/>
    </row>
    <row r="1736" spans="3:7" x14ac:dyDescent="0.25">
      <c r="C1736"/>
      <c r="D1736"/>
      <c r="F1736" s="1"/>
      <c r="G1736"/>
    </row>
    <row r="1737" spans="3:7" x14ac:dyDescent="0.25">
      <c r="C1737"/>
      <c r="D1737"/>
      <c r="F1737" s="1"/>
      <c r="G1737"/>
    </row>
    <row r="1738" spans="3:7" x14ac:dyDescent="0.25">
      <c r="C1738"/>
      <c r="D1738"/>
      <c r="F1738" s="1"/>
      <c r="G1738"/>
    </row>
    <row r="1739" spans="3:7" x14ac:dyDescent="0.25">
      <c r="C1739"/>
      <c r="D1739"/>
      <c r="F1739" s="1"/>
      <c r="G1739"/>
    </row>
    <row r="1740" spans="3:7" x14ac:dyDescent="0.25">
      <c r="C1740"/>
      <c r="D1740"/>
      <c r="F1740" s="1"/>
      <c r="G1740"/>
    </row>
    <row r="1741" spans="3:7" x14ac:dyDescent="0.25">
      <c r="C1741"/>
      <c r="D1741"/>
      <c r="F1741" s="1"/>
      <c r="G1741"/>
    </row>
    <row r="1742" spans="3:7" x14ac:dyDescent="0.25">
      <c r="C1742"/>
      <c r="D1742"/>
      <c r="F1742" s="1"/>
      <c r="G1742"/>
    </row>
    <row r="1743" spans="3:7" x14ac:dyDescent="0.25">
      <c r="C1743"/>
      <c r="D1743"/>
      <c r="F1743" s="1"/>
      <c r="G1743"/>
    </row>
    <row r="1744" spans="3:7" x14ac:dyDescent="0.25">
      <c r="C1744"/>
      <c r="D1744"/>
      <c r="F1744" s="1"/>
      <c r="G1744"/>
    </row>
    <row r="1745" spans="3:7" x14ac:dyDescent="0.25">
      <c r="C1745"/>
      <c r="D1745"/>
      <c r="F1745" s="1"/>
      <c r="G1745"/>
    </row>
    <row r="1746" spans="3:7" x14ac:dyDescent="0.25">
      <c r="C1746"/>
      <c r="D1746"/>
      <c r="F1746" s="1"/>
      <c r="G1746"/>
    </row>
    <row r="1747" spans="3:7" x14ac:dyDescent="0.25">
      <c r="C1747"/>
      <c r="D1747"/>
      <c r="F1747" s="1"/>
      <c r="G1747"/>
    </row>
    <row r="1748" spans="3:7" x14ac:dyDescent="0.25">
      <c r="C1748"/>
      <c r="D1748"/>
      <c r="F1748" s="1"/>
      <c r="G1748"/>
    </row>
    <row r="1749" spans="3:7" x14ac:dyDescent="0.25">
      <c r="C1749"/>
      <c r="D1749"/>
      <c r="F1749" s="1"/>
      <c r="G1749"/>
    </row>
    <row r="1750" spans="3:7" x14ac:dyDescent="0.25">
      <c r="C1750"/>
      <c r="D1750"/>
      <c r="F1750" s="1"/>
      <c r="G1750"/>
    </row>
    <row r="1751" spans="3:7" x14ac:dyDescent="0.25">
      <c r="C1751"/>
      <c r="D1751"/>
      <c r="F1751" s="1"/>
      <c r="G1751"/>
    </row>
    <row r="1752" spans="3:7" x14ac:dyDescent="0.25">
      <c r="C1752"/>
      <c r="D1752"/>
      <c r="F1752" s="1"/>
      <c r="G1752"/>
    </row>
    <row r="1753" spans="3:7" x14ac:dyDescent="0.25">
      <c r="C1753"/>
      <c r="D1753"/>
      <c r="F1753" s="1"/>
      <c r="G1753"/>
    </row>
    <row r="1754" spans="3:7" x14ac:dyDescent="0.25">
      <c r="C1754"/>
      <c r="D1754"/>
      <c r="F1754" s="1"/>
      <c r="G1754"/>
    </row>
    <row r="1755" spans="3:7" x14ac:dyDescent="0.25">
      <c r="C1755"/>
      <c r="D1755"/>
      <c r="F1755" s="1"/>
      <c r="G1755"/>
    </row>
    <row r="1756" spans="3:7" x14ac:dyDescent="0.25">
      <c r="C1756"/>
      <c r="D1756"/>
      <c r="F1756" s="1"/>
      <c r="G1756"/>
    </row>
    <row r="1757" spans="3:7" x14ac:dyDescent="0.25">
      <c r="C1757"/>
      <c r="D1757"/>
      <c r="F1757" s="1"/>
      <c r="G1757"/>
    </row>
    <row r="1758" spans="3:7" x14ac:dyDescent="0.25">
      <c r="C1758"/>
      <c r="D1758"/>
      <c r="F1758" s="1"/>
      <c r="G1758"/>
    </row>
    <row r="1759" spans="3:7" x14ac:dyDescent="0.25">
      <c r="C1759"/>
      <c r="D1759"/>
      <c r="F1759" s="1"/>
      <c r="G1759"/>
    </row>
    <row r="1760" spans="3:7" x14ac:dyDescent="0.25">
      <c r="C1760"/>
      <c r="D1760"/>
      <c r="F1760" s="1"/>
      <c r="G1760"/>
    </row>
    <row r="1761" spans="3:7" x14ac:dyDescent="0.25">
      <c r="C1761"/>
      <c r="D1761"/>
      <c r="F1761" s="1"/>
      <c r="G1761"/>
    </row>
    <row r="1762" spans="3:7" x14ac:dyDescent="0.25">
      <c r="C1762"/>
      <c r="D1762"/>
      <c r="F1762" s="1"/>
      <c r="G1762"/>
    </row>
    <row r="1763" spans="3:7" x14ac:dyDescent="0.25">
      <c r="C1763"/>
      <c r="D1763"/>
      <c r="F1763" s="1"/>
      <c r="G1763"/>
    </row>
    <row r="1764" spans="3:7" x14ac:dyDescent="0.25">
      <c r="C1764"/>
      <c r="D1764"/>
      <c r="F1764" s="1"/>
      <c r="G1764"/>
    </row>
    <row r="1765" spans="3:7" x14ac:dyDescent="0.25">
      <c r="C1765"/>
      <c r="D1765"/>
      <c r="F1765" s="1"/>
      <c r="G1765"/>
    </row>
    <row r="1766" spans="3:7" x14ac:dyDescent="0.25">
      <c r="C1766"/>
      <c r="D1766"/>
      <c r="F1766" s="1"/>
      <c r="G1766"/>
    </row>
    <row r="1767" spans="3:7" x14ac:dyDescent="0.25">
      <c r="C1767"/>
      <c r="D1767"/>
      <c r="F1767" s="1"/>
      <c r="G1767"/>
    </row>
    <row r="1768" spans="3:7" x14ac:dyDescent="0.25">
      <c r="C1768"/>
      <c r="D1768"/>
      <c r="F1768" s="1"/>
      <c r="G1768"/>
    </row>
    <row r="1769" spans="3:7" x14ac:dyDescent="0.25">
      <c r="C1769"/>
      <c r="D1769"/>
      <c r="F1769" s="1"/>
      <c r="G1769"/>
    </row>
    <row r="1770" spans="3:7" x14ac:dyDescent="0.25">
      <c r="C1770"/>
      <c r="D1770"/>
      <c r="F1770" s="1"/>
      <c r="G1770"/>
    </row>
    <row r="1771" spans="3:7" x14ac:dyDescent="0.25">
      <c r="C1771"/>
      <c r="D1771"/>
      <c r="F1771" s="1"/>
      <c r="G1771"/>
    </row>
    <row r="1772" spans="3:7" x14ac:dyDescent="0.25">
      <c r="C1772"/>
      <c r="D1772"/>
      <c r="F1772" s="1"/>
      <c r="G1772"/>
    </row>
    <row r="1773" spans="3:7" x14ac:dyDescent="0.25">
      <c r="C1773"/>
      <c r="D1773"/>
      <c r="F1773" s="1"/>
      <c r="G1773"/>
    </row>
    <row r="1774" spans="3:7" x14ac:dyDescent="0.25">
      <c r="C1774"/>
      <c r="D1774"/>
      <c r="F1774" s="1"/>
      <c r="G1774"/>
    </row>
    <row r="1775" spans="3:7" x14ac:dyDescent="0.25">
      <c r="C1775"/>
      <c r="D1775"/>
      <c r="F1775" s="1"/>
      <c r="G1775"/>
    </row>
    <row r="1776" spans="3:7" x14ac:dyDescent="0.25">
      <c r="C1776"/>
      <c r="D1776"/>
      <c r="F1776" s="1"/>
      <c r="G1776"/>
    </row>
    <row r="1777" spans="3:7" x14ac:dyDescent="0.25">
      <c r="C1777"/>
      <c r="D1777"/>
      <c r="F1777" s="1"/>
      <c r="G1777"/>
    </row>
    <row r="1778" spans="3:7" x14ac:dyDescent="0.25">
      <c r="C1778"/>
      <c r="D1778"/>
      <c r="F1778" s="1"/>
      <c r="G1778"/>
    </row>
    <row r="1779" spans="3:7" x14ac:dyDescent="0.25">
      <c r="C1779"/>
      <c r="D1779"/>
      <c r="F1779" s="1"/>
      <c r="G1779"/>
    </row>
    <row r="1780" spans="3:7" x14ac:dyDescent="0.25">
      <c r="C1780"/>
      <c r="D1780"/>
      <c r="F1780" s="1"/>
      <c r="G1780"/>
    </row>
    <row r="1781" spans="3:7" x14ac:dyDescent="0.25">
      <c r="C1781"/>
      <c r="D1781"/>
      <c r="F1781" s="1"/>
      <c r="G1781"/>
    </row>
    <row r="1782" spans="3:7" x14ac:dyDescent="0.25">
      <c r="C1782"/>
      <c r="D1782"/>
      <c r="F1782" s="1"/>
      <c r="G1782"/>
    </row>
    <row r="1783" spans="3:7" x14ac:dyDescent="0.25">
      <c r="C1783"/>
      <c r="D1783"/>
      <c r="F1783" s="1"/>
      <c r="G1783"/>
    </row>
    <row r="1784" spans="3:7" x14ac:dyDescent="0.25">
      <c r="C1784"/>
      <c r="D1784"/>
      <c r="F1784" s="1"/>
      <c r="G1784"/>
    </row>
    <row r="1785" spans="3:7" x14ac:dyDescent="0.25">
      <c r="C1785"/>
      <c r="D1785"/>
      <c r="F1785" s="1"/>
      <c r="G1785"/>
    </row>
    <row r="1786" spans="3:7" x14ac:dyDescent="0.25">
      <c r="C1786"/>
      <c r="D1786"/>
      <c r="F1786" s="1"/>
      <c r="G1786"/>
    </row>
    <row r="1787" spans="3:7" x14ac:dyDescent="0.25">
      <c r="C1787"/>
      <c r="D1787"/>
      <c r="F1787" s="1"/>
      <c r="G1787"/>
    </row>
    <row r="1788" spans="3:7" x14ac:dyDescent="0.25">
      <c r="C1788"/>
      <c r="D1788"/>
      <c r="F1788" s="1"/>
      <c r="G1788"/>
    </row>
    <row r="1789" spans="3:7" x14ac:dyDescent="0.25">
      <c r="C1789"/>
      <c r="D1789"/>
      <c r="F1789" s="1"/>
      <c r="G1789"/>
    </row>
    <row r="1790" spans="3:7" x14ac:dyDescent="0.25">
      <c r="C1790"/>
      <c r="D1790"/>
      <c r="F1790" s="1"/>
      <c r="G1790"/>
    </row>
    <row r="1791" spans="3:7" x14ac:dyDescent="0.25">
      <c r="C1791"/>
      <c r="D1791"/>
      <c r="F1791" s="1"/>
      <c r="G1791"/>
    </row>
    <row r="1792" spans="3:7" x14ac:dyDescent="0.25">
      <c r="C1792"/>
      <c r="D1792"/>
      <c r="F1792" s="1"/>
      <c r="G1792"/>
    </row>
    <row r="1793" spans="3:7" x14ac:dyDescent="0.25">
      <c r="C1793"/>
      <c r="D1793"/>
      <c r="F1793" s="1"/>
      <c r="G1793"/>
    </row>
    <row r="1794" spans="3:7" x14ac:dyDescent="0.25">
      <c r="C1794"/>
      <c r="D1794"/>
      <c r="F1794" s="1"/>
      <c r="G1794"/>
    </row>
    <row r="1795" spans="3:7" x14ac:dyDescent="0.25">
      <c r="C1795"/>
      <c r="D1795"/>
      <c r="F1795" s="1"/>
      <c r="G1795"/>
    </row>
    <row r="1796" spans="3:7" x14ac:dyDescent="0.25">
      <c r="C1796"/>
      <c r="D1796"/>
      <c r="F1796" s="1"/>
      <c r="G1796"/>
    </row>
    <row r="1797" spans="3:7" x14ac:dyDescent="0.25">
      <c r="C1797"/>
      <c r="D1797"/>
      <c r="F1797" s="1"/>
      <c r="G1797"/>
    </row>
    <row r="1798" spans="3:7" x14ac:dyDescent="0.25">
      <c r="C1798"/>
      <c r="D1798"/>
      <c r="F1798" s="1"/>
      <c r="G1798"/>
    </row>
    <row r="1799" spans="3:7" x14ac:dyDescent="0.25">
      <c r="C1799"/>
      <c r="D1799"/>
      <c r="F1799" s="1"/>
      <c r="G1799"/>
    </row>
    <row r="1800" spans="3:7" x14ac:dyDescent="0.25">
      <c r="C1800"/>
      <c r="D1800"/>
      <c r="F1800" s="1"/>
      <c r="G1800"/>
    </row>
    <row r="1801" spans="3:7" x14ac:dyDescent="0.25">
      <c r="C1801"/>
      <c r="D1801"/>
      <c r="F1801" s="1"/>
      <c r="G1801"/>
    </row>
    <row r="1802" spans="3:7" x14ac:dyDescent="0.25">
      <c r="C1802"/>
      <c r="D1802"/>
      <c r="F1802" s="1"/>
      <c r="G1802"/>
    </row>
    <row r="1803" spans="3:7" x14ac:dyDescent="0.25">
      <c r="C1803"/>
      <c r="D1803"/>
      <c r="F1803" s="1"/>
      <c r="G1803"/>
    </row>
    <row r="1804" spans="3:7" x14ac:dyDescent="0.25">
      <c r="C1804"/>
      <c r="D1804"/>
      <c r="F1804" s="1"/>
      <c r="G1804"/>
    </row>
    <row r="1805" spans="3:7" x14ac:dyDescent="0.25">
      <c r="C1805"/>
      <c r="D1805"/>
      <c r="F1805" s="1"/>
      <c r="G1805"/>
    </row>
    <row r="1806" spans="3:7" x14ac:dyDescent="0.25">
      <c r="C1806"/>
      <c r="D1806"/>
      <c r="F1806" s="1"/>
      <c r="G1806"/>
    </row>
    <row r="1807" spans="3:7" x14ac:dyDescent="0.25">
      <c r="C1807"/>
      <c r="D1807"/>
      <c r="F1807" s="1"/>
      <c r="G1807"/>
    </row>
    <row r="1808" spans="3:7" x14ac:dyDescent="0.25">
      <c r="C1808"/>
      <c r="D1808"/>
      <c r="F1808" s="1"/>
      <c r="G1808"/>
    </row>
    <row r="1809" spans="3:7" x14ac:dyDescent="0.25">
      <c r="C1809"/>
      <c r="D1809"/>
      <c r="F1809" s="1"/>
      <c r="G1809"/>
    </row>
    <row r="1810" spans="3:7" x14ac:dyDescent="0.25">
      <c r="C1810"/>
      <c r="D1810"/>
      <c r="F1810" s="1"/>
      <c r="G1810"/>
    </row>
    <row r="1811" spans="3:7" x14ac:dyDescent="0.25">
      <c r="C1811"/>
      <c r="D1811"/>
      <c r="F1811" s="1"/>
      <c r="G1811"/>
    </row>
    <row r="1812" spans="3:7" x14ac:dyDescent="0.25">
      <c r="C1812"/>
      <c r="D1812"/>
      <c r="F1812" s="1"/>
      <c r="G1812"/>
    </row>
    <row r="1813" spans="3:7" x14ac:dyDescent="0.25">
      <c r="C1813"/>
      <c r="D1813"/>
      <c r="F1813" s="1"/>
      <c r="G1813"/>
    </row>
    <row r="1814" spans="3:7" x14ac:dyDescent="0.25">
      <c r="C1814"/>
      <c r="D1814"/>
      <c r="F1814" s="1"/>
      <c r="G1814"/>
    </row>
    <row r="1815" spans="3:7" x14ac:dyDescent="0.25">
      <c r="C1815"/>
      <c r="D1815"/>
      <c r="F1815" s="1"/>
      <c r="G1815"/>
    </row>
    <row r="1816" spans="3:7" x14ac:dyDescent="0.25">
      <c r="C1816"/>
      <c r="D1816"/>
      <c r="F1816" s="1"/>
      <c r="G1816"/>
    </row>
    <row r="1817" spans="3:7" x14ac:dyDescent="0.25">
      <c r="C1817"/>
      <c r="D1817"/>
      <c r="F1817" s="1"/>
      <c r="G1817"/>
    </row>
    <row r="1818" spans="3:7" x14ac:dyDescent="0.25">
      <c r="C1818"/>
      <c r="D1818"/>
      <c r="F1818" s="1"/>
      <c r="G1818"/>
    </row>
    <row r="1819" spans="3:7" x14ac:dyDescent="0.25">
      <c r="C1819"/>
      <c r="D1819"/>
      <c r="F1819" s="1"/>
      <c r="G1819"/>
    </row>
    <row r="1820" spans="3:7" x14ac:dyDescent="0.25">
      <c r="C1820"/>
      <c r="D1820"/>
      <c r="F1820" s="1"/>
      <c r="G1820"/>
    </row>
    <row r="1821" spans="3:7" x14ac:dyDescent="0.25">
      <c r="C1821"/>
      <c r="D1821"/>
      <c r="F1821" s="1"/>
      <c r="G1821"/>
    </row>
    <row r="1822" spans="3:7" x14ac:dyDescent="0.25">
      <c r="C1822"/>
      <c r="D1822"/>
      <c r="F1822" s="1"/>
      <c r="G1822"/>
    </row>
    <row r="1823" spans="3:7" x14ac:dyDescent="0.25">
      <c r="C1823"/>
      <c r="D1823"/>
      <c r="F1823" s="1"/>
      <c r="G1823"/>
    </row>
    <row r="1824" spans="3:7" x14ac:dyDescent="0.25">
      <c r="C1824"/>
      <c r="D1824"/>
      <c r="F1824" s="1"/>
      <c r="G1824"/>
    </row>
    <row r="1825" spans="3:7" x14ac:dyDescent="0.25">
      <c r="C1825"/>
      <c r="D1825"/>
      <c r="F1825" s="1"/>
      <c r="G1825"/>
    </row>
    <row r="1826" spans="3:7" x14ac:dyDescent="0.25">
      <c r="C1826"/>
      <c r="D1826"/>
      <c r="F1826" s="1"/>
      <c r="G1826"/>
    </row>
    <row r="1827" spans="3:7" x14ac:dyDescent="0.25">
      <c r="C1827"/>
      <c r="D1827"/>
      <c r="F1827" s="1"/>
      <c r="G1827"/>
    </row>
    <row r="1828" spans="3:7" x14ac:dyDescent="0.25">
      <c r="C1828"/>
      <c r="D1828"/>
      <c r="F1828" s="1"/>
      <c r="G1828"/>
    </row>
    <row r="1829" spans="3:7" x14ac:dyDescent="0.25">
      <c r="C1829"/>
      <c r="D1829"/>
      <c r="F1829" s="1"/>
      <c r="G1829"/>
    </row>
    <row r="1830" spans="3:7" x14ac:dyDescent="0.25">
      <c r="C1830"/>
      <c r="D1830"/>
      <c r="F1830" s="1"/>
      <c r="G1830"/>
    </row>
    <row r="1831" spans="3:7" x14ac:dyDescent="0.25">
      <c r="C1831"/>
      <c r="D1831"/>
      <c r="F1831" s="1"/>
      <c r="G1831"/>
    </row>
    <row r="1832" spans="3:7" x14ac:dyDescent="0.25">
      <c r="C1832"/>
      <c r="D1832"/>
      <c r="F1832" s="1"/>
      <c r="G1832"/>
    </row>
    <row r="1833" spans="3:7" x14ac:dyDescent="0.25">
      <c r="C1833"/>
      <c r="D1833"/>
      <c r="F1833" s="1"/>
      <c r="G1833"/>
    </row>
    <row r="1834" spans="3:7" x14ac:dyDescent="0.25">
      <c r="C1834"/>
      <c r="D1834"/>
      <c r="F1834" s="1"/>
      <c r="G1834"/>
    </row>
    <row r="1835" spans="3:7" x14ac:dyDescent="0.25">
      <c r="C1835"/>
      <c r="D1835"/>
      <c r="F1835" s="1"/>
      <c r="G1835"/>
    </row>
    <row r="1836" spans="3:7" x14ac:dyDescent="0.25">
      <c r="C1836"/>
      <c r="D1836"/>
      <c r="F1836" s="1"/>
      <c r="G1836"/>
    </row>
    <row r="1837" spans="3:7" x14ac:dyDescent="0.25">
      <c r="C1837"/>
      <c r="D1837"/>
      <c r="F1837" s="1"/>
      <c r="G1837"/>
    </row>
    <row r="1838" spans="3:7" x14ac:dyDescent="0.25">
      <c r="C1838"/>
      <c r="D1838"/>
      <c r="F1838" s="1"/>
      <c r="G1838"/>
    </row>
    <row r="1839" spans="3:7" x14ac:dyDescent="0.25">
      <c r="C1839"/>
      <c r="D1839"/>
      <c r="F1839" s="1"/>
      <c r="G1839"/>
    </row>
    <row r="1840" spans="3:7" x14ac:dyDescent="0.25">
      <c r="C1840"/>
      <c r="D1840"/>
      <c r="F1840" s="1"/>
      <c r="G1840"/>
    </row>
    <row r="1841" spans="3:7" x14ac:dyDescent="0.25">
      <c r="C1841"/>
      <c r="D1841"/>
      <c r="F1841" s="1"/>
      <c r="G1841"/>
    </row>
    <row r="1842" spans="3:7" x14ac:dyDescent="0.25">
      <c r="C1842"/>
      <c r="D1842"/>
      <c r="F1842" s="1"/>
      <c r="G1842"/>
    </row>
    <row r="1843" spans="3:7" x14ac:dyDescent="0.25">
      <c r="C1843"/>
      <c r="D1843"/>
      <c r="F1843" s="1"/>
      <c r="G1843"/>
    </row>
    <row r="1844" spans="3:7" x14ac:dyDescent="0.25">
      <c r="C1844"/>
      <c r="D1844"/>
      <c r="F1844" s="1"/>
      <c r="G1844"/>
    </row>
    <row r="1845" spans="3:7" x14ac:dyDescent="0.25">
      <c r="C1845"/>
      <c r="D1845"/>
      <c r="F1845" s="1"/>
      <c r="G1845"/>
    </row>
    <row r="1846" spans="3:7" x14ac:dyDescent="0.25">
      <c r="C1846"/>
      <c r="D1846"/>
      <c r="F1846" s="1"/>
      <c r="G1846"/>
    </row>
    <row r="1847" spans="3:7" x14ac:dyDescent="0.25">
      <c r="C1847"/>
      <c r="D1847"/>
      <c r="F1847" s="1"/>
      <c r="G1847"/>
    </row>
    <row r="1848" spans="3:7" x14ac:dyDescent="0.25">
      <c r="C1848"/>
      <c r="D1848"/>
      <c r="F1848" s="1"/>
      <c r="G1848"/>
    </row>
    <row r="1849" spans="3:7" x14ac:dyDescent="0.25">
      <c r="C1849"/>
      <c r="D1849"/>
      <c r="F1849" s="1"/>
      <c r="G1849"/>
    </row>
    <row r="1850" spans="3:7" x14ac:dyDescent="0.25">
      <c r="C1850"/>
      <c r="D1850"/>
      <c r="F1850" s="1"/>
      <c r="G1850"/>
    </row>
    <row r="1851" spans="3:7" x14ac:dyDescent="0.25">
      <c r="C1851"/>
      <c r="D1851"/>
      <c r="F1851" s="1"/>
      <c r="G1851"/>
    </row>
    <row r="1852" spans="3:7" x14ac:dyDescent="0.25">
      <c r="C1852"/>
      <c r="D1852"/>
      <c r="F1852" s="1"/>
      <c r="G1852"/>
    </row>
    <row r="1853" spans="3:7" x14ac:dyDescent="0.25">
      <c r="C1853"/>
      <c r="D1853"/>
      <c r="F1853" s="1"/>
      <c r="G1853"/>
    </row>
    <row r="1854" spans="3:7" x14ac:dyDescent="0.25">
      <c r="C1854"/>
      <c r="D1854"/>
      <c r="F1854" s="1"/>
      <c r="G1854"/>
    </row>
    <row r="1855" spans="3:7" x14ac:dyDescent="0.25">
      <c r="C1855"/>
      <c r="D1855"/>
      <c r="F1855" s="1"/>
      <c r="G1855"/>
    </row>
    <row r="1856" spans="3:7" x14ac:dyDescent="0.25">
      <c r="C1856"/>
      <c r="D1856"/>
      <c r="F1856" s="1"/>
      <c r="G1856"/>
    </row>
    <row r="1857" spans="3:7" x14ac:dyDescent="0.25">
      <c r="C1857"/>
      <c r="D1857"/>
      <c r="F1857" s="1"/>
      <c r="G1857"/>
    </row>
    <row r="1858" spans="3:7" x14ac:dyDescent="0.25">
      <c r="C1858"/>
      <c r="D1858"/>
      <c r="F1858" s="1"/>
      <c r="G1858"/>
    </row>
    <row r="1859" spans="3:7" x14ac:dyDescent="0.25">
      <c r="C1859"/>
      <c r="D1859"/>
      <c r="F1859" s="1"/>
      <c r="G1859"/>
    </row>
    <row r="1860" spans="3:7" x14ac:dyDescent="0.25">
      <c r="C1860"/>
      <c r="D1860"/>
      <c r="F1860" s="1"/>
      <c r="G1860"/>
    </row>
    <row r="1861" spans="3:7" x14ac:dyDescent="0.25">
      <c r="C1861"/>
      <c r="D1861"/>
      <c r="F1861" s="1"/>
      <c r="G1861"/>
    </row>
    <row r="1862" spans="3:7" x14ac:dyDescent="0.25">
      <c r="C1862"/>
      <c r="D1862"/>
      <c r="F1862" s="1"/>
      <c r="G1862"/>
    </row>
    <row r="1863" spans="3:7" x14ac:dyDescent="0.25">
      <c r="C1863"/>
      <c r="D1863"/>
      <c r="F1863" s="1"/>
      <c r="G1863"/>
    </row>
    <row r="1864" spans="3:7" x14ac:dyDescent="0.25">
      <c r="C1864"/>
      <c r="D1864"/>
      <c r="F1864" s="1"/>
      <c r="G1864"/>
    </row>
    <row r="1865" spans="3:7" x14ac:dyDescent="0.25">
      <c r="C1865"/>
      <c r="D1865"/>
      <c r="F1865" s="1"/>
      <c r="G1865"/>
    </row>
    <row r="1866" spans="3:7" x14ac:dyDescent="0.25">
      <c r="C1866"/>
      <c r="D1866"/>
      <c r="F1866" s="1"/>
      <c r="G1866"/>
    </row>
    <row r="1867" spans="3:7" x14ac:dyDescent="0.25">
      <c r="C1867"/>
      <c r="D1867"/>
      <c r="F1867" s="1"/>
      <c r="G1867"/>
    </row>
    <row r="1868" spans="3:7" x14ac:dyDescent="0.25">
      <c r="C1868"/>
      <c r="D1868"/>
      <c r="F1868" s="1"/>
      <c r="G1868"/>
    </row>
    <row r="1869" spans="3:7" x14ac:dyDescent="0.25">
      <c r="C1869"/>
      <c r="D1869"/>
      <c r="F1869" s="1"/>
      <c r="G1869"/>
    </row>
    <row r="1870" spans="3:7" x14ac:dyDescent="0.25">
      <c r="C1870"/>
      <c r="D1870"/>
      <c r="F1870" s="1"/>
      <c r="G1870"/>
    </row>
    <row r="1871" spans="3:7" x14ac:dyDescent="0.25">
      <c r="C1871"/>
      <c r="D1871"/>
      <c r="F1871" s="1"/>
      <c r="G1871"/>
    </row>
    <row r="1872" spans="3:7" x14ac:dyDescent="0.25">
      <c r="C1872"/>
      <c r="D1872"/>
      <c r="F1872" s="1"/>
      <c r="G1872"/>
    </row>
    <row r="1873" spans="3:7" x14ac:dyDescent="0.25">
      <c r="C1873"/>
      <c r="D1873"/>
      <c r="F1873" s="1"/>
      <c r="G1873"/>
    </row>
    <row r="1874" spans="3:7" x14ac:dyDescent="0.25">
      <c r="C1874"/>
      <c r="D1874"/>
      <c r="F1874" s="1"/>
      <c r="G1874"/>
    </row>
    <row r="1875" spans="3:7" x14ac:dyDescent="0.25">
      <c r="C1875"/>
      <c r="D1875"/>
      <c r="F1875" s="1"/>
      <c r="G1875"/>
    </row>
    <row r="1876" spans="3:7" x14ac:dyDescent="0.25">
      <c r="C1876"/>
      <c r="D1876"/>
      <c r="F1876" s="1"/>
      <c r="G1876"/>
    </row>
    <row r="1877" spans="3:7" x14ac:dyDescent="0.25">
      <c r="C1877"/>
      <c r="D1877"/>
      <c r="F1877" s="1"/>
      <c r="G1877"/>
    </row>
    <row r="1878" spans="3:7" x14ac:dyDescent="0.25">
      <c r="C1878"/>
      <c r="D1878"/>
      <c r="F1878" s="1"/>
      <c r="G1878"/>
    </row>
    <row r="1879" spans="3:7" x14ac:dyDescent="0.25">
      <c r="C1879"/>
      <c r="D1879"/>
      <c r="F1879" s="1"/>
      <c r="G1879"/>
    </row>
    <row r="1880" spans="3:7" x14ac:dyDescent="0.25">
      <c r="C1880"/>
      <c r="D1880"/>
      <c r="F1880" s="1"/>
      <c r="G1880"/>
    </row>
    <row r="1881" spans="3:7" x14ac:dyDescent="0.25">
      <c r="C1881"/>
      <c r="D1881"/>
      <c r="F1881" s="1"/>
      <c r="G1881"/>
    </row>
    <row r="1882" spans="3:7" x14ac:dyDescent="0.25">
      <c r="C1882"/>
      <c r="D1882"/>
      <c r="F1882" s="1"/>
      <c r="G1882"/>
    </row>
    <row r="1883" spans="3:7" x14ac:dyDescent="0.25">
      <c r="C1883"/>
      <c r="D1883"/>
      <c r="F1883" s="1"/>
      <c r="G1883"/>
    </row>
    <row r="1884" spans="3:7" x14ac:dyDescent="0.25">
      <c r="C1884"/>
      <c r="D1884"/>
      <c r="F1884" s="1"/>
      <c r="G1884"/>
    </row>
    <row r="1885" spans="3:7" x14ac:dyDescent="0.25">
      <c r="C1885"/>
      <c r="D1885"/>
      <c r="F1885" s="1"/>
      <c r="G1885"/>
    </row>
    <row r="1886" spans="3:7" x14ac:dyDescent="0.25">
      <c r="C1886"/>
      <c r="D1886"/>
      <c r="F1886" s="1"/>
      <c r="G1886"/>
    </row>
    <row r="1887" spans="3:7" x14ac:dyDescent="0.25">
      <c r="C1887"/>
      <c r="D1887"/>
      <c r="F1887" s="1"/>
      <c r="G1887"/>
    </row>
    <row r="1888" spans="3:7" x14ac:dyDescent="0.25">
      <c r="C1888"/>
      <c r="D1888"/>
      <c r="F1888" s="1"/>
      <c r="G1888"/>
    </row>
    <row r="1889" spans="3:7" x14ac:dyDescent="0.25">
      <c r="C1889"/>
      <c r="D1889"/>
      <c r="F1889" s="1"/>
      <c r="G1889"/>
    </row>
    <row r="1890" spans="3:7" x14ac:dyDescent="0.25">
      <c r="C1890"/>
      <c r="D1890"/>
      <c r="F1890" s="1"/>
      <c r="G1890"/>
    </row>
    <row r="1891" spans="3:7" x14ac:dyDescent="0.25">
      <c r="C1891"/>
      <c r="D1891"/>
      <c r="F1891" s="1"/>
      <c r="G1891"/>
    </row>
    <row r="1892" spans="3:7" x14ac:dyDescent="0.25">
      <c r="C1892"/>
      <c r="D1892"/>
      <c r="F1892" s="1"/>
      <c r="G1892"/>
    </row>
    <row r="1893" spans="3:7" x14ac:dyDescent="0.25">
      <c r="C1893"/>
      <c r="D1893"/>
      <c r="F1893" s="1"/>
      <c r="G1893"/>
    </row>
    <row r="1894" spans="3:7" x14ac:dyDescent="0.25">
      <c r="C1894"/>
      <c r="D1894"/>
      <c r="F1894" s="1"/>
      <c r="G1894"/>
    </row>
    <row r="1895" spans="3:7" x14ac:dyDescent="0.25">
      <c r="C1895"/>
      <c r="D1895"/>
      <c r="F1895" s="1"/>
      <c r="G1895"/>
    </row>
    <row r="1896" spans="3:7" x14ac:dyDescent="0.25">
      <c r="C1896"/>
      <c r="D1896"/>
      <c r="F1896" s="1"/>
      <c r="G1896"/>
    </row>
    <row r="1897" spans="3:7" x14ac:dyDescent="0.25">
      <c r="C1897"/>
      <c r="D1897"/>
      <c r="F1897" s="1"/>
      <c r="G1897"/>
    </row>
    <row r="1898" spans="3:7" x14ac:dyDescent="0.25">
      <c r="C1898"/>
      <c r="D1898"/>
      <c r="F1898" s="1"/>
      <c r="G1898"/>
    </row>
    <row r="1899" spans="3:7" x14ac:dyDescent="0.25">
      <c r="C1899"/>
      <c r="D1899"/>
      <c r="F1899" s="1"/>
      <c r="G1899"/>
    </row>
    <row r="1900" spans="3:7" x14ac:dyDescent="0.25">
      <c r="C1900"/>
      <c r="D1900"/>
      <c r="F1900" s="1"/>
      <c r="G1900"/>
    </row>
    <row r="1901" spans="3:7" x14ac:dyDescent="0.25">
      <c r="C1901"/>
      <c r="D1901"/>
      <c r="F1901" s="1"/>
      <c r="G1901"/>
    </row>
    <row r="1902" spans="3:7" x14ac:dyDescent="0.25">
      <c r="C1902"/>
      <c r="D1902"/>
      <c r="F1902" s="1"/>
      <c r="G1902"/>
    </row>
    <row r="1903" spans="3:7" x14ac:dyDescent="0.25">
      <c r="C1903"/>
      <c r="D1903"/>
      <c r="F1903" s="1"/>
      <c r="G1903"/>
    </row>
    <row r="1904" spans="3:7" x14ac:dyDescent="0.25">
      <c r="C1904"/>
      <c r="D1904"/>
      <c r="F1904" s="1"/>
      <c r="G1904"/>
    </row>
    <row r="1905" spans="3:7" x14ac:dyDescent="0.25">
      <c r="C1905"/>
      <c r="D1905"/>
      <c r="F1905" s="1"/>
      <c r="G1905"/>
    </row>
    <row r="1906" spans="3:7" x14ac:dyDescent="0.25">
      <c r="C1906"/>
      <c r="D1906"/>
      <c r="F1906" s="1"/>
      <c r="G1906"/>
    </row>
    <row r="1907" spans="3:7" x14ac:dyDescent="0.25">
      <c r="C1907"/>
      <c r="D1907"/>
      <c r="F1907" s="1"/>
      <c r="G1907"/>
    </row>
    <row r="1908" spans="3:7" x14ac:dyDescent="0.25">
      <c r="C1908"/>
      <c r="D1908"/>
      <c r="F1908" s="1"/>
      <c r="G1908"/>
    </row>
    <row r="1909" spans="3:7" x14ac:dyDescent="0.25">
      <c r="C1909"/>
      <c r="D1909"/>
      <c r="F1909" s="1"/>
      <c r="G1909"/>
    </row>
    <row r="1910" spans="3:7" x14ac:dyDescent="0.25">
      <c r="C1910"/>
      <c r="D1910"/>
      <c r="F1910" s="1"/>
      <c r="G1910"/>
    </row>
    <row r="1911" spans="3:7" x14ac:dyDescent="0.25">
      <c r="C1911"/>
      <c r="D1911"/>
      <c r="F1911" s="1"/>
      <c r="G1911"/>
    </row>
    <row r="1912" spans="3:7" x14ac:dyDescent="0.25">
      <c r="C1912"/>
      <c r="D1912"/>
      <c r="F1912" s="1"/>
      <c r="G1912"/>
    </row>
    <row r="1913" spans="3:7" x14ac:dyDescent="0.25">
      <c r="C1913"/>
      <c r="D1913"/>
      <c r="F1913" s="1"/>
      <c r="G1913"/>
    </row>
    <row r="1914" spans="3:7" x14ac:dyDescent="0.25">
      <c r="C1914"/>
      <c r="D1914"/>
      <c r="F1914" s="1"/>
      <c r="G1914"/>
    </row>
    <row r="1915" spans="3:7" x14ac:dyDescent="0.25">
      <c r="C1915"/>
      <c r="D1915"/>
      <c r="F1915" s="1"/>
      <c r="G1915"/>
    </row>
    <row r="1916" spans="3:7" x14ac:dyDescent="0.25">
      <c r="C1916"/>
      <c r="D1916"/>
      <c r="F1916" s="1"/>
      <c r="G1916"/>
    </row>
    <row r="1917" spans="3:7" x14ac:dyDescent="0.25">
      <c r="C1917"/>
      <c r="D1917"/>
      <c r="F1917" s="1"/>
      <c r="G1917"/>
    </row>
    <row r="1918" spans="3:7" x14ac:dyDescent="0.25">
      <c r="C1918"/>
      <c r="D1918"/>
      <c r="F1918" s="1"/>
      <c r="G1918"/>
    </row>
    <row r="1919" spans="3:7" x14ac:dyDescent="0.25">
      <c r="C1919"/>
      <c r="D1919"/>
      <c r="F1919" s="1"/>
      <c r="G1919"/>
    </row>
    <row r="1920" spans="3:7" x14ac:dyDescent="0.25">
      <c r="C1920"/>
      <c r="D1920"/>
      <c r="F1920" s="1"/>
      <c r="G1920"/>
    </row>
    <row r="1921" spans="3:7" x14ac:dyDescent="0.25">
      <c r="C1921"/>
      <c r="D1921"/>
      <c r="F1921" s="1"/>
      <c r="G1921"/>
    </row>
    <row r="1922" spans="3:7" x14ac:dyDescent="0.25">
      <c r="C1922"/>
      <c r="D1922"/>
      <c r="F1922" s="1"/>
      <c r="G1922"/>
    </row>
    <row r="1923" spans="3:7" x14ac:dyDescent="0.25">
      <c r="C1923"/>
      <c r="D1923"/>
      <c r="F1923" s="1"/>
      <c r="G1923"/>
    </row>
    <row r="1924" spans="3:7" x14ac:dyDescent="0.25">
      <c r="C1924"/>
      <c r="D1924"/>
      <c r="F1924" s="1"/>
      <c r="G1924"/>
    </row>
    <row r="1925" spans="3:7" x14ac:dyDescent="0.25">
      <c r="C1925"/>
      <c r="D1925"/>
      <c r="F1925" s="1"/>
      <c r="G1925"/>
    </row>
    <row r="1926" spans="3:7" x14ac:dyDescent="0.25">
      <c r="C1926"/>
      <c r="D1926"/>
      <c r="F1926" s="1"/>
      <c r="G1926"/>
    </row>
    <row r="1927" spans="3:7" x14ac:dyDescent="0.25">
      <c r="C1927"/>
      <c r="D1927"/>
      <c r="F1927" s="1"/>
      <c r="G1927"/>
    </row>
    <row r="1928" spans="3:7" x14ac:dyDescent="0.25">
      <c r="C1928"/>
      <c r="D1928"/>
      <c r="F1928" s="1"/>
      <c r="G1928"/>
    </row>
    <row r="1929" spans="3:7" x14ac:dyDescent="0.25">
      <c r="C1929"/>
      <c r="D1929"/>
      <c r="F1929" s="1"/>
      <c r="G1929"/>
    </row>
    <row r="1930" spans="3:7" x14ac:dyDescent="0.25">
      <c r="C1930"/>
      <c r="D1930"/>
      <c r="F1930" s="1"/>
      <c r="G1930"/>
    </row>
    <row r="1931" spans="3:7" x14ac:dyDescent="0.25">
      <c r="C1931"/>
      <c r="D1931"/>
      <c r="F1931" s="1"/>
      <c r="G1931"/>
    </row>
    <row r="1932" spans="3:7" x14ac:dyDescent="0.25">
      <c r="C1932"/>
      <c r="D1932"/>
      <c r="F1932" s="1"/>
      <c r="G1932"/>
    </row>
    <row r="1933" spans="3:7" x14ac:dyDescent="0.25">
      <c r="C1933"/>
      <c r="D1933"/>
      <c r="F1933" s="1"/>
      <c r="G1933"/>
    </row>
    <row r="1934" spans="3:7" x14ac:dyDescent="0.25">
      <c r="C1934"/>
      <c r="D1934"/>
      <c r="F1934" s="1"/>
      <c r="G1934"/>
    </row>
    <row r="1935" spans="3:7" x14ac:dyDescent="0.25">
      <c r="C1935"/>
      <c r="D1935"/>
      <c r="F1935" s="1"/>
      <c r="G1935"/>
    </row>
    <row r="1936" spans="3:7" x14ac:dyDescent="0.25">
      <c r="C1936"/>
      <c r="D1936"/>
      <c r="F1936" s="1"/>
      <c r="G1936"/>
    </row>
    <row r="1937" spans="3:7" x14ac:dyDescent="0.25">
      <c r="C1937"/>
      <c r="D1937"/>
      <c r="F1937" s="1"/>
      <c r="G1937"/>
    </row>
    <row r="1938" spans="3:7" x14ac:dyDescent="0.25">
      <c r="C1938"/>
      <c r="D1938"/>
      <c r="F1938" s="1"/>
      <c r="G1938"/>
    </row>
    <row r="1939" spans="3:7" x14ac:dyDescent="0.25">
      <c r="C1939"/>
      <c r="D1939"/>
      <c r="F1939" s="1"/>
      <c r="G1939"/>
    </row>
    <row r="1940" spans="3:7" x14ac:dyDescent="0.25">
      <c r="C1940"/>
      <c r="D1940"/>
      <c r="F1940" s="1"/>
      <c r="G1940"/>
    </row>
    <row r="1941" spans="3:7" x14ac:dyDescent="0.25">
      <c r="C1941"/>
      <c r="D1941"/>
      <c r="F1941" s="1"/>
      <c r="G1941"/>
    </row>
    <row r="1942" spans="3:7" x14ac:dyDescent="0.25">
      <c r="C1942"/>
      <c r="D1942"/>
      <c r="F1942" s="1"/>
      <c r="G1942"/>
    </row>
    <row r="1943" spans="3:7" x14ac:dyDescent="0.25">
      <c r="C1943"/>
      <c r="D1943"/>
      <c r="F1943" s="1"/>
      <c r="G1943"/>
    </row>
    <row r="1944" spans="3:7" x14ac:dyDescent="0.25">
      <c r="C1944"/>
      <c r="D1944"/>
      <c r="F1944" s="1"/>
      <c r="G1944"/>
    </row>
    <row r="1945" spans="3:7" x14ac:dyDescent="0.25">
      <c r="C1945"/>
      <c r="D1945"/>
      <c r="F1945" s="1"/>
      <c r="G1945"/>
    </row>
    <row r="1946" spans="3:7" x14ac:dyDescent="0.25">
      <c r="C1946"/>
      <c r="D1946"/>
      <c r="F1946" s="1"/>
      <c r="G1946"/>
    </row>
    <row r="1947" spans="3:7" x14ac:dyDescent="0.25">
      <c r="C1947"/>
      <c r="D1947"/>
      <c r="F1947" s="1"/>
      <c r="G1947"/>
    </row>
    <row r="1948" spans="3:7" x14ac:dyDescent="0.25">
      <c r="C1948"/>
      <c r="D1948"/>
      <c r="F1948" s="1"/>
      <c r="G1948"/>
    </row>
    <row r="1949" spans="3:7" x14ac:dyDescent="0.25">
      <c r="C1949"/>
      <c r="D1949"/>
      <c r="F1949" s="1"/>
      <c r="G1949"/>
    </row>
    <row r="1950" spans="3:7" x14ac:dyDescent="0.25">
      <c r="C1950"/>
      <c r="D1950"/>
      <c r="F1950" s="1"/>
      <c r="G1950"/>
    </row>
    <row r="1951" spans="3:7" x14ac:dyDescent="0.25">
      <c r="C1951"/>
      <c r="D1951"/>
      <c r="F1951" s="1"/>
      <c r="G1951"/>
    </row>
    <row r="1952" spans="3:7" x14ac:dyDescent="0.25">
      <c r="C1952"/>
      <c r="D1952"/>
      <c r="F1952" s="1"/>
      <c r="G1952"/>
    </row>
    <row r="1953" spans="3:7" x14ac:dyDescent="0.25">
      <c r="C1953"/>
      <c r="D1953"/>
      <c r="F1953" s="1"/>
      <c r="G1953"/>
    </row>
    <row r="1954" spans="3:7" x14ac:dyDescent="0.25">
      <c r="C1954"/>
      <c r="D1954"/>
      <c r="F1954" s="1"/>
      <c r="G1954"/>
    </row>
    <row r="1955" spans="3:7" x14ac:dyDescent="0.25">
      <c r="C1955"/>
      <c r="D1955"/>
      <c r="F1955" s="1"/>
      <c r="G1955"/>
    </row>
    <row r="1956" spans="3:7" x14ac:dyDescent="0.25">
      <c r="C1956"/>
      <c r="D1956"/>
      <c r="F1956" s="1"/>
      <c r="G1956"/>
    </row>
    <row r="1957" spans="3:7" x14ac:dyDescent="0.25">
      <c r="C1957"/>
      <c r="D1957"/>
      <c r="F1957" s="1"/>
      <c r="G1957"/>
    </row>
    <row r="1958" spans="3:7" x14ac:dyDescent="0.25">
      <c r="C1958"/>
      <c r="D1958"/>
      <c r="F1958" s="1"/>
      <c r="G1958"/>
    </row>
    <row r="1959" spans="3:7" x14ac:dyDescent="0.25">
      <c r="C1959"/>
      <c r="D1959"/>
      <c r="F1959" s="1"/>
      <c r="G1959"/>
    </row>
    <row r="1960" spans="3:7" x14ac:dyDescent="0.25">
      <c r="C1960"/>
      <c r="D1960"/>
      <c r="F1960" s="1"/>
      <c r="G1960"/>
    </row>
    <row r="1961" spans="3:7" x14ac:dyDescent="0.25">
      <c r="C1961"/>
      <c r="D1961"/>
      <c r="F1961" s="1"/>
      <c r="G1961"/>
    </row>
    <row r="1962" spans="3:7" x14ac:dyDescent="0.25">
      <c r="C1962"/>
      <c r="D1962"/>
      <c r="F1962" s="1"/>
      <c r="G1962"/>
    </row>
    <row r="1963" spans="3:7" x14ac:dyDescent="0.25">
      <c r="C1963"/>
      <c r="D1963"/>
      <c r="F1963" s="1"/>
      <c r="G1963"/>
    </row>
    <row r="1964" spans="3:7" x14ac:dyDescent="0.25">
      <c r="C1964"/>
      <c r="D1964"/>
      <c r="F1964" s="1"/>
      <c r="G1964"/>
    </row>
    <row r="1965" spans="3:7" x14ac:dyDescent="0.25">
      <c r="C1965"/>
      <c r="D1965"/>
      <c r="F1965" s="1"/>
      <c r="G1965"/>
    </row>
    <row r="1966" spans="3:7" x14ac:dyDescent="0.25">
      <c r="C1966"/>
      <c r="D1966"/>
      <c r="F1966" s="1"/>
      <c r="G1966"/>
    </row>
    <row r="1967" spans="3:7" x14ac:dyDescent="0.25">
      <c r="C1967"/>
      <c r="D1967"/>
      <c r="F1967" s="1"/>
      <c r="G1967"/>
    </row>
    <row r="1968" spans="3:7" x14ac:dyDescent="0.25">
      <c r="C1968"/>
      <c r="D1968"/>
      <c r="F1968" s="1"/>
      <c r="G1968"/>
    </row>
    <row r="1969" spans="3:7" x14ac:dyDescent="0.25">
      <c r="C1969"/>
      <c r="D1969"/>
      <c r="F1969" s="1"/>
      <c r="G1969"/>
    </row>
    <row r="1970" spans="3:7" x14ac:dyDescent="0.25">
      <c r="C1970"/>
      <c r="D1970"/>
      <c r="F1970" s="1"/>
      <c r="G1970"/>
    </row>
    <row r="1971" spans="3:7" x14ac:dyDescent="0.25">
      <c r="C1971"/>
      <c r="D1971"/>
      <c r="F1971" s="1"/>
      <c r="G1971"/>
    </row>
    <row r="1972" spans="3:7" x14ac:dyDescent="0.25">
      <c r="C1972"/>
      <c r="D1972"/>
      <c r="F1972" s="1"/>
      <c r="G1972"/>
    </row>
    <row r="1973" spans="3:7" x14ac:dyDescent="0.25">
      <c r="C1973"/>
      <c r="D1973"/>
      <c r="F1973" s="1"/>
      <c r="G1973"/>
    </row>
    <row r="1974" spans="3:7" x14ac:dyDescent="0.25">
      <c r="C1974"/>
      <c r="D1974"/>
      <c r="F1974" s="1"/>
      <c r="G1974"/>
    </row>
    <row r="1975" spans="3:7" x14ac:dyDescent="0.25">
      <c r="C1975"/>
      <c r="D1975"/>
      <c r="F1975" s="1"/>
      <c r="G1975"/>
    </row>
    <row r="1976" spans="3:7" x14ac:dyDescent="0.25">
      <c r="C1976"/>
      <c r="D1976"/>
      <c r="F1976" s="1"/>
      <c r="G1976"/>
    </row>
    <row r="1977" spans="3:7" x14ac:dyDescent="0.25">
      <c r="C1977"/>
      <c r="D1977"/>
      <c r="F1977" s="1"/>
      <c r="G1977"/>
    </row>
    <row r="1978" spans="3:7" x14ac:dyDescent="0.25">
      <c r="C1978"/>
      <c r="D1978"/>
      <c r="F1978" s="1"/>
      <c r="G1978"/>
    </row>
    <row r="1979" spans="3:7" x14ac:dyDescent="0.25">
      <c r="C1979"/>
      <c r="D1979"/>
      <c r="F1979" s="1"/>
      <c r="G1979"/>
    </row>
    <row r="1980" spans="3:7" x14ac:dyDescent="0.25">
      <c r="C1980"/>
      <c r="D1980"/>
      <c r="F1980" s="1"/>
      <c r="G1980"/>
    </row>
    <row r="1981" spans="3:7" x14ac:dyDescent="0.25">
      <c r="C1981"/>
      <c r="D1981"/>
      <c r="F1981" s="1"/>
      <c r="G1981"/>
    </row>
    <row r="1982" spans="3:7" x14ac:dyDescent="0.25">
      <c r="C1982"/>
      <c r="D1982"/>
      <c r="F1982" s="1"/>
      <c r="G1982"/>
    </row>
  </sheetData>
  <mergeCells count="1">
    <mergeCell ref="K15:L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3B3F-8904-422A-A126-78D64CC47F8A}">
  <dimension ref="B1:L66"/>
  <sheetViews>
    <sheetView showGridLines="0" tabSelected="1" workbookViewId="0">
      <selection activeCell="J4" sqref="J4:L11"/>
    </sheetView>
  </sheetViews>
  <sheetFormatPr baseColWidth="10" defaultRowHeight="15" x14ac:dyDescent="0.25"/>
  <cols>
    <col min="3" max="3" width="29.42578125" bestFit="1" customWidth="1"/>
    <col min="4" max="4" width="27.7109375" bestFit="1" customWidth="1"/>
    <col min="5" max="5" width="43.42578125" bestFit="1" customWidth="1"/>
    <col min="6" max="6" width="22" style="1" bestFit="1" customWidth="1"/>
    <col min="7" max="7" width="31.140625" bestFit="1" customWidth="1"/>
    <col min="11" max="11" width="30.85546875" bestFit="1" customWidth="1"/>
  </cols>
  <sheetData>
    <row r="1" spans="2:12" ht="15.75" thickBot="1" x14ac:dyDescent="0.3"/>
    <row r="2" spans="2:12" ht="15.75" thickBot="1" x14ac:dyDescent="0.3">
      <c r="B2" s="5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5" t="s">
        <v>7</v>
      </c>
      <c r="H2" s="5" t="s">
        <v>8</v>
      </c>
      <c r="J2" s="56" t="s">
        <v>79</v>
      </c>
      <c r="K2" s="57"/>
      <c r="L2" s="58"/>
    </row>
    <row r="3" spans="2:12" ht="15.75" thickBot="1" x14ac:dyDescent="0.3">
      <c r="B3" s="3">
        <v>4</v>
      </c>
      <c r="C3" s="6" t="s">
        <v>294</v>
      </c>
      <c r="D3" t="s">
        <v>751</v>
      </c>
      <c r="E3" s="6" t="s">
        <v>752</v>
      </c>
      <c r="F3" s="1">
        <v>201008</v>
      </c>
      <c r="G3" s="6" t="s">
        <v>29</v>
      </c>
      <c r="H3">
        <v>1</v>
      </c>
      <c r="J3" s="11" t="s">
        <v>80</v>
      </c>
      <c r="K3" s="13" t="s">
        <v>81</v>
      </c>
      <c r="L3" s="12" t="s">
        <v>8</v>
      </c>
    </row>
    <row r="4" spans="2:12" x14ac:dyDescent="0.25">
      <c r="B4" s="3">
        <v>4</v>
      </c>
      <c r="C4" s="6" t="s">
        <v>294</v>
      </c>
      <c r="D4" t="s">
        <v>751</v>
      </c>
      <c r="E4" s="6" t="s">
        <v>752</v>
      </c>
      <c r="F4" s="1" t="s">
        <v>13</v>
      </c>
      <c r="G4" s="6" t="s">
        <v>14</v>
      </c>
      <c r="H4">
        <v>1</v>
      </c>
      <c r="J4" s="47">
        <v>201008</v>
      </c>
      <c r="K4" s="48" t="s">
        <v>29</v>
      </c>
      <c r="L4" s="49">
        <f>+SUMIF($F$3:$F$239,J4,$H$3:$H$239)</f>
        <v>4</v>
      </c>
    </row>
    <row r="5" spans="2:12" x14ac:dyDescent="0.25">
      <c r="B5" s="3">
        <v>4</v>
      </c>
      <c r="C5" s="6" t="s">
        <v>294</v>
      </c>
      <c r="D5" t="s">
        <v>751</v>
      </c>
      <c r="E5" s="6" t="s">
        <v>752</v>
      </c>
      <c r="F5" s="1" t="s">
        <v>15</v>
      </c>
      <c r="G5" s="6" t="s">
        <v>16</v>
      </c>
      <c r="H5">
        <v>1</v>
      </c>
      <c r="J5" s="50" t="s">
        <v>13</v>
      </c>
      <c r="K5" s="25" t="s">
        <v>14</v>
      </c>
      <c r="L5" s="51">
        <f t="shared" ref="L5:L12" si="0">+SUMIF($F$3:$F$239,J5,$H$3:$H$239)</f>
        <v>10</v>
      </c>
    </row>
    <row r="6" spans="2:12" x14ac:dyDescent="0.25">
      <c r="B6" s="3">
        <v>4</v>
      </c>
      <c r="C6" s="6" t="s">
        <v>294</v>
      </c>
      <c r="D6" t="s">
        <v>753</v>
      </c>
      <c r="E6" s="6" t="s">
        <v>754</v>
      </c>
      <c r="F6" s="1" t="s">
        <v>13</v>
      </c>
      <c r="G6" s="6" t="s">
        <v>14</v>
      </c>
      <c r="H6">
        <v>1</v>
      </c>
      <c r="J6" s="50" t="s">
        <v>15</v>
      </c>
      <c r="K6" s="25" t="s">
        <v>16</v>
      </c>
      <c r="L6" s="51">
        <f t="shared" si="0"/>
        <v>21</v>
      </c>
    </row>
    <row r="7" spans="2:12" x14ac:dyDescent="0.25">
      <c r="B7" s="3">
        <v>4</v>
      </c>
      <c r="C7" s="6" t="s">
        <v>294</v>
      </c>
      <c r="D7" t="s">
        <v>753</v>
      </c>
      <c r="E7" s="6" t="s">
        <v>754</v>
      </c>
      <c r="F7" s="1" t="s">
        <v>15</v>
      </c>
      <c r="G7" s="6" t="s">
        <v>16</v>
      </c>
      <c r="H7">
        <v>1</v>
      </c>
      <c r="J7" s="50">
        <v>201002</v>
      </c>
      <c r="K7" s="25" t="s">
        <v>70</v>
      </c>
      <c r="L7" s="51">
        <f t="shared" si="0"/>
        <v>26</v>
      </c>
    </row>
    <row r="8" spans="2:12" x14ac:dyDescent="0.25">
      <c r="B8" s="3">
        <v>4</v>
      </c>
      <c r="C8" s="6" t="s">
        <v>294</v>
      </c>
      <c r="D8" t="s">
        <v>755</v>
      </c>
      <c r="E8" s="6" t="s">
        <v>756</v>
      </c>
      <c r="F8" s="1" t="s">
        <v>13</v>
      </c>
      <c r="G8" s="6" t="s">
        <v>14</v>
      </c>
      <c r="H8">
        <v>1</v>
      </c>
      <c r="J8" s="50" t="s">
        <v>23</v>
      </c>
      <c r="K8" s="25" t="s">
        <v>24</v>
      </c>
      <c r="L8" s="51">
        <f>+SUMIF($F$3:$F$239,J8,$H$3:$H$239)</f>
        <v>13</v>
      </c>
    </row>
    <row r="9" spans="2:12" x14ac:dyDescent="0.25">
      <c r="B9" s="3">
        <v>4</v>
      </c>
      <c r="C9" s="6" t="s">
        <v>294</v>
      </c>
      <c r="D9" t="s">
        <v>755</v>
      </c>
      <c r="E9" s="6" t="s">
        <v>756</v>
      </c>
      <c r="F9" s="1" t="s">
        <v>15</v>
      </c>
      <c r="G9" s="6" t="s">
        <v>16</v>
      </c>
      <c r="H9">
        <v>1</v>
      </c>
      <c r="J9" s="50">
        <v>201010</v>
      </c>
      <c r="K9" s="25" t="s">
        <v>44</v>
      </c>
      <c r="L9" s="51">
        <f>+SUMIF($F$3:$F$239,J9,$H$3:$H$239)</f>
        <v>2</v>
      </c>
    </row>
    <row r="10" spans="2:12" x14ac:dyDescent="0.25">
      <c r="B10" s="3">
        <v>4</v>
      </c>
      <c r="C10" s="6" t="s">
        <v>294</v>
      </c>
      <c r="D10" t="s">
        <v>757</v>
      </c>
      <c r="E10" s="6" t="s">
        <v>169</v>
      </c>
      <c r="F10" s="1">
        <v>201002</v>
      </c>
      <c r="G10" s="6" t="s">
        <v>70</v>
      </c>
      <c r="H10">
        <v>5</v>
      </c>
      <c r="J10" s="50">
        <v>201004</v>
      </c>
      <c r="K10" s="25" t="s">
        <v>41</v>
      </c>
      <c r="L10" s="51">
        <f>+SUMIF($F$3:$F$239,J10,$H$3:$H$239)</f>
        <v>1</v>
      </c>
    </row>
    <row r="11" spans="2:12" ht="15.75" thickBot="1" x14ac:dyDescent="0.3">
      <c r="B11" s="3">
        <v>4</v>
      </c>
      <c r="C11" s="6" t="s">
        <v>294</v>
      </c>
      <c r="D11" t="s">
        <v>758</v>
      </c>
      <c r="E11" s="6" t="s">
        <v>759</v>
      </c>
      <c r="F11" s="1" t="s">
        <v>13</v>
      </c>
      <c r="G11" s="6" t="s">
        <v>14</v>
      </c>
      <c r="H11">
        <v>1</v>
      </c>
      <c r="J11" s="52" t="s">
        <v>49</v>
      </c>
      <c r="K11" s="53" t="s">
        <v>76</v>
      </c>
      <c r="L11" s="54">
        <f>+SUMIF($F$3:$F$239,J11,$H$3:$H$239)</f>
        <v>2</v>
      </c>
    </row>
    <row r="12" spans="2:12" ht="15.75" thickBot="1" x14ac:dyDescent="0.3">
      <c r="B12" s="3">
        <v>4</v>
      </c>
      <c r="C12" s="6" t="s">
        <v>294</v>
      </c>
      <c r="D12" t="s">
        <v>758</v>
      </c>
      <c r="E12" s="6" t="s">
        <v>759</v>
      </c>
      <c r="F12" s="1" t="s">
        <v>15</v>
      </c>
      <c r="G12" s="6" t="s">
        <v>16</v>
      </c>
      <c r="H12">
        <v>1</v>
      </c>
      <c r="J12" s="56" t="s">
        <v>82</v>
      </c>
      <c r="K12" s="58"/>
      <c r="L12" s="46">
        <f>SUM(L4:L11)</f>
        <v>79</v>
      </c>
    </row>
    <row r="13" spans="2:12" x14ac:dyDescent="0.25">
      <c r="B13" s="3">
        <v>4</v>
      </c>
      <c r="C13" s="6" t="s">
        <v>294</v>
      </c>
      <c r="D13" t="s">
        <v>760</v>
      </c>
      <c r="E13" s="6" t="s">
        <v>91</v>
      </c>
      <c r="F13" s="1" t="s">
        <v>118</v>
      </c>
      <c r="G13" s="6" t="s">
        <v>119</v>
      </c>
      <c r="H13">
        <v>1</v>
      </c>
    </row>
    <row r="14" spans="2:12" x14ac:dyDescent="0.25">
      <c r="B14" s="3">
        <v>4</v>
      </c>
      <c r="C14" s="6" t="s">
        <v>294</v>
      </c>
      <c r="D14" t="s">
        <v>761</v>
      </c>
      <c r="E14" s="6" t="s">
        <v>91</v>
      </c>
      <c r="F14" s="1" t="s">
        <v>118</v>
      </c>
      <c r="G14" s="6" t="s">
        <v>119</v>
      </c>
      <c r="H14">
        <v>1</v>
      </c>
    </row>
    <row r="15" spans="2:12" x14ac:dyDescent="0.25">
      <c r="B15" s="3">
        <v>4</v>
      </c>
      <c r="C15" s="6" t="s">
        <v>294</v>
      </c>
      <c r="D15" t="s">
        <v>762</v>
      </c>
      <c r="E15" s="6" t="s">
        <v>763</v>
      </c>
      <c r="F15" s="1">
        <v>201002</v>
      </c>
      <c r="G15" s="6" t="s">
        <v>70</v>
      </c>
      <c r="H15">
        <v>1</v>
      </c>
    </row>
    <row r="16" spans="2:12" x14ac:dyDescent="0.25">
      <c r="B16" s="3">
        <v>4</v>
      </c>
      <c r="C16" s="6" t="s">
        <v>294</v>
      </c>
      <c r="D16" t="s">
        <v>762</v>
      </c>
      <c r="E16" s="6" t="s">
        <v>763</v>
      </c>
      <c r="F16" s="1" t="s">
        <v>118</v>
      </c>
      <c r="G16" s="6" t="s">
        <v>119</v>
      </c>
      <c r="H16">
        <v>1</v>
      </c>
    </row>
    <row r="17" spans="2:8" x14ac:dyDescent="0.25">
      <c r="B17" s="3">
        <v>4</v>
      </c>
      <c r="C17" s="6" t="s">
        <v>764</v>
      </c>
      <c r="D17" t="s">
        <v>765</v>
      </c>
      <c r="E17" s="6" t="s">
        <v>766</v>
      </c>
      <c r="F17" s="1">
        <v>201008</v>
      </c>
      <c r="G17" s="6" t="s">
        <v>29</v>
      </c>
      <c r="H17">
        <v>1</v>
      </c>
    </row>
    <row r="18" spans="2:8" x14ac:dyDescent="0.25">
      <c r="B18" s="3">
        <v>4</v>
      </c>
      <c r="C18" s="6" t="s">
        <v>767</v>
      </c>
      <c r="D18" t="s">
        <v>769</v>
      </c>
      <c r="E18" s="6" t="s">
        <v>770</v>
      </c>
      <c r="F18" s="1" t="s">
        <v>23</v>
      </c>
      <c r="G18" s="6" t="s">
        <v>24</v>
      </c>
      <c r="H18">
        <v>2</v>
      </c>
    </row>
    <row r="19" spans="2:8" x14ac:dyDescent="0.25">
      <c r="B19" s="3">
        <v>4</v>
      </c>
      <c r="C19" s="6" t="s">
        <v>767</v>
      </c>
      <c r="D19" t="s">
        <v>769</v>
      </c>
      <c r="E19" s="6" t="s">
        <v>770</v>
      </c>
      <c r="F19" s="1" t="s">
        <v>15</v>
      </c>
      <c r="G19" s="6" t="s">
        <v>16</v>
      </c>
      <c r="H19">
        <v>2</v>
      </c>
    </row>
    <row r="20" spans="2:8" x14ac:dyDescent="0.25">
      <c r="B20" s="3">
        <v>4</v>
      </c>
      <c r="C20" s="6" t="s">
        <v>771</v>
      </c>
      <c r="D20" t="s">
        <v>774</v>
      </c>
      <c r="E20" s="6" t="s">
        <v>469</v>
      </c>
      <c r="F20" s="1" t="s">
        <v>13</v>
      </c>
      <c r="G20" s="6" t="s">
        <v>14</v>
      </c>
      <c r="H20">
        <v>1</v>
      </c>
    </row>
    <row r="21" spans="2:8" x14ac:dyDescent="0.25">
      <c r="B21" s="3">
        <v>4</v>
      </c>
      <c r="C21" s="6" t="s">
        <v>771</v>
      </c>
      <c r="D21" t="s">
        <v>774</v>
      </c>
      <c r="E21" s="6" t="s">
        <v>469</v>
      </c>
      <c r="F21" s="1" t="s">
        <v>15</v>
      </c>
      <c r="G21" s="6" t="s">
        <v>16</v>
      </c>
      <c r="H21">
        <v>1</v>
      </c>
    </row>
    <row r="22" spans="2:8" x14ac:dyDescent="0.25">
      <c r="B22" s="3">
        <v>4</v>
      </c>
      <c r="C22" s="6" t="s">
        <v>771</v>
      </c>
      <c r="D22" t="s">
        <v>777</v>
      </c>
      <c r="E22" s="6" t="s">
        <v>91</v>
      </c>
      <c r="F22" s="1" t="s">
        <v>118</v>
      </c>
      <c r="G22" s="6" t="s">
        <v>119</v>
      </c>
      <c r="H22">
        <v>1</v>
      </c>
    </row>
    <row r="23" spans="2:8" x14ac:dyDescent="0.25">
      <c r="B23" s="3">
        <v>4</v>
      </c>
      <c r="C23" s="6" t="s">
        <v>778</v>
      </c>
      <c r="D23" t="s">
        <v>779</v>
      </c>
      <c r="E23" s="6" t="s">
        <v>780</v>
      </c>
      <c r="F23" s="1" t="s">
        <v>23</v>
      </c>
      <c r="G23" s="6" t="s">
        <v>24</v>
      </c>
      <c r="H23">
        <v>1</v>
      </c>
    </row>
    <row r="24" spans="2:8" x14ac:dyDescent="0.25">
      <c r="B24" s="3">
        <v>4</v>
      </c>
      <c r="C24" s="6" t="s">
        <v>778</v>
      </c>
      <c r="D24" t="s">
        <v>779</v>
      </c>
      <c r="E24" s="6" t="s">
        <v>780</v>
      </c>
      <c r="F24" s="1" t="s">
        <v>15</v>
      </c>
      <c r="G24" s="6" t="s">
        <v>16</v>
      </c>
      <c r="H24">
        <v>1</v>
      </c>
    </row>
    <row r="25" spans="2:8" x14ac:dyDescent="0.25">
      <c r="B25" s="8">
        <v>4</v>
      </c>
      <c r="C25" s="6" t="s">
        <v>778</v>
      </c>
      <c r="D25" t="s">
        <v>781</v>
      </c>
      <c r="E25" s="6" t="s">
        <v>91</v>
      </c>
      <c r="F25" s="1" t="s">
        <v>118</v>
      </c>
      <c r="G25" s="6" t="s">
        <v>119</v>
      </c>
      <c r="H25">
        <v>1</v>
      </c>
    </row>
    <row r="26" spans="2:8" x14ac:dyDescent="0.25">
      <c r="B26" s="3">
        <v>5</v>
      </c>
      <c r="C26" s="6" t="s">
        <v>294</v>
      </c>
      <c r="D26" t="s">
        <v>782</v>
      </c>
      <c r="E26" s="6" t="s">
        <v>169</v>
      </c>
      <c r="F26" s="1">
        <v>201002</v>
      </c>
      <c r="G26" s="6" t="s">
        <v>70</v>
      </c>
      <c r="H26">
        <v>3</v>
      </c>
    </row>
    <row r="27" spans="2:8" x14ac:dyDescent="0.25">
      <c r="B27" s="3">
        <v>5</v>
      </c>
      <c r="C27" s="6" t="s">
        <v>294</v>
      </c>
      <c r="D27" t="s">
        <v>783</v>
      </c>
      <c r="E27" s="6" t="s">
        <v>91</v>
      </c>
      <c r="F27" s="1" t="s">
        <v>118</v>
      </c>
      <c r="G27" s="6" t="s">
        <v>119</v>
      </c>
      <c r="H27">
        <v>1</v>
      </c>
    </row>
    <row r="28" spans="2:8" x14ac:dyDescent="0.25">
      <c r="B28" s="3">
        <v>5</v>
      </c>
      <c r="C28" s="6" t="s">
        <v>294</v>
      </c>
      <c r="D28" t="s">
        <v>784</v>
      </c>
      <c r="E28" s="6" t="s">
        <v>754</v>
      </c>
      <c r="F28" s="1" t="s">
        <v>23</v>
      </c>
      <c r="G28" s="6" t="s">
        <v>24</v>
      </c>
      <c r="H28">
        <v>3</v>
      </c>
    </row>
    <row r="29" spans="2:8" x14ac:dyDescent="0.25">
      <c r="B29" s="3">
        <v>5</v>
      </c>
      <c r="C29" s="6" t="s">
        <v>294</v>
      </c>
      <c r="D29" t="s">
        <v>784</v>
      </c>
      <c r="E29" s="6" t="s">
        <v>754</v>
      </c>
      <c r="F29" s="1" t="s">
        <v>15</v>
      </c>
      <c r="G29" s="6" t="s">
        <v>16</v>
      </c>
      <c r="H29">
        <v>3</v>
      </c>
    </row>
    <row r="30" spans="2:8" x14ac:dyDescent="0.25">
      <c r="B30" s="3">
        <v>5</v>
      </c>
      <c r="C30" s="6" t="s">
        <v>294</v>
      </c>
      <c r="D30" t="s">
        <v>785</v>
      </c>
      <c r="E30" s="6" t="s">
        <v>56</v>
      </c>
      <c r="F30" s="1">
        <v>201010</v>
      </c>
      <c r="G30" s="6" t="s">
        <v>44</v>
      </c>
      <c r="H30">
        <v>1</v>
      </c>
    </row>
    <row r="31" spans="2:8" x14ac:dyDescent="0.25">
      <c r="B31" s="3">
        <v>5</v>
      </c>
      <c r="C31" s="6" t="s">
        <v>294</v>
      </c>
      <c r="D31" t="s">
        <v>786</v>
      </c>
      <c r="E31" s="6" t="s">
        <v>787</v>
      </c>
      <c r="F31" s="1">
        <v>201008</v>
      </c>
      <c r="G31" s="6" t="s">
        <v>29</v>
      </c>
      <c r="H31">
        <v>1</v>
      </c>
    </row>
    <row r="32" spans="2:8" x14ac:dyDescent="0.25">
      <c r="B32" s="3">
        <v>5</v>
      </c>
      <c r="C32" s="6" t="s">
        <v>294</v>
      </c>
      <c r="D32" t="s">
        <v>786</v>
      </c>
      <c r="E32" s="6" t="s">
        <v>787</v>
      </c>
      <c r="F32" s="1" t="s">
        <v>13</v>
      </c>
      <c r="G32" s="6" t="s">
        <v>14</v>
      </c>
      <c r="H32">
        <v>1</v>
      </c>
    </row>
    <row r="33" spans="2:8" x14ac:dyDescent="0.25">
      <c r="B33" s="3">
        <v>5</v>
      </c>
      <c r="C33" s="6" t="s">
        <v>294</v>
      </c>
      <c r="D33" t="s">
        <v>786</v>
      </c>
      <c r="E33" s="6" t="s">
        <v>787</v>
      </c>
      <c r="F33" s="1" t="s">
        <v>15</v>
      </c>
      <c r="G33" s="6" t="s">
        <v>16</v>
      </c>
      <c r="H33">
        <v>1</v>
      </c>
    </row>
    <row r="34" spans="2:8" x14ac:dyDescent="0.25">
      <c r="B34" s="3">
        <v>5</v>
      </c>
      <c r="C34" s="6" t="s">
        <v>294</v>
      </c>
      <c r="D34" t="s">
        <v>788</v>
      </c>
      <c r="E34" s="6" t="s">
        <v>754</v>
      </c>
      <c r="F34" s="1" t="s">
        <v>23</v>
      </c>
      <c r="G34" s="6" t="s">
        <v>24</v>
      </c>
      <c r="H34">
        <v>1</v>
      </c>
    </row>
    <row r="35" spans="2:8" x14ac:dyDescent="0.25">
      <c r="B35" s="3">
        <v>5</v>
      </c>
      <c r="C35" s="6" t="s">
        <v>294</v>
      </c>
      <c r="D35" t="s">
        <v>788</v>
      </c>
      <c r="E35" s="6" t="s">
        <v>754</v>
      </c>
      <c r="F35" s="1" t="s">
        <v>15</v>
      </c>
      <c r="G35" s="6" t="s">
        <v>16</v>
      </c>
      <c r="H35">
        <v>1</v>
      </c>
    </row>
    <row r="36" spans="2:8" x14ac:dyDescent="0.25">
      <c r="B36" s="3">
        <v>5</v>
      </c>
      <c r="C36" s="6" t="s">
        <v>294</v>
      </c>
      <c r="D36" t="s">
        <v>790</v>
      </c>
      <c r="E36" s="6" t="s">
        <v>91</v>
      </c>
      <c r="F36" s="1" t="s">
        <v>118</v>
      </c>
      <c r="G36" s="6" t="s">
        <v>119</v>
      </c>
      <c r="H36">
        <v>1</v>
      </c>
    </row>
    <row r="37" spans="2:8" x14ac:dyDescent="0.25">
      <c r="B37" s="3">
        <v>5</v>
      </c>
      <c r="C37" s="6" t="s">
        <v>294</v>
      </c>
      <c r="D37" t="s">
        <v>791</v>
      </c>
      <c r="E37" s="6" t="s">
        <v>792</v>
      </c>
      <c r="F37" s="1">
        <v>201004</v>
      </c>
      <c r="G37" s="6" t="s">
        <v>41</v>
      </c>
      <c r="H37">
        <v>1</v>
      </c>
    </row>
    <row r="38" spans="2:8" x14ac:dyDescent="0.25">
      <c r="B38" s="3">
        <v>5</v>
      </c>
      <c r="C38" s="6" t="s">
        <v>294</v>
      </c>
      <c r="D38" t="s">
        <v>791</v>
      </c>
      <c r="E38" s="6" t="s">
        <v>792</v>
      </c>
      <c r="F38" s="1">
        <v>201008</v>
      </c>
      <c r="G38" s="6" t="s">
        <v>29</v>
      </c>
      <c r="H38">
        <v>1</v>
      </c>
    </row>
    <row r="39" spans="2:8" x14ac:dyDescent="0.25">
      <c r="B39" s="3">
        <v>5</v>
      </c>
      <c r="C39" s="6" t="s">
        <v>294</v>
      </c>
      <c r="D39" t="s">
        <v>793</v>
      </c>
      <c r="E39" s="6" t="s">
        <v>169</v>
      </c>
      <c r="F39" s="1">
        <v>201002</v>
      </c>
      <c r="G39" s="6" t="s">
        <v>70</v>
      </c>
      <c r="H39">
        <v>2</v>
      </c>
    </row>
    <row r="40" spans="2:8" x14ac:dyDescent="0.25">
      <c r="B40" s="3">
        <v>5</v>
      </c>
      <c r="C40" s="6" t="s">
        <v>294</v>
      </c>
      <c r="D40" t="s">
        <v>794</v>
      </c>
      <c r="E40" s="6" t="s">
        <v>763</v>
      </c>
      <c r="F40" s="1">
        <v>201002</v>
      </c>
      <c r="G40" s="6" t="s">
        <v>70</v>
      </c>
      <c r="H40">
        <v>1</v>
      </c>
    </row>
    <row r="41" spans="2:8" x14ac:dyDescent="0.25">
      <c r="B41" s="3">
        <v>5</v>
      </c>
      <c r="C41" s="6" t="s">
        <v>294</v>
      </c>
      <c r="D41" t="s">
        <v>794</v>
      </c>
      <c r="E41" s="6" t="s">
        <v>763</v>
      </c>
      <c r="F41" s="1" t="s">
        <v>118</v>
      </c>
      <c r="G41" s="6" t="s">
        <v>119</v>
      </c>
      <c r="H41">
        <v>1</v>
      </c>
    </row>
    <row r="42" spans="2:8" x14ac:dyDescent="0.25">
      <c r="B42" s="3">
        <v>6</v>
      </c>
      <c r="C42" s="6" t="s">
        <v>294</v>
      </c>
      <c r="D42" t="s">
        <v>797</v>
      </c>
      <c r="E42" s="6" t="s">
        <v>798</v>
      </c>
      <c r="F42" s="1" t="s">
        <v>13</v>
      </c>
      <c r="G42" s="6" t="s">
        <v>14</v>
      </c>
      <c r="H42">
        <v>1</v>
      </c>
    </row>
    <row r="43" spans="2:8" x14ac:dyDescent="0.25">
      <c r="B43" s="3">
        <v>6</v>
      </c>
      <c r="C43" s="6" t="s">
        <v>294</v>
      </c>
      <c r="D43" t="s">
        <v>797</v>
      </c>
      <c r="E43" s="6" t="s">
        <v>798</v>
      </c>
      <c r="F43" s="1" t="s">
        <v>15</v>
      </c>
      <c r="G43" s="6" t="s">
        <v>16</v>
      </c>
      <c r="H43">
        <v>1</v>
      </c>
    </row>
    <row r="44" spans="2:8" x14ac:dyDescent="0.25">
      <c r="B44" s="3">
        <v>6</v>
      </c>
      <c r="C44" s="6" t="s">
        <v>294</v>
      </c>
      <c r="D44" t="s">
        <v>799</v>
      </c>
      <c r="E44" s="6" t="s">
        <v>800</v>
      </c>
      <c r="F44" s="1" t="s">
        <v>13</v>
      </c>
      <c r="G44" s="6" t="s">
        <v>14</v>
      </c>
      <c r="H44">
        <v>1</v>
      </c>
    </row>
    <row r="45" spans="2:8" x14ac:dyDescent="0.25">
      <c r="B45" s="3">
        <v>6</v>
      </c>
      <c r="C45" s="6" t="s">
        <v>294</v>
      </c>
      <c r="D45" t="s">
        <v>799</v>
      </c>
      <c r="E45" s="6" t="s">
        <v>800</v>
      </c>
      <c r="F45" s="1" t="s">
        <v>15</v>
      </c>
      <c r="G45" s="6" t="s">
        <v>16</v>
      </c>
      <c r="H45">
        <v>1</v>
      </c>
    </row>
    <row r="46" spans="2:8" x14ac:dyDescent="0.25">
      <c r="B46" s="3">
        <v>6</v>
      </c>
      <c r="C46" s="6" t="s">
        <v>294</v>
      </c>
      <c r="D46" t="s">
        <v>801</v>
      </c>
      <c r="E46" s="6" t="s">
        <v>802</v>
      </c>
      <c r="F46" s="1" t="s">
        <v>13</v>
      </c>
      <c r="G46" s="6" t="s">
        <v>14</v>
      </c>
      <c r="H46">
        <v>1</v>
      </c>
    </row>
    <row r="47" spans="2:8" x14ac:dyDescent="0.25">
      <c r="B47" s="3">
        <v>6</v>
      </c>
      <c r="C47" s="6" t="s">
        <v>294</v>
      </c>
      <c r="D47" t="s">
        <v>801</v>
      </c>
      <c r="E47" s="6" t="s">
        <v>802</v>
      </c>
      <c r="F47" s="1" t="s">
        <v>15</v>
      </c>
      <c r="G47" s="6" t="s">
        <v>16</v>
      </c>
      <c r="H47">
        <v>1</v>
      </c>
    </row>
    <row r="48" spans="2:8" x14ac:dyDescent="0.25">
      <c r="B48" s="3">
        <v>6</v>
      </c>
      <c r="C48" s="6" t="s">
        <v>294</v>
      </c>
      <c r="D48" t="s">
        <v>803</v>
      </c>
      <c r="E48" s="6" t="s">
        <v>169</v>
      </c>
      <c r="F48" s="1">
        <v>201002</v>
      </c>
      <c r="G48" s="6" t="s">
        <v>70</v>
      </c>
      <c r="H48">
        <v>5</v>
      </c>
    </row>
    <row r="49" spans="2:8" x14ac:dyDescent="0.25">
      <c r="B49" s="3">
        <v>6</v>
      </c>
      <c r="C49" s="6" t="s">
        <v>294</v>
      </c>
      <c r="D49" t="s">
        <v>804</v>
      </c>
      <c r="E49" s="6" t="s">
        <v>91</v>
      </c>
      <c r="F49" s="1" t="s">
        <v>118</v>
      </c>
      <c r="G49" s="6" t="s">
        <v>119</v>
      </c>
      <c r="H49">
        <v>1</v>
      </c>
    </row>
    <row r="50" spans="2:8" x14ac:dyDescent="0.25">
      <c r="B50" s="3">
        <v>6</v>
      </c>
      <c r="C50" s="6" t="s">
        <v>294</v>
      </c>
      <c r="D50" t="s">
        <v>805</v>
      </c>
      <c r="E50" s="6" t="s">
        <v>91</v>
      </c>
      <c r="F50" s="1" t="s">
        <v>118</v>
      </c>
      <c r="G50" s="6" t="s">
        <v>119</v>
      </c>
      <c r="H50">
        <v>1</v>
      </c>
    </row>
    <row r="51" spans="2:8" x14ac:dyDescent="0.25">
      <c r="B51" s="3">
        <v>6</v>
      </c>
      <c r="C51" s="6" t="s">
        <v>294</v>
      </c>
      <c r="D51" t="s">
        <v>806</v>
      </c>
      <c r="E51" s="6" t="s">
        <v>763</v>
      </c>
      <c r="F51" s="1">
        <v>201002</v>
      </c>
      <c r="G51" s="6" t="s">
        <v>70</v>
      </c>
      <c r="H51">
        <v>2</v>
      </c>
    </row>
    <row r="52" spans="2:8" x14ac:dyDescent="0.25">
      <c r="B52" s="3">
        <v>6</v>
      </c>
      <c r="C52" s="6" t="s">
        <v>294</v>
      </c>
      <c r="D52" t="s">
        <v>806</v>
      </c>
      <c r="E52" s="6" t="s">
        <v>763</v>
      </c>
      <c r="F52" s="1" t="s">
        <v>49</v>
      </c>
      <c r="G52" s="6" t="s">
        <v>50</v>
      </c>
      <c r="H52">
        <v>1</v>
      </c>
    </row>
    <row r="53" spans="2:8" x14ac:dyDescent="0.25">
      <c r="B53" s="3">
        <v>6</v>
      </c>
      <c r="C53" s="6" t="s">
        <v>294</v>
      </c>
      <c r="D53" t="s">
        <v>807</v>
      </c>
      <c r="E53" s="6" t="s">
        <v>808</v>
      </c>
      <c r="F53" s="1" t="s">
        <v>13</v>
      </c>
      <c r="G53" s="6" t="s">
        <v>14</v>
      </c>
      <c r="H53">
        <v>1</v>
      </c>
    </row>
    <row r="54" spans="2:8" x14ac:dyDescent="0.25">
      <c r="B54" s="3">
        <v>6</v>
      </c>
      <c r="C54" s="6" t="s">
        <v>294</v>
      </c>
      <c r="D54" t="s">
        <v>807</v>
      </c>
      <c r="E54" s="6" t="s">
        <v>808</v>
      </c>
      <c r="F54" s="1" t="s">
        <v>15</v>
      </c>
      <c r="G54" s="6" t="s">
        <v>16</v>
      </c>
      <c r="H54">
        <v>1</v>
      </c>
    </row>
    <row r="55" spans="2:8" x14ac:dyDescent="0.25">
      <c r="B55" s="3">
        <v>6</v>
      </c>
      <c r="C55" s="6" t="s">
        <v>294</v>
      </c>
      <c r="D55" t="s">
        <v>809</v>
      </c>
      <c r="E55" s="6" t="s">
        <v>621</v>
      </c>
      <c r="F55" s="1">
        <v>201010</v>
      </c>
      <c r="G55" s="6" t="s">
        <v>44</v>
      </c>
      <c r="H55">
        <v>1</v>
      </c>
    </row>
    <row r="56" spans="2:8" x14ac:dyDescent="0.25">
      <c r="B56" s="3">
        <v>6</v>
      </c>
      <c r="C56" s="6" t="s">
        <v>812</v>
      </c>
      <c r="D56" t="s">
        <v>813</v>
      </c>
      <c r="E56" s="6" t="s">
        <v>273</v>
      </c>
      <c r="F56" s="1" t="s">
        <v>23</v>
      </c>
      <c r="G56" s="6" t="s">
        <v>24</v>
      </c>
      <c r="H56">
        <v>1</v>
      </c>
    </row>
    <row r="57" spans="2:8" x14ac:dyDescent="0.25">
      <c r="B57" s="8">
        <v>6</v>
      </c>
      <c r="C57" s="6" t="s">
        <v>812</v>
      </c>
      <c r="D57" t="s">
        <v>814</v>
      </c>
      <c r="E57" s="6" t="s">
        <v>273</v>
      </c>
      <c r="F57" s="1" t="s">
        <v>23</v>
      </c>
      <c r="G57" s="6" t="s">
        <v>24</v>
      </c>
      <c r="H57">
        <v>1</v>
      </c>
    </row>
    <row r="58" spans="2:8" x14ac:dyDescent="0.25">
      <c r="B58" s="3">
        <v>7</v>
      </c>
      <c r="C58" s="6" t="s">
        <v>294</v>
      </c>
      <c r="D58" t="s">
        <v>815</v>
      </c>
      <c r="E58" s="6" t="s">
        <v>816</v>
      </c>
      <c r="F58" s="1" t="s">
        <v>23</v>
      </c>
      <c r="G58" s="6" t="s">
        <v>24</v>
      </c>
      <c r="H58">
        <v>3</v>
      </c>
    </row>
    <row r="59" spans="2:8" x14ac:dyDescent="0.25">
      <c r="B59" s="3">
        <v>7</v>
      </c>
      <c r="C59" s="6" t="s">
        <v>294</v>
      </c>
      <c r="D59" t="s">
        <v>815</v>
      </c>
      <c r="E59" s="6" t="s">
        <v>816</v>
      </c>
      <c r="F59" s="1" t="s">
        <v>15</v>
      </c>
      <c r="G59" s="6" t="s">
        <v>16</v>
      </c>
      <c r="H59">
        <v>3</v>
      </c>
    </row>
    <row r="60" spans="2:8" x14ac:dyDescent="0.25">
      <c r="B60" s="3">
        <v>7</v>
      </c>
      <c r="C60" s="6" t="s">
        <v>294</v>
      </c>
      <c r="D60" t="s">
        <v>817</v>
      </c>
      <c r="E60" s="6" t="s">
        <v>169</v>
      </c>
      <c r="F60" s="1">
        <v>201002</v>
      </c>
      <c r="G60" s="6" t="s">
        <v>70</v>
      </c>
      <c r="H60">
        <v>5</v>
      </c>
    </row>
    <row r="61" spans="2:8" x14ac:dyDescent="0.25">
      <c r="B61" s="3">
        <v>7</v>
      </c>
      <c r="C61" s="6" t="s">
        <v>294</v>
      </c>
      <c r="D61" t="s">
        <v>818</v>
      </c>
      <c r="E61" s="6" t="s">
        <v>91</v>
      </c>
      <c r="F61" s="1" t="s">
        <v>118</v>
      </c>
      <c r="G61" s="6" t="s">
        <v>119</v>
      </c>
      <c r="H61">
        <v>1</v>
      </c>
    </row>
    <row r="62" spans="2:8" x14ac:dyDescent="0.25">
      <c r="B62" s="3">
        <v>7</v>
      </c>
      <c r="C62" s="6" t="s">
        <v>294</v>
      </c>
      <c r="D62" t="s">
        <v>819</v>
      </c>
      <c r="E62" s="6" t="s">
        <v>91</v>
      </c>
      <c r="F62" s="1" t="s">
        <v>118</v>
      </c>
      <c r="G62" s="6" t="s">
        <v>119</v>
      </c>
      <c r="H62">
        <v>1</v>
      </c>
    </row>
    <row r="63" spans="2:8" x14ac:dyDescent="0.25">
      <c r="B63" s="3">
        <v>7</v>
      </c>
      <c r="C63" s="6" t="s">
        <v>294</v>
      </c>
      <c r="D63" t="s">
        <v>820</v>
      </c>
      <c r="E63" s="6" t="s">
        <v>763</v>
      </c>
      <c r="F63" s="1">
        <v>201002</v>
      </c>
      <c r="G63" s="6" t="s">
        <v>70</v>
      </c>
      <c r="H63">
        <v>2</v>
      </c>
    </row>
    <row r="64" spans="2:8" x14ac:dyDescent="0.25">
      <c r="B64" s="3">
        <v>7</v>
      </c>
      <c r="C64" s="6" t="s">
        <v>294</v>
      </c>
      <c r="D64" t="s">
        <v>820</v>
      </c>
      <c r="E64" s="6" t="s">
        <v>763</v>
      </c>
      <c r="F64" s="1" t="s">
        <v>49</v>
      </c>
      <c r="G64" s="6" t="s">
        <v>50</v>
      </c>
      <c r="H64">
        <v>1</v>
      </c>
    </row>
    <row r="65" spans="2:8" x14ac:dyDescent="0.25">
      <c r="B65" s="3">
        <v>7</v>
      </c>
      <c r="C65" s="6" t="s">
        <v>294</v>
      </c>
      <c r="D65" t="s">
        <v>821</v>
      </c>
      <c r="E65" s="6" t="s">
        <v>754</v>
      </c>
      <c r="F65" s="1" t="s">
        <v>23</v>
      </c>
      <c r="G65" s="6" t="s">
        <v>24</v>
      </c>
      <c r="H65">
        <v>1</v>
      </c>
    </row>
    <row r="66" spans="2:8" x14ac:dyDescent="0.25">
      <c r="B66" s="3">
        <v>7</v>
      </c>
      <c r="C66" s="6" t="s">
        <v>294</v>
      </c>
      <c r="D66" t="s">
        <v>821</v>
      </c>
      <c r="E66" s="6" t="s">
        <v>754</v>
      </c>
      <c r="F66" s="1" t="s">
        <v>15</v>
      </c>
      <c r="G66" s="6" t="s">
        <v>16</v>
      </c>
      <c r="H66">
        <v>1</v>
      </c>
    </row>
  </sheetData>
  <autoFilter ref="B2:H66" xr:uid="{B5783B3F-8904-422A-A126-78D64CC47F8A}"/>
  <mergeCells count="2">
    <mergeCell ref="J2:L2"/>
    <mergeCell ref="J12:K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409F-8032-49FC-9515-5C573C7813CC}">
  <dimension ref="B2:M644"/>
  <sheetViews>
    <sheetView showGridLines="0" workbookViewId="0">
      <pane xSplit="2" ySplit="2" topLeftCell="C3" activePane="bottomRight" state="frozen"/>
      <selection activeCell="O17" sqref="O17"/>
      <selection pane="topRight" activeCell="O17" sqref="O17"/>
      <selection pane="bottomLeft" activeCell="O17" sqref="O17"/>
      <selection pane="bottomRight" activeCell="M20" sqref="M20"/>
    </sheetView>
  </sheetViews>
  <sheetFormatPr baseColWidth="10" defaultRowHeight="15" x14ac:dyDescent="0.25"/>
  <cols>
    <col min="4" max="4" width="27.85546875" bestFit="1" customWidth="1"/>
    <col min="6" max="6" width="60.42578125" bestFit="1" customWidth="1"/>
    <col min="8" max="8" width="27.85546875" bestFit="1" customWidth="1"/>
    <col min="11" max="11" width="30.140625" customWidth="1"/>
    <col min="12" max="12" width="22" bestFit="1" customWidth="1"/>
    <col min="14" max="14" width="10.42578125" bestFit="1" customWidth="1"/>
  </cols>
  <sheetData>
    <row r="2" spans="2:13" x14ac:dyDescent="0.25">
      <c r="B2" s="5" t="s">
        <v>823</v>
      </c>
      <c r="C2" s="5" t="s">
        <v>2</v>
      </c>
      <c r="D2" s="5" t="s">
        <v>3</v>
      </c>
      <c r="E2" s="5" t="s">
        <v>4</v>
      </c>
      <c r="F2" s="5" t="s">
        <v>5</v>
      </c>
      <c r="G2" s="7" t="s">
        <v>6</v>
      </c>
      <c r="H2" s="5" t="s">
        <v>7</v>
      </c>
      <c r="I2" s="5" t="s">
        <v>8</v>
      </c>
      <c r="K2" s="36" t="s">
        <v>7</v>
      </c>
      <c r="L2" s="37" t="s">
        <v>6</v>
      </c>
      <c r="M2" s="38" t="s">
        <v>8</v>
      </c>
    </row>
    <row r="3" spans="2:13" x14ac:dyDescent="0.25">
      <c r="B3">
        <v>1</v>
      </c>
      <c r="C3" s="3">
        <v>1</v>
      </c>
      <c r="D3" s="6" t="s">
        <v>10</v>
      </c>
      <c r="E3" t="s">
        <v>11</v>
      </c>
      <c r="F3" s="6" t="s">
        <v>12</v>
      </c>
      <c r="G3" s="24" t="s">
        <v>13</v>
      </c>
      <c r="H3" s="6" t="s">
        <v>14</v>
      </c>
      <c r="I3">
        <v>1</v>
      </c>
      <c r="K3" s="25" t="str" cm="1">
        <f t="array" ref="K3:K19">+_xlfn.UNIQUE(H3:H644)</f>
        <v>Escritorio en L administrativo</v>
      </c>
      <c r="L3" s="35" t="str">
        <f>+_xlfn.XLOOKUP(K3,$H$3:$H$644,$G$3:$G$644)</f>
        <v>201001B</v>
      </c>
      <c r="M3" s="25">
        <f>+SUMIF($H$3:$H$644,K3,$I$3:$I$644)</f>
        <v>172</v>
      </c>
    </row>
    <row r="4" spans="2:13" x14ac:dyDescent="0.25">
      <c r="B4">
        <v>1</v>
      </c>
      <c r="C4" s="3">
        <v>1</v>
      </c>
      <c r="D4" s="6" t="s">
        <v>10</v>
      </c>
      <c r="E4" t="s">
        <v>11</v>
      </c>
      <c r="F4" s="6" t="s">
        <v>12</v>
      </c>
      <c r="G4" s="24" t="s">
        <v>15</v>
      </c>
      <c r="H4" s="6" t="s">
        <v>16</v>
      </c>
      <c r="I4">
        <v>1</v>
      </c>
      <c r="K4" s="25" t="str">
        <v>Mueble Tipo Biblioteca M45_A</v>
      </c>
      <c r="L4" s="35" t="str">
        <f t="shared" ref="L4:L19" si="0">+_xlfn.XLOOKUP(K4,$H$3:$H$644,$G$3:$G$644)</f>
        <v>203016A</v>
      </c>
      <c r="M4" s="25">
        <f t="shared" ref="M4:M19" si="1">+SUMIF($H$3:$H$580,K4,$I$3:$I$580)</f>
        <v>243</v>
      </c>
    </row>
    <row r="5" spans="2:13" x14ac:dyDescent="0.25">
      <c r="B5">
        <v>1</v>
      </c>
      <c r="C5" s="3">
        <v>1</v>
      </c>
      <c r="D5" s="6" t="s">
        <v>10</v>
      </c>
      <c r="E5" t="s">
        <v>17</v>
      </c>
      <c r="F5" s="6" t="s">
        <v>18</v>
      </c>
      <c r="G5" s="24" t="s">
        <v>19</v>
      </c>
      <c r="H5" s="6" t="s">
        <v>20</v>
      </c>
      <c r="I5">
        <v>1</v>
      </c>
      <c r="K5" s="25" t="str">
        <v>Escritorio de Consultas</v>
      </c>
      <c r="L5" s="35" t="str">
        <f t="shared" si="0"/>
        <v>201001C</v>
      </c>
      <c r="M5" s="25">
        <f t="shared" si="1"/>
        <v>53</v>
      </c>
    </row>
    <row r="6" spans="2:13" x14ac:dyDescent="0.25">
      <c r="B6">
        <v>1</v>
      </c>
      <c r="C6" s="3">
        <v>1</v>
      </c>
      <c r="D6" s="6" t="s">
        <v>10</v>
      </c>
      <c r="E6" t="s">
        <v>21</v>
      </c>
      <c r="F6" s="6" t="s">
        <v>22</v>
      </c>
      <c r="G6" s="24" t="s">
        <v>23</v>
      </c>
      <c r="H6" s="6" t="s">
        <v>24</v>
      </c>
      <c r="I6">
        <v>1</v>
      </c>
      <c r="K6" s="25" t="str">
        <v>Escritorio simple 120x70 cm</v>
      </c>
      <c r="L6" s="35" t="str">
        <f t="shared" si="0"/>
        <v>201001A</v>
      </c>
      <c r="M6" s="25">
        <f t="shared" si="1"/>
        <v>109</v>
      </c>
    </row>
    <row r="7" spans="2:13" x14ac:dyDescent="0.25">
      <c r="B7">
        <v>1</v>
      </c>
      <c r="C7" s="3">
        <v>1</v>
      </c>
      <c r="D7" s="6" t="s">
        <v>10</v>
      </c>
      <c r="E7" t="s">
        <v>25</v>
      </c>
      <c r="F7" s="6" t="s">
        <v>22</v>
      </c>
      <c r="G7" s="24" t="s">
        <v>23</v>
      </c>
      <c r="H7" s="6" t="s">
        <v>24</v>
      </c>
      <c r="I7">
        <v>1</v>
      </c>
      <c r="K7" s="25" t="str">
        <v>Mesa Reuniones Tipo I</v>
      </c>
      <c r="L7" s="35">
        <f t="shared" si="0"/>
        <v>201008</v>
      </c>
      <c r="M7" s="25">
        <f t="shared" si="1"/>
        <v>44</v>
      </c>
    </row>
    <row r="8" spans="2:13" x14ac:dyDescent="0.25">
      <c r="B8">
        <v>1</v>
      </c>
      <c r="C8" s="3">
        <v>1</v>
      </c>
      <c r="D8" s="6" t="s">
        <v>10</v>
      </c>
      <c r="E8" t="s">
        <v>26</v>
      </c>
      <c r="F8" s="6" t="s">
        <v>22</v>
      </c>
      <c r="G8" s="24" t="s">
        <v>23</v>
      </c>
      <c r="H8" s="6" t="s">
        <v>24</v>
      </c>
      <c r="I8">
        <v>1</v>
      </c>
      <c r="K8" s="25" t="str">
        <v>Mesa Párvulo Tipo I</v>
      </c>
      <c r="L8" s="35">
        <f t="shared" si="0"/>
        <v>201004</v>
      </c>
      <c r="M8" s="25">
        <f t="shared" si="1"/>
        <v>7</v>
      </c>
    </row>
    <row r="9" spans="2:13" x14ac:dyDescent="0.25">
      <c r="B9">
        <v>1</v>
      </c>
      <c r="C9" s="3">
        <v>1</v>
      </c>
      <c r="D9" s="6" t="s">
        <v>10</v>
      </c>
      <c r="E9" t="s">
        <v>27</v>
      </c>
      <c r="F9" s="6" t="s">
        <v>28</v>
      </c>
      <c r="G9" s="24">
        <v>201008</v>
      </c>
      <c r="H9" s="6" t="s">
        <v>29</v>
      </c>
      <c r="I9">
        <v>1</v>
      </c>
      <c r="K9" s="25" t="str">
        <v>Mesa Reuniones Tipo III</v>
      </c>
      <c r="L9" s="35">
        <f t="shared" si="0"/>
        <v>201010</v>
      </c>
      <c r="M9" s="25">
        <f t="shared" si="1"/>
        <v>10</v>
      </c>
    </row>
    <row r="10" spans="2:13" x14ac:dyDescent="0.25">
      <c r="B10">
        <v>1</v>
      </c>
      <c r="C10" s="3">
        <v>1</v>
      </c>
      <c r="D10" s="6" t="s">
        <v>10</v>
      </c>
      <c r="E10" t="s">
        <v>30</v>
      </c>
      <c r="F10" s="6" t="s">
        <v>31</v>
      </c>
      <c r="G10" s="24" t="s">
        <v>23</v>
      </c>
      <c r="H10" s="6" t="s">
        <v>24</v>
      </c>
      <c r="I10">
        <v>1</v>
      </c>
      <c r="K10" s="25" t="str">
        <v>Mesa Tipo Casino Circular</v>
      </c>
      <c r="L10" s="35" t="str">
        <f t="shared" si="0"/>
        <v>201011A</v>
      </c>
      <c r="M10" s="25">
        <f t="shared" si="1"/>
        <v>69</v>
      </c>
    </row>
    <row r="11" spans="2:13" x14ac:dyDescent="0.25">
      <c r="B11">
        <v>1</v>
      </c>
      <c r="C11" s="3">
        <v>1</v>
      </c>
      <c r="D11" s="6" t="s">
        <v>10</v>
      </c>
      <c r="E11" t="s">
        <v>30</v>
      </c>
      <c r="F11" s="6" t="s">
        <v>31</v>
      </c>
      <c r="G11" s="24" t="s">
        <v>15</v>
      </c>
      <c r="H11" s="6" t="s">
        <v>16</v>
      </c>
      <c r="I11">
        <v>1</v>
      </c>
      <c r="K11" s="25" t="str">
        <v>Mesa Lateral</v>
      </c>
      <c r="L11" s="35">
        <f t="shared" si="0"/>
        <v>201002</v>
      </c>
      <c r="M11" s="25">
        <f t="shared" si="1"/>
        <v>6</v>
      </c>
    </row>
    <row r="12" spans="2:13" x14ac:dyDescent="0.25">
      <c r="B12">
        <v>1</v>
      </c>
      <c r="C12" s="3">
        <v>1</v>
      </c>
      <c r="D12" s="6" t="s">
        <v>10</v>
      </c>
      <c r="E12" t="s">
        <v>32</v>
      </c>
      <c r="F12" s="6" t="s">
        <v>33</v>
      </c>
      <c r="G12" s="24" t="s">
        <v>13</v>
      </c>
      <c r="H12" s="6" t="s">
        <v>14</v>
      </c>
      <c r="I12">
        <v>1</v>
      </c>
      <c r="K12" s="25" t="str">
        <v>Mesa Párvulo Tipo II</v>
      </c>
      <c r="L12" s="35">
        <f t="shared" si="0"/>
        <v>201005</v>
      </c>
      <c r="M12" s="25">
        <f t="shared" si="1"/>
        <v>12</v>
      </c>
    </row>
    <row r="13" spans="2:13" x14ac:dyDescent="0.25">
      <c r="B13">
        <v>1</v>
      </c>
      <c r="C13" s="3">
        <v>1</v>
      </c>
      <c r="D13" s="6" t="s">
        <v>10</v>
      </c>
      <c r="E13" t="s">
        <v>32</v>
      </c>
      <c r="F13" s="6" t="s">
        <v>33</v>
      </c>
      <c r="G13" s="24" t="s">
        <v>15</v>
      </c>
      <c r="H13" s="6" t="s">
        <v>16</v>
      </c>
      <c r="I13">
        <v>1</v>
      </c>
      <c r="K13" s="25" t="str">
        <v>Mueble Locker</v>
      </c>
      <c r="L13" s="35">
        <f t="shared" si="0"/>
        <v>202012</v>
      </c>
      <c r="M13" s="25">
        <f t="shared" si="1"/>
        <v>8</v>
      </c>
    </row>
    <row r="14" spans="2:13" x14ac:dyDescent="0.25">
      <c r="B14">
        <v>1</v>
      </c>
      <c r="C14" s="3">
        <v>1</v>
      </c>
      <c r="D14" s="6" t="s">
        <v>10</v>
      </c>
      <c r="E14" t="s">
        <v>34</v>
      </c>
      <c r="F14" s="6" t="s">
        <v>35</v>
      </c>
      <c r="G14" s="24" t="s">
        <v>15</v>
      </c>
      <c r="H14" s="6" t="s">
        <v>16</v>
      </c>
      <c r="I14">
        <v>1</v>
      </c>
      <c r="K14" s="25" t="str">
        <v>Mesa Párvulo Inclusión</v>
      </c>
      <c r="L14" s="35">
        <f t="shared" si="0"/>
        <v>201003</v>
      </c>
      <c r="M14" s="25">
        <f t="shared" si="1"/>
        <v>2</v>
      </c>
    </row>
    <row r="15" spans="2:13" x14ac:dyDescent="0.25">
      <c r="B15">
        <v>1</v>
      </c>
      <c r="C15" s="3">
        <v>1</v>
      </c>
      <c r="D15" s="6" t="s">
        <v>36</v>
      </c>
      <c r="E15" t="s">
        <v>37</v>
      </c>
      <c r="F15" s="6" t="s">
        <v>38</v>
      </c>
      <c r="G15" s="24" t="s">
        <v>15</v>
      </c>
      <c r="H15" s="6" t="s">
        <v>16</v>
      </c>
      <c r="I15">
        <v>1</v>
      </c>
      <c r="K15" s="25" t="str">
        <v>Mesa Reuniones Tipo II</v>
      </c>
      <c r="L15" s="35">
        <f t="shared" si="0"/>
        <v>201009</v>
      </c>
      <c r="M15" s="25">
        <f t="shared" si="1"/>
        <v>16</v>
      </c>
    </row>
    <row r="16" spans="2:13" x14ac:dyDescent="0.25">
      <c r="B16">
        <v>1</v>
      </c>
      <c r="C16" s="3">
        <v>1</v>
      </c>
      <c r="D16" s="6" t="s">
        <v>36</v>
      </c>
      <c r="E16" t="s">
        <v>39</v>
      </c>
      <c r="F16" s="6" t="s">
        <v>40</v>
      </c>
      <c r="G16" s="24">
        <v>201004</v>
      </c>
      <c r="H16" s="6" t="s">
        <v>41</v>
      </c>
      <c r="I16">
        <v>1</v>
      </c>
      <c r="K16" s="25" t="str">
        <v>Mesa Tipo Casino Redonda 90 cm</v>
      </c>
      <c r="L16" s="35" t="str">
        <f t="shared" si="0"/>
        <v>201011B</v>
      </c>
      <c r="M16" s="25">
        <f t="shared" si="1"/>
        <v>17</v>
      </c>
    </row>
    <row r="17" spans="2:13" x14ac:dyDescent="0.25">
      <c r="B17">
        <v>1</v>
      </c>
      <c r="C17" s="3">
        <v>1</v>
      </c>
      <c r="D17" s="6" t="s">
        <v>36</v>
      </c>
      <c r="E17" t="s">
        <v>42</v>
      </c>
      <c r="F17" s="6" t="s">
        <v>43</v>
      </c>
      <c r="G17" s="24">
        <v>201010</v>
      </c>
      <c r="H17" s="6" t="s">
        <v>44</v>
      </c>
      <c r="I17">
        <v>1</v>
      </c>
      <c r="K17" s="25" t="str">
        <v>Punto de registro clínico</v>
      </c>
      <c r="L17" s="35" t="str">
        <f t="shared" si="0"/>
        <v>201001E</v>
      </c>
      <c r="M17" s="25">
        <f t="shared" si="1"/>
        <v>31</v>
      </c>
    </row>
    <row r="18" spans="2:13" x14ac:dyDescent="0.25">
      <c r="B18">
        <v>1</v>
      </c>
      <c r="C18" s="3">
        <v>1</v>
      </c>
      <c r="D18" s="6" t="s">
        <v>36</v>
      </c>
      <c r="E18" t="s">
        <v>42</v>
      </c>
      <c r="F18" s="6" t="s">
        <v>43</v>
      </c>
      <c r="G18" s="24" t="s">
        <v>23</v>
      </c>
      <c r="H18" s="6" t="s">
        <v>24</v>
      </c>
      <c r="I18">
        <v>1</v>
      </c>
      <c r="K18" s="25" t="str">
        <v>Escritorio simple 130x70 cm</v>
      </c>
      <c r="L18" s="35" t="str">
        <f t="shared" si="0"/>
        <v>201001D</v>
      </c>
      <c r="M18" s="25">
        <f t="shared" si="1"/>
        <v>4</v>
      </c>
    </row>
    <row r="19" spans="2:13" ht="15.75" thickBot="1" x14ac:dyDescent="0.3">
      <c r="B19">
        <v>1</v>
      </c>
      <c r="C19" s="3">
        <v>1</v>
      </c>
      <c r="D19" s="6" t="s">
        <v>36</v>
      </c>
      <c r="E19" t="s">
        <v>45</v>
      </c>
      <c r="F19" s="6" t="s">
        <v>46</v>
      </c>
      <c r="G19" s="24">
        <v>201008</v>
      </c>
      <c r="H19" s="6" t="s">
        <v>29</v>
      </c>
      <c r="I19">
        <v>3</v>
      </c>
      <c r="K19" s="25" t="str">
        <v>Mueble Tipo Biblioteca M45_B</v>
      </c>
      <c r="L19" s="35" t="str">
        <f t="shared" si="0"/>
        <v>203016B</v>
      </c>
      <c r="M19" s="25">
        <f t="shared" si="1"/>
        <v>16</v>
      </c>
    </row>
    <row r="20" spans="2:13" ht="15.75" thickBot="1" x14ac:dyDescent="0.3">
      <c r="B20">
        <v>1</v>
      </c>
      <c r="C20" s="3">
        <v>1</v>
      </c>
      <c r="D20" s="6" t="s">
        <v>36</v>
      </c>
      <c r="E20" t="s">
        <v>45</v>
      </c>
      <c r="F20" s="6" t="s">
        <v>46</v>
      </c>
      <c r="G20" s="24" t="s">
        <v>15</v>
      </c>
      <c r="H20" s="6" t="s">
        <v>16</v>
      </c>
      <c r="I20">
        <v>1</v>
      </c>
      <c r="M20" s="44">
        <f>SUM(M3:M19)</f>
        <v>819</v>
      </c>
    </row>
    <row r="21" spans="2:13" x14ac:dyDescent="0.25">
      <c r="B21">
        <v>1</v>
      </c>
      <c r="C21" s="3">
        <v>1</v>
      </c>
      <c r="D21" s="6" t="s">
        <v>36</v>
      </c>
      <c r="E21" t="s">
        <v>47</v>
      </c>
      <c r="F21" s="6" t="s">
        <v>48</v>
      </c>
      <c r="G21" s="24" t="s">
        <v>49</v>
      </c>
      <c r="H21" s="6" t="s">
        <v>50</v>
      </c>
      <c r="I21">
        <v>1</v>
      </c>
    </row>
    <row r="22" spans="2:13" x14ac:dyDescent="0.25">
      <c r="B22">
        <v>1</v>
      </c>
      <c r="C22" s="3">
        <v>1</v>
      </c>
      <c r="D22" s="6" t="s">
        <v>36</v>
      </c>
      <c r="E22" t="s">
        <v>51</v>
      </c>
      <c r="F22" s="6" t="s">
        <v>52</v>
      </c>
      <c r="G22" s="24" t="s">
        <v>13</v>
      </c>
      <c r="H22" s="6" t="s">
        <v>14</v>
      </c>
      <c r="I22">
        <v>1</v>
      </c>
    </row>
    <row r="23" spans="2:13" x14ac:dyDescent="0.25">
      <c r="B23">
        <v>1</v>
      </c>
      <c r="C23" s="3">
        <v>1</v>
      </c>
      <c r="D23" s="6" t="s">
        <v>36</v>
      </c>
      <c r="E23" t="s">
        <v>51</v>
      </c>
      <c r="F23" s="6" t="s">
        <v>52</v>
      </c>
      <c r="G23" s="24" t="s">
        <v>15</v>
      </c>
      <c r="H23" s="6" t="s">
        <v>16</v>
      </c>
      <c r="I23">
        <v>1</v>
      </c>
    </row>
    <row r="24" spans="2:13" x14ac:dyDescent="0.25">
      <c r="B24">
        <v>1</v>
      </c>
      <c r="C24" s="3">
        <v>1</v>
      </c>
      <c r="D24" s="6" t="s">
        <v>36</v>
      </c>
      <c r="E24" t="s">
        <v>53</v>
      </c>
      <c r="F24" s="6" t="s">
        <v>54</v>
      </c>
      <c r="G24" s="24" t="s">
        <v>13</v>
      </c>
      <c r="H24" s="6" t="s">
        <v>14</v>
      </c>
      <c r="I24">
        <v>1</v>
      </c>
    </row>
    <row r="25" spans="2:13" x14ac:dyDescent="0.25">
      <c r="B25">
        <v>1</v>
      </c>
      <c r="C25" s="3">
        <v>1</v>
      </c>
      <c r="D25" s="6" t="s">
        <v>36</v>
      </c>
      <c r="E25" t="s">
        <v>53</v>
      </c>
      <c r="F25" s="6" t="s">
        <v>54</v>
      </c>
      <c r="G25" s="24" t="s">
        <v>15</v>
      </c>
      <c r="H25" s="6" t="s">
        <v>16</v>
      </c>
      <c r="I25">
        <v>1</v>
      </c>
    </row>
    <row r="26" spans="2:13" x14ac:dyDescent="0.25">
      <c r="B26">
        <v>1</v>
      </c>
      <c r="C26" s="3">
        <v>1</v>
      </c>
      <c r="D26" s="6" t="s">
        <v>36</v>
      </c>
      <c r="E26" t="s">
        <v>55</v>
      </c>
      <c r="F26" s="6" t="s">
        <v>56</v>
      </c>
      <c r="G26" s="24" t="s">
        <v>15</v>
      </c>
      <c r="H26" s="6" t="s">
        <v>16</v>
      </c>
      <c r="I26">
        <v>1</v>
      </c>
    </row>
    <row r="27" spans="2:13" x14ac:dyDescent="0.25">
      <c r="B27">
        <v>1</v>
      </c>
      <c r="C27" s="3">
        <v>1</v>
      </c>
      <c r="D27" s="6" t="s">
        <v>36</v>
      </c>
      <c r="E27" t="s">
        <v>57</v>
      </c>
      <c r="F27" s="6" t="s">
        <v>58</v>
      </c>
      <c r="G27" s="24" t="s">
        <v>19</v>
      </c>
      <c r="H27" s="6" t="s">
        <v>20</v>
      </c>
      <c r="I27">
        <v>1</v>
      </c>
    </row>
    <row r="28" spans="2:13" x14ac:dyDescent="0.25">
      <c r="B28">
        <v>1</v>
      </c>
      <c r="C28" s="3">
        <v>1</v>
      </c>
      <c r="D28" s="6" t="s">
        <v>36</v>
      </c>
      <c r="E28" t="s">
        <v>59</v>
      </c>
      <c r="F28" s="6" t="s">
        <v>60</v>
      </c>
      <c r="G28" s="24" t="s">
        <v>19</v>
      </c>
      <c r="H28" s="6" t="s">
        <v>20</v>
      </c>
      <c r="I28">
        <v>1</v>
      </c>
    </row>
    <row r="29" spans="2:13" x14ac:dyDescent="0.25">
      <c r="B29">
        <v>1</v>
      </c>
      <c r="C29" s="3">
        <v>1</v>
      </c>
      <c r="D29" s="6" t="s">
        <v>36</v>
      </c>
      <c r="E29" t="s">
        <v>59</v>
      </c>
      <c r="F29" s="6" t="s">
        <v>60</v>
      </c>
      <c r="G29" s="24" t="s">
        <v>15</v>
      </c>
      <c r="H29" s="6" t="s">
        <v>16</v>
      </c>
      <c r="I29">
        <v>1</v>
      </c>
    </row>
    <row r="30" spans="2:13" x14ac:dyDescent="0.25">
      <c r="B30">
        <v>1</v>
      </c>
      <c r="C30" s="3">
        <v>1</v>
      </c>
      <c r="D30" s="6" t="s">
        <v>36</v>
      </c>
      <c r="E30" t="s">
        <v>61</v>
      </c>
      <c r="F30" s="6" t="s">
        <v>62</v>
      </c>
      <c r="G30" s="24" t="s">
        <v>19</v>
      </c>
      <c r="H30" s="6" t="s">
        <v>20</v>
      </c>
      <c r="I30">
        <v>1</v>
      </c>
    </row>
    <row r="31" spans="2:13" x14ac:dyDescent="0.25">
      <c r="B31">
        <v>1</v>
      </c>
      <c r="C31" s="3">
        <v>1</v>
      </c>
      <c r="D31" s="6" t="s">
        <v>36</v>
      </c>
      <c r="E31" t="s">
        <v>63</v>
      </c>
      <c r="F31" s="6" t="s">
        <v>64</v>
      </c>
      <c r="G31" s="24" t="s">
        <v>19</v>
      </c>
      <c r="H31" s="6" t="s">
        <v>20</v>
      </c>
      <c r="I31">
        <v>1</v>
      </c>
    </row>
    <row r="32" spans="2:13" x14ac:dyDescent="0.25">
      <c r="B32">
        <v>1</v>
      </c>
      <c r="C32" s="3">
        <v>1</v>
      </c>
      <c r="D32" s="6" t="s">
        <v>36</v>
      </c>
      <c r="E32" t="s">
        <v>65</v>
      </c>
      <c r="F32" s="6" t="s">
        <v>66</v>
      </c>
      <c r="G32" s="24">
        <v>201004</v>
      </c>
      <c r="H32" s="6" t="s">
        <v>41</v>
      </c>
      <c r="I32">
        <v>1</v>
      </c>
    </row>
    <row r="33" spans="2:9" x14ac:dyDescent="0.25">
      <c r="B33">
        <v>1</v>
      </c>
      <c r="C33" s="3">
        <v>1</v>
      </c>
      <c r="D33" s="6" t="s">
        <v>36</v>
      </c>
      <c r="E33" t="s">
        <v>65</v>
      </c>
      <c r="F33" s="6" t="s">
        <v>66</v>
      </c>
      <c r="G33" s="24" t="s">
        <v>19</v>
      </c>
      <c r="H33" s="6" t="s">
        <v>20</v>
      </c>
      <c r="I33">
        <v>1</v>
      </c>
    </row>
    <row r="34" spans="2:9" x14ac:dyDescent="0.25">
      <c r="B34">
        <v>1</v>
      </c>
      <c r="C34" s="3">
        <v>1</v>
      </c>
      <c r="D34" s="6" t="s">
        <v>67</v>
      </c>
      <c r="E34" t="s">
        <v>68</v>
      </c>
      <c r="F34" s="6" t="s">
        <v>69</v>
      </c>
      <c r="G34" s="24">
        <v>201002</v>
      </c>
      <c r="H34" s="6" t="s">
        <v>70</v>
      </c>
      <c r="I34">
        <v>1</v>
      </c>
    </row>
    <row r="35" spans="2:9" x14ac:dyDescent="0.25">
      <c r="B35">
        <v>1</v>
      </c>
      <c r="C35" s="3">
        <v>1</v>
      </c>
      <c r="D35" s="6" t="s">
        <v>67</v>
      </c>
      <c r="E35" t="s">
        <v>71</v>
      </c>
      <c r="F35" s="6" t="s">
        <v>72</v>
      </c>
      <c r="G35" s="24" t="s">
        <v>13</v>
      </c>
      <c r="H35" s="6" t="s">
        <v>14</v>
      </c>
      <c r="I35">
        <v>1</v>
      </c>
    </row>
    <row r="36" spans="2:9" x14ac:dyDescent="0.25">
      <c r="B36">
        <v>1</v>
      </c>
      <c r="C36" s="3">
        <v>1</v>
      </c>
      <c r="D36" s="6" t="s">
        <v>67</v>
      </c>
      <c r="E36" t="s">
        <v>71</v>
      </c>
      <c r="F36" s="6" t="s">
        <v>72</v>
      </c>
      <c r="G36" s="24" t="s">
        <v>15</v>
      </c>
      <c r="H36" s="6" t="s">
        <v>16</v>
      </c>
      <c r="I36">
        <v>1</v>
      </c>
    </row>
    <row r="37" spans="2:9" x14ac:dyDescent="0.25">
      <c r="B37">
        <v>1</v>
      </c>
      <c r="C37" s="8">
        <v>1</v>
      </c>
      <c r="D37" s="6" t="s">
        <v>67</v>
      </c>
      <c r="E37" t="s">
        <v>73</v>
      </c>
      <c r="F37" s="6" t="s">
        <v>74</v>
      </c>
      <c r="G37" s="24" t="s">
        <v>23</v>
      </c>
      <c r="H37" s="6" t="s">
        <v>24</v>
      </c>
      <c r="I37">
        <v>1</v>
      </c>
    </row>
    <row r="38" spans="2:9" x14ac:dyDescent="0.25">
      <c r="B38">
        <v>2</v>
      </c>
      <c r="C38" s="3">
        <v>1</v>
      </c>
      <c r="D38" s="6" t="s">
        <v>84</v>
      </c>
      <c r="E38" t="s">
        <v>85</v>
      </c>
      <c r="F38" s="6" t="s">
        <v>86</v>
      </c>
      <c r="G38" s="24" t="s">
        <v>13</v>
      </c>
      <c r="H38" s="6" t="s">
        <v>14</v>
      </c>
      <c r="I38">
        <v>1</v>
      </c>
    </row>
    <row r="39" spans="2:9" x14ac:dyDescent="0.25">
      <c r="B39">
        <v>2</v>
      </c>
      <c r="C39" s="3">
        <v>1</v>
      </c>
      <c r="D39" s="6" t="s">
        <v>84</v>
      </c>
      <c r="E39" t="s">
        <v>85</v>
      </c>
      <c r="F39" s="6" t="s">
        <v>86</v>
      </c>
      <c r="G39" s="24" t="s">
        <v>15</v>
      </c>
      <c r="H39" s="6" t="s">
        <v>16</v>
      </c>
      <c r="I39">
        <v>1</v>
      </c>
    </row>
    <row r="40" spans="2:9" x14ac:dyDescent="0.25">
      <c r="B40">
        <v>2</v>
      </c>
      <c r="C40" s="3">
        <v>1</v>
      </c>
      <c r="D40" s="6" t="s">
        <v>84</v>
      </c>
      <c r="E40" t="s">
        <v>90</v>
      </c>
      <c r="F40" s="6" t="s">
        <v>91</v>
      </c>
      <c r="G40" s="24" t="s">
        <v>49</v>
      </c>
      <c r="H40" s="6" t="s">
        <v>50</v>
      </c>
      <c r="I40">
        <v>1</v>
      </c>
    </row>
    <row r="41" spans="2:9" x14ac:dyDescent="0.25">
      <c r="B41">
        <v>2</v>
      </c>
      <c r="C41" s="3">
        <v>1</v>
      </c>
      <c r="D41" s="6" t="s">
        <v>84</v>
      </c>
      <c r="E41" t="s">
        <v>94</v>
      </c>
      <c r="F41" s="6" t="s">
        <v>95</v>
      </c>
      <c r="G41" s="24" t="s">
        <v>23</v>
      </c>
      <c r="H41" s="6" t="s">
        <v>24</v>
      </c>
      <c r="I41">
        <v>1</v>
      </c>
    </row>
    <row r="42" spans="2:9" x14ac:dyDescent="0.25">
      <c r="B42">
        <v>2</v>
      </c>
      <c r="C42" s="3">
        <v>1</v>
      </c>
      <c r="D42" s="6" t="s">
        <v>84</v>
      </c>
      <c r="E42" t="s">
        <v>94</v>
      </c>
      <c r="F42" s="6" t="s">
        <v>95</v>
      </c>
      <c r="G42" s="24" t="s">
        <v>15</v>
      </c>
      <c r="H42" s="6" t="s">
        <v>16</v>
      </c>
      <c r="I42">
        <v>1</v>
      </c>
    </row>
    <row r="43" spans="2:9" x14ac:dyDescent="0.25">
      <c r="B43">
        <v>2</v>
      </c>
      <c r="C43" s="3">
        <v>1</v>
      </c>
      <c r="D43" s="6" t="s">
        <v>84</v>
      </c>
      <c r="E43" t="s">
        <v>98</v>
      </c>
      <c r="F43" s="6" t="s">
        <v>99</v>
      </c>
      <c r="G43" s="24" t="s">
        <v>15</v>
      </c>
      <c r="H43" s="6" t="s">
        <v>16</v>
      </c>
      <c r="I43">
        <v>1</v>
      </c>
    </row>
    <row r="44" spans="2:9" x14ac:dyDescent="0.25">
      <c r="B44">
        <v>2</v>
      </c>
      <c r="C44" s="3">
        <v>1</v>
      </c>
      <c r="D44" s="6" t="s">
        <v>84</v>
      </c>
      <c r="E44" t="s">
        <v>101</v>
      </c>
      <c r="F44" s="6" t="s">
        <v>102</v>
      </c>
      <c r="G44" s="24" t="s">
        <v>23</v>
      </c>
      <c r="H44" s="6" t="s">
        <v>24</v>
      </c>
      <c r="I44">
        <v>1</v>
      </c>
    </row>
    <row r="45" spans="2:9" x14ac:dyDescent="0.25">
      <c r="B45">
        <v>2</v>
      </c>
      <c r="C45" s="3">
        <v>1</v>
      </c>
      <c r="D45" s="6" t="s">
        <v>84</v>
      </c>
      <c r="E45" t="s">
        <v>101</v>
      </c>
      <c r="F45" s="6" t="s">
        <v>102</v>
      </c>
      <c r="G45" s="24" t="s">
        <v>15</v>
      </c>
      <c r="H45" s="6" t="s">
        <v>16</v>
      </c>
      <c r="I45">
        <v>1</v>
      </c>
    </row>
    <row r="46" spans="2:9" x14ac:dyDescent="0.25">
      <c r="B46">
        <v>2</v>
      </c>
      <c r="C46" s="3">
        <v>1</v>
      </c>
      <c r="D46" s="6" t="s">
        <v>120</v>
      </c>
      <c r="E46" t="s">
        <v>121</v>
      </c>
      <c r="F46" s="6" t="s">
        <v>122</v>
      </c>
      <c r="G46" s="24" t="s">
        <v>13</v>
      </c>
      <c r="H46" s="6" t="s">
        <v>14</v>
      </c>
      <c r="I46">
        <v>1</v>
      </c>
    </row>
    <row r="47" spans="2:9" x14ac:dyDescent="0.25">
      <c r="B47">
        <v>2</v>
      </c>
      <c r="C47" s="3">
        <v>1</v>
      </c>
      <c r="D47" s="6" t="s">
        <v>120</v>
      </c>
      <c r="E47" t="s">
        <v>121</v>
      </c>
      <c r="F47" s="6" t="s">
        <v>122</v>
      </c>
      <c r="G47" s="24" t="s">
        <v>15</v>
      </c>
      <c r="H47" s="6" t="s">
        <v>16</v>
      </c>
      <c r="I47">
        <v>1</v>
      </c>
    </row>
    <row r="48" spans="2:9" x14ac:dyDescent="0.25">
      <c r="B48">
        <v>2</v>
      </c>
      <c r="C48" s="3">
        <v>1</v>
      </c>
      <c r="D48" s="6" t="s">
        <v>120</v>
      </c>
      <c r="E48" t="s">
        <v>123</v>
      </c>
      <c r="F48" s="6" t="s">
        <v>124</v>
      </c>
      <c r="G48" s="24">
        <v>201008</v>
      </c>
      <c r="H48" s="6" t="s">
        <v>29</v>
      </c>
      <c r="I48">
        <v>1</v>
      </c>
    </row>
    <row r="49" spans="2:9" x14ac:dyDescent="0.25">
      <c r="B49">
        <v>2</v>
      </c>
      <c r="C49" s="3">
        <v>1</v>
      </c>
      <c r="D49" s="6" t="s">
        <v>120</v>
      </c>
      <c r="E49" t="s">
        <v>123</v>
      </c>
      <c r="F49" s="6" t="s">
        <v>124</v>
      </c>
      <c r="G49" s="24" t="s">
        <v>13</v>
      </c>
      <c r="H49" s="6" t="s">
        <v>14</v>
      </c>
      <c r="I49">
        <v>1</v>
      </c>
    </row>
    <row r="50" spans="2:9" x14ac:dyDescent="0.25">
      <c r="B50">
        <v>2</v>
      </c>
      <c r="C50" s="3">
        <v>1</v>
      </c>
      <c r="D50" s="6" t="s">
        <v>120</v>
      </c>
      <c r="E50" t="s">
        <v>123</v>
      </c>
      <c r="F50" s="6" t="s">
        <v>124</v>
      </c>
      <c r="G50" s="24" t="s">
        <v>15</v>
      </c>
      <c r="H50" s="6" t="s">
        <v>16</v>
      </c>
      <c r="I50">
        <v>1</v>
      </c>
    </row>
    <row r="51" spans="2:9" x14ac:dyDescent="0.25">
      <c r="B51">
        <v>2</v>
      </c>
      <c r="C51" s="3">
        <v>1</v>
      </c>
      <c r="D51" s="6" t="s">
        <v>120</v>
      </c>
      <c r="E51" t="s">
        <v>125</v>
      </c>
      <c r="F51" s="6" t="s">
        <v>126</v>
      </c>
      <c r="G51" s="24">
        <v>201008</v>
      </c>
      <c r="H51" s="6" t="s">
        <v>29</v>
      </c>
      <c r="I51">
        <v>1</v>
      </c>
    </row>
    <row r="52" spans="2:9" x14ac:dyDescent="0.25">
      <c r="B52">
        <v>2</v>
      </c>
      <c r="C52" s="3">
        <v>1</v>
      </c>
      <c r="D52" s="6" t="s">
        <v>120</v>
      </c>
      <c r="E52" t="s">
        <v>125</v>
      </c>
      <c r="F52" s="6" t="s">
        <v>126</v>
      </c>
      <c r="G52" s="24" t="s">
        <v>13</v>
      </c>
      <c r="H52" s="6" t="s">
        <v>14</v>
      </c>
      <c r="I52">
        <v>1</v>
      </c>
    </row>
    <row r="53" spans="2:9" x14ac:dyDescent="0.25">
      <c r="B53">
        <v>2</v>
      </c>
      <c r="C53" s="3">
        <v>1</v>
      </c>
      <c r="D53" s="6" t="s">
        <v>120</v>
      </c>
      <c r="E53" t="s">
        <v>125</v>
      </c>
      <c r="F53" s="6" t="s">
        <v>126</v>
      </c>
      <c r="G53" s="24" t="s">
        <v>15</v>
      </c>
      <c r="H53" s="6" t="s">
        <v>16</v>
      </c>
      <c r="I53">
        <v>1</v>
      </c>
    </row>
    <row r="54" spans="2:9" x14ac:dyDescent="0.25">
      <c r="B54">
        <v>2</v>
      </c>
      <c r="C54" s="3">
        <v>1</v>
      </c>
      <c r="D54" s="6" t="s">
        <v>120</v>
      </c>
      <c r="E54" t="s">
        <v>127</v>
      </c>
      <c r="F54" s="6" t="s">
        <v>128</v>
      </c>
      <c r="G54" s="24">
        <v>201008</v>
      </c>
      <c r="H54" s="6" t="s">
        <v>29</v>
      </c>
      <c r="I54">
        <v>1</v>
      </c>
    </row>
    <row r="55" spans="2:9" x14ac:dyDescent="0.25">
      <c r="B55">
        <v>2</v>
      </c>
      <c r="C55" s="3">
        <v>1</v>
      </c>
      <c r="D55" s="6" t="s">
        <v>120</v>
      </c>
      <c r="E55" t="s">
        <v>127</v>
      </c>
      <c r="F55" s="6" t="s">
        <v>128</v>
      </c>
      <c r="G55" s="24" t="s">
        <v>13</v>
      </c>
      <c r="H55" s="6" t="s">
        <v>14</v>
      </c>
      <c r="I55">
        <v>1</v>
      </c>
    </row>
    <row r="56" spans="2:9" x14ac:dyDescent="0.25">
      <c r="B56">
        <v>2</v>
      </c>
      <c r="C56" s="3">
        <v>1</v>
      </c>
      <c r="D56" s="6" t="s">
        <v>120</v>
      </c>
      <c r="E56" t="s">
        <v>127</v>
      </c>
      <c r="F56" s="6" t="s">
        <v>128</v>
      </c>
      <c r="G56" s="24" t="s">
        <v>15</v>
      </c>
      <c r="H56" s="6" t="s">
        <v>16</v>
      </c>
      <c r="I56">
        <v>1</v>
      </c>
    </row>
    <row r="57" spans="2:9" x14ac:dyDescent="0.25">
      <c r="B57">
        <v>2</v>
      </c>
      <c r="C57" s="3">
        <v>1</v>
      </c>
      <c r="D57" s="6" t="s">
        <v>120</v>
      </c>
      <c r="E57" t="s">
        <v>129</v>
      </c>
      <c r="F57" s="6" t="s">
        <v>130</v>
      </c>
      <c r="G57" s="24">
        <v>201008</v>
      </c>
      <c r="H57" s="6" t="s">
        <v>29</v>
      </c>
      <c r="I57">
        <v>1</v>
      </c>
    </row>
    <row r="58" spans="2:9" x14ac:dyDescent="0.25">
      <c r="B58">
        <v>2</v>
      </c>
      <c r="C58" s="3">
        <v>1</v>
      </c>
      <c r="D58" s="6" t="s">
        <v>120</v>
      </c>
      <c r="E58" t="s">
        <v>129</v>
      </c>
      <c r="F58" s="6" t="s">
        <v>130</v>
      </c>
      <c r="G58" s="24" t="s">
        <v>13</v>
      </c>
      <c r="H58" s="6" t="s">
        <v>14</v>
      </c>
      <c r="I58">
        <v>1</v>
      </c>
    </row>
    <row r="59" spans="2:9" x14ac:dyDescent="0.25">
      <c r="B59">
        <v>2</v>
      </c>
      <c r="C59" s="3">
        <v>1</v>
      </c>
      <c r="D59" s="6" t="s">
        <v>120</v>
      </c>
      <c r="E59" t="s">
        <v>129</v>
      </c>
      <c r="F59" s="6" t="s">
        <v>130</v>
      </c>
      <c r="G59" s="24" t="s">
        <v>15</v>
      </c>
      <c r="H59" s="6" t="s">
        <v>16</v>
      </c>
      <c r="I59">
        <v>1</v>
      </c>
    </row>
    <row r="60" spans="2:9" x14ac:dyDescent="0.25">
      <c r="B60">
        <v>2</v>
      </c>
      <c r="C60" s="3">
        <v>1</v>
      </c>
      <c r="D60" s="6" t="s">
        <v>120</v>
      </c>
      <c r="E60" t="s">
        <v>131</v>
      </c>
      <c r="F60" s="6" t="s">
        <v>132</v>
      </c>
      <c r="G60" s="24" t="s">
        <v>23</v>
      </c>
      <c r="H60" s="6" t="s">
        <v>24</v>
      </c>
      <c r="I60">
        <v>1</v>
      </c>
    </row>
    <row r="61" spans="2:9" x14ac:dyDescent="0.25">
      <c r="B61">
        <v>2</v>
      </c>
      <c r="C61" s="3">
        <v>1</v>
      </c>
      <c r="D61" s="6" t="s">
        <v>120</v>
      </c>
      <c r="E61" t="s">
        <v>133</v>
      </c>
      <c r="F61" s="6" t="s">
        <v>134</v>
      </c>
      <c r="G61" s="24" t="s">
        <v>23</v>
      </c>
      <c r="H61" s="6" t="s">
        <v>24</v>
      </c>
      <c r="I61">
        <v>1</v>
      </c>
    </row>
    <row r="62" spans="2:9" x14ac:dyDescent="0.25">
      <c r="B62">
        <v>2</v>
      </c>
      <c r="C62" s="3">
        <v>1</v>
      </c>
      <c r="D62" s="6" t="s">
        <v>120</v>
      </c>
      <c r="E62" t="s">
        <v>135</v>
      </c>
      <c r="F62" s="6" t="s">
        <v>130</v>
      </c>
      <c r="G62" s="24" t="s">
        <v>23</v>
      </c>
      <c r="H62" s="6" t="s">
        <v>24</v>
      </c>
      <c r="I62">
        <v>1</v>
      </c>
    </row>
    <row r="63" spans="2:9" x14ac:dyDescent="0.25">
      <c r="B63">
        <v>2</v>
      </c>
      <c r="C63" s="3">
        <v>1</v>
      </c>
      <c r="D63" s="6" t="s">
        <v>120</v>
      </c>
      <c r="E63" t="s">
        <v>135</v>
      </c>
      <c r="F63" s="6" t="s">
        <v>130</v>
      </c>
      <c r="G63" s="24" t="s">
        <v>15</v>
      </c>
      <c r="H63" s="6" t="s">
        <v>16</v>
      </c>
      <c r="I63">
        <v>1</v>
      </c>
    </row>
    <row r="64" spans="2:9" x14ac:dyDescent="0.25">
      <c r="B64">
        <v>2</v>
      </c>
      <c r="C64" s="3">
        <v>1</v>
      </c>
      <c r="D64" s="6" t="s">
        <v>120</v>
      </c>
      <c r="E64" t="s">
        <v>136</v>
      </c>
      <c r="F64" s="6" t="s">
        <v>137</v>
      </c>
      <c r="G64" s="24">
        <v>201008</v>
      </c>
      <c r="H64" s="6" t="s">
        <v>29</v>
      </c>
      <c r="I64">
        <v>1</v>
      </c>
    </row>
    <row r="65" spans="2:9" x14ac:dyDescent="0.25">
      <c r="B65">
        <v>2</v>
      </c>
      <c r="C65" s="3">
        <v>1</v>
      </c>
      <c r="D65" s="6" t="s">
        <v>120</v>
      </c>
      <c r="E65" t="s">
        <v>136</v>
      </c>
      <c r="F65" s="6" t="s">
        <v>137</v>
      </c>
      <c r="G65" s="24" t="s">
        <v>23</v>
      </c>
      <c r="H65" s="6" t="s">
        <v>24</v>
      </c>
      <c r="I65">
        <v>3</v>
      </c>
    </row>
    <row r="66" spans="2:9" x14ac:dyDescent="0.25">
      <c r="B66">
        <v>2</v>
      </c>
      <c r="C66" s="3">
        <v>1</v>
      </c>
      <c r="D66" s="6" t="s">
        <v>120</v>
      </c>
      <c r="E66" t="s">
        <v>136</v>
      </c>
      <c r="F66" s="6" t="s">
        <v>137</v>
      </c>
      <c r="G66" s="24" t="s">
        <v>15</v>
      </c>
      <c r="H66" s="6" t="s">
        <v>16</v>
      </c>
      <c r="I66">
        <v>3</v>
      </c>
    </row>
    <row r="67" spans="2:9" x14ac:dyDescent="0.25">
      <c r="B67">
        <v>2</v>
      </c>
      <c r="C67" s="3">
        <v>1</v>
      </c>
      <c r="D67" s="6" t="s">
        <v>120</v>
      </c>
      <c r="E67" t="s">
        <v>138</v>
      </c>
      <c r="F67" s="6" t="s">
        <v>139</v>
      </c>
      <c r="G67" s="24" t="s">
        <v>13</v>
      </c>
      <c r="H67" s="6" t="s">
        <v>14</v>
      </c>
      <c r="I67">
        <v>2</v>
      </c>
    </row>
    <row r="68" spans="2:9" x14ac:dyDescent="0.25">
      <c r="B68">
        <v>2</v>
      </c>
      <c r="C68" s="3">
        <v>1</v>
      </c>
      <c r="D68" s="6" t="s">
        <v>120</v>
      </c>
      <c r="E68" t="s">
        <v>138</v>
      </c>
      <c r="F68" s="6" t="s">
        <v>139</v>
      </c>
      <c r="G68" s="24" t="s">
        <v>15</v>
      </c>
      <c r="H68" s="6" t="s">
        <v>16</v>
      </c>
      <c r="I68">
        <v>2</v>
      </c>
    </row>
    <row r="69" spans="2:9" x14ac:dyDescent="0.25">
      <c r="B69">
        <v>2</v>
      </c>
      <c r="C69" s="3">
        <v>1</v>
      </c>
      <c r="D69" s="6" t="s">
        <v>120</v>
      </c>
      <c r="E69" t="s">
        <v>140</v>
      </c>
      <c r="F69" s="6" t="s">
        <v>141</v>
      </c>
      <c r="G69" s="24" t="s">
        <v>13</v>
      </c>
      <c r="H69" s="6" t="s">
        <v>14</v>
      </c>
      <c r="I69">
        <v>2</v>
      </c>
    </row>
    <row r="70" spans="2:9" x14ac:dyDescent="0.25">
      <c r="B70">
        <v>2</v>
      </c>
      <c r="C70" s="3">
        <v>1</v>
      </c>
      <c r="D70" s="6" t="s">
        <v>120</v>
      </c>
      <c r="E70" t="s">
        <v>140</v>
      </c>
      <c r="F70" s="6" t="s">
        <v>141</v>
      </c>
      <c r="G70" s="24" t="s">
        <v>15</v>
      </c>
      <c r="H70" s="6" t="s">
        <v>16</v>
      </c>
      <c r="I70">
        <v>2</v>
      </c>
    </row>
    <row r="71" spans="2:9" x14ac:dyDescent="0.25">
      <c r="B71">
        <v>2</v>
      </c>
      <c r="C71" s="3">
        <v>1</v>
      </c>
      <c r="D71" s="6" t="s">
        <v>120</v>
      </c>
      <c r="E71" t="s">
        <v>143</v>
      </c>
      <c r="F71" s="6" t="s">
        <v>144</v>
      </c>
      <c r="G71" s="24">
        <v>201008</v>
      </c>
      <c r="H71" s="6" t="s">
        <v>29</v>
      </c>
      <c r="I71">
        <v>1</v>
      </c>
    </row>
    <row r="72" spans="2:9" x14ac:dyDescent="0.25">
      <c r="B72">
        <v>2</v>
      </c>
      <c r="C72" s="3">
        <v>1</v>
      </c>
      <c r="D72" s="6" t="s">
        <v>120</v>
      </c>
      <c r="E72" t="s">
        <v>143</v>
      </c>
      <c r="F72" s="6" t="s">
        <v>144</v>
      </c>
      <c r="G72" s="24" t="s">
        <v>13</v>
      </c>
      <c r="H72" s="6" t="s">
        <v>14</v>
      </c>
      <c r="I72">
        <v>1</v>
      </c>
    </row>
    <row r="73" spans="2:9" x14ac:dyDescent="0.25">
      <c r="B73">
        <v>2</v>
      </c>
      <c r="C73" s="3">
        <v>1</v>
      </c>
      <c r="D73" s="6" t="s">
        <v>120</v>
      </c>
      <c r="E73" t="s">
        <v>143</v>
      </c>
      <c r="F73" s="6" t="s">
        <v>144</v>
      </c>
      <c r="G73" s="24" t="s">
        <v>15</v>
      </c>
      <c r="H73" s="6" t="s">
        <v>16</v>
      </c>
      <c r="I73">
        <v>1</v>
      </c>
    </row>
    <row r="74" spans="2:9" x14ac:dyDescent="0.25">
      <c r="B74">
        <v>2</v>
      </c>
      <c r="C74" s="3">
        <v>1</v>
      </c>
      <c r="D74" s="6" t="s">
        <v>120</v>
      </c>
      <c r="E74" t="s">
        <v>145</v>
      </c>
      <c r="F74" s="6" t="s">
        <v>146</v>
      </c>
      <c r="G74" s="24" t="s">
        <v>13</v>
      </c>
      <c r="H74" s="6" t="s">
        <v>14</v>
      </c>
      <c r="I74">
        <v>1</v>
      </c>
    </row>
    <row r="75" spans="2:9" x14ac:dyDescent="0.25">
      <c r="B75">
        <v>2</v>
      </c>
      <c r="C75" s="3">
        <v>1</v>
      </c>
      <c r="D75" s="6" t="s">
        <v>120</v>
      </c>
      <c r="E75" t="s">
        <v>145</v>
      </c>
      <c r="F75" s="6" t="s">
        <v>146</v>
      </c>
      <c r="G75" s="24" t="s">
        <v>15</v>
      </c>
      <c r="H75" s="6" t="s">
        <v>16</v>
      </c>
      <c r="I75">
        <v>1</v>
      </c>
    </row>
    <row r="76" spans="2:9" x14ac:dyDescent="0.25">
      <c r="B76">
        <v>2</v>
      </c>
      <c r="C76" s="3">
        <v>1</v>
      </c>
      <c r="D76" s="6" t="s">
        <v>120</v>
      </c>
      <c r="E76" t="s">
        <v>147</v>
      </c>
      <c r="F76" s="6" t="s">
        <v>148</v>
      </c>
      <c r="G76" s="24" t="s">
        <v>23</v>
      </c>
      <c r="H76" s="6" t="s">
        <v>24</v>
      </c>
      <c r="I76">
        <v>2</v>
      </c>
    </row>
    <row r="77" spans="2:9" x14ac:dyDescent="0.25">
      <c r="B77">
        <v>2</v>
      </c>
      <c r="C77" s="3">
        <v>1</v>
      </c>
      <c r="D77" s="6" t="s">
        <v>120</v>
      </c>
      <c r="E77" t="s">
        <v>147</v>
      </c>
      <c r="F77" s="6" t="s">
        <v>148</v>
      </c>
      <c r="G77" s="24" t="s">
        <v>15</v>
      </c>
      <c r="H77" s="6" t="s">
        <v>16</v>
      </c>
      <c r="I77">
        <v>2</v>
      </c>
    </row>
    <row r="78" spans="2:9" x14ac:dyDescent="0.25">
      <c r="B78">
        <v>2</v>
      </c>
      <c r="C78" s="3">
        <v>1</v>
      </c>
      <c r="D78" s="6" t="s">
        <v>120</v>
      </c>
      <c r="E78" t="s">
        <v>149</v>
      </c>
      <c r="F78" s="6" t="s">
        <v>150</v>
      </c>
      <c r="G78" s="24" t="s">
        <v>13</v>
      </c>
      <c r="H78" s="6" t="s">
        <v>14</v>
      </c>
      <c r="I78">
        <v>1</v>
      </c>
    </row>
    <row r="79" spans="2:9" x14ac:dyDescent="0.25">
      <c r="B79">
        <v>2</v>
      </c>
      <c r="C79" s="3">
        <v>1</v>
      </c>
      <c r="D79" s="6" t="s">
        <v>120</v>
      </c>
      <c r="E79" t="s">
        <v>149</v>
      </c>
      <c r="F79" s="6" t="s">
        <v>150</v>
      </c>
      <c r="G79" s="24" t="s">
        <v>15</v>
      </c>
      <c r="H79" s="6" t="s">
        <v>16</v>
      </c>
      <c r="I79">
        <v>1</v>
      </c>
    </row>
    <row r="80" spans="2:9" x14ac:dyDescent="0.25">
      <c r="B80">
        <v>2</v>
      </c>
      <c r="C80" s="3">
        <v>1</v>
      </c>
      <c r="D80" s="6" t="s">
        <v>120</v>
      </c>
      <c r="E80" t="s">
        <v>151</v>
      </c>
      <c r="F80" s="6" t="s">
        <v>152</v>
      </c>
      <c r="G80" s="24" t="s">
        <v>13</v>
      </c>
      <c r="H80" s="6" t="s">
        <v>14</v>
      </c>
      <c r="I80">
        <v>2</v>
      </c>
    </row>
    <row r="81" spans="2:9" x14ac:dyDescent="0.25">
      <c r="B81">
        <v>2</v>
      </c>
      <c r="C81" s="3">
        <v>1</v>
      </c>
      <c r="D81" s="6" t="s">
        <v>120</v>
      </c>
      <c r="E81" t="s">
        <v>151</v>
      </c>
      <c r="F81" s="6" t="s">
        <v>152</v>
      </c>
      <c r="G81" s="24" t="s">
        <v>15</v>
      </c>
      <c r="H81" s="6" t="s">
        <v>16</v>
      </c>
      <c r="I81">
        <v>2</v>
      </c>
    </row>
    <row r="82" spans="2:9" x14ac:dyDescent="0.25">
      <c r="B82">
        <v>2</v>
      </c>
      <c r="C82" s="3">
        <v>1</v>
      </c>
      <c r="D82" s="6" t="s">
        <v>120</v>
      </c>
      <c r="E82" t="s">
        <v>153</v>
      </c>
      <c r="F82" s="6" t="s">
        <v>91</v>
      </c>
      <c r="G82" s="24" t="s">
        <v>49</v>
      </c>
      <c r="H82" s="6" t="s">
        <v>50</v>
      </c>
      <c r="I82">
        <v>1</v>
      </c>
    </row>
    <row r="83" spans="2:9" x14ac:dyDescent="0.25">
      <c r="B83">
        <v>2</v>
      </c>
      <c r="C83" s="3">
        <v>1</v>
      </c>
      <c r="D83" s="6" t="s">
        <v>120</v>
      </c>
      <c r="E83" t="s">
        <v>155</v>
      </c>
      <c r="F83" s="6" t="s">
        <v>156</v>
      </c>
      <c r="G83" s="24" t="s">
        <v>13</v>
      </c>
      <c r="H83" s="6" t="s">
        <v>14</v>
      </c>
      <c r="I83">
        <v>1</v>
      </c>
    </row>
    <row r="84" spans="2:9" x14ac:dyDescent="0.25">
      <c r="B84">
        <v>2</v>
      </c>
      <c r="C84" s="3">
        <v>1</v>
      </c>
      <c r="D84" s="6" t="s">
        <v>120</v>
      </c>
      <c r="E84" t="s">
        <v>155</v>
      </c>
      <c r="F84" s="6" t="s">
        <v>156</v>
      </c>
      <c r="G84" s="24" t="s">
        <v>15</v>
      </c>
      <c r="H84" s="6" t="s">
        <v>16</v>
      </c>
      <c r="I84">
        <v>1</v>
      </c>
    </row>
    <row r="85" spans="2:9" x14ac:dyDescent="0.25">
      <c r="B85">
        <v>2</v>
      </c>
      <c r="C85" s="3">
        <v>1</v>
      </c>
      <c r="D85" s="6" t="s">
        <v>120</v>
      </c>
      <c r="E85" t="s">
        <v>157</v>
      </c>
      <c r="F85" s="6" t="s">
        <v>158</v>
      </c>
      <c r="G85" s="24" t="s">
        <v>23</v>
      </c>
      <c r="H85" s="6" t="s">
        <v>24</v>
      </c>
      <c r="I85">
        <v>2</v>
      </c>
    </row>
    <row r="86" spans="2:9" x14ac:dyDescent="0.25">
      <c r="B86">
        <v>2</v>
      </c>
      <c r="C86" s="3">
        <v>1</v>
      </c>
      <c r="D86" s="6" t="s">
        <v>120</v>
      </c>
      <c r="E86" t="s">
        <v>157</v>
      </c>
      <c r="F86" s="6" t="s">
        <v>158</v>
      </c>
      <c r="G86" s="24" t="s">
        <v>15</v>
      </c>
      <c r="H86" s="6" t="s">
        <v>16</v>
      </c>
      <c r="I86">
        <v>2</v>
      </c>
    </row>
    <row r="87" spans="2:9" x14ac:dyDescent="0.25">
      <c r="B87">
        <v>2</v>
      </c>
      <c r="C87" s="3">
        <v>1</v>
      </c>
      <c r="D87" s="6" t="s">
        <v>120</v>
      </c>
      <c r="E87" t="s">
        <v>161</v>
      </c>
      <c r="F87" s="6" t="s">
        <v>91</v>
      </c>
      <c r="G87" s="24" t="s">
        <v>49</v>
      </c>
      <c r="H87" s="6" t="s">
        <v>50</v>
      </c>
      <c r="I87">
        <v>2</v>
      </c>
    </row>
    <row r="88" spans="2:9" x14ac:dyDescent="0.25">
      <c r="B88">
        <v>2</v>
      </c>
      <c r="C88" s="3">
        <v>1</v>
      </c>
      <c r="D88" s="6" t="s">
        <v>162</v>
      </c>
      <c r="E88" t="s">
        <v>163</v>
      </c>
      <c r="F88" s="6" t="s">
        <v>164</v>
      </c>
      <c r="G88" s="24">
        <v>201008</v>
      </c>
      <c r="H88" s="6" t="s">
        <v>29</v>
      </c>
      <c r="I88">
        <v>1</v>
      </c>
    </row>
    <row r="89" spans="2:9" x14ac:dyDescent="0.25">
      <c r="B89">
        <v>2</v>
      </c>
      <c r="C89" s="3">
        <v>1</v>
      </c>
      <c r="D89" s="6" t="s">
        <v>162</v>
      </c>
      <c r="E89" t="s">
        <v>163</v>
      </c>
      <c r="F89" s="6" t="s">
        <v>164</v>
      </c>
      <c r="G89" s="24" t="s">
        <v>13</v>
      </c>
      <c r="H89" s="6" t="s">
        <v>14</v>
      </c>
      <c r="I89">
        <v>1</v>
      </c>
    </row>
    <row r="90" spans="2:9" x14ac:dyDescent="0.25">
      <c r="B90">
        <v>2</v>
      </c>
      <c r="C90" s="3">
        <v>1</v>
      </c>
      <c r="D90" s="6" t="s">
        <v>162</v>
      </c>
      <c r="E90" t="s">
        <v>163</v>
      </c>
      <c r="F90" s="6" t="s">
        <v>164</v>
      </c>
      <c r="G90" s="24" t="s">
        <v>15</v>
      </c>
      <c r="H90" s="6" t="s">
        <v>16</v>
      </c>
      <c r="I90">
        <v>1</v>
      </c>
    </row>
    <row r="91" spans="2:9" x14ac:dyDescent="0.25">
      <c r="B91">
        <v>2</v>
      </c>
      <c r="C91" s="3">
        <v>1</v>
      </c>
      <c r="D91" s="6" t="s">
        <v>162</v>
      </c>
      <c r="E91" t="s">
        <v>165</v>
      </c>
      <c r="F91" s="6" t="s">
        <v>166</v>
      </c>
      <c r="G91" s="24" t="s">
        <v>13</v>
      </c>
      <c r="H91" s="6" t="s">
        <v>14</v>
      </c>
      <c r="I91">
        <v>1</v>
      </c>
    </row>
    <row r="92" spans="2:9" x14ac:dyDescent="0.25">
      <c r="B92">
        <v>2</v>
      </c>
      <c r="C92" s="3">
        <v>1</v>
      </c>
      <c r="D92" s="6" t="s">
        <v>162</v>
      </c>
      <c r="E92" t="s">
        <v>165</v>
      </c>
      <c r="F92" s="6" t="s">
        <v>166</v>
      </c>
      <c r="G92" s="24" t="s">
        <v>15</v>
      </c>
      <c r="H92" s="6" t="s">
        <v>16</v>
      </c>
      <c r="I92">
        <v>1</v>
      </c>
    </row>
    <row r="93" spans="2:9" x14ac:dyDescent="0.25">
      <c r="B93">
        <v>2</v>
      </c>
      <c r="C93" s="3">
        <v>1</v>
      </c>
      <c r="D93" s="6" t="s">
        <v>162</v>
      </c>
      <c r="E93" t="s">
        <v>167</v>
      </c>
      <c r="F93" s="6" t="s">
        <v>168</v>
      </c>
      <c r="G93" s="24">
        <v>201008</v>
      </c>
      <c r="H93" s="6" t="s">
        <v>29</v>
      </c>
      <c r="I93">
        <v>1</v>
      </c>
    </row>
    <row r="94" spans="2:9" x14ac:dyDescent="0.25">
      <c r="B94">
        <v>2</v>
      </c>
      <c r="C94" s="3">
        <v>1</v>
      </c>
      <c r="D94" s="6" t="s">
        <v>162</v>
      </c>
      <c r="E94" t="s">
        <v>167</v>
      </c>
      <c r="F94" s="6" t="s">
        <v>168</v>
      </c>
      <c r="G94" s="24" t="s">
        <v>13</v>
      </c>
      <c r="H94" s="6" t="s">
        <v>14</v>
      </c>
      <c r="I94">
        <v>1</v>
      </c>
    </row>
    <row r="95" spans="2:9" x14ac:dyDescent="0.25">
      <c r="B95">
        <v>2</v>
      </c>
      <c r="C95" s="3">
        <v>1</v>
      </c>
      <c r="D95" s="6" t="s">
        <v>162</v>
      </c>
      <c r="E95" t="s">
        <v>167</v>
      </c>
      <c r="F95" s="6" t="s">
        <v>168</v>
      </c>
      <c r="G95" s="24" t="s">
        <v>15</v>
      </c>
      <c r="H95" s="6" t="s">
        <v>16</v>
      </c>
      <c r="I95">
        <v>1</v>
      </c>
    </row>
    <row r="96" spans="2:9" x14ac:dyDescent="0.25">
      <c r="B96">
        <v>2</v>
      </c>
      <c r="C96" s="3">
        <v>1</v>
      </c>
      <c r="D96" s="6" t="s">
        <v>162</v>
      </c>
      <c r="E96" t="s">
        <v>170</v>
      </c>
      <c r="F96" s="6" t="s">
        <v>171</v>
      </c>
      <c r="G96" s="24" t="s">
        <v>19</v>
      </c>
      <c r="H96" s="6" t="s">
        <v>20</v>
      </c>
      <c r="I96">
        <v>1</v>
      </c>
    </row>
    <row r="97" spans="2:9" x14ac:dyDescent="0.25">
      <c r="B97">
        <v>2</v>
      </c>
      <c r="C97" s="3">
        <v>1</v>
      </c>
      <c r="D97" s="6" t="s">
        <v>162</v>
      </c>
      <c r="E97" t="s">
        <v>172</v>
      </c>
      <c r="F97" s="6" t="s">
        <v>173</v>
      </c>
      <c r="G97" s="24" t="s">
        <v>19</v>
      </c>
      <c r="H97" s="6" t="s">
        <v>20</v>
      </c>
      <c r="I97">
        <v>1</v>
      </c>
    </row>
    <row r="98" spans="2:9" x14ac:dyDescent="0.25">
      <c r="B98">
        <v>2</v>
      </c>
      <c r="C98" s="3">
        <v>1</v>
      </c>
      <c r="D98" s="6" t="s">
        <v>162</v>
      </c>
      <c r="E98" t="s">
        <v>174</v>
      </c>
      <c r="F98" s="6" t="s">
        <v>175</v>
      </c>
      <c r="G98" s="24" t="s">
        <v>19</v>
      </c>
      <c r="H98" s="6" t="s">
        <v>20</v>
      </c>
      <c r="I98">
        <v>1</v>
      </c>
    </row>
    <row r="99" spans="2:9" x14ac:dyDescent="0.25">
      <c r="B99">
        <v>2</v>
      </c>
      <c r="C99" s="3">
        <v>1</v>
      </c>
      <c r="D99" s="6" t="s">
        <v>180</v>
      </c>
      <c r="E99" t="s">
        <v>181</v>
      </c>
      <c r="F99" s="6" t="s">
        <v>182</v>
      </c>
      <c r="G99" s="24" t="s">
        <v>13</v>
      </c>
      <c r="H99" s="6" t="s">
        <v>14</v>
      </c>
      <c r="I99">
        <v>1</v>
      </c>
    </row>
    <row r="100" spans="2:9" x14ac:dyDescent="0.25">
      <c r="B100">
        <v>2</v>
      </c>
      <c r="C100" s="3">
        <v>1</v>
      </c>
      <c r="D100" s="6" t="s">
        <v>180</v>
      </c>
      <c r="E100" t="s">
        <v>181</v>
      </c>
      <c r="F100" s="6" t="s">
        <v>182</v>
      </c>
      <c r="G100" s="24" t="s">
        <v>15</v>
      </c>
      <c r="H100" s="6" t="s">
        <v>16</v>
      </c>
      <c r="I100">
        <v>1</v>
      </c>
    </row>
    <row r="101" spans="2:9" x14ac:dyDescent="0.25">
      <c r="B101">
        <v>2</v>
      </c>
      <c r="C101" s="3">
        <v>1</v>
      </c>
      <c r="D101" s="6" t="s">
        <v>180</v>
      </c>
      <c r="E101" t="s">
        <v>183</v>
      </c>
      <c r="F101" s="6" t="s">
        <v>184</v>
      </c>
      <c r="G101" s="24" t="s">
        <v>13</v>
      </c>
      <c r="H101" s="6" t="s">
        <v>14</v>
      </c>
      <c r="I101">
        <v>1</v>
      </c>
    </row>
    <row r="102" spans="2:9" x14ac:dyDescent="0.25">
      <c r="B102">
        <v>2</v>
      </c>
      <c r="C102" s="3">
        <v>1</v>
      </c>
      <c r="D102" s="6" t="s">
        <v>180</v>
      </c>
      <c r="E102" t="s">
        <v>183</v>
      </c>
      <c r="F102" s="6" t="s">
        <v>184</v>
      </c>
      <c r="G102" s="24" t="s">
        <v>15</v>
      </c>
      <c r="H102" s="6" t="s">
        <v>16</v>
      </c>
      <c r="I102">
        <v>1</v>
      </c>
    </row>
    <row r="103" spans="2:9" x14ac:dyDescent="0.25">
      <c r="B103">
        <v>2</v>
      </c>
      <c r="C103" s="3">
        <v>1</v>
      </c>
      <c r="D103" s="6" t="s">
        <v>180</v>
      </c>
      <c r="E103" t="s">
        <v>185</v>
      </c>
      <c r="F103" s="6" t="s">
        <v>186</v>
      </c>
      <c r="G103" s="24" t="s">
        <v>23</v>
      </c>
      <c r="H103" s="6" t="s">
        <v>24</v>
      </c>
      <c r="I103">
        <v>1</v>
      </c>
    </row>
    <row r="104" spans="2:9" x14ac:dyDescent="0.25">
      <c r="B104">
        <v>2</v>
      </c>
      <c r="C104" s="3">
        <v>1</v>
      </c>
      <c r="D104" s="6" t="s">
        <v>180</v>
      </c>
      <c r="E104" t="s">
        <v>185</v>
      </c>
      <c r="F104" s="6" t="s">
        <v>186</v>
      </c>
      <c r="G104" s="24" t="s">
        <v>15</v>
      </c>
      <c r="H104" s="6" t="s">
        <v>16</v>
      </c>
      <c r="I104">
        <v>1</v>
      </c>
    </row>
    <row r="105" spans="2:9" x14ac:dyDescent="0.25">
      <c r="B105">
        <v>2</v>
      </c>
      <c r="C105" s="3">
        <v>1</v>
      </c>
      <c r="D105" s="6" t="s">
        <v>180</v>
      </c>
      <c r="E105" t="s">
        <v>187</v>
      </c>
      <c r="F105" s="6" t="s">
        <v>188</v>
      </c>
      <c r="G105" s="24" t="s">
        <v>23</v>
      </c>
      <c r="H105" s="6" t="s">
        <v>24</v>
      </c>
      <c r="I105">
        <v>6</v>
      </c>
    </row>
    <row r="106" spans="2:9" x14ac:dyDescent="0.25">
      <c r="B106">
        <v>2</v>
      </c>
      <c r="C106" s="3">
        <v>1</v>
      </c>
      <c r="D106" s="6" t="s">
        <v>180</v>
      </c>
      <c r="E106" t="s">
        <v>187</v>
      </c>
      <c r="F106" s="6" t="s">
        <v>188</v>
      </c>
      <c r="G106" s="24" t="s">
        <v>15</v>
      </c>
      <c r="H106" s="6" t="s">
        <v>16</v>
      </c>
      <c r="I106">
        <v>4</v>
      </c>
    </row>
    <row r="107" spans="2:9" x14ac:dyDescent="0.25">
      <c r="B107">
        <v>2</v>
      </c>
      <c r="C107" s="3">
        <v>1</v>
      </c>
      <c r="D107" s="6" t="s">
        <v>180</v>
      </c>
      <c r="E107" t="s">
        <v>189</v>
      </c>
      <c r="F107" s="6" t="s">
        <v>190</v>
      </c>
      <c r="G107" s="24" t="s">
        <v>23</v>
      </c>
      <c r="H107" s="6" t="s">
        <v>24</v>
      </c>
      <c r="I107">
        <v>3</v>
      </c>
    </row>
    <row r="108" spans="2:9" x14ac:dyDescent="0.25">
      <c r="B108">
        <v>2</v>
      </c>
      <c r="C108" s="3">
        <v>1</v>
      </c>
      <c r="D108" s="6" t="s">
        <v>180</v>
      </c>
      <c r="E108" t="s">
        <v>189</v>
      </c>
      <c r="F108" s="6" t="s">
        <v>190</v>
      </c>
      <c r="G108" s="24" t="s">
        <v>15</v>
      </c>
      <c r="H108" s="6" t="s">
        <v>16</v>
      </c>
      <c r="I108">
        <v>3</v>
      </c>
    </row>
    <row r="109" spans="2:9" x14ac:dyDescent="0.25">
      <c r="B109">
        <v>2</v>
      </c>
      <c r="C109" s="3">
        <v>1</v>
      </c>
      <c r="D109" s="6" t="s">
        <v>180</v>
      </c>
      <c r="E109" t="s">
        <v>191</v>
      </c>
      <c r="F109" s="6" t="s">
        <v>91</v>
      </c>
      <c r="G109" s="24" t="s">
        <v>49</v>
      </c>
      <c r="H109" s="6" t="s">
        <v>50</v>
      </c>
      <c r="I109">
        <v>1</v>
      </c>
    </row>
    <row r="110" spans="2:9" x14ac:dyDescent="0.25">
      <c r="B110">
        <v>2</v>
      </c>
      <c r="C110" s="3">
        <v>1</v>
      </c>
      <c r="D110" s="6" t="s">
        <v>180</v>
      </c>
      <c r="E110" t="s">
        <v>192</v>
      </c>
      <c r="F110" s="6" t="s">
        <v>193</v>
      </c>
      <c r="G110" s="24" t="s">
        <v>23</v>
      </c>
      <c r="H110" s="6" t="s">
        <v>24</v>
      </c>
      <c r="I110">
        <v>1</v>
      </c>
    </row>
    <row r="111" spans="2:9" x14ac:dyDescent="0.25">
      <c r="B111">
        <v>2</v>
      </c>
      <c r="C111" s="3">
        <v>1</v>
      </c>
      <c r="D111" s="6" t="s">
        <v>180</v>
      </c>
      <c r="E111" t="s">
        <v>194</v>
      </c>
      <c r="F111" s="6" t="s">
        <v>195</v>
      </c>
      <c r="G111" s="24" t="s">
        <v>23</v>
      </c>
      <c r="H111" s="6" t="s">
        <v>24</v>
      </c>
      <c r="I111">
        <v>1</v>
      </c>
    </row>
    <row r="112" spans="2:9" x14ac:dyDescent="0.25">
      <c r="B112">
        <v>2</v>
      </c>
      <c r="C112" s="3">
        <v>1</v>
      </c>
      <c r="D112" s="6" t="s">
        <v>180</v>
      </c>
      <c r="E112" t="s">
        <v>196</v>
      </c>
      <c r="F112" s="6" t="s">
        <v>195</v>
      </c>
      <c r="G112" s="24" t="s">
        <v>23</v>
      </c>
      <c r="H112" s="6" t="s">
        <v>24</v>
      </c>
      <c r="I112">
        <v>1</v>
      </c>
    </row>
    <row r="113" spans="2:9" x14ac:dyDescent="0.25">
      <c r="B113">
        <v>2</v>
      </c>
      <c r="C113" s="3">
        <v>1</v>
      </c>
      <c r="D113" s="6" t="s">
        <v>197</v>
      </c>
      <c r="E113" t="s">
        <v>198</v>
      </c>
      <c r="F113" s="6" t="s">
        <v>199</v>
      </c>
      <c r="G113" s="24" t="s">
        <v>23</v>
      </c>
      <c r="H113" s="6" t="s">
        <v>24</v>
      </c>
      <c r="I113">
        <v>1</v>
      </c>
    </row>
    <row r="114" spans="2:9" x14ac:dyDescent="0.25">
      <c r="B114">
        <v>2</v>
      </c>
      <c r="C114" s="3">
        <v>1</v>
      </c>
      <c r="D114" s="6" t="s">
        <v>197</v>
      </c>
      <c r="E114" t="s">
        <v>198</v>
      </c>
      <c r="F114" s="6" t="s">
        <v>199</v>
      </c>
      <c r="G114" s="24" t="s">
        <v>15</v>
      </c>
      <c r="H114" s="6" t="s">
        <v>16</v>
      </c>
      <c r="I114">
        <v>1</v>
      </c>
    </row>
    <row r="115" spans="2:9" x14ac:dyDescent="0.25">
      <c r="B115">
        <v>2</v>
      </c>
      <c r="C115" s="3">
        <v>1</v>
      </c>
      <c r="D115" s="6" t="s">
        <v>67</v>
      </c>
      <c r="E115" t="s">
        <v>68</v>
      </c>
      <c r="F115" s="6" t="s">
        <v>69</v>
      </c>
      <c r="G115" s="24">
        <v>201002</v>
      </c>
      <c r="H115" s="6" t="s">
        <v>70</v>
      </c>
      <c r="I115">
        <v>1</v>
      </c>
    </row>
    <row r="116" spans="2:9" x14ac:dyDescent="0.25">
      <c r="B116">
        <v>2</v>
      </c>
      <c r="C116" s="3">
        <v>1</v>
      </c>
      <c r="D116" s="6" t="s">
        <v>67</v>
      </c>
      <c r="E116" t="s">
        <v>71</v>
      </c>
      <c r="F116" s="6" t="s">
        <v>72</v>
      </c>
      <c r="G116" s="24" t="s">
        <v>13</v>
      </c>
      <c r="H116" s="6" t="s">
        <v>14</v>
      </c>
      <c r="I116">
        <v>1</v>
      </c>
    </row>
    <row r="117" spans="2:9" x14ac:dyDescent="0.25">
      <c r="B117">
        <v>2</v>
      </c>
      <c r="C117" s="3">
        <v>1</v>
      </c>
      <c r="D117" s="6" t="s">
        <v>67</v>
      </c>
      <c r="E117" t="s">
        <v>71</v>
      </c>
      <c r="F117" s="6" t="s">
        <v>72</v>
      </c>
      <c r="G117" s="24" t="s">
        <v>15</v>
      </c>
      <c r="H117" s="6" t="s">
        <v>16</v>
      </c>
      <c r="I117">
        <v>1</v>
      </c>
    </row>
    <row r="118" spans="2:9" x14ac:dyDescent="0.25">
      <c r="B118">
        <v>2</v>
      </c>
      <c r="C118" s="3">
        <v>1</v>
      </c>
      <c r="D118" s="6" t="s">
        <v>67</v>
      </c>
      <c r="E118" t="s">
        <v>73</v>
      </c>
      <c r="F118" s="6" t="s">
        <v>74</v>
      </c>
      <c r="G118" s="24" t="s">
        <v>23</v>
      </c>
      <c r="H118" s="6" t="s">
        <v>24</v>
      </c>
      <c r="I118">
        <v>1</v>
      </c>
    </row>
    <row r="119" spans="2:9" x14ac:dyDescent="0.25">
      <c r="B119">
        <v>2</v>
      </c>
      <c r="C119" s="3">
        <v>1</v>
      </c>
      <c r="D119" s="6" t="s">
        <v>209</v>
      </c>
      <c r="E119" t="s">
        <v>210</v>
      </c>
      <c r="F119" s="6" t="s">
        <v>211</v>
      </c>
      <c r="G119" s="24">
        <v>201005</v>
      </c>
      <c r="H119" s="6" t="s">
        <v>212</v>
      </c>
      <c r="I119">
        <v>4</v>
      </c>
    </row>
    <row r="120" spans="2:9" x14ac:dyDescent="0.25">
      <c r="B120">
        <v>2</v>
      </c>
      <c r="C120" s="3">
        <v>1</v>
      </c>
      <c r="D120" s="6" t="s">
        <v>209</v>
      </c>
      <c r="E120" t="s">
        <v>210</v>
      </c>
      <c r="F120" s="6" t="s">
        <v>211</v>
      </c>
      <c r="G120" s="24">
        <v>202012</v>
      </c>
      <c r="H120" s="6" t="s">
        <v>215</v>
      </c>
      <c r="I120">
        <v>2</v>
      </c>
    </row>
    <row r="121" spans="2:9" x14ac:dyDescent="0.25">
      <c r="B121">
        <v>2</v>
      </c>
      <c r="C121" s="3">
        <v>1</v>
      </c>
      <c r="D121" s="6" t="s">
        <v>209</v>
      </c>
      <c r="E121" t="s">
        <v>222</v>
      </c>
      <c r="F121" s="6" t="s">
        <v>223</v>
      </c>
      <c r="G121" s="24">
        <v>201005</v>
      </c>
      <c r="H121" s="6" t="s">
        <v>212</v>
      </c>
      <c r="I121">
        <v>4</v>
      </c>
    </row>
    <row r="122" spans="2:9" x14ac:dyDescent="0.25">
      <c r="B122">
        <v>2</v>
      </c>
      <c r="C122" s="3">
        <v>1</v>
      </c>
      <c r="D122" s="6" t="s">
        <v>209</v>
      </c>
      <c r="E122" t="s">
        <v>222</v>
      </c>
      <c r="F122" s="6" t="s">
        <v>223</v>
      </c>
      <c r="G122" s="24">
        <v>202012</v>
      </c>
      <c r="H122" s="6" t="s">
        <v>215</v>
      </c>
      <c r="I122">
        <v>2</v>
      </c>
    </row>
    <row r="123" spans="2:9" x14ac:dyDescent="0.25">
      <c r="B123">
        <v>2</v>
      </c>
      <c r="C123" s="3">
        <v>1</v>
      </c>
      <c r="D123" s="6" t="s">
        <v>209</v>
      </c>
      <c r="E123" t="s">
        <v>225</v>
      </c>
      <c r="F123" s="6" t="s">
        <v>226</v>
      </c>
      <c r="G123" s="24" t="s">
        <v>23</v>
      </c>
      <c r="H123" s="6" t="s">
        <v>24</v>
      </c>
      <c r="I123">
        <v>1</v>
      </c>
    </row>
    <row r="124" spans="2:9" x14ac:dyDescent="0.25">
      <c r="B124">
        <v>2</v>
      </c>
      <c r="C124" s="3">
        <v>1</v>
      </c>
      <c r="D124" s="6" t="s">
        <v>209</v>
      </c>
      <c r="E124" t="s">
        <v>225</v>
      </c>
      <c r="F124" s="6" t="s">
        <v>226</v>
      </c>
      <c r="G124" s="24" t="s">
        <v>15</v>
      </c>
      <c r="H124" s="6" t="s">
        <v>16</v>
      </c>
      <c r="I124">
        <v>1</v>
      </c>
    </row>
    <row r="125" spans="2:9" x14ac:dyDescent="0.25">
      <c r="B125">
        <v>2</v>
      </c>
      <c r="C125" s="3">
        <v>1</v>
      </c>
      <c r="D125" s="6" t="s">
        <v>209</v>
      </c>
      <c r="E125" t="s">
        <v>227</v>
      </c>
      <c r="F125" s="6" t="s">
        <v>228</v>
      </c>
      <c r="G125" s="24" t="s">
        <v>13</v>
      </c>
      <c r="H125" s="6" t="s">
        <v>14</v>
      </c>
      <c r="I125">
        <v>2</v>
      </c>
    </row>
    <row r="126" spans="2:9" x14ac:dyDescent="0.25">
      <c r="B126">
        <v>2</v>
      </c>
      <c r="C126" s="3">
        <v>1</v>
      </c>
      <c r="D126" s="6" t="s">
        <v>209</v>
      </c>
      <c r="E126" t="s">
        <v>227</v>
      </c>
      <c r="F126" s="6" t="s">
        <v>228</v>
      </c>
      <c r="G126" s="24" t="s">
        <v>15</v>
      </c>
      <c r="H126" s="6" t="s">
        <v>16</v>
      </c>
      <c r="I126">
        <v>2</v>
      </c>
    </row>
    <row r="127" spans="2:9" x14ac:dyDescent="0.25">
      <c r="B127">
        <v>2</v>
      </c>
      <c r="C127" s="3">
        <v>1</v>
      </c>
      <c r="D127" s="6" t="s">
        <v>209</v>
      </c>
      <c r="E127" t="s">
        <v>230</v>
      </c>
      <c r="F127" s="6" t="s">
        <v>231</v>
      </c>
      <c r="G127" s="24" t="s">
        <v>19</v>
      </c>
      <c r="H127" s="6" t="s">
        <v>20</v>
      </c>
      <c r="I127">
        <v>1</v>
      </c>
    </row>
    <row r="128" spans="2:9" x14ac:dyDescent="0.25">
      <c r="B128">
        <v>2</v>
      </c>
      <c r="C128" s="3">
        <v>1</v>
      </c>
      <c r="D128" s="6" t="s">
        <v>209</v>
      </c>
      <c r="E128" t="s">
        <v>230</v>
      </c>
      <c r="F128" s="6" t="s">
        <v>231</v>
      </c>
      <c r="G128" s="24" t="s">
        <v>15</v>
      </c>
      <c r="H128" s="6" t="s">
        <v>16</v>
      </c>
      <c r="I128">
        <v>1</v>
      </c>
    </row>
    <row r="129" spans="2:9" x14ac:dyDescent="0.25">
      <c r="B129">
        <v>2</v>
      </c>
      <c r="C129" s="3">
        <v>1</v>
      </c>
      <c r="D129" s="6" t="s">
        <v>209</v>
      </c>
      <c r="E129" t="s">
        <v>232</v>
      </c>
      <c r="F129" s="6" t="s">
        <v>233</v>
      </c>
      <c r="G129" s="24" t="s">
        <v>15</v>
      </c>
      <c r="H129" s="6" t="s">
        <v>16</v>
      </c>
      <c r="I129">
        <v>1</v>
      </c>
    </row>
    <row r="130" spans="2:9" x14ac:dyDescent="0.25">
      <c r="B130">
        <v>2</v>
      </c>
      <c r="C130" s="3">
        <v>1</v>
      </c>
      <c r="D130" s="6" t="s">
        <v>209</v>
      </c>
      <c r="E130" t="s">
        <v>234</v>
      </c>
      <c r="F130" s="6" t="s">
        <v>235</v>
      </c>
      <c r="G130" s="24">
        <v>201003</v>
      </c>
      <c r="H130" s="6" t="s">
        <v>236</v>
      </c>
      <c r="I130">
        <v>1</v>
      </c>
    </row>
    <row r="131" spans="2:9" x14ac:dyDescent="0.25">
      <c r="B131">
        <v>2</v>
      </c>
      <c r="C131" s="3">
        <v>1</v>
      </c>
      <c r="D131" s="6" t="s">
        <v>209</v>
      </c>
      <c r="E131" t="s">
        <v>234</v>
      </c>
      <c r="F131" s="6" t="s">
        <v>235</v>
      </c>
      <c r="G131" s="24">
        <v>201005</v>
      </c>
      <c r="H131" s="6" t="s">
        <v>212</v>
      </c>
      <c r="I131">
        <v>2</v>
      </c>
    </row>
    <row r="132" spans="2:9" x14ac:dyDescent="0.25">
      <c r="B132">
        <v>2</v>
      </c>
      <c r="C132" s="3">
        <v>1</v>
      </c>
      <c r="D132" s="6" t="s">
        <v>209</v>
      </c>
      <c r="E132" t="s">
        <v>234</v>
      </c>
      <c r="F132" s="6" t="s">
        <v>235</v>
      </c>
      <c r="G132" s="24">
        <v>202012</v>
      </c>
      <c r="H132" s="6" t="s">
        <v>215</v>
      </c>
      <c r="I132">
        <v>2</v>
      </c>
    </row>
    <row r="133" spans="2:9" x14ac:dyDescent="0.25">
      <c r="B133">
        <v>2</v>
      </c>
      <c r="C133" s="3">
        <v>1</v>
      </c>
      <c r="D133" s="6" t="s">
        <v>209</v>
      </c>
      <c r="E133" t="s">
        <v>243</v>
      </c>
      <c r="F133" s="6" t="s">
        <v>244</v>
      </c>
      <c r="G133" s="24">
        <v>201003</v>
      </c>
      <c r="H133" s="6" t="s">
        <v>236</v>
      </c>
      <c r="I133">
        <v>1</v>
      </c>
    </row>
    <row r="134" spans="2:9" x14ac:dyDescent="0.25">
      <c r="B134">
        <v>2</v>
      </c>
      <c r="C134" s="3">
        <v>1</v>
      </c>
      <c r="D134" s="6" t="s">
        <v>209</v>
      </c>
      <c r="E134" t="s">
        <v>243</v>
      </c>
      <c r="F134" s="6" t="s">
        <v>244</v>
      </c>
      <c r="G134" s="24">
        <v>201005</v>
      </c>
      <c r="H134" s="6" t="s">
        <v>212</v>
      </c>
      <c r="I134">
        <v>2</v>
      </c>
    </row>
    <row r="135" spans="2:9" x14ac:dyDescent="0.25">
      <c r="B135">
        <v>2</v>
      </c>
      <c r="C135" s="3">
        <v>1</v>
      </c>
      <c r="D135" s="6" t="s">
        <v>209</v>
      </c>
      <c r="E135" t="s">
        <v>243</v>
      </c>
      <c r="F135" s="6" t="s">
        <v>244</v>
      </c>
      <c r="G135" s="24">
        <v>202012</v>
      </c>
      <c r="H135" s="6" t="s">
        <v>215</v>
      </c>
      <c r="I135">
        <v>2</v>
      </c>
    </row>
    <row r="136" spans="2:9" x14ac:dyDescent="0.25">
      <c r="B136">
        <v>2</v>
      </c>
      <c r="C136" s="3">
        <v>1</v>
      </c>
      <c r="D136" s="6" t="s">
        <v>257</v>
      </c>
      <c r="E136" t="s">
        <v>258</v>
      </c>
      <c r="F136" s="6" t="s">
        <v>259</v>
      </c>
      <c r="G136" s="24" t="s">
        <v>19</v>
      </c>
      <c r="H136" s="6" t="s">
        <v>20</v>
      </c>
      <c r="I136">
        <v>1</v>
      </c>
    </row>
    <row r="137" spans="2:9" x14ac:dyDescent="0.25">
      <c r="B137">
        <v>2</v>
      </c>
      <c r="C137" s="3">
        <v>1</v>
      </c>
      <c r="D137" s="6" t="s">
        <v>257</v>
      </c>
      <c r="E137" t="s">
        <v>260</v>
      </c>
      <c r="F137" s="6" t="s">
        <v>261</v>
      </c>
      <c r="G137" s="24" t="s">
        <v>19</v>
      </c>
      <c r="H137" s="6" t="s">
        <v>20</v>
      </c>
      <c r="I137">
        <v>1</v>
      </c>
    </row>
    <row r="138" spans="2:9" x14ac:dyDescent="0.25">
      <c r="B138">
        <v>2</v>
      </c>
      <c r="C138" s="3">
        <v>1</v>
      </c>
      <c r="D138" s="6" t="s">
        <v>257</v>
      </c>
      <c r="E138" t="s">
        <v>262</v>
      </c>
      <c r="F138" s="6" t="s">
        <v>263</v>
      </c>
      <c r="G138" s="24">
        <v>201008</v>
      </c>
      <c r="H138" s="6" t="s">
        <v>29</v>
      </c>
      <c r="I138">
        <v>1</v>
      </c>
    </row>
    <row r="139" spans="2:9" x14ac:dyDescent="0.25">
      <c r="B139">
        <v>2</v>
      </c>
      <c r="C139" s="3">
        <v>1</v>
      </c>
      <c r="D139" s="6" t="s">
        <v>257</v>
      </c>
      <c r="E139" t="s">
        <v>262</v>
      </c>
      <c r="F139" s="6" t="s">
        <v>263</v>
      </c>
      <c r="G139" s="24" t="s">
        <v>13</v>
      </c>
      <c r="H139" s="6" t="s">
        <v>14</v>
      </c>
      <c r="I139">
        <v>1</v>
      </c>
    </row>
    <row r="140" spans="2:9" x14ac:dyDescent="0.25">
      <c r="B140">
        <v>2</v>
      </c>
      <c r="C140" s="3">
        <v>1</v>
      </c>
      <c r="D140" s="6" t="s">
        <v>257</v>
      </c>
      <c r="E140" t="s">
        <v>262</v>
      </c>
      <c r="F140" s="6" t="s">
        <v>263</v>
      </c>
      <c r="G140" s="24" t="s">
        <v>15</v>
      </c>
      <c r="H140" s="6" t="s">
        <v>16</v>
      </c>
      <c r="I140">
        <v>1</v>
      </c>
    </row>
    <row r="141" spans="2:9" x14ac:dyDescent="0.25">
      <c r="B141">
        <v>2</v>
      </c>
      <c r="C141" s="3">
        <v>1</v>
      </c>
      <c r="D141" s="6" t="s">
        <v>257</v>
      </c>
      <c r="E141" t="s">
        <v>264</v>
      </c>
      <c r="F141" s="6" t="s">
        <v>265</v>
      </c>
      <c r="G141" s="24" t="s">
        <v>13</v>
      </c>
      <c r="H141" s="6" t="s">
        <v>14</v>
      </c>
      <c r="I141">
        <v>1</v>
      </c>
    </row>
    <row r="142" spans="2:9" x14ac:dyDescent="0.25">
      <c r="B142">
        <v>2</v>
      </c>
      <c r="C142" s="3">
        <v>1</v>
      </c>
      <c r="D142" s="6" t="s">
        <v>257</v>
      </c>
      <c r="E142" t="s">
        <v>264</v>
      </c>
      <c r="F142" s="6" t="s">
        <v>265</v>
      </c>
      <c r="G142" s="24" t="s">
        <v>15</v>
      </c>
      <c r="H142" s="6" t="s">
        <v>16</v>
      </c>
      <c r="I142">
        <v>1</v>
      </c>
    </row>
    <row r="143" spans="2:9" x14ac:dyDescent="0.25">
      <c r="B143">
        <v>2</v>
      </c>
      <c r="C143" s="3">
        <v>1</v>
      </c>
      <c r="D143" s="6" t="s">
        <v>257</v>
      </c>
      <c r="E143" t="s">
        <v>266</v>
      </c>
      <c r="F143" s="6" t="s">
        <v>146</v>
      </c>
      <c r="G143" s="24" t="s">
        <v>13</v>
      </c>
      <c r="H143" s="6" t="s">
        <v>14</v>
      </c>
      <c r="I143">
        <v>1</v>
      </c>
    </row>
    <row r="144" spans="2:9" x14ac:dyDescent="0.25">
      <c r="B144">
        <v>2</v>
      </c>
      <c r="C144" s="3">
        <v>1</v>
      </c>
      <c r="D144" s="6" t="s">
        <v>257</v>
      </c>
      <c r="E144" t="s">
        <v>266</v>
      </c>
      <c r="F144" s="6" t="s">
        <v>146</v>
      </c>
      <c r="G144" s="24" t="s">
        <v>15</v>
      </c>
      <c r="H144" s="6" t="s">
        <v>16</v>
      </c>
      <c r="I144">
        <v>1</v>
      </c>
    </row>
    <row r="145" spans="2:9" x14ac:dyDescent="0.25">
      <c r="B145">
        <v>2</v>
      </c>
      <c r="C145" s="3">
        <v>1</v>
      </c>
      <c r="D145" s="6" t="s">
        <v>257</v>
      </c>
      <c r="E145" t="s">
        <v>268</v>
      </c>
      <c r="F145" s="6" t="s">
        <v>269</v>
      </c>
      <c r="G145" s="24" t="s">
        <v>23</v>
      </c>
      <c r="H145" s="6" t="s">
        <v>24</v>
      </c>
      <c r="I145">
        <v>1</v>
      </c>
    </row>
    <row r="146" spans="2:9" x14ac:dyDescent="0.25">
      <c r="B146">
        <v>2</v>
      </c>
      <c r="C146" s="3">
        <v>1</v>
      </c>
      <c r="D146" s="6" t="s">
        <v>257</v>
      </c>
      <c r="E146" t="s">
        <v>268</v>
      </c>
      <c r="F146" s="6" t="s">
        <v>269</v>
      </c>
      <c r="G146" s="24" t="s">
        <v>15</v>
      </c>
      <c r="H146" s="6" t="s">
        <v>16</v>
      </c>
      <c r="I146">
        <v>1</v>
      </c>
    </row>
    <row r="147" spans="2:9" x14ac:dyDescent="0.25">
      <c r="B147">
        <v>2</v>
      </c>
      <c r="C147" s="3">
        <v>1</v>
      </c>
      <c r="D147" s="6" t="s">
        <v>257</v>
      </c>
      <c r="E147" t="s">
        <v>270</v>
      </c>
      <c r="F147" s="6" t="s">
        <v>271</v>
      </c>
      <c r="G147" s="24">
        <v>201008</v>
      </c>
      <c r="H147" s="6" t="s">
        <v>29</v>
      </c>
      <c r="I147">
        <v>1</v>
      </c>
    </row>
    <row r="148" spans="2:9" x14ac:dyDescent="0.25">
      <c r="B148">
        <v>2</v>
      </c>
      <c r="C148" s="3">
        <v>1</v>
      </c>
      <c r="D148" s="6" t="s">
        <v>257</v>
      </c>
      <c r="E148" t="s">
        <v>270</v>
      </c>
      <c r="F148" s="6" t="s">
        <v>271</v>
      </c>
      <c r="G148" s="24" t="s">
        <v>15</v>
      </c>
      <c r="H148" s="6" t="s">
        <v>16</v>
      </c>
      <c r="I148">
        <v>1</v>
      </c>
    </row>
    <row r="149" spans="2:9" x14ac:dyDescent="0.25">
      <c r="B149">
        <v>2</v>
      </c>
      <c r="C149" s="3">
        <v>1</v>
      </c>
      <c r="D149" s="6" t="s">
        <v>257</v>
      </c>
      <c r="E149" t="s">
        <v>274</v>
      </c>
      <c r="F149" s="6" t="s">
        <v>273</v>
      </c>
      <c r="G149" s="24" t="s">
        <v>23</v>
      </c>
      <c r="H149" s="6" t="s">
        <v>24</v>
      </c>
      <c r="I149">
        <v>1</v>
      </c>
    </row>
    <row r="150" spans="2:9" x14ac:dyDescent="0.25">
      <c r="B150">
        <v>2</v>
      </c>
      <c r="C150" s="3">
        <v>1</v>
      </c>
      <c r="D150" s="6" t="s">
        <v>257</v>
      </c>
      <c r="E150" t="s">
        <v>275</v>
      </c>
      <c r="F150" s="6" t="s">
        <v>276</v>
      </c>
      <c r="G150" s="24">
        <v>201004</v>
      </c>
      <c r="H150" s="6" t="s">
        <v>41</v>
      </c>
      <c r="I150">
        <v>1</v>
      </c>
    </row>
    <row r="151" spans="2:9" x14ac:dyDescent="0.25">
      <c r="B151">
        <v>2</v>
      </c>
      <c r="C151" s="3">
        <v>1</v>
      </c>
      <c r="D151" s="6" t="s">
        <v>257</v>
      </c>
      <c r="E151" t="s">
        <v>277</v>
      </c>
      <c r="F151" s="6" t="s">
        <v>278</v>
      </c>
      <c r="G151" s="24" t="s">
        <v>23</v>
      </c>
      <c r="H151" s="6" t="s">
        <v>24</v>
      </c>
      <c r="I151">
        <v>1</v>
      </c>
    </row>
    <row r="152" spans="2:9" x14ac:dyDescent="0.25">
      <c r="B152">
        <v>2</v>
      </c>
      <c r="C152" s="3">
        <v>1</v>
      </c>
      <c r="D152" s="6" t="s">
        <v>257</v>
      </c>
      <c r="E152" t="s">
        <v>279</v>
      </c>
      <c r="F152" s="6" t="s">
        <v>280</v>
      </c>
      <c r="G152" s="24" t="s">
        <v>19</v>
      </c>
      <c r="H152" s="6" t="s">
        <v>20</v>
      </c>
      <c r="I152">
        <v>1</v>
      </c>
    </row>
    <row r="153" spans="2:9" x14ac:dyDescent="0.25">
      <c r="B153">
        <v>2</v>
      </c>
      <c r="C153" s="3">
        <v>1</v>
      </c>
      <c r="D153" s="6" t="s">
        <v>257</v>
      </c>
      <c r="E153" t="s">
        <v>282</v>
      </c>
      <c r="F153" s="6" t="s">
        <v>91</v>
      </c>
      <c r="G153" s="24" t="s">
        <v>49</v>
      </c>
      <c r="H153" s="6" t="s">
        <v>50</v>
      </c>
      <c r="I153">
        <v>1</v>
      </c>
    </row>
    <row r="154" spans="2:9" x14ac:dyDescent="0.25">
      <c r="B154">
        <v>2</v>
      </c>
      <c r="C154" s="3">
        <v>1</v>
      </c>
      <c r="D154" s="6" t="s">
        <v>257</v>
      </c>
      <c r="E154" t="s">
        <v>283</v>
      </c>
      <c r="F154" s="6" t="s">
        <v>91</v>
      </c>
      <c r="G154" s="24" t="s">
        <v>49</v>
      </c>
      <c r="H154" s="6" t="s">
        <v>50</v>
      </c>
      <c r="I154">
        <v>1</v>
      </c>
    </row>
    <row r="155" spans="2:9" x14ac:dyDescent="0.25">
      <c r="B155">
        <v>2</v>
      </c>
      <c r="C155" s="3">
        <v>1</v>
      </c>
      <c r="D155" s="6" t="s">
        <v>257</v>
      </c>
      <c r="E155" t="s">
        <v>284</v>
      </c>
      <c r="F155" s="6" t="s">
        <v>91</v>
      </c>
      <c r="G155" s="24" t="s">
        <v>49</v>
      </c>
      <c r="H155" s="6" t="s">
        <v>50</v>
      </c>
      <c r="I155">
        <v>1</v>
      </c>
    </row>
    <row r="156" spans="2:9" x14ac:dyDescent="0.25">
      <c r="B156">
        <v>2</v>
      </c>
      <c r="C156" s="3">
        <v>1</v>
      </c>
      <c r="D156" s="6" t="s">
        <v>257</v>
      </c>
      <c r="E156" t="s">
        <v>285</v>
      </c>
      <c r="F156" s="6" t="s">
        <v>254</v>
      </c>
      <c r="G156" s="24">
        <v>201010</v>
      </c>
      <c r="H156" s="6" t="s">
        <v>44</v>
      </c>
      <c r="I156">
        <v>1</v>
      </c>
    </row>
    <row r="157" spans="2:9" x14ac:dyDescent="0.25">
      <c r="B157">
        <v>2</v>
      </c>
      <c r="C157" s="3">
        <v>1</v>
      </c>
      <c r="D157" s="6" t="s">
        <v>257</v>
      </c>
      <c r="E157" t="s">
        <v>285</v>
      </c>
      <c r="F157" s="6" t="s">
        <v>254</v>
      </c>
      <c r="G157" s="24" t="s">
        <v>15</v>
      </c>
      <c r="H157" s="6" t="s">
        <v>16</v>
      </c>
      <c r="I157">
        <v>1</v>
      </c>
    </row>
    <row r="158" spans="2:9" x14ac:dyDescent="0.25">
      <c r="B158">
        <v>2</v>
      </c>
      <c r="C158" s="3">
        <v>1</v>
      </c>
      <c r="D158" s="6" t="s">
        <v>257</v>
      </c>
      <c r="E158" t="s">
        <v>288</v>
      </c>
      <c r="F158" s="6" t="s">
        <v>91</v>
      </c>
      <c r="G158" s="24" t="s">
        <v>49</v>
      </c>
      <c r="H158" s="6" t="s">
        <v>50</v>
      </c>
      <c r="I158">
        <v>1</v>
      </c>
    </row>
    <row r="159" spans="2:9" x14ac:dyDescent="0.25">
      <c r="B159">
        <v>2</v>
      </c>
      <c r="C159" s="3">
        <v>1</v>
      </c>
      <c r="D159" s="6" t="s">
        <v>257</v>
      </c>
      <c r="E159" t="s">
        <v>289</v>
      </c>
      <c r="F159" s="6" t="s">
        <v>290</v>
      </c>
      <c r="G159" s="24">
        <v>201009</v>
      </c>
      <c r="H159" s="6" t="s">
        <v>255</v>
      </c>
      <c r="I159">
        <v>1</v>
      </c>
    </row>
    <row r="160" spans="2:9" x14ac:dyDescent="0.25">
      <c r="B160">
        <v>2</v>
      </c>
      <c r="C160" s="3">
        <v>1</v>
      </c>
      <c r="D160" s="6" t="s">
        <v>257</v>
      </c>
      <c r="E160" t="s">
        <v>291</v>
      </c>
      <c r="F160" s="6" t="s">
        <v>292</v>
      </c>
      <c r="G160" s="24" t="s">
        <v>13</v>
      </c>
      <c r="H160" s="6" t="s">
        <v>14</v>
      </c>
      <c r="I160">
        <v>1</v>
      </c>
    </row>
    <row r="161" spans="2:9" x14ac:dyDescent="0.25">
      <c r="B161">
        <v>2</v>
      </c>
      <c r="C161" s="3">
        <v>1</v>
      </c>
      <c r="D161" s="6" t="s">
        <v>257</v>
      </c>
      <c r="E161" t="s">
        <v>291</v>
      </c>
      <c r="F161" s="6" t="s">
        <v>292</v>
      </c>
      <c r="G161" s="24" t="s">
        <v>15</v>
      </c>
      <c r="H161" s="6" t="s">
        <v>16</v>
      </c>
      <c r="I161">
        <v>1</v>
      </c>
    </row>
    <row r="162" spans="2:9" x14ac:dyDescent="0.25">
      <c r="B162">
        <v>2</v>
      </c>
      <c r="C162" s="8">
        <v>1</v>
      </c>
      <c r="D162" s="6" t="s">
        <v>257</v>
      </c>
      <c r="E162" t="s">
        <v>293</v>
      </c>
      <c r="F162" s="6" t="s">
        <v>254</v>
      </c>
      <c r="G162" s="24">
        <v>201009</v>
      </c>
      <c r="H162" s="6" t="s">
        <v>255</v>
      </c>
      <c r="I162">
        <v>1</v>
      </c>
    </row>
    <row r="163" spans="2:9" x14ac:dyDescent="0.25">
      <c r="B163">
        <v>3</v>
      </c>
      <c r="C163">
        <v>2</v>
      </c>
      <c r="D163" t="s">
        <v>297</v>
      </c>
      <c r="E163" t="s">
        <v>298</v>
      </c>
      <c r="F163" t="s">
        <v>254</v>
      </c>
      <c r="G163">
        <v>201010</v>
      </c>
      <c r="H163" t="s">
        <v>44</v>
      </c>
      <c r="I163">
        <v>1</v>
      </c>
    </row>
    <row r="164" spans="2:9" x14ac:dyDescent="0.25">
      <c r="B164">
        <v>3</v>
      </c>
      <c r="C164">
        <v>2</v>
      </c>
      <c r="D164" t="s">
        <v>297</v>
      </c>
      <c r="E164" t="s">
        <v>299</v>
      </c>
      <c r="F164" t="s">
        <v>300</v>
      </c>
      <c r="G164">
        <v>201009</v>
      </c>
      <c r="H164" t="s">
        <v>255</v>
      </c>
      <c r="I164">
        <v>1</v>
      </c>
    </row>
    <row r="165" spans="2:9" x14ac:dyDescent="0.25">
      <c r="B165">
        <v>3</v>
      </c>
      <c r="C165">
        <v>2</v>
      </c>
      <c r="D165" t="s">
        <v>297</v>
      </c>
      <c r="E165" t="s">
        <v>301</v>
      </c>
      <c r="F165" t="s">
        <v>300</v>
      </c>
      <c r="G165">
        <v>201009</v>
      </c>
      <c r="H165" t="s">
        <v>255</v>
      </c>
      <c r="I165">
        <v>1</v>
      </c>
    </row>
    <row r="166" spans="2:9" x14ac:dyDescent="0.25">
      <c r="B166">
        <v>3</v>
      </c>
      <c r="C166">
        <v>2</v>
      </c>
      <c r="D166" t="s">
        <v>297</v>
      </c>
      <c r="E166" t="s">
        <v>302</v>
      </c>
      <c r="F166" t="s">
        <v>303</v>
      </c>
      <c r="G166">
        <v>201008</v>
      </c>
      <c r="H166" t="s">
        <v>29</v>
      </c>
      <c r="I166">
        <v>3</v>
      </c>
    </row>
    <row r="167" spans="2:9" x14ac:dyDescent="0.25">
      <c r="B167">
        <v>3</v>
      </c>
      <c r="C167">
        <v>2</v>
      </c>
      <c r="D167" t="s">
        <v>116</v>
      </c>
      <c r="E167" t="s">
        <v>304</v>
      </c>
      <c r="F167" t="s">
        <v>117</v>
      </c>
      <c r="G167" t="s">
        <v>118</v>
      </c>
      <c r="H167" t="s">
        <v>119</v>
      </c>
      <c r="I167">
        <v>8</v>
      </c>
    </row>
    <row r="168" spans="2:9" x14ac:dyDescent="0.25">
      <c r="B168">
        <v>3</v>
      </c>
      <c r="C168">
        <v>2</v>
      </c>
      <c r="D168" t="s">
        <v>305</v>
      </c>
      <c r="E168" t="s">
        <v>306</v>
      </c>
      <c r="F168" t="s">
        <v>307</v>
      </c>
      <c r="G168" t="s">
        <v>13</v>
      </c>
      <c r="H168" t="s">
        <v>14</v>
      </c>
      <c r="I168">
        <v>1</v>
      </c>
    </row>
    <row r="169" spans="2:9" x14ac:dyDescent="0.25">
      <c r="B169">
        <v>3</v>
      </c>
      <c r="C169">
        <v>2</v>
      </c>
      <c r="D169" t="s">
        <v>305</v>
      </c>
      <c r="E169" t="s">
        <v>306</v>
      </c>
      <c r="F169" t="s">
        <v>307</v>
      </c>
      <c r="G169" t="s">
        <v>15</v>
      </c>
      <c r="H169" t="s">
        <v>16</v>
      </c>
      <c r="I169">
        <v>1</v>
      </c>
    </row>
    <row r="170" spans="2:9" x14ac:dyDescent="0.25">
      <c r="B170">
        <v>3</v>
      </c>
      <c r="C170">
        <v>2</v>
      </c>
      <c r="D170" t="s">
        <v>305</v>
      </c>
      <c r="E170" t="s">
        <v>308</v>
      </c>
      <c r="F170" t="s">
        <v>188</v>
      </c>
      <c r="G170" t="s">
        <v>13</v>
      </c>
      <c r="H170" t="s">
        <v>14</v>
      </c>
      <c r="I170">
        <v>4</v>
      </c>
    </row>
    <row r="171" spans="2:9" x14ac:dyDescent="0.25">
      <c r="B171">
        <v>3</v>
      </c>
      <c r="C171">
        <v>2</v>
      </c>
      <c r="D171" t="s">
        <v>305</v>
      </c>
      <c r="E171" t="s">
        <v>308</v>
      </c>
      <c r="F171" t="s">
        <v>188</v>
      </c>
      <c r="G171" t="s">
        <v>15</v>
      </c>
      <c r="H171" t="s">
        <v>16</v>
      </c>
      <c r="I171">
        <v>4</v>
      </c>
    </row>
    <row r="172" spans="2:9" x14ac:dyDescent="0.25">
      <c r="B172">
        <v>3</v>
      </c>
      <c r="C172">
        <v>2</v>
      </c>
      <c r="D172" t="s">
        <v>305</v>
      </c>
      <c r="E172" t="s">
        <v>309</v>
      </c>
      <c r="F172" t="s">
        <v>146</v>
      </c>
      <c r="G172" t="s">
        <v>13</v>
      </c>
      <c r="H172" t="s">
        <v>14</v>
      </c>
      <c r="I172">
        <v>1</v>
      </c>
    </row>
    <row r="173" spans="2:9" x14ac:dyDescent="0.25">
      <c r="B173">
        <v>3</v>
      </c>
      <c r="C173">
        <v>2</v>
      </c>
      <c r="D173" t="s">
        <v>305</v>
      </c>
      <c r="E173" t="s">
        <v>309</v>
      </c>
      <c r="F173" t="s">
        <v>146</v>
      </c>
      <c r="G173" t="s">
        <v>15</v>
      </c>
      <c r="H173" t="s">
        <v>16</v>
      </c>
      <c r="I173">
        <v>1</v>
      </c>
    </row>
    <row r="174" spans="2:9" x14ac:dyDescent="0.25">
      <c r="B174">
        <v>3</v>
      </c>
      <c r="C174">
        <v>2</v>
      </c>
      <c r="D174" t="s">
        <v>305</v>
      </c>
      <c r="E174" t="s">
        <v>310</v>
      </c>
      <c r="F174" t="s">
        <v>311</v>
      </c>
      <c r="G174" t="s">
        <v>13</v>
      </c>
      <c r="H174" t="s">
        <v>14</v>
      </c>
      <c r="I174">
        <v>1</v>
      </c>
    </row>
    <row r="175" spans="2:9" x14ac:dyDescent="0.25">
      <c r="B175">
        <v>3</v>
      </c>
      <c r="C175">
        <v>2</v>
      </c>
      <c r="D175" t="s">
        <v>305</v>
      </c>
      <c r="E175" t="s">
        <v>310</v>
      </c>
      <c r="F175" t="s">
        <v>311</v>
      </c>
      <c r="G175" t="s">
        <v>15</v>
      </c>
      <c r="H175" t="s">
        <v>16</v>
      </c>
      <c r="I175">
        <v>1</v>
      </c>
    </row>
    <row r="176" spans="2:9" x14ac:dyDescent="0.25">
      <c r="B176">
        <v>3</v>
      </c>
      <c r="C176">
        <v>2</v>
      </c>
      <c r="D176" t="s">
        <v>305</v>
      </c>
      <c r="E176" t="s">
        <v>314</v>
      </c>
      <c r="F176" t="s">
        <v>315</v>
      </c>
      <c r="G176" t="s">
        <v>103</v>
      </c>
      <c r="H176" t="s">
        <v>104</v>
      </c>
      <c r="I176">
        <v>1</v>
      </c>
    </row>
    <row r="177" spans="2:9" x14ac:dyDescent="0.25">
      <c r="B177">
        <v>3</v>
      </c>
      <c r="C177">
        <v>2</v>
      </c>
      <c r="D177" t="s">
        <v>305</v>
      </c>
      <c r="E177" t="s">
        <v>316</v>
      </c>
      <c r="F177" t="s">
        <v>146</v>
      </c>
      <c r="G177" t="s">
        <v>13</v>
      </c>
      <c r="H177" t="s">
        <v>14</v>
      </c>
      <c r="I177">
        <v>1</v>
      </c>
    </row>
    <row r="178" spans="2:9" x14ac:dyDescent="0.25">
      <c r="B178">
        <v>3</v>
      </c>
      <c r="C178">
        <v>2</v>
      </c>
      <c r="D178" t="s">
        <v>305</v>
      </c>
      <c r="E178" t="s">
        <v>316</v>
      </c>
      <c r="F178" t="s">
        <v>146</v>
      </c>
      <c r="G178" t="s">
        <v>15</v>
      </c>
      <c r="H178" t="s">
        <v>16</v>
      </c>
      <c r="I178">
        <v>1</v>
      </c>
    </row>
    <row r="179" spans="2:9" x14ac:dyDescent="0.25">
      <c r="B179">
        <v>3</v>
      </c>
      <c r="C179">
        <v>2</v>
      </c>
      <c r="D179" t="s">
        <v>305</v>
      </c>
      <c r="E179" t="s">
        <v>317</v>
      </c>
      <c r="F179" t="s">
        <v>318</v>
      </c>
      <c r="G179" t="s">
        <v>13</v>
      </c>
      <c r="H179" t="s">
        <v>14</v>
      </c>
      <c r="I179">
        <v>1</v>
      </c>
    </row>
    <row r="180" spans="2:9" x14ac:dyDescent="0.25">
      <c r="B180">
        <v>3</v>
      </c>
      <c r="C180">
        <v>2</v>
      </c>
      <c r="D180" t="s">
        <v>305</v>
      </c>
      <c r="E180" t="s">
        <v>317</v>
      </c>
      <c r="F180" t="s">
        <v>318</v>
      </c>
      <c r="G180" t="s">
        <v>15</v>
      </c>
      <c r="H180" t="s">
        <v>16</v>
      </c>
      <c r="I180">
        <v>1</v>
      </c>
    </row>
    <row r="181" spans="2:9" x14ac:dyDescent="0.25">
      <c r="B181">
        <v>3</v>
      </c>
      <c r="C181">
        <v>2</v>
      </c>
      <c r="D181" t="s">
        <v>305</v>
      </c>
      <c r="E181" t="s">
        <v>319</v>
      </c>
      <c r="F181" t="s">
        <v>320</v>
      </c>
      <c r="G181" t="s">
        <v>103</v>
      </c>
      <c r="H181" t="s">
        <v>104</v>
      </c>
      <c r="I181">
        <v>1</v>
      </c>
    </row>
    <row r="182" spans="2:9" x14ac:dyDescent="0.25">
      <c r="B182">
        <v>3</v>
      </c>
      <c r="C182">
        <v>2</v>
      </c>
      <c r="D182" t="s">
        <v>305</v>
      </c>
      <c r="E182" t="s">
        <v>321</v>
      </c>
      <c r="F182" t="s">
        <v>91</v>
      </c>
      <c r="G182" t="s">
        <v>49</v>
      </c>
      <c r="H182" t="s">
        <v>50</v>
      </c>
      <c r="I182">
        <v>1</v>
      </c>
    </row>
    <row r="183" spans="2:9" x14ac:dyDescent="0.25">
      <c r="B183">
        <v>3</v>
      </c>
      <c r="C183">
        <v>2</v>
      </c>
      <c r="D183" t="s">
        <v>305</v>
      </c>
      <c r="E183" t="s">
        <v>322</v>
      </c>
      <c r="F183" t="s">
        <v>323</v>
      </c>
      <c r="G183">
        <v>201008</v>
      </c>
      <c r="H183" t="s">
        <v>29</v>
      </c>
      <c r="I183">
        <v>1</v>
      </c>
    </row>
    <row r="184" spans="2:9" x14ac:dyDescent="0.25">
      <c r="B184">
        <v>3</v>
      </c>
      <c r="C184">
        <v>2</v>
      </c>
      <c r="D184" t="s">
        <v>305</v>
      </c>
      <c r="E184" t="s">
        <v>322</v>
      </c>
      <c r="F184" t="s">
        <v>323</v>
      </c>
      <c r="G184" t="s">
        <v>13</v>
      </c>
      <c r="H184" t="s">
        <v>14</v>
      </c>
      <c r="I184">
        <v>1</v>
      </c>
    </row>
    <row r="185" spans="2:9" x14ac:dyDescent="0.25">
      <c r="B185">
        <v>3</v>
      </c>
      <c r="C185">
        <v>2</v>
      </c>
      <c r="D185" t="s">
        <v>305</v>
      </c>
      <c r="E185" t="s">
        <v>322</v>
      </c>
      <c r="F185" t="s">
        <v>323</v>
      </c>
      <c r="G185" t="s">
        <v>15</v>
      </c>
      <c r="H185" t="s">
        <v>16</v>
      </c>
      <c r="I185">
        <v>1</v>
      </c>
    </row>
    <row r="186" spans="2:9" x14ac:dyDescent="0.25">
      <c r="B186">
        <v>3</v>
      </c>
      <c r="C186">
        <v>2</v>
      </c>
      <c r="D186" t="s">
        <v>324</v>
      </c>
      <c r="E186" t="s">
        <v>325</v>
      </c>
      <c r="F186" t="s">
        <v>326</v>
      </c>
      <c r="G186" t="s">
        <v>49</v>
      </c>
      <c r="H186" t="s">
        <v>50</v>
      </c>
      <c r="I186">
        <v>56</v>
      </c>
    </row>
    <row r="187" spans="2:9" x14ac:dyDescent="0.25">
      <c r="B187">
        <v>3</v>
      </c>
      <c r="C187">
        <v>2</v>
      </c>
      <c r="D187" t="s">
        <v>324</v>
      </c>
      <c r="E187" t="s">
        <v>328</v>
      </c>
      <c r="F187" t="s">
        <v>329</v>
      </c>
      <c r="G187" t="s">
        <v>13</v>
      </c>
      <c r="H187" t="s">
        <v>14</v>
      </c>
      <c r="I187">
        <v>1</v>
      </c>
    </row>
    <row r="188" spans="2:9" x14ac:dyDescent="0.25">
      <c r="B188">
        <v>3</v>
      </c>
      <c r="C188">
        <v>2</v>
      </c>
      <c r="D188" t="s">
        <v>324</v>
      </c>
      <c r="E188" t="s">
        <v>328</v>
      </c>
      <c r="F188" t="s">
        <v>329</v>
      </c>
      <c r="G188" t="s">
        <v>15</v>
      </c>
      <c r="H188" t="s">
        <v>16</v>
      </c>
      <c r="I188">
        <v>1</v>
      </c>
    </row>
    <row r="189" spans="2:9" x14ac:dyDescent="0.25">
      <c r="B189">
        <v>3</v>
      </c>
      <c r="C189">
        <v>2</v>
      </c>
      <c r="D189" t="s">
        <v>330</v>
      </c>
      <c r="E189" t="s">
        <v>331</v>
      </c>
      <c r="F189" t="s">
        <v>182</v>
      </c>
      <c r="G189" t="s">
        <v>13</v>
      </c>
      <c r="H189" t="s">
        <v>14</v>
      </c>
      <c r="I189">
        <v>1</v>
      </c>
    </row>
    <row r="190" spans="2:9" x14ac:dyDescent="0.25">
      <c r="B190">
        <v>3</v>
      </c>
      <c r="C190">
        <v>2</v>
      </c>
      <c r="D190" t="s">
        <v>330</v>
      </c>
      <c r="E190" t="s">
        <v>331</v>
      </c>
      <c r="F190" t="s">
        <v>182</v>
      </c>
      <c r="G190" t="s">
        <v>15</v>
      </c>
      <c r="H190" t="s">
        <v>16</v>
      </c>
      <c r="I190">
        <v>1</v>
      </c>
    </row>
    <row r="191" spans="2:9" x14ac:dyDescent="0.25">
      <c r="B191">
        <v>3</v>
      </c>
      <c r="C191">
        <v>2</v>
      </c>
      <c r="D191" t="s">
        <v>330</v>
      </c>
      <c r="E191" t="s">
        <v>332</v>
      </c>
      <c r="F191" t="s">
        <v>333</v>
      </c>
      <c r="G191">
        <v>201008</v>
      </c>
      <c r="H191" t="s">
        <v>29</v>
      </c>
      <c r="I191">
        <v>1</v>
      </c>
    </row>
    <row r="192" spans="2:9" x14ac:dyDescent="0.25">
      <c r="B192">
        <v>3</v>
      </c>
      <c r="C192">
        <v>2</v>
      </c>
      <c r="D192" t="s">
        <v>330</v>
      </c>
      <c r="E192" t="s">
        <v>332</v>
      </c>
      <c r="F192" t="s">
        <v>333</v>
      </c>
      <c r="G192" t="s">
        <v>13</v>
      </c>
      <c r="H192" t="s">
        <v>14</v>
      </c>
      <c r="I192">
        <v>1</v>
      </c>
    </row>
    <row r="193" spans="2:9" x14ac:dyDescent="0.25">
      <c r="B193">
        <v>3</v>
      </c>
      <c r="C193">
        <v>2</v>
      </c>
      <c r="D193" t="s">
        <v>330</v>
      </c>
      <c r="E193" t="s">
        <v>332</v>
      </c>
      <c r="F193" t="s">
        <v>333</v>
      </c>
      <c r="G193" t="s">
        <v>15</v>
      </c>
      <c r="H193" t="s">
        <v>16</v>
      </c>
      <c r="I193">
        <v>1</v>
      </c>
    </row>
    <row r="194" spans="2:9" x14ac:dyDescent="0.25">
      <c r="B194">
        <v>3</v>
      </c>
      <c r="C194">
        <v>2</v>
      </c>
      <c r="D194" t="s">
        <v>330</v>
      </c>
      <c r="E194" t="s">
        <v>334</v>
      </c>
      <c r="F194" t="s">
        <v>335</v>
      </c>
      <c r="G194" t="s">
        <v>13</v>
      </c>
      <c r="H194" t="s">
        <v>14</v>
      </c>
      <c r="I194">
        <v>3</v>
      </c>
    </row>
    <row r="195" spans="2:9" x14ac:dyDescent="0.25">
      <c r="B195">
        <v>3</v>
      </c>
      <c r="C195">
        <v>2</v>
      </c>
      <c r="D195" t="s">
        <v>330</v>
      </c>
      <c r="E195" t="s">
        <v>334</v>
      </c>
      <c r="F195" t="s">
        <v>335</v>
      </c>
      <c r="G195" t="s">
        <v>15</v>
      </c>
      <c r="H195" t="s">
        <v>16</v>
      </c>
      <c r="I195">
        <v>3</v>
      </c>
    </row>
    <row r="196" spans="2:9" x14ac:dyDescent="0.25">
      <c r="B196">
        <v>3</v>
      </c>
      <c r="C196">
        <v>2</v>
      </c>
      <c r="D196" t="s">
        <v>330</v>
      </c>
      <c r="E196" t="s">
        <v>336</v>
      </c>
      <c r="F196" t="s">
        <v>337</v>
      </c>
      <c r="G196" t="s">
        <v>13</v>
      </c>
      <c r="H196" t="s">
        <v>14</v>
      </c>
      <c r="I196">
        <v>1</v>
      </c>
    </row>
    <row r="197" spans="2:9" x14ac:dyDescent="0.25">
      <c r="B197">
        <v>3</v>
      </c>
      <c r="C197">
        <v>2</v>
      </c>
      <c r="D197" t="s">
        <v>330</v>
      </c>
      <c r="E197" t="s">
        <v>336</v>
      </c>
      <c r="F197" t="s">
        <v>337</v>
      </c>
      <c r="G197" t="s">
        <v>15</v>
      </c>
      <c r="H197" t="s">
        <v>16</v>
      </c>
      <c r="I197">
        <v>1</v>
      </c>
    </row>
    <row r="198" spans="2:9" x14ac:dyDescent="0.25">
      <c r="B198">
        <v>3</v>
      </c>
      <c r="C198">
        <v>2</v>
      </c>
      <c r="D198" t="s">
        <v>330</v>
      </c>
      <c r="E198" t="s">
        <v>338</v>
      </c>
      <c r="F198" t="s">
        <v>339</v>
      </c>
      <c r="G198" t="s">
        <v>19</v>
      </c>
      <c r="H198" t="s">
        <v>20</v>
      </c>
      <c r="I198">
        <v>1</v>
      </c>
    </row>
    <row r="199" spans="2:9" x14ac:dyDescent="0.25">
      <c r="B199">
        <v>3</v>
      </c>
      <c r="C199">
        <v>2</v>
      </c>
      <c r="D199" t="s">
        <v>330</v>
      </c>
      <c r="E199" t="s">
        <v>340</v>
      </c>
      <c r="F199" t="s">
        <v>339</v>
      </c>
      <c r="G199" t="s">
        <v>19</v>
      </c>
      <c r="H199" t="s">
        <v>20</v>
      </c>
      <c r="I199">
        <v>1</v>
      </c>
    </row>
    <row r="200" spans="2:9" x14ac:dyDescent="0.25">
      <c r="B200">
        <v>3</v>
      </c>
      <c r="C200">
        <v>2</v>
      </c>
      <c r="D200" t="s">
        <v>330</v>
      </c>
      <c r="E200" t="s">
        <v>341</v>
      </c>
      <c r="F200" t="s">
        <v>339</v>
      </c>
      <c r="G200" t="s">
        <v>19</v>
      </c>
      <c r="H200" t="s">
        <v>20</v>
      </c>
      <c r="I200">
        <v>1</v>
      </c>
    </row>
    <row r="201" spans="2:9" x14ac:dyDescent="0.25">
      <c r="B201">
        <v>3</v>
      </c>
      <c r="C201">
        <v>2</v>
      </c>
      <c r="D201" t="s">
        <v>330</v>
      </c>
      <c r="E201" t="s">
        <v>342</v>
      </c>
      <c r="F201" t="s">
        <v>343</v>
      </c>
      <c r="G201" t="s">
        <v>13</v>
      </c>
      <c r="H201" t="s">
        <v>14</v>
      </c>
      <c r="I201">
        <v>1</v>
      </c>
    </row>
    <row r="202" spans="2:9" x14ac:dyDescent="0.25">
      <c r="B202">
        <v>3</v>
      </c>
      <c r="C202">
        <v>2</v>
      </c>
      <c r="D202" t="s">
        <v>330</v>
      </c>
      <c r="E202" t="s">
        <v>342</v>
      </c>
      <c r="F202" t="s">
        <v>343</v>
      </c>
      <c r="G202" t="s">
        <v>15</v>
      </c>
      <c r="H202" t="s">
        <v>16</v>
      </c>
      <c r="I202">
        <v>1</v>
      </c>
    </row>
    <row r="203" spans="2:9" x14ac:dyDescent="0.25">
      <c r="B203">
        <v>3</v>
      </c>
      <c r="C203">
        <v>2</v>
      </c>
      <c r="D203" t="s">
        <v>330</v>
      </c>
      <c r="E203" t="s">
        <v>344</v>
      </c>
      <c r="F203" t="s">
        <v>345</v>
      </c>
      <c r="G203" t="s">
        <v>13</v>
      </c>
      <c r="H203" t="s">
        <v>14</v>
      </c>
      <c r="I203">
        <v>1</v>
      </c>
    </row>
    <row r="204" spans="2:9" x14ac:dyDescent="0.25">
      <c r="B204">
        <v>3</v>
      </c>
      <c r="C204">
        <v>2</v>
      </c>
      <c r="D204" t="s">
        <v>330</v>
      </c>
      <c r="E204" t="s">
        <v>344</v>
      </c>
      <c r="F204" t="s">
        <v>345</v>
      </c>
      <c r="G204" t="s">
        <v>15</v>
      </c>
      <c r="H204" t="s">
        <v>16</v>
      </c>
      <c r="I204">
        <v>1</v>
      </c>
    </row>
    <row r="205" spans="2:9" x14ac:dyDescent="0.25">
      <c r="B205">
        <v>3</v>
      </c>
      <c r="C205">
        <v>2</v>
      </c>
      <c r="D205" t="s">
        <v>120</v>
      </c>
      <c r="E205" t="s">
        <v>346</v>
      </c>
      <c r="F205" t="s">
        <v>347</v>
      </c>
      <c r="G205" t="s">
        <v>19</v>
      </c>
      <c r="H205" t="s">
        <v>20</v>
      </c>
      <c r="I205">
        <v>1</v>
      </c>
    </row>
    <row r="206" spans="2:9" x14ac:dyDescent="0.25">
      <c r="B206">
        <v>3</v>
      </c>
      <c r="C206">
        <v>2</v>
      </c>
      <c r="D206" t="s">
        <v>120</v>
      </c>
      <c r="E206" t="s">
        <v>348</v>
      </c>
      <c r="F206" t="s">
        <v>349</v>
      </c>
      <c r="G206" t="s">
        <v>19</v>
      </c>
      <c r="H206" t="s">
        <v>20</v>
      </c>
      <c r="I206">
        <v>1</v>
      </c>
    </row>
    <row r="207" spans="2:9" x14ac:dyDescent="0.25">
      <c r="B207">
        <v>3</v>
      </c>
      <c r="C207">
        <v>2</v>
      </c>
      <c r="D207" t="s">
        <v>120</v>
      </c>
      <c r="E207" t="s">
        <v>350</v>
      </c>
      <c r="F207" t="s">
        <v>349</v>
      </c>
      <c r="G207" t="s">
        <v>19</v>
      </c>
      <c r="H207" t="s">
        <v>20</v>
      </c>
      <c r="I207">
        <v>1</v>
      </c>
    </row>
    <row r="208" spans="2:9" x14ac:dyDescent="0.25">
      <c r="B208">
        <v>3</v>
      </c>
      <c r="C208">
        <v>2</v>
      </c>
      <c r="D208" t="s">
        <v>120</v>
      </c>
      <c r="E208" t="s">
        <v>351</v>
      </c>
      <c r="F208" t="s">
        <v>352</v>
      </c>
      <c r="G208" t="s">
        <v>19</v>
      </c>
      <c r="H208" t="s">
        <v>20</v>
      </c>
      <c r="I208">
        <v>1</v>
      </c>
    </row>
    <row r="209" spans="2:9" x14ac:dyDescent="0.25">
      <c r="B209">
        <v>3</v>
      </c>
      <c r="C209">
        <v>2</v>
      </c>
      <c r="D209" t="s">
        <v>120</v>
      </c>
      <c r="E209" t="s">
        <v>353</v>
      </c>
      <c r="F209" t="s">
        <v>247</v>
      </c>
      <c r="G209" t="s">
        <v>19</v>
      </c>
      <c r="H209" t="s">
        <v>20</v>
      </c>
      <c r="I209">
        <v>1</v>
      </c>
    </row>
    <row r="210" spans="2:9" x14ac:dyDescent="0.25">
      <c r="B210">
        <v>3</v>
      </c>
      <c r="C210">
        <v>2</v>
      </c>
      <c r="D210" t="s">
        <v>120</v>
      </c>
      <c r="E210" t="s">
        <v>354</v>
      </c>
      <c r="F210" t="s">
        <v>355</v>
      </c>
      <c r="G210" t="s">
        <v>103</v>
      </c>
      <c r="H210" t="s">
        <v>104</v>
      </c>
      <c r="I210">
        <v>1</v>
      </c>
    </row>
    <row r="211" spans="2:9" x14ac:dyDescent="0.25">
      <c r="B211">
        <v>3</v>
      </c>
      <c r="C211">
        <v>2</v>
      </c>
      <c r="D211" t="s">
        <v>120</v>
      </c>
      <c r="E211" t="s">
        <v>356</v>
      </c>
      <c r="F211" t="s">
        <v>357</v>
      </c>
      <c r="G211" t="s">
        <v>19</v>
      </c>
      <c r="H211" t="s">
        <v>20</v>
      </c>
      <c r="I211">
        <v>1</v>
      </c>
    </row>
    <row r="212" spans="2:9" x14ac:dyDescent="0.25">
      <c r="B212">
        <v>3</v>
      </c>
      <c r="C212">
        <v>2</v>
      </c>
      <c r="D212" t="s">
        <v>120</v>
      </c>
      <c r="E212" t="s">
        <v>358</v>
      </c>
      <c r="F212" t="s">
        <v>359</v>
      </c>
      <c r="G212" t="s">
        <v>103</v>
      </c>
      <c r="H212" t="s">
        <v>104</v>
      </c>
      <c r="I212">
        <v>1</v>
      </c>
    </row>
    <row r="213" spans="2:9" x14ac:dyDescent="0.25">
      <c r="B213">
        <v>3</v>
      </c>
      <c r="C213">
        <v>2</v>
      </c>
      <c r="D213" t="s">
        <v>120</v>
      </c>
      <c r="E213" t="s">
        <v>360</v>
      </c>
      <c r="F213" t="s">
        <v>361</v>
      </c>
      <c r="G213" t="s">
        <v>103</v>
      </c>
      <c r="H213" t="s">
        <v>104</v>
      </c>
      <c r="I213">
        <v>1</v>
      </c>
    </row>
    <row r="214" spans="2:9" x14ac:dyDescent="0.25">
      <c r="B214">
        <v>3</v>
      </c>
      <c r="C214">
        <v>2</v>
      </c>
      <c r="D214" t="s">
        <v>120</v>
      </c>
      <c r="E214" t="s">
        <v>362</v>
      </c>
      <c r="F214" t="s">
        <v>361</v>
      </c>
      <c r="G214" t="s">
        <v>103</v>
      </c>
      <c r="H214" t="s">
        <v>104</v>
      </c>
      <c r="I214">
        <v>1</v>
      </c>
    </row>
    <row r="215" spans="2:9" x14ac:dyDescent="0.25">
      <c r="B215">
        <v>3</v>
      </c>
      <c r="C215">
        <v>2</v>
      </c>
      <c r="D215" t="s">
        <v>120</v>
      </c>
      <c r="E215" t="s">
        <v>363</v>
      </c>
      <c r="F215" t="s">
        <v>361</v>
      </c>
      <c r="G215" t="s">
        <v>103</v>
      </c>
      <c r="H215" t="s">
        <v>104</v>
      </c>
      <c r="I215">
        <v>1</v>
      </c>
    </row>
    <row r="216" spans="2:9" x14ac:dyDescent="0.25">
      <c r="B216">
        <v>3</v>
      </c>
      <c r="C216">
        <v>2</v>
      </c>
      <c r="D216" t="s">
        <v>120</v>
      </c>
      <c r="E216" t="s">
        <v>364</v>
      </c>
      <c r="F216" t="s">
        <v>365</v>
      </c>
      <c r="G216" t="s">
        <v>19</v>
      </c>
      <c r="H216" t="s">
        <v>20</v>
      </c>
      <c r="I216">
        <v>1</v>
      </c>
    </row>
    <row r="217" spans="2:9" x14ac:dyDescent="0.25">
      <c r="B217">
        <v>3</v>
      </c>
      <c r="C217">
        <v>2</v>
      </c>
      <c r="D217" t="s">
        <v>120</v>
      </c>
      <c r="E217" t="s">
        <v>366</v>
      </c>
      <c r="F217" t="s">
        <v>367</v>
      </c>
      <c r="G217" t="s">
        <v>23</v>
      </c>
      <c r="H217" t="s">
        <v>24</v>
      </c>
      <c r="I217">
        <v>1</v>
      </c>
    </row>
    <row r="218" spans="2:9" x14ac:dyDescent="0.25">
      <c r="B218">
        <v>3</v>
      </c>
      <c r="C218">
        <v>2</v>
      </c>
      <c r="D218" t="s">
        <v>120</v>
      </c>
      <c r="E218" t="s">
        <v>368</v>
      </c>
      <c r="F218" t="s">
        <v>369</v>
      </c>
      <c r="G218" t="s">
        <v>23</v>
      </c>
      <c r="H218" t="s">
        <v>24</v>
      </c>
      <c r="I218">
        <v>1</v>
      </c>
    </row>
    <row r="219" spans="2:9" x14ac:dyDescent="0.25">
      <c r="B219">
        <v>3</v>
      </c>
      <c r="C219">
        <v>2</v>
      </c>
      <c r="D219" t="s">
        <v>120</v>
      </c>
      <c r="E219" t="s">
        <v>370</v>
      </c>
      <c r="F219" t="s">
        <v>371</v>
      </c>
      <c r="G219" t="s">
        <v>19</v>
      </c>
      <c r="H219" t="s">
        <v>20</v>
      </c>
      <c r="I219">
        <v>1</v>
      </c>
    </row>
    <row r="220" spans="2:9" x14ac:dyDescent="0.25">
      <c r="B220">
        <v>3</v>
      </c>
      <c r="C220">
        <v>2</v>
      </c>
      <c r="D220" t="s">
        <v>120</v>
      </c>
      <c r="E220" t="s">
        <v>372</v>
      </c>
      <c r="F220" t="s">
        <v>373</v>
      </c>
      <c r="G220" t="s">
        <v>19</v>
      </c>
      <c r="H220" t="s">
        <v>20</v>
      </c>
      <c r="I220">
        <v>1</v>
      </c>
    </row>
    <row r="221" spans="2:9" x14ac:dyDescent="0.25">
      <c r="B221">
        <v>3</v>
      </c>
      <c r="C221">
        <v>2</v>
      </c>
      <c r="D221" t="s">
        <v>120</v>
      </c>
      <c r="E221" t="s">
        <v>374</v>
      </c>
      <c r="F221" t="s">
        <v>373</v>
      </c>
      <c r="G221" t="s">
        <v>19</v>
      </c>
      <c r="H221" t="s">
        <v>20</v>
      </c>
      <c r="I221">
        <v>1</v>
      </c>
    </row>
    <row r="222" spans="2:9" x14ac:dyDescent="0.25">
      <c r="B222">
        <v>3</v>
      </c>
      <c r="C222">
        <v>2</v>
      </c>
      <c r="D222" t="s">
        <v>120</v>
      </c>
      <c r="E222" t="s">
        <v>375</v>
      </c>
      <c r="F222" t="s">
        <v>373</v>
      </c>
      <c r="G222" t="s">
        <v>19</v>
      </c>
      <c r="H222" t="s">
        <v>20</v>
      </c>
      <c r="I222">
        <v>1</v>
      </c>
    </row>
    <row r="223" spans="2:9" x14ac:dyDescent="0.25">
      <c r="B223">
        <v>3</v>
      </c>
      <c r="C223">
        <v>2</v>
      </c>
      <c r="D223" t="s">
        <v>120</v>
      </c>
      <c r="E223" t="s">
        <v>376</v>
      </c>
      <c r="F223" t="s">
        <v>373</v>
      </c>
      <c r="G223" t="s">
        <v>19</v>
      </c>
      <c r="H223" t="s">
        <v>20</v>
      </c>
      <c r="I223">
        <v>1</v>
      </c>
    </row>
    <row r="224" spans="2:9" x14ac:dyDescent="0.25">
      <c r="B224">
        <v>3</v>
      </c>
      <c r="C224">
        <v>2</v>
      </c>
      <c r="D224" t="s">
        <v>120</v>
      </c>
      <c r="E224" t="s">
        <v>377</v>
      </c>
      <c r="F224" t="s">
        <v>378</v>
      </c>
      <c r="G224" t="s">
        <v>19</v>
      </c>
      <c r="H224" t="s">
        <v>20</v>
      </c>
      <c r="I224">
        <v>1</v>
      </c>
    </row>
    <row r="225" spans="2:9" x14ac:dyDescent="0.25">
      <c r="B225">
        <v>3</v>
      </c>
      <c r="C225">
        <v>2</v>
      </c>
      <c r="D225" t="s">
        <v>120</v>
      </c>
      <c r="E225" t="s">
        <v>379</v>
      </c>
      <c r="F225" t="s">
        <v>378</v>
      </c>
      <c r="G225" t="s">
        <v>19</v>
      </c>
      <c r="H225" t="s">
        <v>20</v>
      </c>
      <c r="I225">
        <v>1</v>
      </c>
    </row>
    <row r="226" spans="2:9" x14ac:dyDescent="0.25">
      <c r="B226">
        <v>3</v>
      </c>
      <c r="C226">
        <v>2</v>
      </c>
      <c r="D226" t="s">
        <v>120</v>
      </c>
      <c r="E226" t="s">
        <v>380</v>
      </c>
      <c r="F226" t="s">
        <v>381</v>
      </c>
      <c r="G226" t="s">
        <v>19</v>
      </c>
      <c r="H226" t="s">
        <v>20</v>
      </c>
      <c r="I226">
        <v>1</v>
      </c>
    </row>
    <row r="227" spans="2:9" x14ac:dyDescent="0.25">
      <c r="B227">
        <v>3</v>
      </c>
      <c r="C227">
        <v>2</v>
      </c>
      <c r="D227" t="s">
        <v>120</v>
      </c>
      <c r="E227" t="s">
        <v>382</v>
      </c>
      <c r="F227" t="s">
        <v>381</v>
      </c>
      <c r="G227" t="s">
        <v>19</v>
      </c>
      <c r="H227" t="s">
        <v>20</v>
      </c>
      <c r="I227">
        <v>1</v>
      </c>
    </row>
    <row r="228" spans="2:9" x14ac:dyDescent="0.25">
      <c r="B228">
        <v>3</v>
      </c>
      <c r="C228">
        <v>2</v>
      </c>
      <c r="D228" t="s">
        <v>120</v>
      </c>
      <c r="E228" t="s">
        <v>383</v>
      </c>
      <c r="F228" t="s">
        <v>384</v>
      </c>
      <c r="G228" t="s">
        <v>19</v>
      </c>
      <c r="H228" t="s">
        <v>20</v>
      </c>
      <c r="I228">
        <v>1</v>
      </c>
    </row>
    <row r="229" spans="2:9" x14ac:dyDescent="0.25">
      <c r="B229">
        <v>3</v>
      </c>
      <c r="C229">
        <v>2</v>
      </c>
      <c r="D229" t="s">
        <v>120</v>
      </c>
      <c r="E229" t="s">
        <v>385</v>
      </c>
      <c r="F229" t="s">
        <v>386</v>
      </c>
      <c r="G229" t="s">
        <v>103</v>
      </c>
      <c r="H229" t="s">
        <v>104</v>
      </c>
      <c r="I229">
        <v>1</v>
      </c>
    </row>
    <row r="230" spans="2:9" x14ac:dyDescent="0.25">
      <c r="B230">
        <v>3</v>
      </c>
      <c r="C230">
        <v>2</v>
      </c>
      <c r="D230" t="s">
        <v>120</v>
      </c>
      <c r="E230" t="s">
        <v>387</v>
      </c>
      <c r="F230" t="s">
        <v>388</v>
      </c>
      <c r="G230" t="s">
        <v>103</v>
      </c>
      <c r="H230" t="s">
        <v>104</v>
      </c>
      <c r="I230">
        <v>1</v>
      </c>
    </row>
    <row r="231" spans="2:9" x14ac:dyDescent="0.25">
      <c r="B231">
        <v>3</v>
      </c>
      <c r="C231">
        <v>2</v>
      </c>
      <c r="D231" t="s">
        <v>120</v>
      </c>
      <c r="E231" t="s">
        <v>389</v>
      </c>
      <c r="F231" t="s">
        <v>390</v>
      </c>
      <c r="G231" t="s">
        <v>23</v>
      </c>
      <c r="H231" t="s">
        <v>24</v>
      </c>
      <c r="I231">
        <v>1</v>
      </c>
    </row>
    <row r="232" spans="2:9" x14ac:dyDescent="0.25">
      <c r="B232">
        <v>3</v>
      </c>
      <c r="C232">
        <v>2</v>
      </c>
      <c r="D232" t="s">
        <v>120</v>
      </c>
      <c r="E232" t="s">
        <v>391</v>
      </c>
      <c r="F232" t="s">
        <v>392</v>
      </c>
      <c r="G232" t="s">
        <v>23</v>
      </c>
      <c r="H232" t="s">
        <v>24</v>
      </c>
      <c r="I232">
        <v>1</v>
      </c>
    </row>
    <row r="233" spans="2:9" x14ac:dyDescent="0.25">
      <c r="B233">
        <v>3</v>
      </c>
      <c r="C233">
        <v>2</v>
      </c>
      <c r="D233" t="s">
        <v>120</v>
      </c>
      <c r="E233" t="s">
        <v>393</v>
      </c>
      <c r="F233" t="s">
        <v>394</v>
      </c>
      <c r="G233" t="s">
        <v>103</v>
      </c>
      <c r="H233" t="s">
        <v>104</v>
      </c>
      <c r="I233">
        <v>1</v>
      </c>
    </row>
    <row r="234" spans="2:9" x14ac:dyDescent="0.25">
      <c r="B234">
        <v>3</v>
      </c>
      <c r="C234">
        <v>2</v>
      </c>
      <c r="D234" t="s">
        <v>120</v>
      </c>
      <c r="E234" t="s">
        <v>395</v>
      </c>
      <c r="F234" t="s">
        <v>394</v>
      </c>
      <c r="G234" t="s">
        <v>103</v>
      </c>
      <c r="H234" t="s">
        <v>104</v>
      </c>
      <c r="I234">
        <v>1</v>
      </c>
    </row>
    <row r="235" spans="2:9" x14ac:dyDescent="0.25">
      <c r="B235">
        <v>3</v>
      </c>
      <c r="C235">
        <v>2</v>
      </c>
      <c r="D235" t="s">
        <v>120</v>
      </c>
      <c r="E235" t="s">
        <v>396</v>
      </c>
      <c r="F235" t="s">
        <v>394</v>
      </c>
      <c r="G235" t="s">
        <v>103</v>
      </c>
      <c r="H235" t="s">
        <v>104</v>
      </c>
      <c r="I235">
        <v>1</v>
      </c>
    </row>
    <row r="236" spans="2:9" x14ac:dyDescent="0.25">
      <c r="B236">
        <v>3</v>
      </c>
      <c r="C236">
        <v>2</v>
      </c>
      <c r="D236" t="s">
        <v>120</v>
      </c>
      <c r="E236" t="s">
        <v>398</v>
      </c>
      <c r="F236" t="s">
        <v>250</v>
      </c>
      <c r="G236" t="s">
        <v>13</v>
      </c>
      <c r="H236" t="s">
        <v>14</v>
      </c>
      <c r="I236">
        <v>1</v>
      </c>
    </row>
    <row r="237" spans="2:9" x14ac:dyDescent="0.25">
      <c r="B237">
        <v>3</v>
      </c>
      <c r="C237">
        <v>2</v>
      </c>
      <c r="D237" t="s">
        <v>120</v>
      </c>
      <c r="E237" t="s">
        <v>398</v>
      </c>
      <c r="F237" t="s">
        <v>250</v>
      </c>
      <c r="G237" t="s">
        <v>15</v>
      </c>
      <c r="H237" t="s">
        <v>16</v>
      </c>
      <c r="I237">
        <v>1</v>
      </c>
    </row>
    <row r="238" spans="2:9" x14ac:dyDescent="0.25">
      <c r="B238">
        <v>3</v>
      </c>
      <c r="C238">
        <v>2</v>
      </c>
      <c r="D238" t="s">
        <v>120</v>
      </c>
      <c r="E238" t="s">
        <v>399</v>
      </c>
      <c r="F238" t="s">
        <v>400</v>
      </c>
      <c r="G238" t="s">
        <v>19</v>
      </c>
      <c r="H238" t="s">
        <v>20</v>
      </c>
      <c r="I238">
        <v>1</v>
      </c>
    </row>
    <row r="239" spans="2:9" x14ac:dyDescent="0.25">
      <c r="B239">
        <v>3</v>
      </c>
      <c r="C239">
        <v>2</v>
      </c>
      <c r="D239" t="s">
        <v>120</v>
      </c>
      <c r="E239" t="s">
        <v>401</v>
      </c>
      <c r="F239" t="s">
        <v>402</v>
      </c>
      <c r="G239" t="s">
        <v>19</v>
      </c>
      <c r="H239" t="s">
        <v>20</v>
      </c>
      <c r="I239">
        <v>1</v>
      </c>
    </row>
    <row r="240" spans="2:9" x14ac:dyDescent="0.25">
      <c r="B240">
        <v>3</v>
      </c>
      <c r="C240">
        <v>2</v>
      </c>
      <c r="D240" t="s">
        <v>120</v>
      </c>
      <c r="E240" t="s">
        <v>403</v>
      </c>
      <c r="F240" t="s">
        <v>404</v>
      </c>
      <c r="G240" t="s">
        <v>103</v>
      </c>
      <c r="H240" t="s">
        <v>104</v>
      </c>
      <c r="I240">
        <v>1</v>
      </c>
    </row>
    <row r="241" spans="2:9" x14ac:dyDescent="0.25">
      <c r="B241">
        <v>3</v>
      </c>
      <c r="C241">
        <v>2</v>
      </c>
      <c r="D241" t="s">
        <v>120</v>
      </c>
      <c r="E241" t="s">
        <v>405</v>
      </c>
      <c r="F241" t="s">
        <v>406</v>
      </c>
      <c r="G241" t="s">
        <v>23</v>
      </c>
      <c r="H241" t="s">
        <v>24</v>
      </c>
      <c r="I241">
        <v>1</v>
      </c>
    </row>
    <row r="242" spans="2:9" x14ac:dyDescent="0.25">
      <c r="B242">
        <v>3</v>
      </c>
      <c r="C242">
        <v>2</v>
      </c>
      <c r="D242" t="s">
        <v>120</v>
      </c>
      <c r="E242" t="s">
        <v>407</v>
      </c>
      <c r="F242" t="s">
        <v>408</v>
      </c>
      <c r="G242" t="s">
        <v>23</v>
      </c>
      <c r="H242" t="s">
        <v>24</v>
      </c>
      <c r="I242">
        <v>1</v>
      </c>
    </row>
    <row r="243" spans="2:9" x14ac:dyDescent="0.25">
      <c r="B243">
        <v>3</v>
      </c>
      <c r="C243">
        <v>2</v>
      </c>
      <c r="D243" t="s">
        <v>120</v>
      </c>
      <c r="E243" t="s">
        <v>409</v>
      </c>
      <c r="F243" t="s">
        <v>410</v>
      </c>
      <c r="G243" t="s">
        <v>19</v>
      </c>
      <c r="H243" t="s">
        <v>20</v>
      </c>
      <c r="I243">
        <v>1</v>
      </c>
    </row>
    <row r="244" spans="2:9" x14ac:dyDescent="0.25">
      <c r="B244">
        <v>3</v>
      </c>
      <c r="C244">
        <v>2</v>
      </c>
      <c r="D244" t="s">
        <v>120</v>
      </c>
      <c r="E244" t="s">
        <v>411</v>
      </c>
      <c r="F244" t="s">
        <v>412</v>
      </c>
      <c r="G244" t="s">
        <v>19</v>
      </c>
      <c r="H244" t="s">
        <v>20</v>
      </c>
      <c r="I244">
        <v>1</v>
      </c>
    </row>
    <row r="245" spans="2:9" x14ac:dyDescent="0.25">
      <c r="B245">
        <v>3</v>
      </c>
      <c r="C245">
        <v>2</v>
      </c>
      <c r="D245" t="s">
        <v>413</v>
      </c>
      <c r="E245" t="s">
        <v>414</v>
      </c>
      <c r="F245" t="s">
        <v>415</v>
      </c>
      <c r="G245" t="s">
        <v>13</v>
      </c>
      <c r="H245" t="s">
        <v>14</v>
      </c>
      <c r="I245">
        <v>1</v>
      </c>
    </row>
    <row r="246" spans="2:9" x14ac:dyDescent="0.25">
      <c r="B246">
        <v>3</v>
      </c>
      <c r="C246">
        <v>2</v>
      </c>
      <c r="D246" t="s">
        <v>413</v>
      </c>
      <c r="E246" t="s">
        <v>414</v>
      </c>
      <c r="F246" t="s">
        <v>415</v>
      </c>
      <c r="G246" t="s">
        <v>15</v>
      </c>
      <c r="H246" t="s">
        <v>16</v>
      </c>
      <c r="I246">
        <v>1</v>
      </c>
    </row>
    <row r="247" spans="2:9" x14ac:dyDescent="0.25">
      <c r="B247">
        <v>3</v>
      </c>
      <c r="C247">
        <v>2</v>
      </c>
      <c r="D247" t="s">
        <v>413</v>
      </c>
      <c r="E247" t="s">
        <v>416</v>
      </c>
      <c r="F247" t="s">
        <v>417</v>
      </c>
      <c r="G247">
        <v>201008</v>
      </c>
      <c r="H247" t="s">
        <v>29</v>
      </c>
      <c r="I247">
        <v>1</v>
      </c>
    </row>
    <row r="248" spans="2:9" x14ac:dyDescent="0.25">
      <c r="B248">
        <v>3</v>
      </c>
      <c r="C248">
        <v>2</v>
      </c>
      <c r="D248" t="s">
        <v>413</v>
      </c>
      <c r="E248" t="s">
        <v>416</v>
      </c>
      <c r="F248" t="s">
        <v>417</v>
      </c>
      <c r="G248" t="s">
        <v>13</v>
      </c>
      <c r="H248" t="s">
        <v>14</v>
      </c>
      <c r="I248">
        <v>1</v>
      </c>
    </row>
    <row r="249" spans="2:9" x14ac:dyDescent="0.25">
      <c r="B249">
        <v>3</v>
      </c>
      <c r="C249">
        <v>2</v>
      </c>
      <c r="D249" t="s">
        <v>413</v>
      </c>
      <c r="E249" t="s">
        <v>416</v>
      </c>
      <c r="F249" t="s">
        <v>417</v>
      </c>
      <c r="G249" t="s">
        <v>15</v>
      </c>
      <c r="H249" t="s">
        <v>16</v>
      </c>
      <c r="I249">
        <v>1</v>
      </c>
    </row>
    <row r="250" spans="2:9" x14ac:dyDescent="0.25">
      <c r="B250">
        <v>3</v>
      </c>
      <c r="C250">
        <v>2</v>
      </c>
      <c r="D250" t="s">
        <v>413</v>
      </c>
      <c r="E250" t="s">
        <v>418</v>
      </c>
      <c r="F250" t="s">
        <v>419</v>
      </c>
      <c r="G250" t="s">
        <v>13</v>
      </c>
      <c r="H250" t="s">
        <v>14</v>
      </c>
      <c r="I250">
        <v>1</v>
      </c>
    </row>
    <row r="251" spans="2:9" x14ac:dyDescent="0.25">
      <c r="B251">
        <v>3</v>
      </c>
      <c r="C251">
        <v>2</v>
      </c>
      <c r="D251" t="s">
        <v>413</v>
      </c>
      <c r="E251" t="s">
        <v>418</v>
      </c>
      <c r="F251" t="s">
        <v>419</v>
      </c>
      <c r="G251" t="s">
        <v>15</v>
      </c>
      <c r="H251" t="s">
        <v>16</v>
      </c>
      <c r="I251">
        <v>1</v>
      </c>
    </row>
    <row r="252" spans="2:9" x14ac:dyDescent="0.25">
      <c r="B252">
        <v>3</v>
      </c>
      <c r="C252">
        <v>2</v>
      </c>
      <c r="D252" t="s">
        <v>413</v>
      </c>
      <c r="E252" t="s">
        <v>420</v>
      </c>
      <c r="F252" t="s">
        <v>421</v>
      </c>
      <c r="G252" t="s">
        <v>23</v>
      </c>
      <c r="H252" t="s">
        <v>24</v>
      </c>
      <c r="I252">
        <v>4</v>
      </c>
    </row>
    <row r="253" spans="2:9" x14ac:dyDescent="0.25">
      <c r="B253">
        <v>3</v>
      </c>
      <c r="C253">
        <v>2</v>
      </c>
      <c r="D253" t="s">
        <v>413</v>
      </c>
      <c r="E253" t="s">
        <v>420</v>
      </c>
      <c r="F253" t="s">
        <v>421</v>
      </c>
      <c r="G253" t="s">
        <v>15</v>
      </c>
      <c r="H253" t="s">
        <v>16</v>
      </c>
      <c r="I253">
        <v>4</v>
      </c>
    </row>
    <row r="254" spans="2:9" x14ac:dyDescent="0.25">
      <c r="B254">
        <v>3</v>
      </c>
      <c r="C254">
        <v>2</v>
      </c>
      <c r="D254" t="s">
        <v>413</v>
      </c>
      <c r="E254" t="s">
        <v>422</v>
      </c>
      <c r="F254" t="s">
        <v>423</v>
      </c>
      <c r="G254" t="s">
        <v>13</v>
      </c>
      <c r="H254" t="s">
        <v>14</v>
      </c>
      <c r="I254">
        <v>1</v>
      </c>
    </row>
    <row r="255" spans="2:9" x14ac:dyDescent="0.25">
      <c r="B255">
        <v>3</v>
      </c>
      <c r="C255">
        <v>2</v>
      </c>
      <c r="D255" t="s">
        <v>413</v>
      </c>
      <c r="E255" t="s">
        <v>422</v>
      </c>
      <c r="F255" t="s">
        <v>423</v>
      </c>
      <c r="G255" t="s">
        <v>15</v>
      </c>
      <c r="H255" t="s">
        <v>16</v>
      </c>
      <c r="I255">
        <v>1</v>
      </c>
    </row>
    <row r="256" spans="2:9" x14ac:dyDescent="0.25">
      <c r="B256">
        <v>3</v>
      </c>
      <c r="C256">
        <v>2</v>
      </c>
      <c r="D256" t="s">
        <v>413</v>
      </c>
      <c r="E256" t="s">
        <v>424</v>
      </c>
      <c r="F256" t="s">
        <v>415</v>
      </c>
      <c r="G256" t="s">
        <v>13</v>
      </c>
      <c r="H256" t="s">
        <v>14</v>
      </c>
      <c r="I256">
        <v>1</v>
      </c>
    </row>
    <row r="257" spans="2:9" x14ac:dyDescent="0.25">
      <c r="B257">
        <v>3</v>
      </c>
      <c r="C257">
        <v>2</v>
      </c>
      <c r="D257" t="s">
        <v>413</v>
      </c>
      <c r="E257" t="s">
        <v>424</v>
      </c>
      <c r="F257" t="s">
        <v>415</v>
      </c>
      <c r="G257" t="s">
        <v>15</v>
      </c>
      <c r="H257" t="s">
        <v>16</v>
      </c>
      <c r="I257">
        <v>1</v>
      </c>
    </row>
    <row r="258" spans="2:9" x14ac:dyDescent="0.25">
      <c r="B258">
        <v>3</v>
      </c>
      <c r="C258">
        <v>2</v>
      </c>
      <c r="D258" t="s">
        <v>413</v>
      </c>
      <c r="E258" t="s">
        <v>425</v>
      </c>
      <c r="F258" t="s">
        <v>426</v>
      </c>
      <c r="G258" t="s">
        <v>13</v>
      </c>
      <c r="H258" t="s">
        <v>14</v>
      </c>
      <c r="I258">
        <v>1</v>
      </c>
    </row>
    <row r="259" spans="2:9" x14ac:dyDescent="0.25">
      <c r="B259">
        <v>3</v>
      </c>
      <c r="C259">
        <v>2</v>
      </c>
      <c r="D259" t="s">
        <v>413</v>
      </c>
      <c r="E259" t="s">
        <v>425</v>
      </c>
      <c r="F259" t="s">
        <v>426</v>
      </c>
      <c r="G259" t="s">
        <v>15</v>
      </c>
      <c r="H259" t="s">
        <v>16</v>
      </c>
      <c r="I259">
        <v>1</v>
      </c>
    </row>
    <row r="260" spans="2:9" x14ac:dyDescent="0.25">
      <c r="B260">
        <v>3</v>
      </c>
      <c r="C260">
        <v>2</v>
      </c>
      <c r="D260" t="s">
        <v>413</v>
      </c>
      <c r="E260" t="s">
        <v>427</v>
      </c>
      <c r="F260" t="s">
        <v>428</v>
      </c>
      <c r="G260" t="s">
        <v>13</v>
      </c>
      <c r="H260" t="s">
        <v>14</v>
      </c>
      <c r="I260">
        <v>1</v>
      </c>
    </row>
    <row r="261" spans="2:9" x14ac:dyDescent="0.25">
      <c r="B261">
        <v>3</v>
      </c>
      <c r="C261">
        <v>2</v>
      </c>
      <c r="D261" t="s">
        <v>413</v>
      </c>
      <c r="E261" t="s">
        <v>427</v>
      </c>
      <c r="F261" t="s">
        <v>428</v>
      </c>
      <c r="G261" t="s">
        <v>15</v>
      </c>
      <c r="H261" t="s">
        <v>16</v>
      </c>
      <c r="I261">
        <v>1</v>
      </c>
    </row>
    <row r="262" spans="2:9" x14ac:dyDescent="0.25">
      <c r="B262">
        <v>3</v>
      </c>
      <c r="C262">
        <v>2</v>
      </c>
      <c r="D262" t="s">
        <v>413</v>
      </c>
      <c r="E262" t="s">
        <v>429</v>
      </c>
      <c r="F262" t="s">
        <v>430</v>
      </c>
      <c r="G262" t="s">
        <v>13</v>
      </c>
      <c r="H262" t="s">
        <v>14</v>
      </c>
      <c r="I262">
        <v>1</v>
      </c>
    </row>
    <row r="263" spans="2:9" x14ac:dyDescent="0.25">
      <c r="B263">
        <v>3</v>
      </c>
      <c r="C263">
        <v>2</v>
      </c>
      <c r="D263" t="s">
        <v>413</v>
      </c>
      <c r="E263" t="s">
        <v>429</v>
      </c>
      <c r="F263" t="s">
        <v>430</v>
      </c>
      <c r="G263" t="s">
        <v>15</v>
      </c>
      <c r="H263" t="s">
        <v>16</v>
      </c>
      <c r="I263">
        <v>1</v>
      </c>
    </row>
    <row r="264" spans="2:9" x14ac:dyDescent="0.25">
      <c r="B264">
        <v>3</v>
      </c>
      <c r="C264">
        <v>2</v>
      </c>
      <c r="D264" t="s">
        <v>413</v>
      </c>
      <c r="E264" t="s">
        <v>431</v>
      </c>
      <c r="F264" t="s">
        <v>415</v>
      </c>
      <c r="G264" t="s">
        <v>13</v>
      </c>
      <c r="H264" t="s">
        <v>14</v>
      </c>
      <c r="I264">
        <v>1</v>
      </c>
    </row>
    <row r="265" spans="2:9" x14ac:dyDescent="0.25">
      <c r="B265">
        <v>3</v>
      </c>
      <c r="C265">
        <v>2</v>
      </c>
      <c r="D265" t="s">
        <v>413</v>
      </c>
      <c r="E265" t="s">
        <v>432</v>
      </c>
      <c r="F265" t="s">
        <v>433</v>
      </c>
      <c r="G265">
        <v>201010</v>
      </c>
      <c r="H265" t="s">
        <v>44</v>
      </c>
      <c r="I265">
        <v>1</v>
      </c>
    </row>
    <row r="266" spans="2:9" x14ac:dyDescent="0.25">
      <c r="B266">
        <v>3</v>
      </c>
      <c r="C266">
        <v>2</v>
      </c>
      <c r="D266" t="s">
        <v>434</v>
      </c>
      <c r="E266" t="s">
        <v>435</v>
      </c>
      <c r="F266" t="s">
        <v>436</v>
      </c>
      <c r="G266" t="s">
        <v>13</v>
      </c>
      <c r="H266" t="s">
        <v>14</v>
      </c>
      <c r="I266">
        <v>1</v>
      </c>
    </row>
    <row r="267" spans="2:9" x14ac:dyDescent="0.25">
      <c r="B267">
        <v>3</v>
      </c>
      <c r="C267">
        <v>2</v>
      </c>
      <c r="D267" t="s">
        <v>434</v>
      </c>
      <c r="E267" t="s">
        <v>435</v>
      </c>
      <c r="F267" t="s">
        <v>436</v>
      </c>
      <c r="G267" t="s">
        <v>15</v>
      </c>
      <c r="H267" t="s">
        <v>16</v>
      </c>
      <c r="I267">
        <v>1</v>
      </c>
    </row>
    <row r="268" spans="2:9" x14ac:dyDescent="0.25">
      <c r="B268">
        <v>3</v>
      </c>
      <c r="C268">
        <v>2</v>
      </c>
      <c r="D268" t="s">
        <v>434</v>
      </c>
      <c r="E268" t="s">
        <v>437</v>
      </c>
      <c r="F268" t="s">
        <v>182</v>
      </c>
      <c r="G268" t="s">
        <v>13</v>
      </c>
      <c r="H268" t="s">
        <v>14</v>
      </c>
      <c r="I268">
        <v>1</v>
      </c>
    </row>
    <row r="269" spans="2:9" x14ac:dyDescent="0.25">
      <c r="B269">
        <v>3</v>
      </c>
      <c r="C269">
        <v>2</v>
      </c>
      <c r="D269" t="s">
        <v>434</v>
      </c>
      <c r="E269" t="s">
        <v>437</v>
      </c>
      <c r="F269" t="s">
        <v>182</v>
      </c>
      <c r="G269" t="s">
        <v>15</v>
      </c>
      <c r="H269" t="s">
        <v>16</v>
      </c>
      <c r="I269">
        <v>1</v>
      </c>
    </row>
    <row r="270" spans="2:9" x14ac:dyDescent="0.25">
      <c r="B270">
        <v>3</v>
      </c>
      <c r="C270">
        <v>2</v>
      </c>
      <c r="D270" t="s">
        <v>434</v>
      </c>
      <c r="E270" t="s">
        <v>438</v>
      </c>
      <c r="F270" t="s">
        <v>439</v>
      </c>
      <c r="G270" t="s">
        <v>440</v>
      </c>
      <c r="H270" t="s">
        <v>441</v>
      </c>
      <c r="I270">
        <v>4</v>
      </c>
    </row>
    <row r="271" spans="2:9" x14ac:dyDescent="0.25">
      <c r="B271">
        <v>3</v>
      </c>
      <c r="C271">
        <v>2</v>
      </c>
      <c r="D271" t="s">
        <v>434</v>
      </c>
      <c r="E271" t="s">
        <v>438</v>
      </c>
      <c r="F271" t="s">
        <v>439</v>
      </c>
      <c r="G271" t="s">
        <v>15</v>
      </c>
      <c r="H271" t="s">
        <v>16</v>
      </c>
      <c r="I271">
        <v>4</v>
      </c>
    </row>
    <row r="272" spans="2:9" x14ac:dyDescent="0.25">
      <c r="B272">
        <v>3</v>
      </c>
      <c r="C272">
        <v>2</v>
      </c>
      <c r="D272" t="s">
        <v>434</v>
      </c>
      <c r="E272" t="s">
        <v>442</v>
      </c>
      <c r="F272" t="s">
        <v>443</v>
      </c>
      <c r="G272" t="s">
        <v>23</v>
      </c>
      <c r="H272" t="s">
        <v>24</v>
      </c>
      <c r="I272">
        <v>1</v>
      </c>
    </row>
    <row r="273" spans="2:9" x14ac:dyDescent="0.25">
      <c r="B273">
        <v>3</v>
      </c>
      <c r="C273">
        <v>2</v>
      </c>
      <c r="D273" t="s">
        <v>434</v>
      </c>
      <c r="E273" t="s">
        <v>444</v>
      </c>
      <c r="F273" t="s">
        <v>91</v>
      </c>
      <c r="G273" t="s">
        <v>118</v>
      </c>
      <c r="H273" t="s">
        <v>119</v>
      </c>
      <c r="I273">
        <v>1</v>
      </c>
    </row>
    <row r="274" spans="2:9" x14ac:dyDescent="0.25">
      <c r="B274">
        <v>3</v>
      </c>
      <c r="C274">
        <v>2</v>
      </c>
      <c r="D274" t="s">
        <v>434</v>
      </c>
      <c r="E274" t="s">
        <v>445</v>
      </c>
      <c r="F274" t="s">
        <v>446</v>
      </c>
      <c r="G274" t="s">
        <v>103</v>
      </c>
      <c r="H274" t="s">
        <v>104</v>
      </c>
      <c r="I274">
        <v>1</v>
      </c>
    </row>
    <row r="275" spans="2:9" x14ac:dyDescent="0.25">
      <c r="B275">
        <v>3</v>
      </c>
      <c r="C275">
        <v>2</v>
      </c>
      <c r="D275" t="s">
        <v>434</v>
      </c>
      <c r="E275" t="s">
        <v>447</v>
      </c>
      <c r="F275" t="s">
        <v>448</v>
      </c>
      <c r="G275" t="s">
        <v>103</v>
      </c>
      <c r="H275" t="s">
        <v>104</v>
      </c>
      <c r="I275">
        <v>1</v>
      </c>
    </row>
    <row r="276" spans="2:9" x14ac:dyDescent="0.25">
      <c r="B276">
        <v>3</v>
      </c>
      <c r="C276">
        <v>2</v>
      </c>
      <c r="D276" t="s">
        <v>434</v>
      </c>
      <c r="E276" t="s">
        <v>449</v>
      </c>
      <c r="F276" t="s">
        <v>450</v>
      </c>
      <c r="G276">
        <v>201009</v>
      </c>
      <c r="H276" t="s">
        <v>255</v>
      </c>
      <c r="I276">
        <v>1</v>
      </c>
    </row>
    <row r="277" spans="2:9" x14ac:dyDescent="0.25">
      <c r="B277">
        <v>3</v>
      </c>
      <c r="C277">
        <v>2</v>
      </c>
      <c r="D277" t="s">
        <v>451</v>
      </c>
      <c r="E277" t="s">
        <v>452</v>
      </c>
      <c r="F277" t="s">
        <v>182</v>
      </c>
      <c r="G277" t="s">
        <v>13</v>
      </c>
      <c r="H277" t="s">
        <v>14</v>
      </c>
      <c r="I277">
        <v>1</v>
      </c>
    </row>
    <row r="278" spans="2:9" x14ac:dyDescent="0.25">
      <c r="B278">
        <v>3</v>
      </c>
      <c r="C278">
        <v>2</v>
      </c>
      <c r="D278" t="s">
        <v>451</v>
      </c>
      <c r="E278" t="s">
        <v>452</v>
      </c>
      <c r="F278" t="s">
        <v>182</v>
      </c>
      <c r="G278" t="s">
        <v>15</v>
      </c>
      <c r="H278" t="s">
        <v>16</v>
      </c>
      <c r="I278">
        <v>1</v>
      </c>
    </row>
    <row r="279" spans="2:9" x14ac:dyDescent="0.25">
      <c r="B279">
        <v>3</v>
      </c>
      <c r="C279">
        <v>2</v>
      </c>
      <c r="D279" t="s">
        <v>451</v>
      </c>
      <c r="E279" t="s">
        <v>453</v>
      </c>
      <c r="F279" t="s">
        <v>454</v>
      </c>
      <c r="G279" t="s">
        <v>13</v>
      </c>
      <c r="H279" t="s">
        <v>14</v>
      </c>
      <c r="I279">
        <v>1</v>
      </c>
    </row>
    <row r="280" spans="2:9" x14ac:dyDescent="0.25">
      <c r="B280">
        <v>3</v>
      </c>
      <c r="C280">
        <v>2</v>
      </c>
      <c r="D280" t="s">
        <v>451</v>
      </c>
      <c r="E280" t="s">
        <v>453</v>
      </c>
      <c r="F280" t="s">
        <v>454</v>
      </c>
      <c r="G280" t="s">
        <v>15</v>
      </c>
      <c r="H280" t="s">
        <v>16</v>
      </c>
      <c r="I280">
        <v>1</v>
      </c>
    </row>
    <row r="281" spans="2:9" x14ac:dyDescent="0.25">
      <c r="B281">
        <v>3</v>
      </c>
      <c r="C281">
        <v>2</v>
      </c>
      <c r="D281" t="s">
        <v>451</v>
      </c>
      <c r="E281" t="s">
        <v>455</v>
      </c>
      <c r="F281" t="s">
        <v>456</v>
      </c>
      <c r="G281" t="s">
        <v>13</v>
      </c>
      <c r="H281" t="s">
        <v>14</v>
      </c>
      <c r="I281">
        <v>1</v>
      </c>
    </row>
    <row r="282" spans="2:9" x14ac:dyDescent="0.25">
      <c r="B282">
        <v>3</v>
      </c>
      <c r="C282">
        <v>2</v>
      </c>
      <c r="D282" t="s">
        <v>451</v>
      </c>
      <c r="E282" t="s">
        <v>455</v>
      </c>
      <c r="F282" t="s">
        <v>456</v>
      </c>
      <c r="G282" t="s">
        <v>15</v>
      </c>
      <c r="H282" t="s">
        <v>16</v>
      </c>
      <c r="I282">
        <v>1</v>
      </c>
    </row>
    <row r="283" spans="2:9" x14ac:dyDescent="0.25">
      <c r="B283">
        <v>3</v>
      </c>
      <c r="C283">
        <v>2</v>
      </c>
      <c r="D283" t="s">
        <v>451</v>
      </c>
      <c r="E283" t="s">
        <v>457</v>
      </c>
      <c r="F283" t="s">
        <v>458</v>
      </c>
      <c r="G283" t="s">
        <v>23</v>
      </c>
      <c r="H283" t="s">
        <v>24</v>
      </c>
      <c r="I283">
        <v>1</v>
      </c>
    </row>
    <row r="284" spans="2:9" x14ac:dyDescent="0.25">
      <c r="B284">
        <v>3</v>
      </c>
      <c r="C284">
        <v>2</v>
      </c>
      <c r="D284" t="s">
        <v>451</v>
      </c>
      <c r="E284" t="s">
        <v>460</v>
      </c>
      <c r="F284" t="s">
        <v>182</v>
      </c>
      <c r="G284" t="s">
        <v>15</v>
      </c>
      <c r="H284" t="s">
        <v>16</v>
      </c>
      <c r="I284">
        <v>1</v>
      </c>
    </row>
    <row r="285" spans="2:9" x14ac:dyDescent="0.25">
      <c r="B285">
        <v>3</v>
      </c>
      <c r="C285">
        <v>2</v>
      </c>
      <c r="D285" t="s">
        <v>451</v>
      </c>
      <c r="E285" t="s">
        <v>461</v>
      </c>
      <c r="F285" t="s">
        <v>462</v>
      </c>
      <c r="G285" t="s">
        <v>19</v>
      </c>
      <c r="H285" t="s">
        <v>20</v>
      </c>
      <c r="I285">
        <v>1</v>
      </c>
    </row>
    <row r="286" spans="2:9" x14ac:dyDescent="0.25">
      <c r="B286">
        <v>3</v>
      </c>
      <c r="C286">
        <v>2</v>
      </c>
      <c r="D286" t="s">
        <v>451</v>
      </c>
      <c r="E286" t="s">
        <v>461</v>
      </c>
      <c r="F286" t="s">
        <v>462</v>
      </c>
      <c r="G286" t="s">
        <v>463</v>
      </c>
      <c r="H286" t="s">
        <v>464</v>
      </c>
      <c r="I286">
        <v>1</v>
      </c>
    </row>
    <row r="287" spans="2:9" x14ac:dyDescent="0.25">
      <c r="B287">
        <v>3</v>
      </c>
      <c r="C287">
        <v>2</v>
      </c>
      <c r="D287" t="s">
        <v>451</v>
      </c>
      <c r="E287" t="s">
        <v>465</v>
      </c>
      <c r="F287" t="s">
        <v>466</v>
      </c>
      <c r="G287" t="s">
        <v>19</v>
      </c>
      <c r="H287" t="s">
        <v>20</v>
      </c>
      <c r="I287">
        <v>1</v>
      </c>
    </row>
    <row r="288" spans="2:9" x14ac:dyDescent="0.25">
      <c r="B288">
        <v>3</v>
      </c>
      <c r="C288">
        <v>2</v>
      </c>
      <c r="D288" t="s">
        <v>451</v>
      </c>
      <c r="E288" t="s">
        <v>465</v>
      </c>
      <c r="F288" t="s">
        <v>466</v>
      </c>
      <c r="G288" t="s">
        <v>463</v>
      </c>
      <c r="H288" t="s">
        <v>464</v>
      </c>
      <c r="I288">
        <v>1</v>
      </c>
    </row>
    <row r="289" spans="2:9" x14ac:dyDescent="0.25">
      <c r="B289">
        <v>3</v>
      </c>
      <c r="C289">
        <v>2</v>
      </c>
      <c r="D289" t="s">
        <v>451</v>
      </c>
      <c r="E289" t="s">
        <v>467</v>
      </c>
      <c r="F289" t="s">
        <v>466</v>
      </c>
      <c r="G289" t="s">
        <v>19</v>
      </c>
      <c r="H289" t="s">
        <v>20</v>
      </c>
      <c r="I289">
        <v>1</v>
      </c>
    </row>
    <row r="290" spans="2:9" x14ac:dyDescent="0.25">
      <c r="B290">
        <v>3</v>
      </c>
      <c r="C290">
        <v>2</v>
      </c>
      <c r="D290" t="s">
        <v>451</v>
      </c>
      <c r="E290" t="s">
        <v>467</v>
      </c>
      <c r="F290" t="s">
        <v>466</v>
      </c>
      <c r="G290" t="s">
        <v>463</v>
      </c>
      <c r="H290" t="s">
        <v>464</v>
      </c>
      <c r="I290">
        <v>1</v>
      </c>
    </row>
    <row r="291" spans="2:9" x14ac:dyDescent="0.25">
      <c r="B291">
        <v>3</v>
      </c>
      <c r="C291">
        <v>2</v>
      </c>
      <c r="D291" t="s">
        <v>451</v>
      </c>
      <c r="E291" t="s">
        <v>468</v>
      </c>
      <c r="F291" t="s">
        <v>469</v>
      </c>
      <c r="G291">
        <v>201008</v>
      </c>
      <c r="H291" t="s">
        <v>29</v>
      </c>
      <c r="I291">
        <v>1</v>
      </c>
    </row>
    <row r="292" spans="2:9" x14ac:dyDescent="0.25">
      <c r="B292">
        <v>3</v>
      </c>
      <c r="C292">
        <v>2</v>
      </c>
      <c r="D292" t="s">
        <v>451</v>
      </c>
      <c r="E292" t="s">
        <v>468</v>
      </c>
      <c r="F292" t="s">
        <v>469</v>
      </c>
      <c r="G292" t="s">
        <v>13</v>
      </c>
      <c r="H292" t="s">
        <v>14</v>
      </c>
      <c r="I292">
        <v>1</v>
      </c>
    </row>
    <row r="293" spans="2:9" x14ac:dyDescent="0.25">
      <c r="B293">
        <v>3</v>
      </c>
      <c r="C293">
        <v>2</v>
      </c>
      <c r="D293" t="s">
        <v>451</v>
      </c>
      <c r="E293" t="s">
        <v>470</v>
      </c>
      <c r="F293" t="s">
        <v>253</v>
      </c>
      <c r="G293" t="s">
        <v>103</v>
      </c>
      <c r="H293" t="s">
        <v>104</v>
      </c>
      <c r="I293">
        <v>1</v>
      </c>
    </row>
    <row r="294" spans="2:9" x14ac:dyDescent="0.25">
      <c r="B294">
        <v>3</v>
      </c>
      <c r="C294">
        <v>2</v>
      </c>
      <c r="D294" t="s">
        <v>451</v>
      </c>
      <c r="E294" t="s">
        <v>471</v>
      </c>
      <c r="F294" t="s">
        <v>248</v>
      </c>
      <c r="G294">
        <v>201008</v>
      </c>
      <c r="H294" t="s">
        <v>29</v>
      </c>
      <c r="I294">
        <v>1</v>
      </c>
    </row>
    <row r="295" spans="2:9" x14ac:dyDescent="0.25">
      <c r="B295">
        <v>3</v>
      </c>
      <c r="C295">
        <v>2</v>
      </c>
      <c r="D295" t="s">
        <v>451</v>
      </c>
      <c r="E295" t="s">
        <v>471</v>
      </c>
      <c r="F295" t="s">
        <v>248</v>
      </c>
      <c r="G295" t="s">
        <v>19</v>
      </c>
      <c r="H295" t="s">
        <v>20</v>
      </c>
      <c r="I295">
        <v>1</v>
      </c>
    </row>
    <row r="296" spans="2:9" x14ac:dyDescent="0.25">
      <c r="B296">
        <v>3</v>
      </c>
      <c r="C296">
        <v>2</v>
      </c>
      <c r="D296" t="s">
        <v>451</v>
      </c>
      <c r="E296" t="s">
        <v>471</v>
      </c>
      <c r="F296" t="s">
        <v>248</v>
      </c>
      <c r="G296" t="s">
        <v>463</v>
      </c>
      <c r="H296" t="s">
        <v>464</v>
      </c>
      <c r="I296">
        <v>1</v>
      </c>
    </row>
    <row r="297" spans="2:9" x14ac:dyDescent="0.25">
      <c r="B297">
        <v>3</v>
      </c>
      <c r="C297">
        <v>2</v>
      </c>
      <c r="D297" t="s">
        <v>451</v>
      </c>
      <c r="E297" t="s">
        <v>472</v>
      </c>
      <c r="F297" t="s">
        <v>473</v>
      </c>
      <c r="G297" t="s">
        <v>23</v>
      </c>
      <c r="H297" t="s">
        <v>24</v>
      </c>
      <c r="I297">
        <v>6</v>
      </c>
    </row>
    <row r="298" spans="2:9" x14ac:dyDescent="0.25">
      <c r="B298">
        <v>3</v>
      </c>
      <c r="C298">
        <v>2</v>
      </c>
      <c r="D298" t="s">
        <v>451</v>
      </c>
      <c r="E298" t="s">
        <v>474</v>
      </c>
      <c r="F298" t="s">
        <v>475</v>
      </c>
      <c r="G298" t="s">
        <v>118</v>
      </c>
      <c r="H298" t="s">
        <v>119</v>
      </c>
      <c r="I298">
        <v>2</v>
      </c>
    </row>
    <row r="299" spans="2:9" x14ac:dyDescent="0.25">
      <c r="B299">
        <v>3</v>
      </c>
      <c r="C299">
        <v>2</v>
      </c>
      <c r="D299" t="s">
        <v>451</v>
      </c>
      <c r="E299" t="s">
        <v>476</v>
      </c>
      <c r="F299" t="s">
        <v>477</v>
      </c>
      <c r="G299" t="s">
        <v>13</v>
      </c>
      <c r="H299" t="s">
        <v>14</v>
      </c>
      <c r="I299">
        <v>1</v>
      </c>
    </row>
    <row r="300" spans="2:9" x14ac:dyDescent="0.25">
      <c r="B300">
        <v>3</v>
      </c>
      <c r="C300">
        <v>2</v>
      </c>
      <c r="D300" t="s">
        <v>451</v>
      </c>
      <c r="E300" t="s">
        <v>476</v>
      </c>
      <c r="F300" t="s">
        <v>477</v>
      </c>
      <c r="G300" t="s">
        <v>15</v>
      </c>
      <c r="H300" t="s">
        <v>16</v>
      </c>
      <c r="I300">
        <v>1</v>
      </c>
    </row>
    <row r="301" spans="2:9" x14ac:dyDescent="0.25">
      <c r="B301">
        <v>3</v>
      </c>
      <c r="C301">
        <v>2</v>
      </c>
      <c r="D301" t="s">
        <v>451</v>
      </c>
      <c r="E301" t="s">
        <v>478</v>
      </c>
      <c r="F301" t="s">
        <v>479</v>
      </c>
      <c r="G301" t="s">
        <v>13</v>
      </c>
      <c r="H301" t="s">
        <v>14</v>
      </c>
      <c r="I301">
        <v>1</v>
      </c>
    </row>
    <row r="302" spans="2:9" x14ac:dyDescent="0.25">
      <c r="B302">
        <v>3</v>
      </c>
      <c r="C302">
        <v>2</v>
      </c>
      <c r="D302" t="s">
        <v>451</v>
      </c>
      <c r="E302" t="s">
        <v>478</v>
      </c>
      <c r="F302" t="s">
        <v>479</v>
      </c>
      <c r="G302" t="s">
        <v>15</v>
      </c>
      <c r="H302" t="s">
        <v>16</v>
      </c>
      <c r="I302">
        <v>1</v>
      </c>
    </row>
    <row r="303" spans="2:9" x14ac:dyDescent="0.25">
      <c r="B303">
        <v>3</v>
      </c>
      <c r="C303">
        <v>2</v>
      </c>
      <c r="D303" t="s">
        <v>451</v>
      </c>
      <c r="E303" t="s">
        <v>480</v>
      </c>
      <c r="F303" t="s">
        <v>481</v>
      </c>
      <c r="G303">
        <v>201008</v>
      </c>
      <c r="H303" t="s">
        <v>29</v>
      </c>
      <c r="I303">
        <v>1</v>
      </c>
    </row>
    <row r="304" spans="2:9" x14ac:dyDescent="0.25">
      <c r="B304">
        <v>3</v>
      </c>
      <c r="C304">
        <v>2</v>
      </c>
      <c r="D304" t="s">
        <v>451</v>
      </c>
      <c r="E304" t="s">
        <v>480</v>
      </c>
      <c r="F304" t="s">
        <v>481</v>
      </c>
      <c r="G304" t="s">
        <v>23</v>
      </c>
      <c r="H304" t="s">
        <v>24</v>
      </c>
      <c r="I304">
        <v>4</v>
      </c>
    </row>
    <row r="305" spans="2:9" x14ac:dyDescent="0.25">
      <c r="B305">
        <v>3</v>
      </c>
      <c r="C305">
        <v>2</v>
      </c>
      <c r="D305" t="s">
        <v>451</v>
      </c>
      <c r="E305" t="s">
        <v>480</v>
      </c>
      <c r="F305" t="s">
        <v>481</v>
      </c>
      <c r="G305" t="s">
        <v>15</v>
      </c>
      <c r="H305" t="s">
        <v>16</v>
      </c>
      <c r="I305">
        <v>4</v>
      </c>
    </row>
    <row r="306" spans="2:9" x14ac:dyDescent="0.25">
      <c r="B306">
        <v>3</v>
      </c>
      <c r="C306">
        <v>2</v>
      </c>
      <c r="D306" t="s">
        <v>451</v>
      </c>
      <c r="E306" t="s">
        <v>482</v>
      </c>
      <c r="F306" t="s">
        <v>256</v>
      </c>
      <c r="G306">
        <v>201002</v>
      </c>
      <c r="H306" t="s">
        <v>70</v>
      </c>
      <c r="I306">
        <v>2</v>
      </c>
    </row>
    <row r="307" spans="2:9" x14ac:dyDescent="0.25">
      <c r="B307">
        <v>3</v>
      </c>
      <c r="C307">
        <v>2</v>
      </c>
      <c r="D307" t="s">
        <v>451</v>
      </c>
      <c r="E307" t="s">
        <v>482</v>
      </c>
      <c r="F307" t="s">
        <v>256</v>
      </c>
      <c r="G307" t="s">
        <v>118</v>
      </c>
      <c r="H307" t="s">
        <v>119</v>
      </c>
      <c r="I307">
        <v>1</v>
      </c>
    </row>
    <row r="308" spans="2:9" x14ac:dyDescent="0.25">
      <c r="B308">
        <v>3</v>
      </c>
      <c r="C308">
        <v>2</v>
      </c>
      <c r="D308" t="s">
        <v>451</v>
      </c>
      <c r="E308" t="s">
        <v>483</v>
      </c>
      <c r="F308" t="s">
        <v>254</v>
      </c>
      <c r="G308">
        <v>201009</v>
      </c>
      <c r="H308" t="s">
        <v>255</v>
      </c>
      <c r="I308">
        <v>1</v>
      </c>
    </row>
    <row r="309" spans="2:9" x14ac:dyDescent="0.25">
      <c r="B309">
        <v>3</v>
      </c>
      <c r="C309">
        <v>2</v>
      </c>
      <c r="D309" t="s">
        <v>451</v>
      </c>
      <c r="E309" t="s">
        <v>484</v>
      </c>
      <c r="F309" t="s">
        <v>323</v>
      </c>
      <c r="G309">
        <v>201008</v>
      </c>
      <c r="H309" t="s">
        <v>29</v>
      </c>
      <c r="I309">
        <v>1</v>
      </c>
    </row>
    <row r="310" spans="2:9" x14ac:dyDescent="0.25">
      <c r="B310">
        <v>3</v>
      </c>
      <c r="C310">
        <v>2</v>
      </c>
      <c r="D310" t="s">
        <v>451</v>
      </c>
      <c r="E310" t="s">
        <v>484</v>
      </c>
      <c r="F310" t="s">
        <v>323</v>
      </c>
      <c r="G310" t="s">
        <v>23</v>
      </c>
      <c r="H310" t="s">
        <v>24</v>
      </c>
      <c r="I310">
        <v>1</v>
      </c>
    </row>
    <row r="311" spans="2:9" x14ac:dyDescent="0.25">
      <c r="B311">
        <v>3</v>
      </c>
      <c r="C311">
        <v>2</v>
      </c>
      <c r="D311" t="s">
        <v>451</v>
      </c>
      <c r="E311" t="s">
        <v>484</v>
      </c>
      <c r="F311" t="s">
        <v>323</v>
      </c>
      <c r="G311" t="s">
        <v>15</v>
      </c>
      <c r="H311" t="s">
        <v>16</v>
      </c>
      <c r="I311">
        <v>1</v>
      </c>
    </row>
    <row r="312" spans="2:9" x14ac:dyDescent="0.25">
      <c r="B312">
        <v>3</v>
      </c>
      <c r="C312">
        <v>2</v>
      </c>
      <c r="D312" t="s">
        <v>451</v>
      </c>
      <c r="E312" t="s">
        <v>485</v>
      </c>
      <c r="F312" t="s">
        <v>323</v>
      </c>
      <c r="G312">
        <v>201008</v>
      </c>
      <c r="H312" t="s">
        <v>29</v>
      </c>
      <c r="I312">
        <v>1</v>
      </c>
    </row>
    <row r="313" spans="2:9" x14ac:dyDescent="0.25">
      <c r="B313">
        <v>3</v>
      </c>
      <c r="C313">
        <v>2</v>
      </c>
      <c r="D313" t="s">
        <v>451</v>
      </c>
      <c r="E313" t="s">
        <v>485</v>
      </c>
      <c r="F313" t="s">
        <v>323</v>
      </c>
      <c r="G313" t="s">
        <v>23</v>
      </c>
      <c r="H313" t="s">
        <v>24</v>
      </c>
      <c r="I313">
        <v>1</v>
      </c>
    </row>
    <row r="314" spans="2:9" x14ac:dyDescent="0.25">
      <c r="B314">
        <v>3</v>
      </c>
      <c r="C314">
        <v>2</v>
      </c>
      <c r="D314" t="s">
        <v>451</v>
      </c>
      <c r="E314" t="s">
        <v>485</v>
      </c>
      <c r="F314" t="s">
        <v>323</v>
      </c>
      <c r="G314" t="s">
        <v>15</v>
      </c>
      <c r="H314" t="s">
        <v>16</v>
      </c>
      <c r="I314">
        <v>1</v>
      </c>
    </row>
    <row r="315" spans="2:9" x14ac:dyDescent="0.25">
      <c r="B315">
        <v>3</v>
      </c>
      <c r="C315">
        <v>2</v>
      </c>
      <c r="D315" t="s">
        <v>451</v>
      </c>
      <c r="E315" t="s">
        <v>486</v>
      </c>
      <c r="F315" t="s">
        <v>487</v>
      </c>
      <c r="G315">
        <v>201009</v>
      </c>
      <c r="H315" t="s">
        <v>255</v>
      </c>
      <c r="I315">
        <v>1</v>
      </c>
    </row>
    <row r="316" spans="2:9" x14ac:dyDescent="0.25">
      <c r="B316">
        <v>3</v>
      </c>
      <c r="C316">
        <v>2</v>
      </c>
      <c r="D316" t="s">
        <v>451</v>
      </c>
      <c r="E316" t="s">
        <v>488</v>
      </c>
      <c r="F316" t="s">
        <v>487</v>
      </c>
      <c r="G316">
        <v>201009</v>
      </c>
      <c r="H316" t="s">
        <v>255</v>
      </c>
      <c r="I316">
        <v>1</v>
      </c>
    </row>
    <row r="317" spans="2:9" x14ac:dyDescent="0.25">
      <c r="B317">
        <v>3</v>
      </c>
      <c r="C317">
        <v>2</v>
      </c>
      <c r="D317" t="s">
        <v>489</v>
      </c>
      <c r="E317" t="s">
        <v>490</v>
      </c>
      <c r="F317" t="s">
        <v>491</v>
      </c>
      <c r="G317">
        <v>201009</v>
      </c>
      <c r="H317" t="s">
        <v>255</v>
      </c>
      <c r="I317">
        <v>1</v>
      </c>
    </row>
    <row r="318" spans="2:9" x14ac:dyDescent="0.25">
      <c r="B318">
        <v>3</v>
      </c>
      <c r="C318">
        <v>2</v>
      </c>
      <c r="D318" t="s">
        <v>489</v>
      </c>
      <c r="E318" t="s">
        <v>492</v>
      </c>
      <c r="F318" t="s">
        <v>493</v>
      </c>
      <c r="G318" t="s">
        <v>13</v>
      </c>
      <c r="H318" t="s">
        <v>14</v>
      </c>
      <c r="I318">
        <v>1</v>
      </c>
    </row>
    <row r="319" spans="2:9" x14ac:dyDescent="0.25">
      <c r="B319">
        <v>3</v>
      </c>
      <c r="C319">
        <v>2</v>
      </c>
      <c r="D319" t="s">
        <v>489</v>
      </c>
      <c r="E319" t="s">
        <v>492</v>
      </c>
      <c r="F319" t="s">
        <v>493</v>
      </c>
      <c r="G319" t="s">
        <v>15</v>
      </c>
      <c r="H319" t="s">
        <v>16</v>
      </c>
      <c r="I319">
        <v>1</v>
      </c>
    </row>
    <row r="320" spans="2:9" x14ac:dyDescent="0.25">
      <c r="B320">
        <v>3</v>
      </c>
      <c r="C320">
        <v>2</v>
      </c>
      <c r="D320" t="s">
        <v>489</v>
      </c>
      <c r="E320" t="s">
        <v>494</v>
      </c>
      <c r="F320" t="s">
        <v>495</v>
      </c>
      <c r="G320" t="s">
        <v>13</v>
      </c>
      <c r="H320" t="s">
        <v>14</v>
      </c>
      <c r="I320">
        <v>1</v>
      </c>
    </row>
    <row r="321" spans="2:9" x14ac:dyDescent="0.25">
      <c r="B321">
        <v>3</v>
      </c>
      <c r="C321">
        <v>2</v>
      </c>
      <c r="D321" t="s">
        <v>489</v>
      </c>
      <c r="E321" t="s">
        <v>494</v>
      </c>
      <c r="F321" t="s">
        <v>495</v>
      </c>
      <c r="G321" t="s">
        <v>15</v>
      </c>
      <c r="H321" t="s">
        <v>16</v>
      </c>
      <c r="I321">
        <v>1</v>
      </c>
    </row>
    <row r="322" spans="2:9" x14ac:dyDescent="0.25">
      <c r="B322">
        <v>3</v>
      </c>
      <c r="C322">
        <v>2</v>
      </c>
      <c r="D322" t="s">
        <v>489</v>
      </c>
      <c r="E322" t="s">
        <v>496</v>
      </c>
      <c r="F322" t="s">
        <v>497</v>
      </c>
      <c r="G322" t="s">
        <v>23</v>
      </c>
      <c r="H322" t="s">
        <v>24</v>
      </c>
      <c r="I322">
        <v>6</v>
      </c>
    </row>
    <row r="323" spans="2:9" x14ac:dyDescent="0.25">
      <c r="B323">
        <v>3</v>
      </c>
      <c r="C323">
        <v>2</v>
      </c>
      <c r="D323" t="s">
        <v>489</v>
      </c>
      <c r="E323" t="s">
        <v>496</v>
      </c>
      <c r="F323" t="s">
        <v>497</v>
      </c>
      <c r="G323" t="s">
        <v>15</v>
      </c>
      <c r="H323" t="s">
        <v>16</v>
      </c>
      <c r="I323">
        <v>2</v>
      </c>
    </row>
    <row r="324" spans="2:9" x14ac:dyDescent="0.25">
      <c r="B324">
        <v>3</v>
      </c>
      <c r="C324">
        <v>2</v>
      </c>
      <c r="D324" t="s">
        <v>489</v>
      </c>
      <c r="E324" t="s">
        <v>498</v>
      </c>
      <c r="F324" t="s">
        <v>91</v>
      </c>
      <c r="G324" t="s">
        <v>118</v>
      </c>
      <c r="H324" t="s">
        <v>119</v>
      </c>
      <c r="I324">
        <v>1</v>
      </c>
    </row>
    <row r="325" spans="2:9" x14ac:dyDescent="0.25">
      <c r="B325">
        <v>3</v>
      </c>
      <c r="C325">
        <v>2</v>
      </c>
      <c r="D325" t="s">
        <v>489</v>
      </c>
      <c r="E325" t="s">
        <v>499</v>
      </c>
      <c r="F325" t="s">
        <v>469</v>
      </c>
      <c r="G325" t="s">
        <v>13</v>
      </c>
      <c r="H325" t="s">
        <v>14</v>
      </c>
      <c r="I325">
        <v>1</v>
      </c>
    </row>
    <row r="326" spans="2:9" x14ac:dyDescent="0.25">
      <c r="B326">
        <v>3</v>
      </c>
      <c r="C326">
        <v>2</v>
      </c>
      <c r="D326" t="s">
        <v>489</v>
      </c>
      <c r="E326" t="s">
        <v>499</v>
      </c>
      <c r="F326" t="s">
        <v>469</v>
      </c>
      <c r="G326" t="s">
        <v>15</v>
      </c>
      <c r="H326" t="s">
        <v>16</v>
      </c>
      <c r="I326">
        <v>1</v>
      </c>
    </row>
    <row r="327" spans="2:9" x14ac:dyDescent="0.25">
      <c r="B327">
        <v>3</v>
      </c>
      <c r="C327">
        <v>2</v>
      </c>
      <c r="D327" t="s">
        <v>489</v>
      </c>
      <c r="E327" t="s">
        <v>500</v>
      </c>
      <c r="F327" t="s">
        <v>415</v>
      </c>
      <c r="G327" t="s">
        <v>13</v>
      </c>
      <c r="H327" t="s">
        <v>14</v>
      </c>
      <c r="I327">
        <v>1</v>
      </c>
    </row>
    <row r="328" spans="2:9" x14ac:dyDescent="0.25">
      <c r="B328">
        <v>3</v>
      </c>
      <c r="C328">
        <v>2</v>
      </c>
      <c r="D328" t="s">
        <v>489</v>
      </c>
      <c r="E328" t="s">
        <v>500</v>
      </c>
      <c r="F328" t="s">
        <v>415</v>
      </c>
      <c r="G328" t="s">
        <v>15</v>
      </c>
      <c r="H328" t="s">
        <v>16</v>
      </c>
      <c r="I328">
        <v>1</v>
      </c>
    </row>
    <row r="329" spans="2:9" x14ac:dyDescent="0.25">
      <c r="B329">
        <v>3</v>
      </c>
      <c r="C329">
        <v>2</v>
      </c>
      <c r="D329" t="s">
        <v>489</v>
      </c>
      <c r="E329" t="s">
        <v>501</v>
      </c>
      <c r="F329" t="s">
        <v>502</v>
      </c>
      <c r="G329" t="s">
        <v>13</v>
      </c>
      <c r="H329" t="s">
        <v>14</v>
      </c>
      <c r="I329">
        <v>1</v>
      </c>
    </row>
    <row r="330" spans="2:9" x14ac:dyDescent="0.25">
      <c r="B330">
        <v>3</v>
      </c>
      <c r="C330">
        <v>2</v>
      </c>
      <c r="D330" t="s">
        <v>489</v>
      </c>
      <c r="E330" t="s">
        <v>501</v>
      </c>
      <c r="F330" t="s">
        <v>502</v>
      </c>
      <c r="G330" t="s">
        <v>15</v>
      </c>
      <c r="H330" t="s">
        <v>16</v>
      </c>
      <c r="I330">
        <v>1</v>
      </c>
    </row>
    <row r="331" spans="2:9" x14ac:dyDescent="0.25">
      <c r="B331">
        <v>3</v>
      </c>
      <c r="C331">
        <v>2</v>
      </c>
      <c r="D331" t="s">
        <v>489</v>
      </c>
      <c r="E331" t="s">
        <v>504</v>
      </c>
      <c r="F331" t="s">
        <v>503</v>
      </c>
      <c r="G331" t="s">
        <v>23</v>
      </c>
      <c r="H331" t="s">
        <v>24</v>
      </c>
      <c r="I331">
        <v>1</v>
      </c>
    </row>
    <row r="332" spans="2:9" x14ac:dyDescent="0.25">
      <c r="B332">
        <v>3</v>
      </c>
      <c r="C332">
        <v>2</v>
      </c>
      <c r="D332" t="s">
        <v>489</v>
      </c>
      <c r="E332" t="s">
        <v>505</v>
      </c>
      <c r="F332" t="s">
        <v>503</v>
      </c>
      <c r="G332" t="s">
        <v>23</v>
      </c>
      <c r="H332" t="s">
        <v>24</v>
      </c>
      <c r="I332">
        <v>1</v>
      </c>
    </row>
    <row r="333" spans="2:9" x14ac:dyDescent="0.25">
      <c r="B333">
        <v>3</v>
      </c>
      <c r="C333">
        <v>2</v>
      </c>
      <c r="D333" t="s">
        <v>489</v>
      </c>
      <c r="E333" t="s">
        <v>506</v>
      </c>
      <c r="F333" t="s">
        <v>507</v>
      </c>
      <c r="G333" t="s">
        <v>103</v>
      </c>
      <c r="H333" t="s">
        <v>104</v>
      </c>
      <c r="I333">
        <v>1</v>
      </c>
    </row>
    <row r="334" spans="2:9" x14ac:dyDescent="0.25">
      <c r="B334">
        <v>3</v>
      </c>
      <c r="C334">
        <v>2</v>
      </c>
      <c r="D334" t="s">
        <v>489</v>
      </c>
      <c r="E334" t="s">
        <v>508</v>
      </c>
      <c r="F334" t="s">
        <v>509</v>
      </c>
      <c r="G334" t="s">
        <v>103</v>
      </c>
      <c r="H334" t="s">
        <v>104</v>
      </c>
      <c r="I334">
        <v>1</v>
      </c>
    </row>
    <row r="335" spans="2:9" x14ac:dyDescent="0.25">
      <c r="B335">
        <v>3</v>
      </c>
      <c r="C335">
        <v>2</v>
      </c>
      <c r="D335" t="s">
        <v>489</v>
      </c>
      <c r="E335" t="s">
        <v>510</v>
      </c>
      <c r="F335" t="s">
        <v>511</v>
      </c>
      <c r="G335" t="s">
        <v>103</v>
      </c>
      <c r="H335" t="s">
        <v>104</v>
      </c>
      <c r="I335">
        <v>1</v>
      </c>
    </row>
    <row r="336" spans="2:9" x14ac:dyDescent="0.25">
      <c r="B336">
        <v>3</v>
      </c>
      <c r="C336">
        <v>2</v>
      </c>
      <c r="D336" t="s">
        <v>489</v>
      </c>
      <c r="E336" t="s">
        <v>512</v>
      </c>
      <c r="F336" t="s">
        <v>323</v>
      </c>
      <c r="G336">
        <v>201008</v>
      </c>
      <c r="H336" t="s">
        <v>29</v>
      </c>
      <c r="I336">
        <v>1</v>
      </c>
    </row>
    <row r="337" spans="2:9" x14ac:dyDescent="0.25">
      <c r="B337">
        <v>3</v>
      </c>
      <c r="C337">
        <v>2</v>
      </c>
      <c r="D337" t="s">
        <v>489</v>
      </c>
      <c r="E337" t="s">
        <v>512</v>
      </c>
      <c r="F337" t="s">
        <v>323</v>
      </c>
      <c r="G337" t="s">
        <v>23</v>
      </c>
      <c r="H337" t="s">
        <v>24</v>
      </c>
      <c r="I337">
        <v>1</v>
      </c>
    </row>
    <row r="338" spans="2:9" x14ac:dyDescent="0.25">
      <c r="B338">
        <v>3</v>
      </c>
      <c r="C338">
        <v>2</v>
      </c>
      <c r="D338" t="s">
        <v>489</v>
      </c>
      <c r="E338" t="s">
        <v>512</v>
      </c>
      <c r="F338" t="s">
        <v>323</v>
      </c>
      <c r="G338" t="s">
        <v>15</v>
      </c>
      <c r="H338" t="s">
        <v>16</v>
      </c>
      <c r="I338">
        <v>1</v>
      </c>
    </row>
    <row r="339" spans="2:9" x14ac:dyDescent="0.25">
      <c r="B339">
        <v>3</v>
      </c>
      <c r="C339">
        <v>2</v>
      </c>
      <c r="D339" t="s">
        <v>489</v>
      </c>
      <c r="E339" t="s">
        <v>513</v>
      </c>
      <c r="F339" t="s">
        <v>487</v>
      </c>
      <c r="G339">
        <v>201009</v>
      </c>
      <c r="H339" t="s">
        <v>255</v>
      </c>
      <c r="I339">
        <v>1</v>
      </c>
    </row>
    <row r="340" spans="2:9" x14ac:dyDescent="0.25">
      <c r="B340">
        <v>3</v>
      </c>
      <c r="C340">
        <v>2</v>
      </c>
      <c r="D340" t="s">
        <v>489</v>
      </c>
      <c r="E340" t="s">
        <v>514</v>
      </c>
      <c r="F340" t="s">
        <v>487</v>
      </c>
      <c r="G340">
        <v>201009</v>
      </c>
      <c r="H340" t="s">
        <v>255</v>
      </c>
      <c r="I340">
        <v>1</v>
      </c>
    </row>
    <row r="341" spans="2:9" x14ac:dyDescent="0.25">
      <c r="B341">
        <v>3</v>
      </c>
      <c r="C341">
        <v>2</v>
      </c>
      <c r="D341" t="s">
        <v>515</v>
      </c>
      <c r="E341" t="s">
        <v>516</v>
      </c>
      <c r="F341" t="s">
        <v>517</v>
      </c>
      <c r="G341">
        <v>201008</v>
      </c>
      <c r="H341" t="s">
        <v>29</v>
      </c>
      <c r="I341">
        <v>1</v>
      </c>
    </row>
    <row r="342" spans="2:9" x14ac:dyDescent="0.25">
      <c r="B342">
        <v>3</v>
      </c>
      <c r="C342">
        <v>2</v>
      </c>
      <c r="D342" t="s">
        <v>515</v>
      </c>
      <c r="E342" t="s">
        <v>516</v>
      </c>
      <c r="F342" t="s">
        <v>517</v>
      </c>
      <c r="G342" t="s">
        <v>13</v>
      </c>
      <c r="H342" t="s">
        <v>14</v>
      </c>
      <c r="I342">
        <v>1</v>
      </c>
    </row>
    <row r="343" spans="2:9" x14ac:dyDescent="0.25">
      <c r="B343">
        <v>3</v>
      </c>
      <c r="C343">
        <v>2</v>
      </c>
      <c r="D343" t="s">
        <v>515</v>
      </c>
      <c r="E343" t="s">
        <v>516</v>
      </c>
      <c r="F343" t="s">
        <v>517</v>
      </c>
      <c r="G343" t="s">
        <v>15</v>
      </c>
      <c r="H343" t="s">
        <v>16</v>
      </c>
      <c r="I343">
        <v>1</v>
      </c>
    </row>
    <row r="344" spans="2:9" x14ac:dyDescent="0.25">
      <c r="B344">
        <v>3</v>
      </c>
      <c r="C344">
        <v>2</v>
      </c>
      <c r="D344" t="s">
        <v>515</v>
      </c>
      <c r="E344" t="s">
        <v>518</v>
      </c>
      <c r="F344" t="s">
        <v>345</v>
      </c>
      <c r="G344" t="s">
        <v>23</v>
      </c>
      <c r="H344" t="s">
        <v>24</v>
      </c>
      <c r="I344">
        <v>6</v>
      </c>
    </row>
    <row r="345" spans="2:9" x14ac:dyDescent="0.25">
      <c r="B345">
        <v>3</v>
      </c>
      <c r="C345">
        <v>2</v>
      </c>
      <c r="D345" t="s">
        <v>515</v>
      </c>
      <c r="E345" t="s">
        <v>518</v>
      </c>
      <c r="F345" t="s">
        <v>345</v>
      </c>
      <c r="G345" t="s">
        <v>15</v>
      </c>
      <c r="H345" t="s">
        <v>16</v>
      </c>
      <c r="I345">
        <v>6</v>
      </c>
    </row>
    <row r="346" spans="2:9" x14ac:dyDescent="0.25">
      <c r="B346">
        <v>3</v>
      </c>
      <c r="C346">
        <v>2</v>
      </c>
      <c r="D346" t="s">
        <v>515</v>
      </c>
      <c r="E346" t="s">
        <v>519</v>
      </c>
      <c r="F346" t="s">
        <v>520</v>
      </c>
      <c r="G346" t="s">
        <v>13</v>
      </c>
      <c r="H346" t="s">
        <v>14</v>
      </c>
      <c r="I346">
        <v>1</v>
      </c>
    </row>
    <row r="347" spans="2:9" x14ac:dyDescent="0.25">
      <c r="B347">
        <v>3</v>
      </c>
      <c r="C347">
        <v>2</v>
      </c>
      <c r="D347" t="s">
        <v>515</v>
      </c>
      <c r="E347" t="s">
        <v>519</v>
      </c>
      <c r="F347" t="s">
        <v>520</v>
      </c>
      <c r="G347" t="s">
        <v>15</v>
      </c>
      <c r="H347" t="s">
        <v>16</v>
      </c>
      <c r="I347">
        <v>1</v>
      </c>
    </row>
    <row r="348" spans="2:9" x14ac:dyDescent="0.25">
      <c r="B348">
        <v>3</v>
      </c>
      <c r="C348">
        <v>2</v>
      </c>
      <c r="D348" t="s">
        <v>515</v>
      </c>
      <c r="E348" t="s">
        <v>521</v>
      </c>
      <c r="F348" t="s">
        <v>56</v>
      </c>
      <c r="G348">
        <v>201009</v>
      </c>
      <c r="H348" t="s">
        <v>255</v>
      </c>
      <c r="I348">
        <v>1</v>
      </c>
    </row>
    <row r="349" spans="2:9" x14ac:dyDescent="0.25">
      <c r="B349">
        <v>3</v>
      </c>
      <c r="C349">
        <v>2</v>
      </c>
      <c r="D349" t="s">
        <v>515</v>
      </c>
      <c r="E349" t="s">
        <v>522</v>
      </c>
      <c r="F349" t="s">
        <v>523</v>
      </c>
      <c r="G349" t="s">
        <v>103</v>
      </c>
      <c r="H349" t="s">
        <v>104</v>
      </c>
      <c r="I349">
        <v>1</v>
      </c>
    </row>
    <row r="350" spans="2:9" x14ac:dyDescent="0.25">
      <c r="B350">
        <v>3</v>
      </c>
      <c r="C350">
        <v>2</v>
      </c>
      <c r="D350" t="s">
        <v>524</v>
      </c>
      <c r="E350" t="s">
        <v>525</v>
      </c>
      <c r="F350" t="s">
        <v>397</v>
      </c>
      <c r="G350" t="s">
        <v>15</v>
      </c>
      <c r="H350" t="s">
        <v>16</v>
      </c>
      <c r="I350">
        <v>1</v>
      </c>
    </row>
    <row r="351" spans="2:9" x14ac:dyDescent="0.25">
      <c r="B351">
        <v>3</v>
      </c>
      <c r="C351">
        <v>2</v>
      </c>
      <c r="D351" t="s">
        <v>524</v>
      </c>
      <c r="E351" t="s">
        <v>526</v>
      </c>
      <c r="F351" t="s">
        <v>527</v>
      </c>
      <c r="G351" t="s">
        <v>23</v>
      </c>
      <c r="H351" t="s">
        <v>24</v>
      </c>
      <c r="I351">
        <v>2</v>
      </c>
    </row>
    <row r="352" spans="2:9" x14ac:dyDescent="0.25">
      <c r="B352">
        <v>3</v>
      </c>
      <c r="C352">
        <v>2</v>
      </c>
      <c r="D352" t="s">
        <v>524</v>
      </c>
      <c r="E352" t="s">
        <v>528</v>
      </c>
      <c r="F352" t="s">
        <v>529</v>
      </c>
      <c r="G352">
        <v>201009</v>
      </c>
      <c r="H352" t="s">
        <v>255</v>
      </c>
      <c r="I352">
        <v>1</v>
      </c>
    </row>
    <row r="353" spans="2:9" x14ac:dyDescent="0.25">
      <c r="B353">
        <v>3</v>
      </c>
      <c r="C353">
        <v>2</v>
      </c>
      <c r="D353" t="s">
        <v>524</v>
      </c>
      <c r="E353" t="s">
        <v>528</v>
      </c>
      <c r="F353" t="s">
        <v>529</v>
      </c>
      <c r="G353" t="s">
        <v>15</v>
      </c>
      <c r="H353" t="s">
        <v>16</v>
      </c>
      <c r="I353">
        <v>1</v>
      </c>
    </row>
    <row r="354" spans="2:9" x14ac:dyDescent="0.25">
      <c r="B354">
        <v>3</v>
      </c>
      <c r="C354">
        <v>2</v>
      </c>
      <c r="D354" t="s">
        <v>524</v>
      </c>
      <c r="E354" t="s">
        <v>530</v>
      </c>
      <c r="F354" t="s">
        <v>531</v>
      </c>
      <c r="G354" t="s">
        <v>13</v>
      </c>
      <c r="H354" t="s">
        <v>14</v>
      </c>
      <c r="I354">
        <v>1</v>
      </c>
    </row>
    <row r="355" spans="2:9" x14ac:dyDescent="0.25">
      <c r="B355">
        <v>3</v>
      </c>
      <c r="C355">
        <v>2</v>
      </c>
      <c r="D355" t="s">
        <v>524</v>
      </c>
      <c r="E355" t="s">
        <v>530</v>
      </c>
      <c r="F355" t="s">
        <v>531</v>
      </c>
      <c r="G355" t="s">
        <v>15</v>
      </c>
      <c r="H355" t="s">
        <v>16</v>
      </c>
      <c r="I355">
        <v>1</v>
      </c>
    </row>
    <row r="356" spans="2:9" x14ac:dyDescent="0.25">
      <c r="B356">
        <v>3</v>
      </c>
      <c r="C356">
        <v>2</v>
      </c>
      <c r="D356" t="s">
        <v>524</v>
      </c>
      <c r="E356" t="s">
        <v>532</v>
      </c>
      <c r="F356" t="s">
        <v>273</v>
      </c>
      <c r="G356" t="s">
        <v>23</v>
      </c>
      <c r="H356" t="s">
        <v>24</v>
      </c>
      <c r="I356">
        <v>1</v>
      </c>
    </row>
    <row r="357" spans="2:9" x14ac:dyDescent="0.25">
      <c r="B357">
        <v>3</v>
      </c>
      <c r="C357">
        <v>2</v>
      </c>
      <c r="D357" t="s">
        <v>524</v>
      </c>
      <c r="E357" t="s">
        <v>533</v>
      </c>
      <c r="F357" t="s">
        <v>273</v>
      </c>
      <c r="G357" t="s">
        <v>23</v>
      </c>
      <c r="H357" t="s">
        <v>24</v>
      </c>
      <c r="I357">
        <v>1</v>
      </c>
    </row>
    <row r="358" spans="2:9" x14ac:dyDescent="0.25">
      <c r="B358">
        <v>3</v>
      </c>
      <c r="C358">
        <v>2</v>
      </c>
      <c r="D358" t="s">
        <v>524</v>
      </c>
      <c r="E358" t="s">
        <v>534</v>
      </c>
      <c r="F358" t="s">
        <v>254</v>
      </c>
      <c r="G358">
        <v>201010</v>
      </c>
      <c r="H358" t="s">
        <v>44</v>
      </c>
      <c r="I358">
        <v>1</v>
      </c>
    </row>
    <row r="359" spans="2:9" x14ac:dyDescent="0.25">
      <c r="B359">
        <v>3</v>
      </c>
      <c r="C359">
        <v>2</v>
      </c>
      <c r="D359" t="s">
        <v>535</v>
      </c>
      <c r="E359" t="s">
        <v>536</v>
      </c>
      <c r="F359" t="s">
        <v>537</v>
      </c>
      <c r="G359" t="s">
        <v>13</v>
      </c>
      <c r="H359" t="s">
        <v>14</v>
      </c>
      <c r="I359">
        <v>1</v>
      </c>
    </row>
    <row r="360" spans="2:9" x14ac:dyDescent="0.25">
      <c r="B360">
        <v>3</v>
      </c>
      <c r="C360">
        <v>2</v>
      </c>
      <c r="D360" t="s">
        <v>535</v>
      </c>
      <c r="E360" t="s">
        <v>536</v>
      </c>
      <c r="F360" t="s">
        <v>537</v>
      </c>
      <c r="G360" t="s">
        <v>15</v>
      </c>
      <c r="H360" t="s">
        <v>16</v>
      </c>
      <c r="I360">
        <v>1</v>
      </c>
    </row>
    <row r="361" spans="2:9" x14ac:dyDescent="0.25">
      <c r="B361">
        <v>3</v>
      </c>
      <c r="C361">
        <v>2</v>
      </c>
      <c r="D361" t="s">
        <v>535</v>
      </c>
      <c r="E361" t="s">
        <v>538</v>
      </c>
      <c r="F361" t="s">
        <v>539</v>
      </c>
      <c r="G361" t="s">
        <v>19</v>
      </c>
      <c r="H361" t="s">
        <v>20</v>
      </c>
      <c r="I361">
        <v>1</v>
      </c>
    </row>
    <row r="362" spans="2:9" x14ac:dyDescent="0.25">
      <c r="B362">
        <v>3</v>
      </c>
      <c r="C362">
        <v>2</v>
      </c>
      <c r="D362" t="s">
        <v>535</v>
      </c>
      <c r="E362" t="s">
        <v>538</v>
      </c>
      <c r="F362" t="s">
        <v>539</v>
      </c>
      <c r="G362" t="s">
        <v>463</v>
      </c>
      <c r="H362" t="s">
        <v>464</v>
      </c>
      <c r="I362">
        <v>1</v>
      </c>
    </row>
    <row r="363" spans="2:9" x14ac:dyDescent="0.25">
      <c r="B363">
        <v>3</v>
      </c>
      <c r="C363">
        <v>2</v>
      </c>
      <c r="D363" t="s">
        <v>535</v>
      </c>
      <c r="E363" t="s">
        <v>540</v>
      </c>
      <c r="F363" t="s">
        <v>541</v>
      </c>
      <c r="G363" t="s">
        <v>19</v>
      </c>
      <c r="H363" t="s">
        <v>20</v>
      </c>
      <c r="I363">
        <v>1</v>
      </c>
    </row>
    <row r="364" spans="2:9" x14ac:dyDescent="0.25">
      <c r="B364">
        <v>3</v>
      </c>
      <c r="C364">
        <v>2</v>
      </c>
      <c r="D364" t="s">
        <v>535</v>
      </c>
      <c r="E364" t="s">
        <v>540</v>
      </c>
      <c r="F364" t="s">
        <v>541</v>
      </c>
      <c r="G364" t="s">
        <v>463</v>
      </c>
      <c r="H364" t="s">
        <v>464</v>
      </c>
      <c r="I364">
        <v>1</v>
      </c>
    </row>
    <row r="365" spans="2:9" x14ac:dyDescent="0.25">
      <c r="B365">
        <v>3</v>
      </c>
      <c r="C365">
        <v>2</v>
      </c>
      <c r="D365" t="s">
        <v>535</v>
      </c>
      <c r="E365" t="s">
        <v>542</v>
      </c>
      <c r="F365" t="s">
        <v>541</v>
      </c>
      <c r="G365" t="s">
        <v>19</v>
      </c>
      <c r="H365" t="s">
        <v>20</v>
      </c>
      <c r="I365">
        <v>1</v>
      </c>
    </row>
    <row r="366" spans="2:9" x14ac:dyDescent="0.25">
      <c r="B366">
        <v>3</v>
      </c>
      <c r="C366">
        <v>2</v>
      </c>
      <c r="D366" t="s">
        <v>535</v>
      </c>
      <c r="E366" t="s">
        <v>542</v>
      </c>
      <c r="F366" t="s">
        <v>541</v>
      </c>
      <c r="G366" t="s">
        <v>463</v>
      </c>
      <c r="H366" t="s">
        <v>464</v>
      </c>
      <c r="I366">
        <v>1</v>
      </c>
    </row>
    <row r="367" spans="2:9" x14ac:dyDescent="0.25">
      <c r="B367">
        <v>3</v>
      </c>
      <c r="C367">
        <v>2</v>
      </c>
      <c r="D367" t="s">
        <v>535</v>
      </c>
      <c r="E367" t="s">
        <v>543</v>
      </c>
      <c r="F367" t="s">
        <v>541</v>
      </c>
      <c r="G367" t="s">
        <v>19</v>
      </c>
      <c r="H367" t="s">
        <v>20</v>
      </c>
      <c r="I367">
        <v>1</v>
      </c>
    </row>
    <row r="368" spans="2:9" x14ac:dyDescent="0.25">
      <c r="B368">
        <v>3</v>
      </c>
      <c r="C368">
        <v>2</v>
      </c>
      <c r="D368" t="s">
        <v>535</v>
      </c>
      <c r="E368" t="s">
        <v>543</v>
      </c>
      <c r="F368" t="s">
        <v>541</v>
      </c>
      <c r="G368" t="s">
        <v>463</v>
      </c>
      <c r="H368" t="s">
        <v>464</v>
      </c>
      <c r="I368">
        <v>1</v>
      </c>
    </row>
    <row r="369" spans="2:9" x14ac:dyDescent="0.25">
      <c r="B369">
        <v>3</v>
      </c>
      <c r="C369">
        <v>2</v>
      </c>
      <c r="D369" t="s">
        <v>535</v>
      </c>
      <c r="E369" t="s">
        <v>545</v>
      </c>
      <c r="F369" t="s">
        <v>546</v>
      </c>
      <c r="G369" t="s">
        <v>23</v>
      </c>
      <c r="H369" t="s">
        <v>24</v>
      </c>
      <c r="I369">
        <v>1</v>
      </c>
    </row>
    <row r="370" spans="2:9" x14ac:dyDescent="0.25">
      <c r="B370">
        <v>3</v>
      </c>
      <c r="C370">
        <v>2</v>
      </c>
      <c r="D370" t="s">
        <v>535</v>
      </c>
      <c r="E370" t="s">
        <v>548</v>
      </c>
      <c r="F370" t="s">
        <v>549</v>
      </c>
      <c r="G370">
        <v>201009</v>
      </c>
      <c r="H370" t="s">
        <v>255</v>
      </c>
      <c r="I370">
        <v>1</v>
      </c>
    </row>
    <row r="371" spans="2:9" x14ac:dyDescent="0.25">
      <c r="B371">
        <v>3</v>
      </c>
      <c r="C371">
        <v>2</v>
      </c>
      <c r="D371" t="s">
        <v>535</v>
      </c>
      <c r="E371" t="s">
        <v>550</v>
      </c>
      <c r="F371" t="s">
        <v>549</v>
      </c>
      <c r="G371" t="s">
        <v>103</v>
      </c>
      <c r="H371" t="s">
        <v>104</v>
      </c>
      <c r="I371">
        <v>1</v>
      </c>
    </row>
    <row r="372" spans="2:9" x14ac:dyDescent="0.25">
      <c r="B372">
        <v>3</v>
      </c>
      <c r="C372">
        <v>2</v>
      </c>
      <c r="D372" t="s">
        <v>535</v>
      </c>
      <c r="E372" t="s">
        <v>551</v>
      </c>
      <c r="F372" t="s">
        <v>552</v>
      </c>
      <c r="G372" t="s">
        <v>19</v>
      </c>
      <c r="H372" t="s">
        <v>20</v>
      </c>
      <c r="I372">
        <v>1</v>
      </c>
    </row>
    <row r="373" spans="2:9" x14ac:dyDescent="0.25">
      <c r="B373">
        <v>3</v>
      </c>
      <c r="C373">
        <v>2</v>
      </c>
      <c r="D373" t="s">
        <v>535</v>
      </c>
      <c r="E373" t="s">
        <v>551</v>
      </c>
      <c r="F373" t="s">
        <v>552</v>
      </c>
      <c r="G373" t="s">
        <v>463</v>
      </c>
      <c r="H373" t="s">
        <v>464</v>
      </c>
      <c r="I373">
        <v>1</v>
      </c>
    </row>
    <row r="374" spans="2:9" x14ac:dyDescent="0.25">
      <c r="B374">
        <v>3</v>
      </c>
      <c r="C374">
        <v>2</v>
      </c>
      <c r="D374" t="s">
        <v>535</v>
      </c>
      <c r="E374" t="s">
        <v>553</v>
      </c>
      <c r="F374" t="s">
        <v>554</v>
      </c>
      <c r="G374">
        <v>201004</v>
      </c>
      <c r="H374" t="s">
        <v>41</v>
      </c>
      <c r="I374">
        <v>1</v>
      </c>
    </row>
    <row r="375" spans="2:9" x14ac:dyDescent="0.25">
      <c r="B375">
        <v>3</v>
      </c>
      <c r="C375">
        <v>2</v>
      </c>
      <c r="D375" t="s">
        <v>535</v>
      </c>
      <c r="E375" t="s">
        <v>553</v>
      </c>
      <c r="F375" t="s">
        <v>554</v>
      </c>
      <c r="G375" t="s">
        <v>19</v>
      </c>
      <c r="H375" t="s">
        <v>20</v>
      </c>
      <c r="I375">
        <v>1</v>
      </c>
    </row>
    <row r="376" spans="2:9" x14ac:dyDescent="0.25">
      <c r="B376">
        <v>3</v>
      </c>
      <c r="C376">
        <v>2</v>
      </c>
      <c r="D376" t="s">
        <v>535</v>
      </c>
      <c r="E376" t="s">
        <v>553</v>
      </c>
      <c r="F376" t="s">
        <v>554</v>
      </c>
      <c r="G376" t="s">
        <v>463</v>
      </c>
      <c r="H376" t="s">
        <v>464</v>
      </c>
      <c r="I376">
        <v>1</v>
      </c>
    </row>
    <row r="377" spans="2:9" x14ac:dyDescent="0.25">
      <c r="B377">
        <v>3</v>
      </c>
      <c r="C377">
        <v>2</v>
      </c>
      <c r="D377" t="s">
        <v>535</v>
      </c>
      <c r="E377" t="s">
        <v>555</v>
      </c>
      <c r="F377" t="s">
        <v>554</v>
      </c>
      <c r="G377">
        <v>201004</v>
      </c>
      <c r="H377" t="s">
        <v>41</v>
      </c>
      <c r="I377">
        <v>1</v>
      </c>
    </row>
    <row r="378" spans="2:9" x14ac:dyDescent="0.25">
      <c r="B378">
        <v>3</v>
      </c>
      <c r="C378">
        <v>2</v>
      </c>
      <c r="D378" t="s">
        <v>535</v>
      </c>
      <c r="E378" t="s">
        <v>555</v>
      </c>
      <c r="F378" t="s">
        <v>554</v>
      </c>
      <c r="G378" t="s">
        <v>19</v>
      </c>
      <c r="H378" t="s">
        <v>20</v>
      </c>
      <c r="I378">
        <v>1</v>
      </c>
    </row>
    <row r="379" spans="2:9" x14ac:dyDescent="0.25">
      <c r="B379">
        <v>3</v>
      </c>
      <c r="C379">
        <v>2</v>
      </c>
      <c r="D379" t="s">
        <v>535</v>
      </c>
      <c r="E379" t="s">
        <v>555</v>
      </c>
      <c r="F379" t="s">
        <v>554</v>
      </c>
      <c r="G379" t="s">
        <v>463</v>
      </c>
      <c r="H379" t="s">
        <v>464</v>
      </c>
      <c r="I379">
        <v>1</v>
      </c>
    </row>
    <row r="380" spans="2:9" x14ac:dyDescent="0.25">
      <c r="B380">
        <v>3</v>
      </c>
      <c r="C380">
        <v>2</v>
      </c>
      <c r="D380" t="s">
        <v>535</v>
      </c>
      <c r="E380" t="s">
        <v>556</v>
      </c>
      <c r="F380" t="s">
        <v>557</v>
      </c>
      <c r="G380" t="s">
        <v>13</v>
      </c>
      <c r="H380" t="s">
        <v>14</v>
      </c>
      <c r="I380">
        <v>1</v>
      </c>
    </row>
    <row r="381" spans="2:9" x14ac:dyDescent="0.25">
      <c r="B381">
        <v>3</v>
      </c>
      <c r="C381">
        <v>2</v>
      </c>
      <c r="D381" t="s">
        <v>535</v>
      </c>
      <c r="E381" t="s">
        <v>556</v>
      </c>
      <c r="F381" t="s">
        <v>557</v>
      </c>
      <c r="G381" t="s">
        <v>15</v>
      </c>
      <c r="H381" t="s">
        <v>16</v>
      </c>
      <c r="I381">
        <v>1</v>
      </c>
    </row>
    <row r="382" spans="2:9" x14ac:dyDescent="0.25">
      <c r="B382">
        <v>3</v>
      </c>
      <c r="C382">
        <v>2</v>
      </c>
      <c r="D382" t="s">
        <v>535</v>
      </c>
      <c r="E382" t="s">
        <v>558</v>
      </c>
      <c r="F382" t="s">
        <v>559</v>
      </c>
      <c r="G382" t="s">
        <v>19</v>
      </c>
      <c r="H382" t="s">
        <v>20</v>
      </c>
      <c r="I382">
        <v>1</v>
      </c>
    </row>
    <row r="383" spans="2:9" x14ac:dyDescent="0.25">
      <c r="B383">
        <v>3</v>
      </c>
      <c r="C383">
        <v>2</v>
      </c>
      <c r="D383" t="s">
        <v>535</v>
      </c>
      <c r="E383" t="s">
        <v>558</v>
      </c>
      <c r="F383" t="s">
        <v>559</v>
      </c>
      <c r="G383" t="s">
        <v>463</v>
      </c>
      <c r="H383" t="s">
        <v>464</v>
      </c>
      <c r="I383">
        <v>1</v>
      </c>
    </row>
    <row r="384" spans="2:9" x14ac:dyDescent="0.25">
      <c r="B384">
        <v>3</v>
      </c>
      <c r="C384">
        <v>2</v>
      </c>
      <c r="D384" t="s">
        <v>535</v>
      </c>
      <c r="E384" t="s">
        <v>560</v>
      </c>
      <c r="F384" t="s">
        <v>561</v>
      </c>
      <c r="G384">
        <v>201004</v>
      </c>
      <c r="H384" t="s">
        <v>41</v>
      </c>
      <c r="I384">
        <v>1</v>
      </c>
    </row>
    <row r="385" spans="2:9" x14ac:dyDescent="0.25">
      <c r="B385">
        <v>3</v>
      </c>
      <c r="C385">
        <v>2</v>
      </c>
      <c r="D385" t="s">
        <v>535</v>
      </c>
      <c r="E385" t="s">
        <v>562</v>
      </c>
      <c r="F385" t="s">
        <v>300</v>
      </c>
      <c r="G385">
        <v>201009</v>
      </c>
      <c r="H385" t="s">
        <v>255</v>
      </c>
      <c r="I385">
        <v>1</v>
      </c>
    </row>
    <row r="386" spans="2:9" x14ac:dyDescent="0.25">
      <c r="B386">
        <v>3</v>
      </c>
      <c r="C386">
        <v>2</v>
      </c>
      <c r="D386" t="s">
        <v>535</v>
      </c>
      <c r="E386" t="s">
        <v>563</v>
      </c>
      <c r="F386" t="s">
        <v>564</v>
      </c>
      <c r="G386" t="s">
        <v>23</v>
      </c>
      <c r="H386" t="s">
        <v>24</v>
      </c>
      <c r="I386">
        <v>8</v>
      </c>
    </row>
    <row r="387" spans="2:9" x14ac:dyDescent="0.25">
      <c r="B387">
        <v>3</v>
      </c>
      <c r="C387">
        <v>2</v>
      </c>
      <c r="D387" t="s">
        <v>535</v>
      </c>
      <c r="E387" t="s">
        <v>563</v>
      </c>
      <c r="F387" t="s">
        <v>564</v>
      </c>
      <c r="G387" t="s">
        <v>15</v>
      </c>
      <c r="H387" t="s">
        <v>16</v>
      </c>
      <c r="I387">
        <v>5</v>
      </c>
    </row>
    <row r="388" spans="2:9" x14ac:dyDescent="0.25">
      <c r="B388">
        <v>3</v>
      </c>
      <c r="C388">
        <v>2</v>
      </c>
      <c r="D388" t="s">
        <v>535</v>
      </c>
      <c r="E388" t="s">
        <v>565</v>
      </c>
      <c r="F388" t="s">
        <v>566</v>
      </c>
      <c r="G388">
        <v>201004</v>
      </c>
      <c r="H388" t="s">
        <v>41</v>
      </c>
      <c r="I388">
        <v>1</v>
      </c>
    </row>
    <row r="389" spans="2:9" x14ac:dyDescent="0.25">
      <c r="B389">
        <v>3</v>
      </c>
      <c r="C389">
        <v>2</v>
      </c>
      <c r="D389" t="s">
        <v>535</v>
      </c>
      <c r="E389" t="s">
        <v>565</v>
      </c>
      <c r="F389" t="s">
        <v>566</v>
      </c>
      <c r="G389" t="s">
        <v>19</v>
      </c>
      <c r="H389" t="s">
        <v>20</v>
      </c>
      <c r="I389">
        <v>1</v>
      </c>
    </row>
    <row r="390" spans="2:9" x14ac:dyDescent="0.25">
      <c r="B390">
        <v>3</v>
      </c>
      <c r="C390">
        <v>2</v>
      </c>
      <c r="D390" t="s">
        <v>535</v>
      </c>
      <c r="E390" t="s">
        <v>565</v>
      </c>
      <c r="F390" t="s">
        <v>566</v>
      </c>
      <c r="G390" t="s">
        <v>463</v>
      </c>
      <c r="H390" t="s">
        <v>464</v>
      </c>
      <c r="I390">
        <v>1</v>
      </c>
    </row>
    <row r="391" spans="2:9" x14ac:dyDescent="0.25">
      <c r="B391">
        <v>3</v>
      </c>
      <c r="C391">
        <v>2</v>
      </c>
      <c r="D391" t="s">
        <v>535</v>
      </c>
      <c r="E391" t="s">
        <v>567</v>
      </c>
      <c r="F391" t="s">
        <v>568</v>
      </c>
      <c r="G391">
        <v>201008</v>
      </c>
      <c r="H391" t="s">
        <v>29</v>
      </c>
      <c r="I391">
        <v>1</v>
      </c>
    </row>
    <row r="392" spans="2:9" x14ac:dyDescent="0.25">
      <c r="B392">
        <v>3</v>
      </c>
      <c r="C392">
        <v>2</v>
      </c>
      <c r="D392" t="s">
        <v>535</v>
      </c>
      <c r="E392" t="s">
        <v>567</v>
      </c>
      <c r="F392" t="s">
        <v>568</v>
      </c>
      <c r="G392" t="s">
        <v>19</v>
      </c>
      <c r="H392" t="s">
        <v>20</v>
      </c>
      <c r="I392">
        <v>1</v>
      </c>
    </row>
    <row r="393" spans="2:9" x14ac:dyDescent="0.25">
      <c r="B393">
        <v>3</v>
      </c>
      <c r="C393">
        <v>2</v>
      </c>
      <c r="D393" t="s">
        <v>535</v>
      </c>
      <c r="E393" t="s">
        <v>567</v>
      </c>
      <c r="F393" t="s">
        <v>568</v>
      </c>
      <c r="G393" t="s">
        <v>463</v>
      </c>
      <c r="H393" t="s">
        <v>464</v>
      </c>
      <c r="I393">
        <v>1</v>
      </c>
    </row>
    <row r="394" spans="2:9" x14ac:dyDescent="0.25">
      <c r="B394">
        <v>3</v>
      </c>
      <c r="C394">
        <v>2</v>
      </c>
      <c r="D394" t="s">
        <v>535</v>
      </c>
      <c r="E394" t="s">
        <v>569</v>
      </c>
      <c r="F394" t="s">
        <v>570</v>
      </c>
      <c r="G394" t="s">
        <v>19</v>
      </c>
      <c r="H394" t="s">
        <v>20</v>
      </c>
      <c r="I394">
        <v>1</v>
      </c>
    </row>
    <row r="395" spans="2:9" x14ac:dyDescent="0.25">
      <c r="B395">
        <v>3</v>
      </c>
      <c r="C395">
        <v>2</v>
      </c>
      <c r="D395" t="s">
        <v>535</v>
      </c>
      <c r="E395" t="s">
        <v>569</v>
      </c>
      <c r="F395" t="s">
        <v>570</v>
      </c>
      <c r="G395" t="s">
        <v>463</v>
      </c>
      <c r="H395" t="s">
        <v>464</v>
      </c>
      <c r="I395">
        <v>1</v>
      </c>
    </row>
    <row r="396" spans="2:9" x14ac:dyDescent="0.25">
      <c r="B396">
        <v>3</v>
      </c>
      <c r="C396">
        <v>2</v>
      </c>
      <c r="D396" t="s">
        <v>535</v>
      </c>
      <c r="E396" t="s">
        <v>571</v>
      </c>
      <c r="F396" t="s">
        <v>570</v>
      </c>
      <c r="G396" t="s">
        <v>19</v>
      </c>
      <c r="H396" t="s">
        <v>20</v>
      </c>
      <c r="I396">
        <v>1</v>
      </c>
    </row>
    <row r="397" spans="2:9" x14ac:dyDescent="0.25">
      <c r="B397">
        <v>3</v>
      </c>
      <c r="C397">
        <v>2</v>
      </c>
      <c r="D397" t="s">
        <v>535</v>
      </c>
      <c r="E397" t="s">
        <v>571</v>
      </c>
      <c r="F397" t="s">
        <v>570</v>
      </c>
      <c r="G397" t="s">
        <v>463</v>
      </c>
      <c r="H397" t="s">
        <v>464</v>
      </c>
      <c r="I397">
        <v>1</v>
      </c>
    </row>
    <row r="398" spans="2:9" x14ac:dyDescent="0.25">
      <c r="B398">
        <v>4</v>
      </c>
      <c r="C398">
        <v>3</v>
      </c>
      <c r="D398" t="s">
        <v>294</v>
      </c>
      <c r="E398" t="s">
        <v>572</v>
      </c>
      <c r="F398" t="s">
        <v>415</v>
      </c>
      <c r="G398" t="s">
        <v>13</v>
      </c>
      <c r="H398" t="s">
        <v>14</v>
      </c>
      <c r="I398">
        <v>1</v>
      </c>
    </row>
    <row r="399" spans="2:9" x14ac:dyDescent="0.25">
      <c r="B399">
        <v>4</v>
      </c>
      <c r="C399">
        <v>3</v>
      </c>
      <c r="D399" t="s">
        <v>294</v>
      </c>
      <c r="E399" t="s">
        <v>572</v>
      </c>
      <c r="F399" t="s">
        <v>415</v>
      </c>
      <c r="G399" t="s">
        <v>15</v>
      </c>
      <c r="H399" t="s">
        <v>16</v>
      </c>
      <c r="I399">
        <v>1</v>
      </c>
    </row>
    <row r="400" spans="2:9" x14ac:dyDescent="0.25">
      <c r="B400">
        <v>4</v>
      </c>
      <c r="C400">
        <v>3</v>
      </c>
      <c r="D400" t="s">
        <v>294</v>
      </c>
      <c r="E400" t="s">
        <v>573</v>
      </c>
      <c r="F400" t="s">
        <v>574</v>
      </c>
      <c r="G400">
        <v>201008</v>
      </c>
      <c r="H400" t="s">
        <v>29</v>
      </c>
      <c r="I400">
        <v>1</v>
      </c>
    </row>
    <row r="401" spans="2:9" x14ac:dyDescent="0.25">
      <c r="B401">
        <v>4</v>
      </c>
      <c r="C401">
        <v>3</v>
      </c>
      <c r="D401" t="s">
        <v>294</v>
      </c>
      <c r="E401" t="s">
        <v>573</v>
      </c>
      <c r="F401" t="s">
        <v>574</v>
      </c>
      <c r="G401" t="s">
        <v>13</v>
      </c>
      <c r="H401" t="s">
        <v>14</v>
      </c>
      <c r="I401">
        <v>1</v>
      </c>
    </row>
    <row r="402" spans="2:9" x14ac:dyDescent="0.25">
      <c r="B402">
        <v>4</v>
      </c>
      <c r="C402">
        <v>3</v>
      </c>
      <c r="D402" t="s">
        <v>294</v>
      </c>
      <c r="E402" t="s">
        <v>573</v>
      </c>
      <c r="F402" t="s">
        <v>574</v>
      </c>
      <c r="G402" t="s">
        <v>15</v>
      </c>
      <c r="H402" t="s">
        <v>16</v>
      </c>
      <c r="I402">
        <v>1</v>
      </c>
    </row>
    <row r="403" spans="2:9" x14ac:dyDescent="0.25">
      <c r="B403">
        <v>4</v>
      </c>
      <c r="C403">
        <v>3</v>
      </c>
      <c r="D403" t="s">
        <v>294</v>
      </c>
      <c r="E403" t="s">
        <v>575</v>
      </c>
      <c r="F403" t="s">
        <v>576</v>
      </c>
      <c r="G403" t="s">
        <v>15</v>
      </c>
      <c r="H403" t="s">
        <v>16</v>
      </c>
      <c r="I403">
        <v>2</v>
      </c>
    </row>
    <row r="404" spans="2:9" x14ac:dyDescent="0.25">
      <c r="B404">
        <v>4</v>
      </c>
      <c r="C404">
        <v>3</v>
      </c>
      <c r="D404" t="s">
        <v>294</v>
      </c>
      <c r="E404" t="s">
        <v>577</v>
      </c>
      <c r="F404" t="s">
        <v>576</v>
      </c>
      <c r="G404" t="s">
        <v>15</v>
      </c>
      <c r="H404" t="s">
        <v>16</v>
      </c>
      <c r="I404">
        <v>2</v>
      </c>
    </row>
    <row r="405" spans="2:9" x14ac:dyDescent="0.25">
      <c r="B405">
        <v>4</v>
      </c>
      <c r="C405">
        <v>3</v>
      </c>
      <c r="D405" t="s">
        <v>294</v>
      </c>
      <c r="E405" t="s">
        <v>578</v>
      </c>
      <c r="F405" t="s">
        <v>579</v>
      </c>
      <c r="G405">
        <v>201008</v>
      </c>
      <c r="H405" t="s">
        <v>29</v>
      </c>
      <c r="I405">
        <v>1</v>
      </c>
    </row>
    <row r="406" spans="2:9" x14ac:dyDescent="0.25">
      <c r="B406">
        <v>4</v>
      </c>
      <c r="C406">
        <v>3</v>
      </c>
      <c r="D406" t="s">
        <v>294</v>
      </c>
      <c r="E406" t="s">
        <v>578</v>
      </c>
      <c r="F406" t="s">
        <v>579</v>
      </c>
      <c r="G406" t="s">
        <v>13</v>
      </c>
      <c r="H406" t="s">
        <v>14</v>
      </c>
      <c r="I406">
        <v>1</v>
      </c>
    </row>
    <row r="407" spans="2:9" x14ac:dyDescent="0.25">
      <c r="B407">
        <v>4</v>
      </c>
      <c r="C407">
        <v>3</v>
      </c>
      <c r="D407" t="s">
        <v>294</v>
      </c>
      <c r="E407" t="s">
        <v>578</v>
      </c>
      <c r="F407" t="s">
        <v>579</v>
      </c>
      <c r="G407" t="s">
        <v>15</v>
      </c>
      <c r="H407" t="s">
        <v>16</v>
      </c>
      <c r="I407">
        <v>1</v>
      </c>
    </row>
    <row r="408" spans="2:9" x14ac:dyDescent="0.25">
      <c r="B408">
        <v>4</v>
      </c>
      <c r="C408">
        <v>3</v>
      </c>
      <c r="D408" t="s">
        <v>294</v>
      </c>
      <c r="E408" t="s">
        <v>580</v>
      </c>
      <c r="F408" t="s">
        <v>581</v>
      </c>
      <c r="G408">
        <v>201008</v>
      </c>
      <c r="H408" t="s">
        <v>29</v>
      </c>
      <c r="I408">
        <v>1</v>
      </c>
    </row>
    <row r="409" spans="2:9" x14ac:dyDescent="0.25">
      <c r="B409">
        <v>4</v>
      </c>
      <c r="C409">
        <v>3</v>
      </c>
      <c r="D409" t="s">
        <v>294</v>
      </c>
      <c r="E409" t="s">
        <v>580</v>
      </c>
      <c r="F409" t="s">
        <v>581</v>
      </c>
      <c r="G409" t="s">
        <v>13</v>
      </c>
      <c r="H409" t="s">
        <v>14</v>
      </c>
      <c r="I409">
        <v>1</v>
      </c>
    </row>
    <row r="410" spans="2:9" x14ac:dyDescent="0.25">
      <c r="B410">
        <v>4</v>
      </c>
      <c r="C410">
        <v>3</v>
      </c>
      <c r="D410" t="s">
        <v>294</v>
      </c>
      <c r="E410" t="s">
        <v>580</v>
      </c>
      <c r="F410" t="s">
        <v>581</v>
      </c>
      <c r="G410" t="s">
        <v>15</v>
      </c>
      <c r="H410" t="s">
        <v>16</v>
      </c>
      <c r="I410">
        <v>1</v>
      </c>
    </row>
    <row r="411" spans="2:9" x14ac:dyDescent="0.25">
      <c r="B411">
        <v>4</v>
      </c>
      <c r="C411">
        <v>3</v>
      </c>
      <c r="D411" t="s">
        <v>294</v>
      </c>
      <c r="E411" t="s">
        <v>582</v>
      </c>
      <c r="F411" t="s">
        <v>583</v>
      </c>
      <c r="G411">
        <v>201008</v>
      </c>
      <c r="H411" t="s">
        <v>29</v>
      </c>
      <c r="I411">
        <v>1</v>
      </c>
    </row>
    <row r="412" spans="2:9" x14ac:dyDescent="0.25">
      <c r="B412">
        <v>4</v>
      </c>
      <c r="C412">
        <v>3</v>
      </c>
      <c r="D412" t="s">
        <v>294</v>
      </c>
      <c r="E412" t="s">
        <v>582</v>
      </c>
      <c r="F412" t="s">
        <v>583</v>
      </c>
      <c r="G412" t="s">
        <v>13</v>
      </c>
      <c r="H412" t="s">
        <v>14</v>
      </c>
      <c r="I412">
        <v>1</v>
      </c>
    </row>
    <row r="413" spans="2:9" x14ac:dyDescent="0.25">
      <c r="B413">
        <v>4</v>
      </c>
      <c r="C413">
        <v>3</v>
      </c>
      <c r="D413" t="s">
        <v>294</v>
      </c>
      <c r="E413" t="s">
        <v>582</v>
      </c>
      <c r="F413" t="s">
        <v>583</v>
      </c>
      <c r="G413" t="s">
        <v>15</v>
      </c>
      <c r="H413" t="s">
        <v>16</v>
      </c>
      <c r="I413">
        <v>1</v>
      </c>
    </row>
    <row r="414" spans="2:9" x14ac:dyDescent="0.25">
      <c r="B414">
        <v>4</v>
      </c>
      <c r="C414">
        <v>3</v>
      </c>
      <c r="D414" t="s">
        <v>294</v>
      </c>
      <c r="E414" t="s">
        <v>584</v>
      </c>
      <c r="F414" t="s">
        <v>585</v>
      </c>
      <c r="G414" t="s">
        <v>13</v>
      </c>
      <c r="H414" t="s">
        <v>14</v>
      </c>
      <c r="I414">
        <v>1</v>
      </c>
    </row>
    <row r="415" spans="2:9" x14ac:dyDescent="0.25">
      <c r="B415">
        <v>4</v>
      </c>
      <c r="C415">
        <v>3</v>
      </c>
      <c r="D415" t="s">
        <v>294</v>
      </c>
      <c r="E415" t="s">
        <v>584</v>
      </c>
      <c r="F415" t="s">
        <v>585</v>
      </c>
      <c r="G415" t="s">
        <v>15</v>
      </c>
      <c r="H415" t="s">
        <v>16</v>
      </c>
      <c r="I415">
        <v>1</v>
      </c>
    </row>
    <row r="416" spans="2:9" x14ac:dyDescent="0.25">
      <c r="B416">
        <v>4</v>
      </c>
      <c r="C416">
        <v>3</v>
      </c>
      <c r="D416" t="s">
        <v>294</v>
      </c>
      <c r="E416" t="s">
        <v>586</v>
      </c>
      <c r="F416" t="s">
        <v>587</v>
      </c>
      <c r="G416" t="s">
        <v>13</v>
      </c>
      <c r="H416" t="s">
        <v>14</v>
      </c>
      <c r="I416">
        <v>4</v>
      </c>
    </row>
    <row r="417" spans="2:9" x14ac:dyDescent="0.25">
      <c r="B417">
        <v>4</v>
      </c>
      <c r="C417">
        <v>3</v>
      </c>
      <c r="D417" t="s">
        <v>294</v>
      </c>
      <c r="E417" t="s">
        <v>586</v>
      </c>
      <c r="F417" t="s">
        <v>587</v>
      </c>
      <c r="G417" t="s">
        <v>15</v>
      </c>
      <c r="H417" t="s">
        <v>16</v>
      </c>
      <c r="I417">
        <v>4</v>
      </c>
    </row>
    <row r="418" spans="2:9" x14ac:dyDescent="0.25">
      <c r="B418">
        <v>4</v>
      </c>
      <c r="C418">
        <v>3</v>
      </c>
      <c r="D418" t="s">
        <v>294</v>
      </c>
      <c r="E418" t="s">
        <v>588</v>
      </c>
      <c r="F418" t="s">
        <v>589</v>
      </c>
      <c r="G418" t="s">
        <v>13</v>
      </c>
      <c r="H418" t="s">
        <v>14</v>
      </c>
      <c r="I418">
        <v>1</v>
      </c>
    </row>
    <row r="419" spans="2:9" x14ac:dyDescent="0.25">
      <c r="B419">
        <v>4</v>
      </c>
      <c r="C419">
        <v>3</v>
      </c>
      <c r="D419" t="s">
        <v>294</v>
      </c>
      <c r="E419" t="s">
        <v>588</v>
      </c>
      <c r="F419" t="s">
        <v>589</v>
      </c>
      <c r="G419" t="s">
        <v>15</v>
      </c>
      <c r="H419" t="s">
        <v>16</v>
      </c>
      <c r="I419">
        <v>1</v>
      </c>
    </row>
    <row r="420" spans="2:9" x14ac:dyDescent="0.25">
      <c r="B420">
        <v>4</v>
      </c>
      <c r="C420">
        <v>3</v>
      </c>
      <c r="D420" t="s">
        <v>294</v>
      </c>
      <c r="E420" t="s">
        <v>590</v>
      </c>
      <c r="F420" t="s">
        <v>182</v>
      </c>
      <c r="G420" t="s">
        <v>13</v>
      </c>
      <c r="H420" t="s">
        <v>14</v>
      </c>
      <c r="I420">
        <v>1</v>
      </c>
    </row>
    <row r="421" spans="2:9" x14ac:dyDescent="0.25">
      <c r="B421">
        <v>4</v>
      </c>
      <c r="C421">
        <v>3</v>
      </c>
      <c r="D421" t="s">
        <v>294</v>
      </c>
      <c r="E421" t="s">
        <v>590</v>
      </c>
      <c r="F421" t="s">
        <v>182</v>
      </c>
      <c r="G421" t="s">
        <v>15</v>
      </c>
      <c r="H421" t="s">
        <v>16</v>
      </c>
      <c r="I421">
        <v>1</v>
      </c>
    </row>
    <row r="422" spans="2:9" x14ac:dyDescent="0.25">
      <c r="B422">
        <v>4</v>
      </c>
      <c r="C422">
        <v>3</v>
      </c>
      <c r="D422" t="s">
        <v>294</v>
      </c>
      <c r="E422" t="s">
        <v>591</v>
      </c>
      <c r="F422" t="s">
        <v>592</v>
      </c>
      <c r="G422" t="s">
        <v>13</v>
      </c>
      <c r="H422" t="s">
        <v>14</v>
      </c>
      <c r="I422">
        <v>3</v>
      </c>
    </row>
    <row r="423" spans="2:9" x14ac:dyDescent="0.25">
      <c r="B423">
        <v>4</v>
      </c>
      <c r="C423">
        <v>3</v>
      </c>
      <c r="D423" t="s">
        <v>294</v>
      </c>
      <c r="E423" t="s">
        <v>591</v>
      </c>
      <c r="F423" t="s">
        <v>592</v>
      </c>
      <c r="G423" t="s">
        <v>15</v>
      </c>
      <c r="H423" t="s">
        <v>16</v>
      </c>
      <c r="I423">
        <v>3</v>
      </c>
    </row>
    <row r="424" spans="2:9" x14ac:dyDescent="0.25">
      <c r="B424">
        <v>4</v>
      </c>
      <c r="C424">
        <v>3</v>
      </c>
      <c r="D424" t="s">
        <v>294</v>
      </c>
      <c r="E424" t="s">
        <v>593</v>
      </c>
      <c r="F424" t="s">
        <v>594</v>
      </c>
      <c r="G424" t="s">
        <v>13</v>
      </c>
      <c r="H424" t="s">
        <v>14</v>
      </c>
      <c r="I424">
        <v>2</v>
      </c>
    </row>
    <row r="425" spans="2:9" x14ac:dyDescent="0.25">
      <c r="B425">
        <v>4</v>
      </c>
      <c r="C425">
        <v>3</v>
      </c>
      <c r="D425" t="s">
        <v>294</v>
      </c>
      <c r="E425" t="s">
        <v>593</v>
      </c>
      <c r="F425" t="s">
        <v>594</v>
      </c>
      <c r="G425" t="s">
        <v>15</v>
      </c>
      <c r="H425" t="s">
        <v>16</v>
      </c>
      <c r="I425">
        <v>2</v>
      </c>
    </row>
    <row r="426" spans="2:9" x14ac:dyDescent="0.25">
      <c r="B426">
        <v>4</v>
      </c>
      <c r="C426">
        <v>3</v>
      </c>
      <c r="D426" t="s">
        <v>294</v>
      </c>
      <c r="E426" t="s">
        <v>595</v>
      </c>
      <c r="F426" t="s">
        <v>596</v>
      </c>
      <c r="G426" t="s">
        <v>13</v>
      </c>
      <c r="H426" t="s">
        <v>14</v>
      </c>
      <c r="I426">
        <v>3</v>
      </c>
    </row>
    <row r="427" spans="2:9" x14ac:dyDescent="0.25">
      <c r="B427">
        <v>4</v>
      </c>
      <c r="C427">
        <v>3</v>
      </c>
      <c r="D427" t="s">
        <v>294</v>
      </c>
      <c r="E427" t="s">
        <v>595</v>
      </c>
      <c r="F427" t="s">
        <v>596</v>
      </c>
      <c r="G427" t="s">
        <v>15</v>
      </c>
      <c r="H427" t="s">
        <v>16</v>
      </c>
      <c r="I427">
        <v>3</v>
      </c>
    </row>
    <row r="428" spans="2:9" x14ac:dyDescent="0.25">
      <c r="B428">
        <v>4</v>
      </c>
      <c r="C428">
        <v>3</v>
      </c>
      <c r="D428" t="s">
        <v>294</v>
      </c>
      <c r="E428" t="s">
        <v>597</v>
      </c>
      <c r="F428" t="s">
        <v>598</v>
      </c>
      <c r="G428" t="s">
        <v>13</v>
      </c>
      <c r="H428" t="s">
        <v>14</v>
      </c>
      <c r="I428">
        <v>1</v>
      </c>
    </row>
    <row r="429" spans="2:9" x14ac:dyDescent="0.25">
      <c r="B429">
        <v>4</v>
      </c>
      <c r="C429">
        <v>3</v>
      </c>
      <c r="D429" t="s">
        <v>294</v>
      </c>
      <c r="E429" t="s">
        <v>597</v>
      </c>
      <c r="F429" t="s">
        <v>598</v>
      </c>
      <c r="G429" t="s">
        <v>15</v>
      </c>
      <c r="H429" t="s">
        <v>16</v>
      </c>
      <c r="I429">
        <v>1</v>
      </c>
    </row>
    <row r="430" spans="2:9" x14ac:dyDescent="0.25">
      <c r="B430">
        <v>4</v>
      </c>
      <c r="C430">
        <v>3</v>
      </c>
      <c r="D430" t="s">
        <v>294</v>
      </c>
      <c r="E430" t="s">
        <v>599</v>
      </c>
      <c r="F430" t="s">
        <v>600</v>
      </c>
      <c r="G430">
        <v>201008</v>
      </c>
      <c r="H430" t="s">
        <v>29</v>
      </c>
      <c r="I430">
        <v>1</v>
      </c>
    </row>
    <row r="431" spans="2:9" x14ac:dyDescent="0.25">
      <c r="B431">
        <v>4</v>
      </c>
      <c r="C431">
        <v>3</v>
      </c>
      <c r="D431" t="s">
        <v>294</v>
      </c>
      <c r="E431" t="s">
        <v>599</v>
      </c>
      <c r="F431" t="s">
        <v>600</v>
      </c>
      <c r="G431" t="s">
        <v>13</v>
      </c>
      <c r="H431" t="s">
        <v>14</v>
      </c>
      <c r="I431">
        <v>1</v>
      </c>
    </row>
    <row r="432" spans="2:9" x14ac:dyDescent="0.25">
      <c r="B432">
        <v>4</v>
      </c>
      <c r="C432">
        <v>3</v>
      </c>
      <c r="D432" t="s">
        <v>294</v>
      </c>
      <c r="E432" t="s">
        <v>599</v>
      </c>
      <c r="F432" t="s">
        <v>600</v>
      </c>
      <c r="G432" t="s">
        <v>15</v>
      </c>
      <c r="H432" t="s">
        <v>16</v>
      </c>
      <c r="I432">
        <v>1</v>
      </c>
    </row>
    <row r="433" spans="2:9" x14ac:dyDescent="0.25">
      <c r="B433">
        <v>4</v>
      </c>
      <c r="C433">
        <v>3</v>
      </c>
      <c r="D433" t="s">
        <v>294</v>
      </c>
      <c r="E433" t="s">
        <v>601</v>
      </c>
      <c r="F433" t="s">
        <v>602</v>
      </c>
      <c r="G433" t="s">
        <v>23</v>
      </c>
      <c r="H433" t="s">
        <v>24</v>
      </c>
      <c r="I433">
        <v>1</v>
      </c>
    </row>
    <row r="434" spans="2:9" x14ac:dyDescent="0.25">
      <c r="B434">
        <v>4</v>
      </c>
      <c r="C434">
        <v>3</v>
      </c>
      <c r="D434" t="s">
        <v>294</v>
      </c>
      <c r="E434" t="s">
        <v>601</v>
      </c>
      <c r="F434" t="s">
        <v>602</v>
      </c>
      <c r="G434" t="s">
        <v>15</v>
      </c>
      <c r="H434" t="s">
        <v>16</v>
      </c>
      <c r="I434">
        <v>1</v>
      </c>
    </row>
    <row r="435" spans="2:9" x14ac:dyDescent="0.25">
      <c r="B435">
        <v>4</v>
      </c>
      <c r="C435">
        <v>3</v>
      </c>
      <c r="D435" t="s">
        <v>294</v>
      </c>
      <c r="E435" t="s">
        <v>603</v>
      </c>
      <c r="F435" t="s">
        <v>604</v>
      </c>
      <c r="G435" t="s">
        <v>13</v>
      </c>
      <c r="H435" t="s">
        <v>14</v>
      </c>
      <c r="I435">
        <v>2</v>
      </c>
    </row>
    <row r="436" spans="2:9" x14ac:dyDescent="0.25">
      <c r="B436">
        <v>4</v>
      </c>
      <c r="C436">
        <v>3</v>
      </c>
      <c r="D436" t="s">
        <v>294</v>
      </c>
      <c r="E436" t="s">
        <v>603</v>
      </c>
      <c r="F436" t="s">
        <v>604</v>
      </c>
      <c r="G436" t="s">
        <v>15</v>
      </c>
      <c r="H436" t="s">
        <v>16</v>
      </c>
      <c r="I436">
        <v>2</v>
      </c>
    </row>
    <row r="437" spans="2:9" x14ac:dyDescent="0.25">
      <c r="B437">
        <v>4</v>
      </c>
      <c r="C437">
        <v>3</v>
      </c>
      <c r="D437" t="s">
        <v>294</v>
      </c>
      <c r="E437" t="s">
        <v>605</v>
      </c>
      <c r="F437" t="s">
        <v>606</v>
      </c>
      <c r="G437" t="s">
        <v>13</v>
      </c>
      <c r="H437" t="s">
        <v>14</v>
      </c>
      <c r="I437">
        <v>1</v>
      </c>
    </row>
    <row r="438" spans="2:9" x14ac:dyDescent="0.25">
      <c r="B438">
        <v>4</v>
      </c>
      <c r="C438">
        <v>3</v>
      </c>
      <c r="D438" t="s">
        <v>294</v>
      </c>
      <c r="E438" t="s">
        <v>605</v>
      </c>
      <c r="F438" t="s">
        <v>606</v>
      </c>
      <c r="G438" t="s">
        <v>15</v>
      </c>
      <c r="H438" t="s">
        <v>16</v>
      </c>
      <c r="I438">
        <v>1</v>
      </c>
    </row>
    <row r="439" spans="2:9" x14ac:dyDescent="0.25">
      <c r="B439">
        <v>4</v>
      </c>
      <c r="C439">
        <v>3</v>
      </c>
      <c r="D439" t="s">
        <v>294</v>
      </c>
      <c r="E439" t="s">
        <v>607</v>
      </c>
      <c r="F439" t="s">
        <v>608</v>
      </c>
      <c r="G439">
        <v>201010</v>
      </c>
      <c r="H439" t="s">
        <v>44</v>
      </c>
      <c r="I439">
        <v>1</v>
      </c>
    </row>
    <row r="440" spans="2:9" x14ac:dyDescent="0.25">
      <c r="B440">
        <v>4</v>
      </c>
      <c r="C440">
        <v>3</v>
      </c>
      <c r="D440" t="s">
        <v>294</v>
      </c>
      <c r="E440" t="s">
        <v>607</v>
      </c>
      <c r="F440" t="s">
        <v>608</v>
      </c>
      <c r="G440" t="s">
        <v>15</v>
      </c>
      <c r="H440" t="s">
        <v>16</v>
      </c>
      <c r="I440">
        <v>1</v>
      </c>
    </row>
    <row r="441" spans="2:9" x14ac:dyDescent="0.25">
      <c r="B441">
        <v>4</v>
      </c>
      <c r="C441">
        <v>3</v>
      </c>
      <c r="D441" t="s">
        <v>294</v>
      </c>
      <c r="E441" t="s">
        <v>609</v>
      </c>
      <c r="F441" t="s">
        <v>610</v>
      </c>
      <c r="G441" t="s">
        <v>13</v>
      </c>
      <c r="H441" t="s">
        <v>14</v>
      </c>
      <c r="I441">
        <v>1</v>
      </c>
    </row>
    <row r="442" spans="2:9" x14ac:dyDescent="0.25">
      <c r="B442">
        <v>4</v>
      </c>
      <c r="C442">
        <v>3</v>
      </c>
      <c r="D442" t="s">
        <v>294</v>
      </c>
      <c r="E442" t="s">
        <v>609</v>
      </c>
      <c r="F442" t="s">
        <v>610</v>
      </c>
      <c r="G442" t="s">
        <v>15</v>
      </c>
      <c r="H442" t="s">
        <v>16</v>
      </c>
      <c r="I442">
        <v>1</v>
      </c>
    </row>
    <row r="443" spans="2:9" x14ac:dyDescent="0.25">
      <c r="B443">
        <v>4</v>
      </c>
      <c r="C443">
        <v>3</v>
      </c>
      <c r="D443" t="s">
        <v>294</v>
      </c>
      <c r="E443" t="s">
        <v>611</v>
      </c>
      <c r="F443" t="s">
        <v>493</v>
      </c>
      <c r="G443" t="s">
        <v>13</v>
      </c>
      <c r="H443" t="s">
        <v>14</v>
      </c>
      <c r="I443">
        <v>1</v>
      </c>
    </row>
    <row r="444" spans="2:9" x14ac:dyDescent="0.25">
      <c r="B444">
        <v>4</v>
      </c>
      <c r="C444">
        <v>3</v>
      </c>
      <c r="D444" t="s">
        <v>294</v>
      </c>
      <c r="E444" t="s">
        <v>611</v>
      </c>
      <c r="F444" t="s">
        <v>493</v>
      </c>
      <c r="G444" t="s">
        <v>15</v>
      </c>
      <c r="H444" t="s">
        <v>16</v>
      </c>
      <c r="I444">
        <v>1</v>
      </c>
    </row>
    <row r="445" spans="2:9" x14ac:dyDescent="0.25">
      <c r="B445">
        <v>4</v>
      </c>
      <c r="C445">
        <v>3</v>
      </c>
      <c r="D445" t="s">
        <v>294</v>
      </c>
      <c r="E445" t="s">
        <v>612</v>
      </c>
      <c r="F445" t="s">
        <v>613</v>
      </c>
      <c r="G445">
        <v>201008</v>
      </c>
      <c r="H445" t="s">
        <v>29</v>
      </c>
      <c r="I445">
        <v>1</v>
      </c>
    </row>
    <row r="446" spans="2:9" x14ac:dyDescent="0.25">
      <c r="B446">
        <v>4</v>
      </c>
      <c r="C446">
        <v>3</v>
      </c>
      <c r="D446" t="s">
        <v>294</v>
      </c>
      <c r="E446" t="s">
        <v>612</v>
      </c>
      <c r="F446" t="s">
        <v>613</v>
      </c>
      <c r="G446" t="s">
        <v>13</v>
      </c>
      <c r="H446" t="s">
        <v>14</v>
      </c>
      <c r="I446">
        <v>1</v>
      </c>
    </row>
    <row r="447" spans="2:9" x14ac:dyDescent="0.25">
      <c r="B447">
        <v>4</v>
      </c>
      <c r="C447">
        <v>3</v>
      </c>
      <c r="D447" t="s">
        <v>294</v>
      </c>
      <c r="E447" t="s">
        <v>612</v>
      </c>
      <c r="F447" t="s">
        <v>613</v>
      </c>
      <c r="G447" t="s">
        <v>15</v>
      </c>
      <c r="H447" t="s">
        <v>16</v>
      </c>
      <c r="I447">
        <v>1</v>
      </c>
    </row>
    <row r="448" spans="2:9" x14ac:dyDescent="0.25">
      <c r="B448">
        <v>4</v>
      </c>
      <c r="C448">
        <v>3</v>
      </c>
      <c r="D448" t="s">
        <v>294</v>
      </c>
      <c r="E448" t="s">
        <v>614</v>
      </c>
      <c r="F448" t="s">
        <v>146</v>
      </c>
      <c r="G448" t="s">
        <v>13</v>
      </c>
      <c r="H448" t="s">
        <v>14</v>
      </c>
      <c r="I448">
        <v>1</v>
      </c>
    </row>
    <row r="449" spans="2:9" x14ac:dyDescent="0.25">
      <c r="B449">
        <v>4</v>
      </c>
      <c r="C449">
        <v>3</v>
      </c>
      <c r="D449" t="s">
        <v>294</v>
      </c>
      <c r="E449" t="s">
        <v>614</v>
      </c>
      <c r="F449" t="s">
        <v>146</v>
      </c>
      <c r="G449" t="s">
        <v>15</v>
      </c>
      <c r="H449" t="s">
        <v>16</v>
      </c>
      <c r="I449">
        <v>1</v>
      </c>
    </row>
    <row r="450" spans="2:9" x14ac:dyDescent="0.25">
      <c r="B450">
        <v>4</v>
      </c>
      <c r="C450">
        <v>3</v>
      </c>
      <c r="D450" t="s">
        <v>294</v>
      </c>
      <c r="E450" t="s">
        <v>615</v>
      </c>
      <c r="F450" t="s">
        <v>616</v>
      </c>
      <c r="G450">
        <v>201008</v>
      </c>
      <c r="H450" t="s">
        <v>29</v>
      </c>
      <c r="I450">
        <v>1</v>
      </c>
    </row>
    <row r="451" spans="2:9" x14ac:dyDescent="0.25">
      <c r="B451">
        <v>4</v>
      </c>
      <c r="C451">
        <v>3</v>
      </c>
      <c r="D451" t="s">
        <v>294</v>
      </c>
      <c r="E451" t="s">
        <v>615</v>
      </c>
      <c r="F451" t="s">
        <v>616</v>
      </c>
      <c r="G451" t="s">
        <v>13</v>
      </c>
      <c r="H451" t="s">
        <v>14</v>
      </c>
      <c r="I451">
        <v>1</v>
      </c>
    </row>
    <row r="452" spans="2:9" x14ac:dyDescent="0.25">
      <c r="B452">
        <v>4</v>
      </c>
      <c r="C452">
        <v>3</v>
      </c>
      <c r="D452" t="s">
        <v>294</v>
      </c>
      <c r="E452" t="s">
        <v>615</v>
      </c>
      <c r="F452" t="s">
        <v>616</v>
      </c>
      <c r="G452" t="s">
        <v>15</v>
      </c>
      <c r="H452" t="s">
        <v>16</v>
      </c>
      <c r="I452">
        <v>1</v>
      </c>
    </row>
    <row r="453" spans="2:9" x14ac:dyDescent="0.25">
      <c r="B453">
        <v>4</v>
      </c>
      <c r="C453">
        <v>3</v>
      </c>
      <c r="D453" t="s">
        <v>294</v>
      </c>
      <c r="E453" t="s">
        <v>617</v>
      </c>
      <c r="F453" t="s">
        <v>618</v>
      </c>
      <c r="G453">
        <v>201008</v>
      </c>
      <c r="H453" t="s">
        <v>29</v>
      </c>
      <c r="I453">
        <v>1</v>
      </c>
    </row>
    <row r="454" spans="2:9" x14ac:dyDescent="0.25">
      <c r="B454">
        <v>4</v>
      </c>
      <c r="C454">
        <v>3</v>
      </c>
      <c r="D454" t="s">
        <v>294</v>
      </c>
      <c r="E454" t="s">
        <v>617</v>
      </c>
      <c r="F454" t="s">
        <v>618</v>
      </c>
      <c r="G454" t="s">
        <v>13</v>
      </c>
      <c r="H454" t="s">
        <v>14</v>
      </c>
      <c r="I454">
        <v>1</v>
      </c>
    </row>
    <row r="455" spans="2:9" x14ac:dyDescent="0.25">
      <c r="B455">
        <v>4</v>
      </c>
      <c r="C455">
        <v>3</v>
      </c>
      <c r="D455" t="s">
        <v>294</v>
      </c>
      <c r="E455" t="s">
        <v>617</v>
      </c>
      <c r="F455" t="s">
        <v>618</v>
      </c>
      <c r="G455" t="s">
        <v>15</v>
      </c>
      <c r="H455" t="s">
        <v>16</v>
      </c>
      <c r="I455">
        <v>1</v>
      </c>
    </row>
    <row r="456" spans="2:9" x14ac:dyDescent="0.25">
      <c r="B456">
        <v>4</v>
      </c>
      <c r="C456">
        <v>3</v>
      </c>
      <c r="D456" t="s">
        <v>294</v>
      </c>
      <c r="E456" t="s">
        <v>619</v>
      </c>
      <c r="F456" t="s">
        <v>415</v>
      </c>
      <c r="G456" t="s">
        <v>13</v>
      </c>
      <c r="H456" t="s">
        <v>14</v>
      </c>
      <c r="I456">
        <v>1</v>
      </c>
    </row>
    <row r="457" spans="2:9" x14ac:dyDescent="0.25">
      <c r="B457">
        <v>4</v>
      </c>
      <c r="C457">
        <v>3</v>
      </c>
      <c r="D457" t="s">
        <v>294</v>
      </c>
      <c r="E457" t="s">
        <v>619</v>
      </c>
      <c r="F457" t="s">
        <v>415</v>
      </c>
      <c r="G457" t="s">
        <v>15</v>
      </c>
      <c r="H457" t="s">
        <v>16</v>
      </c>
      <c r="I457">
        <v>1</v>
      </c>
    </row>
    <row r="458" spans="2:9" x14ac:dyDescent="0.25">
      <c r="B458">
        <v>4</v>
      </c>
      <c r="C458">
        <v>3</v>
      </c>
      <c r="D458" t="s">
        <v>294</v>
      </c>
      <c r="E458" t="s">
        <v>620</v>
      </c>
      <c r="F458" t="s">
        <v>621</v>
      </c>
      <c r="G458">
        <v>201010</v>
      </c>
      <c r="H458" t="s">
        <v>44</v>
      </c>
      <c r="I458">
        <v>1</v>
      </c>
    </row>
    <row r="459" spans="2:9" x14ac:dyDescent="0.25">
      <c r="B459">
        <v>4</v>
      </c>
      <c r="C459">
        <v>3</v>
      </c>
      <c r="D459" t="s">
        <v>294</v>
      </c>
      <c r="E459" t="s">
        <v>620</v>
      </c>
      <c r="F459" t="s">
        <v>621</v>
      </c>
      <c r="G459" t="s">
        <v>15</v>
      </c>
      <c r="H459" t="s">
        <v>16</v>
      </c>
      <c r="I459">
        <v>1</v>
      </c>
    </row>
    <row r="460" spans="2:9" x14ac:dyDescent="0.25">
      <c r="B460">
        <v>4</v>
      </c>
      <c r="C460">
        <v>3</v>
      </c>
      <c r="D460" t="s">
        <v>294</v>
      </c>
      <c r="E460" t="s">
        <v>622</v>
      </c>
      <c r="F460" t="s">
        <v>623</v>
      </c>
      <c r="G460">
        <v>201008</v>
      </c>
      <c r="H460" t="s">
        <v>29</v>
      </c>
      <c r="I460">
        <v>1</v>
      </c>
    </row>
    <row r="461" spans="2:9" x14ac:dyDescent="0.25">
      <c r="B461">
        <v>4</v>
      </c>
      <c r="C461">
        <v>3</v>
      </c>
      <c r="D461" t="s">
        <v>294</v>
      </c>
      <c r="E461" t="s">
        <v>622</v>
      </c>
      <c r="F461" t="s">
        <v>623</v>
      </c>
      <c r="G461" t="s">
        <v>13</v>
      </c>
      <c r="H461" t="s">
        <v>14</v>
      </c>
      <c r="I461">
        <v>1</v>
      </c>
    </row>
    <row r="462" spans="2:9" x14ac:dyDescent="0.25">
      <c r="B462">
        <v>4</v>
      </c>
      <c r="C462">
        <v>3</v>
      </c>
      <c r="D462" t="s">
        <v>294</v>
      </c>
      <c r="E462" t="s">
        <v>622</v>
      </c>
      <c r="F462" t="s">
        <v>623</v>
      </c>
      <c r="G462" t="s">
        <v>15</v>
      </c>
      <c r="H462" t="s">
        <v>16</v>
      </c>
      <c r="I462">
        <v>1</v>
      </c>
    </row>
    <row r="463" spans="2:9" x14ac:dyDescent="0.25">
      <c r="B463">
        <v>4</v>
      </c>
      <c r="C463">
        <v>3</v>
      </c>
      <c r="D463" t="s">
        <v>294</v>
      </c>
      <c r="E463" t="s">
        <v>624</v>
      </c>
      <c r="F463" t="s">
        <v>625</v>
      </c>
      <c r="G463" t="s">
        <v>13</v>
      </c>
      <c r="H463" t="s">
        <v>14</v>
      </c>
      <c r="I463">
        <v>4</v>
      </c>
    </row>
    <row r="464" spans="2:9" x14ac:dyDescent="0.25">
      <c r="B464">
        <v>4</v>
      </c>
      <c r="C464">
        <v>3</v>
      </c>
      <c r="D464" t="s">
        <v>294</v>
      </c>
      <c r="E464" t="s">
        <v>624</v>
      </c>
      <c r="F464" t="s">
        <v>625</v>
      </c>
      <c r="G464" t="s">
        <v>15</v>
      </c>
      <c r="H464" t="s">
        <v>16</v>
      </c>
      <c r="I464">
        <v>4</v>
      </c>
    </row>
    <row r="465" spans="2:9" x14ac:dyDescent="0.25">
      <c r="B465">
        <v>4</v>
      </c>
      <c r="C465">
        <v>3</v>
      </c>
      <c r="D465" t="s">
        <v>294</v>
      </c>
      <c r="E465" t="s">
        <v>626</v>
      </c>
      <c r="F465" t="s">
        <v>627</v>
      </c>
      <c r="G465" t="s">
        <v>13</v>
      </c>
      <c r="H465" t="s">
        <v>14</v>
      </c>
      <c r="I465">
        <v>1</v>
      </c>
    </row>
    <row r="466" spans="2:9" x14ac:dyDescent="0.25">
      <c r="B466">
        <v>4</v>
      </c>
      <c r="C466">
        <v>3</v>
      </c>
      <c r="D466" t="s">
        <v>294</v>
      </c>
      <c r="E466" t="s">
        <v>626</v>
      </c>
      <c r="F466" t="s">
        <v>627</v>
      </c>
      <c r="G466" t="s">
        <v>15</v>
      </c>
      <c r="H466" t="s">
        <v>16</v>
      </c>
      <c r="I466">
        <v>1</v>
      </c>
    </row>
    <row r="467" spans="2:9" x14ac:dyDescent="0.25">
      <c r="B467">
        <v>4</v>
      </c>
      <c r="C467">
        <v>3</v>
      </c>
      <c r="D467" t="s">
        <v>294</v>
      </c>
      <c r="E467" t="s">
        <v>628</v>
      </c>
      <c r="F467" t="s">
        <v>602</v>
      </c>
      <c r="G467" t="s">
        <v>13</v>
      </c>
      <c r="H467" t="s">
        <v>14</v>
      </c>
      <c r="I467">
        <v>2</v>
      </c>
    </row>
    <row r="468" spans="2:9" x14ac:dyDescent="0.25">
      <c r="B468">
        <v>4</v>
      </c>
      <c r="C468">
        <v>3</v>
      </c>
      <c r="D468" t="s">
        <v>294</v>
      </c>
      <c r="E468" t="s">
        <v>628</v>
      </c>
      <c r="F468" t="s">
        <v>602</v>
      </c>
      <c r="G468" t="s">
        <v>15</v>
      </c>
      <c r="H468" t="s">
        <v>16</v>
      </c>
      <c r="I468">
        <v>2</v>
      </c>
    </row>
    <row r="469" spans="2:9" x14ac:dyDescent="0.25">
      <c r="B469">
        <v>4</v>
      </c>
      <c r="C469">
        <v>3</v>
      </c>
      <c r="D469" t="s">
        <v>294</v>
      </c>
      <c r="E469" t="s">
        <v>629</v>
      </c>
      <c r="F469" t="s">
        <v>630</v>
      </c>
      <c r="G469" t="s">
        <v>103</v>
      </c>
      <c r="H469" t="s">
        <v>104</v>
      </c>
      <c r="I469">
        <v>1</v>
      </c>
    </row>
    <row r="470" spans="2:9" x14ac:dyDescent="0.25">
      <c r="B470">
        <v>4</v>
      </c>
      <c r="C470">
        <v>3</v>
      </c>
      <c r="D470" t="s">
        <v>294</v>
      </c>
      <c r="E470" t="s">
        <v>631</v>
      </c>
      <c r="F470" t="s">
        <v>632</v>
      </c>
      <c r="G470" t="s">
        <v>103</v>
      </c>
      <c r="H470" t="s">
        <v>104</v>
      </c>
      <c r="I470">
        <v>1</v>
      </c>
    </row>
    <row r="471" spans="2:9" x14ac:dyDescent="0.25">
      <c r="B471">
        <v>4</v>
      </c>
      <c r="C471">
        <v>3</v>
      </c>
      <c r="D471" t="s">
        <v>294</v>
      </c>
      <c r="E471" t="s">
        <v>633</v>
      </c>
      <c r="F471" t="s">
        <v>634</v>
      </c>
      <c r="G471" t="s">
        <v>23</v>
      </c>
      <c r="H471" t="s">
        <v>24</v>
      </c>
      <c r="I471">
        <v>2</v>
      </c>
    </row>
    <row r="472" spans="2:9" x14ac:dyDescent="0.25">
      <c r="B472">
        <v>4</v>
      </c>
      <c r="C472">
        <v>3</v>
      </c>
      <c r="D472" t="s">
        <v>294</v>
      </c>
      <c r="E472" t="s">
        <v>635</v>
      </c>
      <c r="F472" t="s">
        <v>182</v>
      </c>
      <c r="G472" t="s">
        <v>13</v>
      </c>
      <c r="H472" t="s">
        <v>14</v>
      </c>
      <c r="I472">
        <v>2</v>
      </c>
    </row>
    <row r="473" spans="2:9" x14ac:dyDescent="0.25">
      <c r="B473">
        <v>4</v>
      </c>
      <c r="C473">
        <v>3</v>
      </c>
      <c r="D473" t="s">
        <v>294</v>
      </c>
      <c r="E473" t="s">
        <v>635</v>
      </c>
      <c r="F473" t="s">
        <v>182</v>
      </c>
      <c r="G473" t="s">
        <v>15</v>
      </c>
      <c r="H473" t="s">
        <v>16</v>
      </c>
      <c r="I473">
        <v>2</v>
      </c>
    </row>
    <row r="474" spans="2:9" x14ac:dyDescent="0.25">
      <c r="B474">
        <v>4</v>
      </c>
      <c r="C474">
        <v>3</v>
      </c>
      <c r="D474" t="s">
        <v>294</v>
      </c>
      <c r="E474" t="s">
        <v>636</v>
      </c>
      <c r="F474" t="s">
        <v>637</v>
      </c>
      <c r="G474">
        <v>201008</v>
      </c>
      <c r="H474" t="s">
        <v>29</v>
      </c>
      <c r="I474">
        <v>1</v>
      </c>
    </row>
    <row r="475" spans="2:9" x14ac:dyDescent="0.25">
      <c r="B475">
        <v>4</v>
      </c>
      <c r="C475">
        <v>3</v>
      </c>
      <c r="D475" t="s">
        <v>294</v>
      </c>
      <c r="E475" t="s">
        <v>636</v>
      </c>
      <c r="F475" t="s">
        <v>637</v>
      </c>
      <c r="G475" t="s">
        <v>13</v>
      </c>
      <c r="H475" t="s">
        <v>14</v>
      </c>
      <c r="I475">
        <v>1</v>
      </c>
    </row>
    <row r="476" spans="2:9" x14ac:dyDescent="0.25">
      <c r="B476">
        <v>4</v>
      </c>
      <c r="C476">
        <v>3</v>
      </c>
      <c r="D476" t="s">
        <v>294</v>
      </c>
      <c r="E476" t="s">
        <v>636</v>
      </c>
      <c r="F476" t="s">
        <v>637</v>
      </c>
      <c r="G476" t="s">
        <v>15</v>
      </c>
      <c r="H476" t="s">
        <v>16</v>
      </c>
      <c r="I476">
        <v>1</v>
      </c>
    </row>
    <row r="477" spans="2:9" x14ac:dyDescent="0.25">
      <c r="B477">
        <v>4</v>
      </c>
      <c r="C477">
        <v>3</v>
      </c>
      <c r="D477" t="s">
        <v>294</v>
      </c>
      <c r="E477" t="s">
        <v>638</v>
      </c>
      <c r="F477" t="s">
        <v>639</v>
      </c>
      <c r="G477" t="s">
        <v>13</v>
      </c>
      <c r="H477" t="s">
        <v>14</v>
      </c>
      <c r="I477">
        <v>1</v>
      </c>
    </row>
    <row r="478" spans="2:9" x14ac:dyDescent="0.25">
      <c r="B478">
        <v>4</v>
      </c>
      <c r="C478">
        <v>3</v>
      </c>
      <c r="D478" t="s">
        <v>294</v>
      </c>
      <c r="E478" t="s">
        <v>638</v>
      </c>
      <c r="F478" t="s">
        <v>639</v>
      </c>
      <c r="G478" t="s">
        <v>15</v>
      </c>
      <c r="H478" t="s">
        <v>16</v>
      </c>
      <c r="I478">
        <v>1</v>
      </c>
    </row>
    <row r="479" spans="2:9" x14ac:dyDescent="0.25">
      <c r="B479">
        <v>4</v>
      </c>
      <c r="C479">
        <v>3</v>
      </c>
      <c r="D479" t="s">
        <v>294</v>
      </c>
      <c r="E479" t="s">
        <v>640</v>
      </c>
      <c r="F479" t="s">
        <v>415</v>
      </c>
      <c r="G479" t="s">
        <v>13</v>
      </c>
      <c r="H479" t="s">
        <v>14</v>
      </c>
      <c r="I479">
        <v>1</v>
      </c>
    </row>
    <row r="480" spans="2:9" x14ac:dyDescent="0.25">
      <c r="B480">
        <v>4</v>
      </c>
      <c r="C480">
        <v>3</v>
      </c>
      <c r="D480" t="s">
        <v>294</v>
      </c>
      <c r="E480" t="s">
        <v>640</v>
      </c>
      <c r="F480" t="s">
        <v>415</v>
      </c>
      <c r="G480" t="s">
        <v>15</v>
      </c>
      <c r="H480" t="s">
        <v>16</v>
      </c>
      <c r="I480">
        <v>1</v>
      </c>
    </row>
    <row r="481" spans="2:9" x14ac:dyDescent="0.25">
      <c r="B481">
        <v>4</v>
      </c>
      <c r="C481">
        <v>3</v>
      </c>
      <c r="D481" t="s">
        <v>294</v>
      </c>
      <c r="E481" t="s">
        <v>641</v>
      </c>
      <c r="F481" t="s">
        <v>642</v>
      </c>
      <c r="G481">
        <v>201008</v>
      </c>
      <c r="H481" t="s">
        <v>29</v>
      </c>
      <c r="I481">
        <v>1</v>
      </c>
    </row>
    <row r="482" spans="2:9" x14ac:dyDescent="0.25">
      <c r="B482">
        <v>4</v>
      </c>
      <c r="C482">
        <v>3</v>
      </c>
      <c r="D482" t="s">
        <v>294</v>
      </c>
      <c r="E482" t="s">
        <v>641</v>
      </c>
      <c r="F482" t="s">
        <v>642</v>
      </c>
      <c r="G482" t="s">
        <v>13</v>
      </c>
      <c r="H482" t="s">
        <v>14</v>
      </c>
      <c r="I482">
        <v>1</v>
      </c>
    </row>
    <row r="483" spans="2:9" x14ac:dyDescent="0.25">
      <c r="B483">
        <v>4</v>
      </c>
      <c r="C483">
        <v>3</v>
      </c>
      <c r="D483" t="s">
        <v>294</v>
      </c>
      <c r="E483" t="s">
        <v>641</v>
      </c>
      <c r="F483" t="s">
        <v>642</v>
      </c>
      <c r="G483" t="s">
        <v>15</v>
      </c>
      <c r="H483" t="s">
        <v>16</v>
      </c>
      <c r="I483">
        <v>1</v>
      </c>
    </row>
    <row r="484" spans="2:9" x14ac:dyDescent="0.25">
      <c r="B484">
        <v>4</v>
      </c>
      <c r="C484">
        <v>3</v>
      </c>
      <c r="D484" t="s">
        <v>294</v>
      </c>
      <c r="E484" t="s">
        <v>643</v>
      </c>
      <c r="F484" t="s">
        <v>644</v>
      </c>
      <c r="G484" t="s">
        <v>13</v>
      </c>
      <c r="H484" t="s">
        <v>14</v>
      </c>
      <c r="I484">
        <v>2</v>
      </c>
    </row>
    <row r="485" spans="2:9" x14ac:dyDescent="0.25">
      <c r="B485">
        <v>4</v>
      </c>
      <c r="C485">
        <v>3</v>
      </c>
      <c r="D485" t="s">
        <v>294</v>
      </c>
      <c r="E485" t="s">
        <v>643</v>
      </c>
      <c r="F485" t="s">
        <v>644</v>
      </c>
      <c r="G485" t="s">
        <v>15</v>
      </c>
      <c r="H485" t="s">
        <v>16</v>
      </c>
      <c r="I485">
        <v>2</v>
      </c>
    </row>
    <row r="486" spans="2:9" x14ac:dyDescent="0.25">
      <c r="B486">
        <v>4</v>
      </c>
      <c r="C486">
        <v>3</v>
      </c>
      <c r="D486" t="s">
        <v>294</v>
      </c>
      <c r="E486" t="s">
        <v>645</v>
      </c>
      <c r="F486" t="s">
        <v>646</v>
      </c>
      <c r="G486" t="s">
        <v>23</v>
      </c>
      <c r="H486" t="s">
        <v>24</v>
      </c>
      <c r="I486">
        <v>6</v>
      </c>
    </row>
    <row r="487" spans="2:9" x14ac:dyDescent="0.25">
      <c r="B487">
        <v>4</v>
      </c>
      <c r="C487">
        <v>3</v>
      </c>
      <c r="D487" t="s">
        <v>294</v>
      </c>
      <c r="E487" t="s">
        <v>645</v>
      </c>
      <c r="F487" t="s">
        <v>646</v>
      </c>
      <c r="G487" t="s">
        <v>15</v>
      </c>
      <c r="H487" t="s">
        <v>16</v>
      </c>
      <c r="I487">
        <v>4</v>
      </c>
    </row>
    <row r="488" spans="2:9" x14ac:dyDescent="0.25">
      <c r="B488">
        <v>4</v>
      </c>
      <c r="C488">
        <v>3</v>
      </c>
      <c r="D488" t="s">
        <v>294</v>
      </c>
      <c r="E488" t="s">
        <v>647</v>
      </c>
      <c r="F488" t="s">
        <v>648</v>
      </c>
      <c r="G488" t="s">
        <v>13</v>
      </c>
      <c r="H488" t="s">
        <v>14</v>
      </c>
      <c r="I488">
        <v>1</v>
      </c>
    </row>
    <row r="489" spans="2:9" x14ac:dyDescent="0.25">
      <c r="B489">
        <v>4</v>
      </c>
      <c r="C489">
        <v>3</v>
      </c>
      <c r="D489" t="s">
        <v>294</v>
      </c>
      <c r="E489" t="s">
        <v>647</v>
      </c>
      <c r="F489" t="s">
        <v>648</v>
      </c>
      <c r="G489" t="s">
        <v>15</v>
      </c>
      <c r="H489" t="s">
        <v>16</v>
      </c>
      <c r="I489">
        <v>1</v>
      </c>
    </row>
    <row r="490" spans="2:9" x14ac:dyDescent="0.25">
      <c r="B490">
        <v>4</v>
      </c>
      <c r="C490">
        <v>3</v>
      </c>
      <c r="D490" t="s">
        <v>294</v>
      </c>
      <c r="E490" t="s">
        <v>649</v>
      </c>
      <c r="F490" t="s">
        <v>650</v>
      </c>
      <c r="G490" t="s">
        <v>13</v>
      </c>
      <c r="H490" t="s">
        <v>14</v>
      </c>
      <c r="I490">
        <v>1</v>
      </c>
    </row>
    <row r="491" spans="2:9" x14ac:dyDescent="0.25">
      <c r="B491">
        <v>4</v>
      </c>
      <c r="C491">
        <v>3</v>
      </c>
      <c r="D491" t="s">
        <v>294</v>
      </c>
      <c r="E491" t="s">
        <v>649</v>
      </c>
      <c r="F491" t="s">
        <v>650</v>
      </c>
      <c r="G491" t="s">
        <v>15</v>
      </c>
      <c r="H491" t="s">
        <v>16</v>
      </c>
      <c r="I491">
        <v>1</v>
      </c>
    </row>
    <row r="492" spans="2:9" x14ac:dyDescent="0.25">
      <c r="B492">
        <v>4</v>
      </c>
      <c r="C492">
        <v>3</v>
      </c>
      <c r="D492" t="s">
        <v>294</v>
      </c>
      <c r="E492" t="s">
        <v>651</v>
      </c>
      <c r="F492" t="s">
        <v>652</v>
      </c>
      <c r="G492" t="s">
        <v>13</v>
      </c>
      <c r="H492" t="s">
        <v>14</v>
      </c>
      <c r="I492">
        <v>1</v>
      </c>
    </row>
    <row r="493" spans="2:9" x14ac:dyDescent="0.25">
      <c r="B493">
        <v>4</v>
      </c>
      <c r="C493">
        <v>3</v>
      </c>
      <c r="D493" t="s">
        <v>294</v>
      </c>
      <c r="E493" t="s">
        <v>651</v>
      </c>
      <c r="F493" t="s">
        <v>652</v>
      </c>
      <c r="G493" t="s">
        <v>15</v>
      </c>
      <c r="H493" t="s">
        <v>16</v>
      </c>
      <c r="I493">
        <v>1</v>
      </c>
    </row>
    <row r="494" spans="2:9" x14ac:dyDescent="0.25">
      <c r="B494">
        <v>4</v>
      </c>
      <c r="C494">
        <v>3</v>
      </c>
      <c r="D494" t="s">
        <v>294</v>
      </c>
      <c r="E494" t="s">
        <v>653</v>
      </c>
      <c r="F494" t="s">
        <v>654</v>
      </c>
      <c r="G494" t="s">
        <v>15</v>
      </c>
      <c r="H494" t="s">
        <v>16</v>
      </c>
      <c r="I494">
        <v>1</v>
      </c>
    </row>
    <row r="495" spans="2:9" x14ac:dyDescent="0.25">
      <c r="B495">
        <v>4</v>
      </c>
      <c r="C495">
        <v>3</v>
      </c>
      <c r="D495" t="s">
        <v>294</v>
      </c>
      <c r="E495" t="s">
        <v>656</v>
      </c>
      <c r="F495" t="s">
        <v>657</v>
      </c>
      <c r="G495" t="s">
        <v>13</v>
      </c>
      <c r="H495" t="s">
        <v>14</v>
      </c>
      <c r="I495">
        <v>2</v>
      </c>
    </row>
    <row r="496" spans="2:9" x14ac:dyDescent="0.25">
      <c r="B496">
        <v>4</v>
      </c>
      <c r="C496">
        <v>3</v>
      </c>
      <c r="D496" t="s">
        <v>294</v>
      </c>
      <c r="E496" t="s">
        <v>656</v>
      </c>
      <c r="F496" t="s">
        <v>657</v>
      </c>
      <c r="G496" t="s">
        <v>15</v>
      </c>
      <c r="H496" t="s">
        <v>16</v>
      </c>
      <c r="I496">
        <v>2</v>
      </c>
    </row>
    <row r="497" spans="2:9" x14ac:dyDescent="0.25">
      <c r="B497">
        <v>4</v>
      </c>
      <c r="C497">
        <v>3</v>
      </c>
      <c r="D497" t="s">
        <v>294</v>
      </c>
      <c r="E497" t="s">
        <v>658</v>
      </c>
      <c r="F497" t="s">
        <v>659</v>
      </c>
      <c r="G497" t="s">
        <v>13</v>
      </c>
      <c r="H497" t="s">
        <v>14</v>
      </c>
      <c r="I497">
        <v>2</v>
      </c>
    </row>
    <row r="498" spans="2:9" x14ac:dyDescent="0.25">
      <c r="B498">
        <v>4</v>
      </c>
      <c r="C498">
        <v>3</v>
      </c>
      <c r="D498" t="s">
        <v>294</v>
      </c>
      <c r="E498" t="s">
        <v>658</v>
      </c>
      <c r="F498" t="s">
        <v>659</v>
      </c>
      <c r="G498" t="s">
        <v>15</v>
      </c>
      <c r="H498" t="s">
        <v>16</v>
      </c>
      <c r="I498">
        <v>2</v>
      </c>
    </row>
    <row r="499" spans="2:9" x14ac:dyDescent="0.25">
      <c r="B499">
        <v>4</v>
      </c>
      <c r="C499">
        <v>3</v>
      </c>
      <c r="D499" t="s">
        <v>294</v>
      </c>
      <c r="E499" t="s">
        <v>660</v>
      </c>
      <c r="F499" t="s">
        <v>182</v>
      </c>
      <c r="G499" t="s">
        <v>13</v>
      </c>
      <c r="H499" t="s">
        <v>14</v>
      </c>
      <c r="I499">
        <v>1</v>
      </c>
    </row>
    <row r="500" spans="2:9" x14ac:dyDescent="0.25">
      <c r="B500">
        <v>4</v>
      </c>
      <c r="C500">
        <v>3</v>
      </c>
      <c r="D500" t="s">
        <v>294</v>
      </c>
      <c r="E500" t="s">
        <v>660</v>
      </c>
      <c r="F500" t="s">
        <v>182</v>
      </c>
      <c r="G500" t="s">
        <v>15</v>
      </c>
      <c r="H500" t="s">
        <v>16</v>
      </c>
      <c r="I500">
        <v>1</v>
      </c>
    </row>
    <row r="501" spans="2:9" x14ac:dyDescent="0.25">
      <c r="B501">
        <v>4</v>
      </c>
      <c r="C501">
        <v>3</v>
      </c>
      <c r="D501" t="s">
        <v>294</v>
      </c>
      <c r="E501" t="s">
        <v>661</v>
      </c>
      <c r="F501" t="s">
        <v>662</v>
      </c>
      <c r="G501">
        <v>201008</v>
      </c>
      <c r="H501" t="s">
        <v>29</v>
      </c>
      <c r="I501">
        <v>1</v>
      </c>
    </row>
    <row r="502" spans="2:9" x14ac:dyDescent="0.25">
      <c r="B502">
        <v>4</v>
      </c>
      <c r="C502">
        <v>3</v>
      </c>
      <c r="D502" t="s">
        <v>294</v>
      </c>
      <c r="E502" t="s">
        <v>661</v>
      </c>
      <c r="F502" t="s">
        <v>662</v>
      </c>
      <c r="G502" t="s">
        <v>13</v>
      </c>
      <c r="H502" t="s">
        <v>14</v>
      </c>
      <c r="I502">
        <v>1</v>
      </c>
    </row>
    <row r="503" spans="2:9" x14ac:dyDescent="0.25">
      <c r="B503">
        <v>4</v>
      </c>
      <c r="C503">
        <v>3</v>
      </c>
      <c r="D503" t="s">
        <v>294</v>
      </c>
      <c r="E503" t="s">
        <v>661</v>
      </c>
      <c r="F503" t="s">
        <v>662</v>
      </c>
      <c r="G503" t="s">
        <v>15</v>
      </c>
      <c r="H503" t="s">
        <v>16</v>
      </c>
      <c r="I503">
        <v>1</v>
      </c>
    </row>
    <row r="504" spans="2:9" x14ac:dyDescent="0.25">
      <c r="B504">
        <v>4</v>
      </c>
      <c r="C504">
        <v>3</v>
      </c>
      <c r="D504" t="s">
        <v>294</v>
      </c>
      <c r="E504" t="s">
        <v>663</v>
      </c>
      <c r="F504" t="s">
        <v>415</v>
      </c>
      <c r="G504" t="s">
        <v>13</v>
      </c>
      <c r="H504" t="s">
        <v>14</v>
      </c>
      <c r="I504">
        <v>1</v>
      </c>
    </row>
    <row r="505" spans="2:9" x14ac:dyDescent="0.25">
      <c r="B505">
        <v>4</v>
      </c>
      <c r="C505">
        <v>3</v>
      </c>
      <c r="D505" t="s">
        <v>294</v>
      </c>
      <c r="E505" t="s">
        <v>663</v>
      </c>
      <c r="F505" t="s">
        <v>415</v>
      </c>
      <c r="G505" t="s">
        <v>15</v>
      </c>
      <c r="H505" t="s">
        <v>16</v>
      </c>
      <c r="I505">
        <v>1</v>
      </c>
    </row>
    <row r="506" spans="2:9" x14ac:dyDescent="0.25">
      <c r="B506">
        <v>4</v>
      </c>
      <c r="C506">
        <v>3</v>
      </c>
      <c r="D506" t="s">
        <v>294</v>
      </c>
      <c r="E506" t="s">
        <v>664</v>
      </c>
      <c r="F506" t="s">
        <v>665</v>
      </c>
      <c r="G506" t="s">
        <v>13</v>
      </c>
      <c r="H506" t="s">
        <v>14</v>
      </c>
      <c r="I506">
        <v>1</v>
      </c>
    </row>
    <row r="507" spans="2:9" x14ac:dyDescent="0.25">
      <c r="B507">
        <v>4</v>
      </c>
      <c r="C507">
        <v>3</v>
      </c>
      <c r="D507" t="s">
        <v>294</v>
      </c>
      <c r="E507" t="s">
        <v>664</v>
      </c>
      <c r="F507" t="s">
        <v>665</v>
      </c>
      <c r="G507" t="s">
        <v>15</v>
      </c>
      <c r="H507" t="s">
        <v>16</v>
      </c>
      <c r="I507">
        <v>1</v>
      </c>
    </row>
    <row r="508" spans="2:9" x14ac:dyDescent="0.25">
      <c r="B508">
        <v>4</v>
      </c>
      <c r="C508">
        <v>3</v>
      </c>
      <c r="D508" t="s">
        <v>294</v>
      </c>
      <c r="E508" t="s">
        <v>666</v>
      </c>
      <c r="F508" t="s">
        <v>667</v>
      </c>
      <c r="G508" t="s">
        <v>13</v>
      </c>
      <c r="H508" t="s">
        <v>14</v>
      </c>
      <c r="I508">
        <v>5</v>
      </c>
    </row>
    <row r="509" spans="2:9" x14ac:dyDescent="0.25">
      <c r="B509">
        <v>4</v>
      </c>
      <c r="C509">
        <v>3</v>
      </c>
      <c r="D509" t="s">
        <v>294</v>
      </c>
      <c r="E509" t="s">
        <v>666</v>
      </c>
      <c r="F509" t="s">
        <v>667</v>
      </c>
      <c r="G509" t="s">
        <v>15</v>
      </c>
      <c r="H509" t="s">
        <v>16</v>
      </c>
      <c r="I509">
        <v>5</v>
      </c>
    </row>
    <row r="510" spans="2:9" x14ac:dyDescent="0.25">
      <c r="B510">
        <v>4</v>
      </c>
      <c r="C510">
        <v>3</v>
      </c>
      <c r="D510" t="s">
        <v>294</v>
      </c>
      <c r="E510" t="s">
        <v>668</v>
      </c>
      <c r="F510" t="s">
        <v>669</v>
      </c>
      <c r="G510" t="s">
        <v>13</v>
      </c>
      <c r="H510" t="s">
        <v>14</v>
      </c>
      <c r="I510">
        <v>2</v>
      </c>
    </row>
    <row r="511" spans="2:9" x14ac:dyDescent="0.25">
      <c r="B511">
        <v>4</v>
      </c>
      <c r="C511">
        <v>3</v>
      </c>
      <c r="D511" t="s">
        <v>294</v>
      </c>
      <c r="E511" t="s">
        <v>668</v>
      </c>
      <c r="F511" t="s">
        <v>669</v>
      </c>
      <c r="G511" t="s">
        <v>15</v>
      </c>
      <c r="H511" t="s">
        <v>16</v>
      </c>
      <c r="I511">
        <v>2</v>
      </c>
    </row>
    <row r="512" spans="2:9" x14ac:dyDescent="0.25">
      <c r="B512">
        <v>4</v>
      </c>
      <c r="C512">
        <v>3</v>
      </c>
      <c r="D512" t="s">
        <v>294</v>
      </c>
      <c r="E512" t="s">
        <v>670</v>
      </c>
      <c r="F512" t="s">
        <v>671</v>
      </c>
      <c r="G512" t="s">
        <v>13</v>
      </c>
      <c r="H512" t="s">
        <v>14</v>
      </c>
      <c r="I512">
        <v>1</v>
      </c>
    </row>
    <row r="513" spans="2:9" x14ac:dyDescent="0.25">
      <c r="B513">
        <v>4</v>
      </c>
      <c r="C513">
        <v>3</v>
      </c>
      <c r="D513" t="s">
        <v>294</v>
      </c>
      <c r="E513" t="s">
        <v>670</v>
      </c>
      <c r="F513" t="s">
        <v>671</v>
      </c>
      <c r="G513" t="s">
        <v>15</v>
      </c>
      <c r="H513" t="s">
        <v>16</v>
      </c>
      <c r="I513">
        <v>1</v>
      </c>
    </row>
    <row r="514" spans="2:9" x14ac:dyDescent="0.25">
      <c r="B514">
        <v>4</v>
      </c>
      <c r="C514">
        <v>3</v>
      </c>
      <c r="D514" t="s">
        <v>294</v>
      </c>
      <c r="E514" t="s">
        <v>672</v>
      </c>
      <c r="F514" t="s">
        <v>673</v>
      </c>
      <c r="G514" t="s">
        <v>13</v>
      </c>
      <c r="H514" t="s">
        <v>14</v>
      </c>
      <c r="I514">
        <v>1</v>
      </c>
    </row>
    <row r="515" spans="2:9" x14ac:dyDescent="0.25">
      <c r="B515">
        <v>4</v>
      </c>
      <c r="C515">
        <v>3</v>
      </c>
      <c r="D515" t="s">
        <v>294</v>
      </c>
      <c r="E515" t="s">
        <v>672</v>
      </c>
      <c r="F515" t="s">
        <v>673</v>
      </c>
      <c r="G515" t="s">
        <v>15</v>
      </c>
      <c r="H515" t="s">
        <v>16</v>
      </c>
      <c r="I515">
        <v>1</v>
      </c>
    </row>
    <row r="516" spans="2:9" x14ac:dyDescent="0.25">
      <c r="B516">
        <v>4</v>
      </c>
      <c r="C516">
        <v>3</v>
      </c>
      <c r="D516" t="s">
        <v>294</v>
      </c>
      <c r="E516" t="s">
        <v>674</v>
      </c>
      <c r="F516" t="s">
        <v>415</v>
      </c>
      <c r="G516" t="s">
        <v>13</v>
      </c>
      <c r="H516" t="s">
        <v>14</v>
      </c>
      <c r="I516">
        <v>1</v>
      </c>
    </row>
    <row r="517" spans="2:9" x14ac:dyDescent="0.25">
      <c r="B517">
        <v>4</v>
      </c>
      <c r="C517">
        <v>3</v>
      </c>
      <c r="D517" t="s">
        <v>294</v>
      </c>
      <c r="E517" t="s">
        <v>674</v>
      </c>
      <c r="F517" t="s">
        <v>415</v>
      </c>
      <c r="G517" t="s">
        <v>15</v>
      </c>
      <c r="H517" t="s">
        <v>16</v>
      </c>
      <c r="I517">
        <v>1</v>
      </c>
    </row>
    <row r="518" spans="2:9" x14ac:dyDescent="0.25">
      <c r="B518">
        <v>4</v>
      </c>
      <c r="C518">
        <v>3</v>
      </c>
      <c r="D518" t="s">
        <v>294</v>
      </c>
      <c r="E518" t="s">
        <v>675</v>
      </c>
      <c r="F518" t="s">
        <v>676</v>
      </c>
      <c r="G518" t="s">
        <v>13</v>
      </c>
      <c r="H518" t="s">
        <v>14</v>
      </c>
      <c r="I518">
        <v>1</v>
      </c>
    </row>
    <row r="519" spans="2:9" x14ac:dyDescent="0.25">
      <c r="B519">
        <v>4</v>
      </c>
      <c r="C519">
        <v>3</v>
      </c>
      <c r="D519" t="s">
        <v>294</v>
      </c>
      <c r="E519" t="s">
        <v>675</v>
      </c>
      <c r="F519" t="s">
        <v>676</v>
      </c>
      <c r="G519" t="s">
        <v>15</v>
      </c>
      <c r="H519" t="s">
        <v>16</v>
      </c>
      <c r="I519">
        <v>1</v>
      </c>
    </row>
    <row r="520" spans="2:9" x14ac:dyDescent="0.25">
      <c r="B520">
        <v>4</v>
      </c>
      <c r="C520">
        <v>3</v>
      </c>
      <c r="D520" t="s">
        <v>294</v>
      </c>
      <c r="E520" t="s">
        <v>677</v>
      </c>
      <c r="F520" t="s">
        <v>678</v>
      </c>
      <c r="G520">
        <v>201010</v>
      </c>
      <c r="H520" t="s">
        <v>44</v>
      </c>
      <c r="I520">
        <v>1</v>
      </c>
    </row>
    <row r="521" spans="2:9" x14ac:dyDescent="0.25">
      <c r="B521">
        <v>4</v>
      </c>
      <c r="C521">
        <v>3</v>
      </c>
      <c r="D521" t="s">
        <v>294</v>
      </c>
      <c r="E521" t="s">
        <v>679</v>
      </c>
      <c r="F521" t="s">
        <v>680</v>
      </c>
      <c r="G521" t="s">
        <v>23</v>
      </c>
      <c r="H521" t="s">
        <v>24</v>
      </c>
      <c r="I521">
        <v>1</v>
      </c>
    </row>
    <row r="522" spans="2:9" x14ac:dyDescent="0.25">
      <c r="B522">
        <v>4</v>
      </c>
      <c r="C522">
        <v>3</v>
      </c>
      <c r="D522" t="s">
        <v>294</v>
      </c>
      <c r="E522" t="s">
        <v>681</v>
      </c>
      <c r="F522" t="s">
        <v>254</v>
      </c>
      <c r="G522">
        <v>201010</v>
      </c>
      <c r="H522" t="s">
        <v>44</v>
      </c>
      <c r="I522">
        <v>1</v>
      </c>
    </row>
    <row r="523" spans="2:9" x14ac:dyDescent="0.25">
      <c r="B523">
        <v>4</v>
      </c>
      <c r="C523">
        <v>3</v>
      </c>
      <c r="D523" t="s">
        <v>682</v>
      </c>
      <c r="E523" t="s">
        <v>685</v>
      </c>
      <c r="F523" t="s">
        <v>683</v>
      </c>
      <c r="G523">
        <v>201010</v>
      </c>
      <c r="H523" t="s">
        <v>44</v>
      </c>
      <c r="I523">
        <v>1</v>
      </c>
    </row>
    <row r="524" spans="2:9" x14ac:dyDescent="0.25">
      <c r="B524">
        <v>4</v>
      </c>
      <c r="C524">
        <v>3</v>
      </c>
      <c r="D524" t="s">
        <v>682</v>
      </c>
      <c r="E524" t="s">
        <v>686</v>
      </c>
      <c r="F524" t="s">
        <v>687</v>
      </c>
      <c r="G524" t="s">
        <v>23</v>
      </c>
      <c r="H524" t="s">
        <v>24</v>
      </c>
      <c r="I524">
        <v>2</v>
      </c>
    </row>
    <row r="525" spans="2:9" x14ac:dyDescent="0.25">
      <c r="B525">
        <v>4</v>
      </c>
      <c r="C525">
        <v>3</v>
      </c>
      <c r="D525" t="s">
        <v>682</v>
      </c>
      <c r="E525" t="s">
        <v>688</v>
      </c>
      <c r="F525" t="s">
        <v>689</v>
      </c>
      <c r="G525" t="s">
        <v>23</v>
      </c>
      <c r="H525" t="s">
        <v>24</v>
      </c>
      <c r="I525">
        <v>1</v>
      </c>
    </row>
    <row r="526" spans="2:9" x14ac:dyDescent="0.25">
      <c r="B526">
        <v>4</v>
      </c>
      <c r="C526">
        <v>3</v>
      </c>
      <c r="D526" t="s">
        <v>690</v>
      </c>
      <c r="E526" t="s">
        <v>691</v>
      </c>
      <c r="F526" t="s">
        <v>692</v>
      </c>
      <c r="G526" t="s">
        <v>13</v>
      </c>
      <c r="H526" t="s">
        <v>14</v>
      </c>
      <c r="I526">
        <v>1</v>
      </c>
    </row>
    <row r="527" spans="2:9" x14ac:dyDescent="0.25">
      <c r="B527">
        <v>4</v>
      </c>
      <c r="C527">
        <v>3</v>
      </c>
      <c r="D527" t="s">
        <v>690</v>
      </c>
      <c r="E527" t="s">
        <v>691</v>
      </c>
      <c r="F527" t="s">
        <v>692</v>
      </c>
      <c r="G527" t="s">
        <v>15</v>
      </c>
      <c r="H527" t="s">
        <v>16</v>
      </c>
      <c r="I527">
        <v>1</v>
      </c>
    </row>
    <row r="528" spans="2:9" x14ac:dyDescent="0.25">
      <c r="B528">
        <v>4</v>
      </c>
      <c r="C528">
        <v>3</v>
      </c>
      <c r="D528" t="s">
        <v>690</v>
      </c>
      <c r="E528" t="s">
        <v>693</v>
      </c>
      <c r="F528" t="s">
        <v>146</v>
      </c>
      <c r="G528" t="s">
        <v>13</v>
      </c>
      <c r="H528" t="s">
        <v>14</v>
      </c>
      <c r="I528">
        <v>1</v>
      </c>
    </row>
    <row r="529" spans="2:9" x14ac:dyDescent="0.25">
      <c r="B529">
        <v>4</v>
      </c>
      <c r="C529">
        <v>3</v>
      </c>
      <c r="D529" t="s">
        <v>690</v>
      </c>
      <c r="E529" t="s">
        <v>693</v>
      </c>
      <c r="F529" t="s">
        <v>146</v>
      </c>
      <c r="G529" t="s">
        <v>15</v>
      </c>
      <c r="H529" t="s">
        <v>16</v>
      </c>
      <c r="I529">
        <v>1</v>
      </c>
    </row>
    <row r="530" spans="2:9" x14ac:dyDescent="0.25">
      <c r="B530">
        <v>4</v>
      </c>
      <c r="C530">
        <v>3</v>
      </c>
      <c r="D530" t="s">
        <v>690</v>
      </c>
      <c r="E530" t="s">
        <v>695</v>
      </c>
      <c r="F530" t="s">
        <v>91</v>
      </c>
      <c r="G530" t="s">
        <v>118</v>
      </c>
      <c r="H530" t="s">
        <v>119</v>
      </c>
      <c r="I530">
        <v>1</v>
      </c>
    </row>
    <row r="531" spans="2:9" x14ac:dyDescent="0.25">
      <c r="B531">
        <v>4</v>
      </c>
      <c r="C531">
        <v>3</v>
      </c>
      <c r="D531" t="s">
        <v>696</v>
      </c>
      <c r="E531" t="s">
        <v>697</v>
      </c>
      <c r="F531" t="s">
        <v>182</v>
      </c>
      <c r="G531" t="s">
        <v>13</v>
      </c>
      <c r="H531" t="s">
        <v>14</v>
      </c>
      <c r="I531">
        <v>1</v>
      </c>
    </row>
    <row r="532" spans="2:9" x14ac:dyDescent="0.25">
      <c r="B532">
        <v>4</v>
      </c>
      <c r="C532">
        <v>3</v>
      </c>
      <c r="D532" t="s">
        <v>696</v>
      </c>
      <c r="E532" t="s">
        <v>697</v>
      </c>
      <c r="F532" t="s">
        <v>182</v>
      </c>
      <c r="G532" t="s">
        <v>15</v>
      </c>
      <c r="H532" t="s">
        <v>16</v>
      </c>
      <c r="I532">
        <v>1</v>
      </c>
    </row>
    <row r="533" spans="2:9" x14ac:dyDescent="0.25">
      <c r="B533">
        <v>4</v>
      </c>
      <c r="C533">
        <v>3</v>
      </c>
      <c r="D533" t="s">
        <v>696</v>
      </c>
      <c r="E533" t="s">
        <v>698</v>
      </c>
      <c r="F533" t="s">
        <v>699</v>
      </c>
      <c r="G533">
        <v>201008</v>
      </c>
      <c r="H533" t="s">
        <v>29</v>
      </c>
      <c r="I533">
        <v>1</v>
      </c>
    </row>
    <row r="534" spans="2:9" x14ac:dyDescent="0.25">
      <c r="B534">
        <v>4</v>
      </c>
      <c r="C534">
        <v>3</v>
      </c>
      <c r="D534" t="s">
        <v>696</v>
      </c>
      <c r="E534" t="s">
        <v>698</v>
      </c>
      <c r="F534" t="s">
        <v>699</v>
      </c>
      <c r="G534" t="s">
        <v>13</v>
      </c>
      <c r="H534" t="s">
        <v>14</v>
      </c>
      <c r="I534">
        <v>1</v>
      </c>
    </row>
    <row r="535" spans="2:9" x14ac:dyDescent="0.25">
      <c r="B535">
        <v>4</v>
      </c>
      <c r="C535">
        <v>3</v>
      </c>
      <c r="D535" t="s">
        <v>696</v>
      </c>
      <c r="E535" t="s">
        <v>698</v>
      </c>
      <c r="F535" t="s">
        <v>699</v>
      </c>
      <c r="G535" t="s">
        <v>15</v>
      </c>
      <c r="H535" t="s">
        <v>16</v>
      </c>
      <c r="I535">
        <v>1</v>
      </c>
    </row>
    <row r="536" spans="2:9" x14ac:dyDescent="0.25">
      <c r="B536">
        <v>4</v>
      </c>
      <c r="C536">
        <v>3</v>
      </c>
      <c r="D536" t="s">
        <v>696</v>
      </c>
      <c r="E536" t="s">
        <v>700</v>
      </c>
      <c r="F536" t="s">
        <v>701</v>
      </c>
      <c r="G536" t="s">
        <v>13</v>
      </c>
      <c r="H536" t="s">
        <v>14</v>
      </c>
      <c r="I536">
        <v>1</v>
      </c>
    </row>
    <row r="537" spans="2:9" x14ac:dyDescent="0.25">
      <c r="B537">
        <v>4</v>
      </c>
      <c r="C537">
        <v>3</v>
      </c>
      <c r="D537" t="s">
        <v>696</v>
      </c>
      <c r="E537" t="s">
        <v>700</v>
      </c>
      <c r="F537" t="s">
        <v>701</v>
      </c>
      <c r="G537" t="s">
        <v>15</v>
      </c>
      <c r="H537" t="s">
        <v>16</v>
      </c>
      <c r="I537">
        <v>1</v>
      </c>
    </row>
    <row r="538" spans="2:9" x14ac:dyDescent="0.25">
      <c r="B538">
        <v>4</v>
      </c>
      <c r="C538">
        <v>3</v>
      </c>
      <c r="D538" t="s">
        <v>696</v>
      </c>
      <c r="E538" t="s">
        <v>702</v>
      </c>
      <c r="F538" t="s">
        <v>703</v>
      </c>
      <c r="G538" t="s">
        <v>13</v>
      </c>
      <c r="H538" t="s">
        <v>14</v>
      </c>
      <c r="I538">
        <v>1</v>
      </c>
    </row>
    <row r="539" spans="2:9" x14ac:dyDescent="0.25">
      <c r="B539">
        <v>4</v>
      </c>
      <c r="C539">
        <v>3</v>
      </c>
      <c r="D539" t="s">
        <v>696</v>
      </c>
      <c r="E539" t="s">
        <v>702</v>
      </c>
      <c r="F539" t="s">
        <v>703</v>
      </c>
      <c r="G539" t="s">
        <v>15</v>
      </c>
      <c r="H539" t="s">
        <v>16</v>
      </c>
      <c r="I539">
        <v>1</v>
      </c>
    </row>
    <row r="540" spans="2:9" x14ac:dyDescent="0.25">
      <c r="B540">
        <v>4</v>
      </c>
      <c r="C540">
        <v>3</v>
      </c>
      <c r="D540" t="s">
        <v>696</v>
      </c>
      <c r="E540" t="s">
        <v>704</v>
      </c>
      <c r="F540" t="s">
        <v>182</v>
      </c>
      <c r="G540" t="s">
        <v>13</v>
      </c>
      <c r="H540" t="s">
        <v>14</v>
      </c>
      <c r="I540">
        <v>1</v>
      </c>
    </row>
    <row r="541" spans="2:9" x14ac:dyDescent="0.25">
      <c r="B541">
        <v>4</v>
      </c>
      <c r="C541">
        <v>3</v>
      </c>
      <c r="D541" t="s">
        <v>696</v>
      </c>
      <c r="E541" t="s">
        <v>704</v>
      </c>
      <c r="F541" t="s">
        <v>182</v>
      </c>
      <c r="G541" t="s">
        <v>15</v>
      </c>
      <c r="H541" t="s">
        <v>16</v>
      </c>
      <c r="I541">
        <v>1</v>
      </c>
    </row>
    <row r="542" spans="2:9" x14ac:dyDescent="0.25">
      <c r="B542">
        <v>4</v>
      </c>
      <c r="C542">
        <v>3</v>
      </c>
      <c r="D542" t="s">
        <v>696</v>
      </c>
      <c r="E542" t="s">
        <v>705</v>
      </c>
      <c r="F542" t="s">
        <v>706</v>
      </c>
      <c r="G542" t="s">
        <v>15</v>
      </c>
      <c r="H542" t="s">
        <v>16</v>
      </c>
      <c r="I542">
        <v>1</v>
      </c>
    </row>
    <row r="543" spans="2:9" x14ac:dyDescent="0.25">
      <c r="B543">
        <v>4</v>
      </c>
      <c r="C543">
        <v>3</v>
      </c>
      <c r="D543" t="s">
        <v>696</v>
      </c>
      <c r="E543" t="s">
        <v>707</v>
      </c>
      <c r="F543" t="s">
        <v>621</v>
      </c>
      <c r="G543">
        <v>201009</v>
      </c>
      <c r="H543" t="s">
        <v>255</v>
      </c>
      <c r="I543">
        <v>1</v>
      </c>
    </row>
    <row r="544" spans="2:9" x14ac:dyDescent="0.25">
      <c r="B544">
        <v>4</v>
      </c>
      <c r="C544">
        <v>3</v>
      </c>
      <c r="D544" t="s">
        <v>708</v>
      </c>
      <c r="E544" t="s">
        <v>709</v>
      </c>
      <c r="F544" t="s">
        <v>91</v>
      </c>
      <c r="G544" t="s">
        <v>49</v>
      </c>
      <c r="H544" t="s">
        <v>50</v>
      </c>
      <c r="I544">
        <v>1</v>
      </c>
    </row>
    <row r="545" spans="2:9" x14ac:dyDescent="0.25">
      <c r="B545">
        <v>4</v>
      </c>
      <c r="C545">
        <v>3</v>
      </c>
      <c r="D545" t="s">
        <v>708</v>
      </c>
      <c r="E545" t="s">
        <v>710</v>
      </c>
      <c r="F545" t="s">
        <v>711</v>
      </c>
      <c r="G545">
        <v>201008</v>
      </c>
      <c r="H545" t="s">
        <v>29</v>
      </c>
      <c r="I545">
        <v>1</v>
      </c>
    </row>
    <row r="546" spans="2:9" x14ac:dyDescent="0.25">
      <c r="B546">
        <v>4</v>
      </c>
      <c r="C546">
        <v>3</v>
      </c>
      <c r="D546" t="s">
        <v>708</v>
      </c>
      <c r="E546" t="s">
        <v>710</v>
      </c>
      <c r="F546" t="s">
        <v>711</v>
      </c>
      <c r="G546" t="s">
        <v>15</v>
      </c>
      <c r="H546" t="s">
        <v>16</v>
      </c>
      <c r="I546">
        <v>1</v>
      </c>
    </row>
    <row r="547" spans="2:9" x14ac:dyDescent="0.25">
      <c r="B547">
        <v>4</v>
      </c>
      <c r="C547">
        <v>3</v>
      </c>
      <c r="D547" t="s">
        <v>708</v>
      </c>
      <c r="E547" t="s">
        <v>712</v>
      </c>
      <c r="F547" t="s">
        <v>713</v>
      </c>
      <c r="G547" t="s">
        <v>13</v>
      </c>
      <c r="H547" t="s">
        <v>14</v>
      </c>
      <c r="I547">
        <v>1</v>
      </c>
    </row>
    <row r="548" spans="2:9" x14ac:dyDescent="0.25">
      <c r="B548">
        <v>4</v>
      </c>
      <c r="C548">
        <v>3</v>
      </c>
      <c r="D548" t="s">
        <v>708</v>
      </c>
      <c r="E548" t="s">
        <v>712</v>
      </c>
      <c r="F548" t="s">
        <v>713</v>
      </c>
      <c r="G548" t="s">
        <v>15</v>
      </c>
      <c r="H548" t="s">
        <v>16</v>
      </c>
      <c r="I548">
        <v>1</v>
      </c>
    </row>
    <row r="549" spans="2:9" x14ac:dyDescent="0.25">
      <c r="B549">
        <v>4</v>
      </c>
      <c r="C549">
        <v>3</v>
      </c>
      <c r="D549" t="s">
        <v>708</v>
      </c>
      <c r="E549" t="s">
        <v>714</v>
      </c>
      <c r="F549" t="s">
        <v>715</v>
      </c>
      <c r="G549" t="s">
        <v>13</v>
      </c>
      <c r="H549" t="s">
        <v>14</v>
      </c>
      <c r="I549">
        <v>1</v>
      </c>
    </row>
    <row r="550" spans="2:9" x14ac:dyDescent="0.25">
      <c r="B550">
        <v>4</v>
      </c>
      <c r="C550">
        <v>3</v>
      </c>
      <c r="D550" t="s">
        <v>708</v>
      </c>
      <c r="E550" t="s">
        <v>714</v>
      </c>
      <c r="F550" t="s">
        <v>715</v>
      </c>
      <c r="G550" t="s">
        <v>15</v>
      </c>
      <c r="H550" t="s">
        <v>16</v>
      </c>
      <c r="I550">
        <v>1</v>
      </c>
    </row>
    <row r="551" spans="2:9" x14ac:dyDescent="0.25">
      <c r="B551">
        <v>4</v>
      </c>
      <c r="C551">
        <v>3</v>
      </c>
      <c r="D551" t="s">
        <v>708</v>
      </c>
      <c r="E551" t="s">
        <v>716</v>
      </c>
      <c r="F551" t="s">
        <v>717</v>
      </c>
      <c r="G551" t="s">
        <v>23</v>
      </c>
      <c r="H551" t="s">
        <v>24</v>
      </c>
      <c r="I551">
        <v>3</v>
      </c>
    </row>
    <row r="552" spans="2:9" x14ac:dyDescent="0.25">
      <c r="B552">
        <v>4</v>
      </c>
      <c r="C552">
        <v>3</v>
      </c>
      <c r="D552" t="s">
        <v>708</v>
      </c>
      <c r="E552" t="s">
        <v>716</v>
      </c>
      <c r="F552" t="s">
        <v>717</v>
      </c>
      <c r="G552" t="s">
        <v>15</v>
      </c>
      <c r="H552" t="s">
        <v>16</v>
      </c>
      <c r="I552">
        <v>3</v>
      </c>
    </row>
    <row r="553" spans="2:9" x14ac:dyDescent="0.25">
      <c r="B553">
        <v>4</v>
      </c>
      <c r="C553">
        <v>3</v>
      </c>
      <c r="D553" t="s">
        <v>708</v>
      </c>
      <c r="E553" t="s">
        <v>718</v>
      </c>
      <c r="F553" t="s">
        <v>719</v>
      </c>
      <c r="G553" t="s">
        <v>103</v>
      </c>
      <c r="H553" t="s">
        <v>104</v>
      </c>
      <c r="I553">
        <v>1</v>
      </c>
    </row>
    <row r="554" spans="2:9" x14ac:dyDescent="0.25">
      <c r="B554">
        <v>4</v>
      </c>
      <c r="C554">
        <v>3</v>
      </c>
      <c r="D554" t="s">
        <v>708</v>
      </c>
      <c r="E554" t="s">
        <v>720</v>
      </c>
      <c r="F554" t="s">
        <v>91</v>
      </c>
      <c r="G554" t="s">
        <v>118</v>
      </c>
      <c r="H554" t="s">
        <v>119</v>
      </c>
      <c r="I554">
        <v>1</v>
      </c>
    </row>
    <row r="555" spans="2:9" x14ac:dyDescent="0.25">
      <c r="B555">
        <v>4</v>
      </c>
      <c r="C555">
        <v>3</v>
      </c>
      <c r="D555" t="s">
        <v>708</v>
      </c>
      <c r="E555" t="s">
        <v>721</v>
      </c>
      <c r="F555" t="s">
        <v>722</v>
      </c>
      <c r="G555" t="s">
        <v>103</v>
      </c>
      <c r="H555" t="s">
        <v>104</v>
      </c>
      <c r="I555">
        <v>1</v>
      </c>
    </row>
    <row r="556" spans="2:9" x14ac:dyDescent="0.25">
      <c r="B556">
        <v>4</v>
      </c>
      <c r="C556">
        <v>3</v>
      </c>
      <c r="D556" t="s">
        <v>723</v>
      </c>
      <c r="E556" t="s">
        <v>724</v>
      </c>
      <c r="F556" t="s">
        <v>91</v>
      </c>
      <c r="G556" t="s">
        <v>49</v>
      </c>
      <c r="H556" t="s">
        <v>50</v>
      </c>
      <c r="I556">
        <v>1</v>
      </c>
    </row>
    <row r="557" spans="2:9" x14ac:dyDescent="0.25">
      <c r="B557">
        <v>4</v>
      </c>
      <c r="C557">
        <v>3</v>
      </c>
      <c r="D557" t="s">
        <v>723</v>
      </c>
      <c r="E557" t="s">
        <v>725</v>
      </c>
      <c r="F557" t="s">
        <v>726</v>
      </c>
      <c r="G557" t="s">
        <v>23</v>
      </c>
      <c r="H557" t="s">
        <v>24</v>
      </c>
      <c r="I557">
        <v>1</v>
      </c>
    </row>
    <row r="558" spans="2:9" x14ac:dyDescent="0.25">
      <c r="B558">
        <v>4</v>
      </c>
      <c r="C558">
        <v>3</v>
      </c>
      <c r="D558" t="s">
        <v>723</v>
      </c>
      <c r="E558" t="s">
        <v>727</v>
      </c>
      <c r="F558" t="s">
        <v>728</v>
      </c>
      <c r="G558" t="s">
        <v>103</v>
      </c>
      <c r="H558" t="s">
        <v>104</v>
      </c>
      <c r="I558">
        <v>1</v>
      </c>
    </row>
    <row r="559" spans="2:9" x14ac:dyDescent="0.25">
      <c r="B559">
        <v>4</v>
      </c>
      <c r="C559">
        <v>3</v>
      </c>
      <c r="D559" t="s">
        <v>723</v>
      </c>
      <c r="E559" t="s">
        <v>729</v>
      </c>
      <c r="F559" t="s">
        <v>730</v>
      </c>
      <c r="G559" t="s">
        <v>13</v>
      </c>
      <c r="H559" t="s">
        <v>14</v>
      </c>
      <c r="I559">
        <v>1</v>
      </c>
    </row>
    <row r="560" spans="2:9" x14ac:dyDescent="0.25">
      <c r="B560">
        <v>4</v>
      </c>
      <c r="C560">
        <v>3</v>
      </c>
      <c r="D560" t="s">
        <v>723</v>
      </c>
      <c r="E560" t="s">
        <v>729</v>
      </c>
      <c r="F560" t="s">
        <v>730</v>
      </c>
      <c r="G560" t="s">
        <v>15</v>
      </c>
      <c r="H560" t="s">
        <v>16</v>
      </c>
      <c r="I560">
        <v>1</v>
      </c>
    </row>
    <row r="561" spans="2:9" x14ac:dyDescent="0.25">
      <c r="B561">
        <v>4</v>
      </c>
      <c r="C561">
        <v>3</v>
      </c>
      <c r="D561" t="s">
        <v>723</v>
      </c>
      <c r="E561" t="s">
        <v>731</v>
      </c>
      <c r="F561" t="s">
        <v>732</v>
      </c>
      <c r="G561">
        <v>201008</v>
      </c>
      <c r="H561" t="s">
        <v>29</v>
      </c>
      <c r="I561">
        <v>1</v>
      </c>
    </row>
    <row r="562" spans="2:9" x14ac:dyDescent="0.25">
      <c r="B562">
        <v>4</v>
      </c>
      <c r="C562">
        <v>3</v>
      </c>
      <c r="D562" t="s">
        <v>723</v>
      </c>
      <c r="E562" t="s">
        <v>731</v>
      </c>
      <c r="F562" t="s">
        <v>732</v>
      </c>
      <c r="G562" t="s">
        <v>13</v>
      </c>
      <c r="H562" t="s">
        <v>14</v>
      </c>
      <c r="I562">
        <v>1</v>
      </c>
    </row>
    <row r="563" spans="2:9" x14ac:dyDescent="0.25">
      <c r="B563">
        <v>4</v>
      </c>
      <c r="C563">
        <v>3</v>
      </c>
      <c r="D563" t="s">
        <v>723</v>
      </c>
      <c r="E563" t="s">
        <v>731</v>
      </c>
      <c r="F563" t="s">
        <v>732</v>
      </c>
      <c r="G563" t="s">
        <v>15</v>
      </c>
      <c r="H563" t="s">
        <v>16</v>
      </c>
      <c r="I563">
        <v>1</v>
      </c>
    </row>
    <row r="564" spans="2:9" x14ac:dyDescent="0.25">
      <c r="B564">
        <v>4</v>
      </c>
      <c r="C564">
        <v>3</v>
      </c>
      <c r="D564" t="s">
        <v>723</v>
      </c>
      <c r="E564" t="s">
        <v>733</v>
      </c>
      <c r="F564" t="s">
        <v>56</v>
      </c>
      <c r="G564" t="s">
        <v>103</v>
      </c>
      <c r="H564" t="s">
        <v>104</v>
      </c>
      <c r="I564">
        <v>1</v>
      </c>
    </row>
    <row r="565" spans="2:9" x14ac:dyDescent="0.25">
      <c r="B565">
        <v>4</v>
      </c>
      <c r="C565">
        <v>3</v>
      </c>
      <c r="D565" t="s">
        <v>723</v>
      </c>
      <c r="E565" t="s">
        <v>734</v>
      </c>
      <c r="F565" t="s">
        <v>735</v>
      </c>
      <c r="G565" t="s">
        <v>103</v>
      </c>
      <c r="H565" t="s">
        <v>104</v>
      </c>
      <c r="I565">
        <v>1</v>
      </c>
    </row>
    <row r="566" spans="2:9" x14ac:dyDescent="0.25">
      <c r="B566">
        <v>4</v>
      </c>
      <c r="C566">
        <v>3</v>
      </c>
      <c r="D566" t="s">
        <v>723</v>
      </c>
      <c r="E566" t="s">
        <v>736</v>
      </c>
      <c r="F566" t="s">
        <v>735</v>
      </c>
      <c r="G566" t="s">
        <v>103</v>
      </c>
      <c r="H566" t="s">
        <v>104</v>
      </c>
      <c r="I566">
        <v>1</v>
      </c>
    </row>
    <row r="567" spans="2:9" x14ac:dyDescent="0.25">
      <c r="B567">
        <v>4</v>
      </c>
      <c r="C567">
        <v>3</v>
      </c>
      <c r="D567" t="s">
        <v>723</v>
      </c>
      <c r="E567" t="s">
        <v>737</v>
      </c>
      <c r="F567" t="s">
        <v>735</v>
      </c>
      <c r="G567" t="s">
        <v>103</v>
      </c>
      <c r="H567" t="s">
        <v>104</v>
      </c>
      <c r="I567">
        <v>1</v>
      </c>
    </row>
    <row r="568" spans="2:9" x14ac:dyDescent="0.25">
      <c r="B568">
        <v>4</v>
      </c>
      <c r="C568">
        <v>3</v>
      </c>
      <c r="D568" t="s">
        <v>738</v>
      </c>
      <c r="E568" t="s">
        <v>739</v>
      </c>
      <c r="F568" t="s">
        <v>740</v>
      </c>
      <c r="G568" t="s">
        <v>23</v>
      </c>
      <c r="H568" t="s">
        <v>24</v>
      </c>
      <c r="I568">
        <v>1</v>
      </c>
    </row>
    <row r="569" spans="2:9" x14ac:dyDescent="0.25">
      <c r="B569">
        <v>4</v>
      </c>
      <c r="C569">
        <v>3</v>
      </c>
      <c r="D569" t="s">
        <v>738</v>
      </c>
      <c r="E569" t="s">
        <v>739</v>
      </c>
      <c r="F569" t="s">
        <v>740</v>
      </c>
      <c r="G569" t="s">
        <v>15</v>
      </c>
      <c r="H569" t="s">
        <v>16</v>
      </c>
      <c r="I569">
        <v>1</v>
      </c>
    </row>
    <row r="570" spans="2:9" x14ac:dyDescent="0.25">
      <c r="B570">
        <v>4</v>
      </c>
      <c r="C570">
        <v>3</v>
      </c>
      <c r="D570" t="s">
        <v>738</v>
      </c>
      <c r="E570" t="s">
        <v>741</v>
      </c>
      <c r="F570" t="s">
        <v>742</v>
      </c>
      <c r="G570" t="s">
        <v>23</v>
      </c>
      <c r="H570" t="s">
        <v>24</v>
      </c>
      <c r="I570">
        <v>1</v>
      </c>
    </row>
    <row r="571" spans="2:9" x14ac:dyDescent="0.25">
      <c r="B571">
        <v>4</v>
      </c>
      <c r="C571">
        <v>3</v>
      </c>
      <c r="D571" t="s">
        <v>738</v>
      </c>
      <c r="E571" t="s">
        <v>741</v>
      </c>
      <c r="F571" t="s">
        <v>742</v>
      </c>
      <c r="G571" t="s">
        <v>15</v>
      </c>
      <c r="H571" t="s">
        <v>16</v>
      </c>
      <c r="I571">
        <v>1</v>
      </c>
    </row>
    <row r="572" spans="2:9" x14ac:dyDescent="0.25">
      <c r="B572">
        <v>4</v>
      </c>
      <c r="C572">
        <v>3</v>
      </c>
      <c r="D572" t="s">
        <v>738</v>
      </c>
      <c r="E572" t="s">
        <v>743</v>
      </c>
      <c r="F572" t="s">
        <v>176</v>
      </c>
      <c r="G572" t="s">
        <v>103</v>
      </c>
      <c r="H572" t="s">
        <v>104</v>
      </c>
      <c r="I572">
        <v>1</v>
      </c>
    </row>
    <row r="573" spans="2:9" x14ac:dyDescent="0.25">
      <c r="B573">
        <v>4</v>
      </c>
      <c r="C573">
        <v>3</v>
      </c>
      <c r="D573" t="s">
        <v>738</v>
      </c>
      <c r="E573" t="s">
        <v>744</v>
      </c>
      <c r="F573" t="s">
        <v>745</v>
      </c>
      <c r="G573" t="s">
        <v>23</v>
      </c>
      <c r="H573" t="s">
        <v>24</v>
      </c>
      <c r="I573">
        <v>1</v>
      </c>
    </row>
    <row r="574" spans="2:9" x14ac:dyDescent="0.25">
      <c r="B574">
        <v>4</v>
      </c>
      <c r="C574">
        <v>3</v>
      </c>
      <c r="D574" t="s">
        <v>738</v>
      </c>
      <c r="E574" t="s">
        <v>744</v>
      </c>
      <c r="F574" t="s">
        <v>745</v>
      </c>
      <c r="G574" t="s">
        <v>15</v>
      </c>
      <c r="H574" t="s">
        <v>16</v>
      </c>
      <c r="I574">
        <v>1</v>
      </c>
    </row>
    <row r="575" spans="2:9" x14ac:dyDescent="0.25">
      <c r="B575">
        <v>4</v>
      </c>
      <c r="C575">
        <v>3</v>
      </c>
      <c r="D575" t="s">
        <v>738</v>
      </c>
      <c r="E575" t="s">
        <v>746</v>
      </c>
      <c r="F575" t="s">
        <v>91</v>
      </c>
      <c r="G575" t="s">
        <v>118</v>
      </c>
      <c r="H575" t="s">
        <v>119</v>
      </c>
      <c r="I575">
        <v>1</v>
      </c>
    </row>
    <row r="576" spans="2:9" x14ac:dyDescent="0.25">
      <c r="B576">
        <v>4</v>
      </c>
      <c r="C576">
        <v>3</v>
      </c>
      <c r="D576" t="s">
        <v>738</v>
      </c>
      <c r="E576" t="s">
        <v>747</v>
      </c>
      <c r="F576" t="s">
        <v>91</v>
      </c>
      <c r="G576" t="s">
        <v>118</v>
      </c>
      <c r="H576" t="s">
        <v>119</v>
      </c>
      <c r="I576">
        <v>1</v>
      </c>
    </row>
    <row r="577" spans="2:9" x14ac:dyDescent="0.25">
      <c r="B577">
        <v>4</v>
      </c>
      <c r="C577">
        <v>3</v>
      </c>
      <c r="D577" t="s">
        <v>738</v>
      </c>
      <c r="E577" t="s">
        <v>749</v>
      </c>
      <c r="F577" t="s">
        <v>256</v>
      </c>
      <c r="G577">
        <v>201002</v>
      </c>
      <c r="H577" t="s">
        <v>70</v>
      </c>
      <c r="I577">
        <v>2</v>
      </c>
    </row>
    <row r="578" spans="2:9" x14ac:dyDescent="0.25">
      <c r="B578">
        <v>4</v>
      </c>
      <c r="C578">
        <v>3</v>
      </c>
      <c r="D578" t="s">
        <v>738</v>
      </c>
      <c r="E578" t="s">
        <v>749</v>
      </c>
      <c r="F578" t="s">
        <v>256</v>
      </c>
      <c r="G578">
        <v>201008</v>
      </c>
      <c r="H578" t="s">
        <v>29</v>
      </c>
      <c r="I578">
        <v>1</v>
      </c>
    </row>
    <row r="579" spans="2:9" x14ac:dyDescent="0.25">
      <c r="B579">
        <v>4</v>
      </c>
      <c r="C579">
        <v>3</v>
      </c>
      <c r="D579" t="s">
        <v>738</v>
      </c>
      <c r="E579" t="s">
        <v>750</v>
      </c>
      <c r="F579" t="s">
        <v>469</v>
      </c>
      <c r="G579" t="s">
        <v>13</v>
      </c>
      <c r="H579" t="s">
        <v>14</v>
      </c>
      <c r="I579">
        <v>1</v>
      </c>
    </row>
    <row r="580" spans="2:9" x14ac:dyDescent="0.25">
      <c r="B580">
        <v>4</v>
      </c>
      <c r="C580">
        <v>3</v>
      </c>
      <c r="D580" t="s">
        <v>738</v>
      </c>
      <c r="E580" t="s">
        <v>750</v>
      </c>
      <c r="F580" t="s">
        <v>469</v>
      </c>
      <c r="G580" t="s">
        <v>15</v>
      </c>
      <c r="H580" t="s">
        <v>16</v>
      </c>
      <c r="I580">
        <v>1</v>
      </c>
    </row>
    <row r="581" spans="2:9" x14ac:dyDescent="0.25">
      <c r="B581">
        <v>5</v>
      </c>
      <c r="C581" s="3">
        <v>4</v>
      </c>
      <c r="D581" s="6" t="s">
        <v>294</v>
      </c>
      <c r="E581" t="s">
        <v>751</v>
      </c>
      <c r="F581" s="6" t="s">
        <v>752</v>
      </c>
      <c r="G581" s="1">
        <v>201008</v>
      </c>
      <c r="H581" s="6" t="s">
        <v>29</v>
      </c>
      <c r="I581">
        <v>1</v>
      </c>
    </row>
    <row r="582" spans="2:9" x14ac:dyDescent="0.25">
      <c r="B582">
        <v>5</v>
      </c>
      <c r="C582" s="3">
        <v>4</v>
      </c>
      <c r="D582" s="6" t="s">
        <v>294</v>
      </c>
      <c r="E582" t="s">
        <v>751</v>
      </c>
      <c r="F582" s="6" t="s">
        <v>752</v>
      </c>
      <c r="G582" s="1" t="s">
        <v>13</v>
      </c>
      <c r="H582" s="6" t="s">
        <v>14</v>
      </c>
      <c r="I582">
        <v>1</v>
      </c>
    </row>
    <row r="583" spans="2:9" x14ac:dyDescent="0.25">
      <c r="B583">
        <v>5</v>
      </c>
      <c r="C583" s="3">
        <v>4</v>
      </c>
      <c r="D583" s="6" t="s">
        <v>294</v>
      </c>
      <c r="E583" t="s">
        <v>751</v>
      </c>
      <c r="F583" s="6" t="s">
        <v>752</v>
      </c>
      <c r="G583" s="1" t="s">
        <v>15</v>
      </c>
      <c r="H583" s="6" t="s">
        <v>16</v>
      </c>
      <c r="I583">
        <v>1</v>
      </c>
    </row>
    <row r="584" spans="2:9" x14ac:dyDescent="0.25">
      <c r="B584">
        <v>5</v>
      </c>
      <c r="C584" s="3">
        <v>4</v>
      </c>
      <c r="D584" s="6" t="s">
        <v>294</v>
      </c>
      <c r="E584" t="s">
        <v>753</v>
      </c>
      <c r="F584" s="6" t="s">
        <v>754</v>
      </c>
      <c r="G584" s="1" t="s">
        <v>13</v>
      </c>
      <c r="H584" s="6" t="s">
        <v>14</v>
      </c>
      <c r="I584">
        <v>1</v>
      </c>
    </row>
    <row r="585" spans="2:9" x14ac:dyDescent="0.25">
      <c r="B585">
        <v>5</v>
      </c>
      <c r="C585" s="3">
        <v>4</v>
      </c>
      <c r="D585" s="6" t="s">
        <v>294</v>
      </c>
      <c r="E585" t="s">
        <v>753</v>
      </c>
      <c r="F585" s="6" t="s">
        <v>754</v>
      </c>
      <c r="G585" s="1" t="s">
        <v>15</v>
      </c>
      <c r="H585" s="6" t="s">
        <v>16</v>
      </c>
      <c r="I585">
        <v>1</v>
      </c>
    </row>
    <row r="586" spans="2:9" x14ac:dyDescent="0.25">
      <c r="B586">
        <v>5</v>
      </c>
      <c r="C586" s="3">
        <v>4</v>
      </c>
      <c r="D586" s="6" t="s">
        <v>294</v>
      </c>
      <c r="E586" t="s">
        <v>755</v>
      </c>
      <c r="F586" s="6" t="s">
        <v>756</v>
      </c>
      <c r="G586" s="1" t="s">
        <v>13</v>
      </c>
      <c r="H586" s="6" t="s">
        <v>14</v>
      </c>
      <c r="I586">
        <v>1</v>
      </c>
    </row>
    <row r="587" spans="2:9" x14ac:dyDescent="0.25">
      <c r="B587">
        <v>5</v>
      </c>
      <c r="C587" s="3">
        <v>4</v>
      </c>
      <c r="D587" s="6" t="s">
        <v>294</v>
      </c>
      <c r="E587" t="s">
        <v>755</v>
      </c>
      <c r="F587" s="6" t="s">
        <v>756</v>
      </c>
      <c r="G587" s="1" t="s">
        <v>15</v>
      </c>
      <c r="H587" s="6" t="s">
        <v>16</v>
      </c>
      <c r="I587">
        <v>1</v>
      </c>
    </row>
    <row r="588" spans="2:9" x14ac:dyDescent="0.25">
      <c r="B588">
        <v>5</v>
      </c>
      <c r="C588" s="3">
        <v>4</v>
      </c>
      <c r="D588" s="6" t="s">
        <v>294</v>
      </c>
      <c r="E588" t="s">
        <v>757</v>
      </c>
      <c r="F588" s="6" t="s">
        <v>169</v>
      </c>
      <c r="G588" s="1">
        <v>201002</v>
      </c>
      <c r="H588" s="6" t="s">
        <v>70</v>
      </c>
      <c r="I588">
        <v>5</v>
      </c>
    </row>
    <row r="589" spans="2:9" x14ac:dyDescent="0.25">
      <c r="B589">
        <v>5</v>
      </c>
      <c r="C589" s="3">
        <v>4</v>
      </c>
      <c r="D589" s="6" t="s">
        <v>294</v>
      </c>
      <c r="E589" t="s">
        <v>758</v>
      </c>
      <c r="F589" s="6" t="s">
        <v>759</v>
      </c>
      <c r="G589" s="1" t="s">
        <v>13</v>
      </c>
      <c r="H589" s="6" t="s">
        <v>14</v>
      </c>
      <c r="I589">
        <v>1</v>
      </c>
    </row>
    <row r="590" spans="2:9" x14ac:dyDescent="0.25">
      <c r="B590">
        <v>5</v>
      </c>
      <c r="C590" s="3">
        <v>4</v>
      </c>
      <c r="D590" s="6" t="s">
        <v>294</v>
      </c>
      <c r="E590" t="s">
        <v>758</v>
      </c>
      <c r="F590" s="6" t="s">
        <v>759</v>
      </c>
      <c r="G590" s="1" t="s">
        <v>15</v>
      </c>
      <c r="H590" s="6" t="s">
        <v>16</v>
      </c>
      <c r="I590">
        <v>1</v>
      </c>
    </row>
    <row r="591" spans="2:9" x14ac:dyDescent="0.25">
      <c r="B591">
        <v>5</v>
      </c>
      <c r="C591" s="3">
        <v>4</v>
      </c>
      <c r="D591" s="6" t="s">
        <v>294</v>
      </c>
      <c r="E591" t="s">
        <v>760</v>
      </c>
      <c r="F591" s="6" t="s">
        <v>91</v>
      </c>
      <c r="G591" s="1" t="s">
        <v>118</v>
      </c>
      <c r="H591" s="6" t="s">
        <v>119</v>
      </c>
      <c r="I591">
        <v>1</v>
      </c>
    </row>
    <row r="592" spans="2:9" x14ac:dyDescent="0.25">
      <c r="B592">
        <v>5</v>
      </c>
      <c r="C592" s="3">
        <v>4</v>
      </c>
      <c r="D592" s="6" t="s">
        <v>294</v>
      </c>
      <c r="E592" t="s">
        <v>761</v>
      </c>
      <c r="F592" s="6" t="s">
        <v>91</v>
      </c>
      <c r="G592" s="1" t="s">
        <v>118</v>
      </c>
      <c r="H592" s="6" t="s">
        <v>119</v>
      </c>
      <c r="I592">
        <v>1</v>
      </c>
    </row>
    <row r="593" spans="2:9" x14ac:dyDescent="0.25">
      <c r="B593">
        <v>5</v>
      </c>
      <c r="C593" s="3">
        <v>4</v>
      </c>
      <c r="D593" s="6" t="s">
        <v>294</v>
      </c>
      <c r="E593" t="s">
        <v>762</v>
      </c>
      <c r="F593" s="6" t="s">
        <v>763</v>
      </c>
      <c r="G593" s="1">
        <v>201002</v>
      </c>
      <c r="H593" s="6" t="s">
        <v>70</v>
      </c>
      <c r="I593">
        <v>1</v>
      </c>
    </row>
    <row r="594" spans="2:9" x14ac:dyDescent="0.25">
      <c r="B594">
        <v>5</v>
      </c>
      <c r="C594" s="3">
        <v>4</v>
      </c>
      <c r="D594" s="6" t="s">
        <v>294</v>
      </c>
      <c r="E594" t="s">
        <v>762</v>
      </c>
      <c r="F594" s="6" t="s">
        <v>763</v>
      </c>
      <c r="G594" s="1" t="s">
        <v>118</v>
      </c>
      <c r="H594" s="6" t="s">
        <v>119</v>
      </c>
      <c r="I594">
        <v>1</v>
      </c>
    </row>
    <row r="595" spans="2:9" x14ac:dyDescent="0.25">
      <c r="B595">
        <v>5</v>
      </c>
      <c r="C595" s="3">
        <v>4</v>
      </c>
      <c r="D595" s="6" t="s">
        <v>764</v>
      </c>
      <c r="E595" t="s">
        <v>765</v>
      </c>
      <c r="F595" s="6" t="s">
        <v>766</v>
      </c>
      <c r="G595" s="1">
        <v>201008</v>
      </c>
      <c r="H595" s="6" t="s">
        <v>29</v>
      </c>
      <c r="I595">
        <v>1</v>
      </c>
    </row>
    <row r="596" spans="2:9" x14ac:dyDescent="0.25">
      <c r="B596">
        <v>5</v>
      </c>
      <c r="C596" s="3">
        <v>4</v>
      </c>
      <c r="D596" s="6" t="s">
        <v>767</v>
      </c>
      <c r="E596" t="s">
        <v>769</v>
      </c>
      <c r="F596" s="6" t="s">
        <v>770</v>
      </c>
      <c r="G596" s="1" t="s">
        <v>23</v>
      </c>
      <c r="H596" s="6" t="s">
        <v>24</v>
      </c>
      <c r="I596">
        <v>2</v>
      </c>
    </row>
    <row r="597" spans="2:9" x14ac:dyDescent="0.25">
      <c r="B597">
        <v>5</v>
      </c>
      <c r="C597" s="3">
        <v>4</v>
      </c>
      <c r="D597" s="6" t="s">
        <v>767</v>
      </c>
      <c r="E597" t="s">
        <v>769</v>
      </c>
      <c r="F597" s="6" t="s">
        <v>770</v>
      </c>
      <c r="G597" s="1" t="s">
        <v>15</v>
      </c>
      <c r="H597" s="6" t="s">
        <v>16</v>
      </c>
      <c r="I597">
        <v>2</v>
      </c>
    </row>
    <row r="598" spans="2:9" x14ac:dyDescent="0.25">
      <c r="B598">
        <v>5</v>
      </c>
      <c r="C598" s="3">
        <v>4</v>
      </c>
      <c r="D598" s="6" t="s">
        <v>771</v>
      </c>
      <c r="E598" t="s">
        <v>774</v>
      </c>
      <c r="F598" s="6" t="s">
        <v>469</v>
      </c>
      <c r="G598" s="1" t="s">
        <v>13</v>
      </c>
      <c r="H598" s="6" t="s">
        <v>14</v>
      </c>
      <c r="I598">
        <v>1</v>
      </c>
    </row>
    <row r="599" spans="2:9" x14ac:dyDescent="0.25">
      <c r="B599">
        <v>5</v>
      </c>
      <c r="C599" s="3">
        <v>4</v>
      </c>
      <c r="D599" s="6" t="s">
        <v>771</v>
      </c>
      <c r="E599" t="s">
        <v>774</v>
      </c>
      <c r="F599" s="6" t="s">
        <v>469</v>
      </c>
      <c r="G599" s="1" t="s">
        <v>15</v>
      </c>
      <c r="H599" s="6" t="s">
        <v>16</v>
      </c>
      <c r="I599">
        <v>1</v>
      </c>
    </row>
    <row r="600" spans="2:9" x14ac:dyDescent="0.25">
      <c r="B600">
        <v>5</v>
      </c>
      <c r="C600" s="3">
        <v>4</v>
      </c>
      <c r="D600" s="6" t="s">
        <v>771</v>
      </c>
      <c r="E600" t="s">
        <v>777</v>
      </c>
      <c r="F600" s="6" t="s">
        <v>91</v>
      </c>
      <c r="G600" s="1" t="s">
        <v>118</v>
      </c>
      <c r="H600" s="6" t="s">
        <v>119</v>
      </c>
      <c r="I600">
        <v>1</v>
      </c>
    </row>
    <row r="601" spans="2:9" x14ac:dyDescent="0.25">
      <c r="B601">
        <v>5</v>
      </c>
      <c r="C601" s="3">
        <v>4</v>
      </c>
      <c r="D601" s="6" t="s">
        <v>778</v>
      </c>
      <c r="E601" t="s">
        <v>779</v>
      </c>
      <c r="F601" s="6" t="s">
        <v>780</v>
      </c>
      <c r="G601" s="1" t="s">
        <v>23</v>
      </c>
      <c r="H601" s="6" t="s">
        <v>24</v>
      </c>
      <c r="I601">
        <v>1</v>
      </c>
    </row>
    <row r="602" spans="2:9" x14ac:dyDescent="0.25">
      <c r="B602">
        <v>5</v>
      </c>
      <c r="C602" s="3">
        <v>4</v>
      </c>
      <c r="D602" s="6" t="s">
        <v>778</v>
      </c>
      <c r="E602" t="s">
        <v>779</v>
      </c>
      <c r="F602" s="6" t="s">
        <v>780</v>
      </c>
      <c r="G602" s="1" t="s">
        <v>15</v>
      </c>
      <c r="H602" s="6" t="s">
        <v>16</v>
      </c>
      <c r="I602">
        <v>1</v>
      </c>
    </row>
    <row r="603" spans="2:9" x14ac:dyDescent="0.25">
      <c r="B603">
        <v>5</v>
      </c>
      <c r="C603" s="8">
        <v>4</v>
      </c>
      <c r="D603" s="6" t="s">
        <v>778</v>
      </c>
      <c r="E603" t="s">
        <v>781</v>
      </c>
      <c r="F603" s="6" t="s">
        <v>91</v>
      </c>
      <c r="G603" s="1" t="s">
        <v>118</v>
      </c>
      <c r="H603" s="6" t="s">
        <v>119</v>
      </c>
      <c r="I603">
        <v>1</v>
      </c>
    </row>
    <row r="604" spans="2:9" x14ac:dyDescent="0.25">
      <c r="B604">
        <v>5</v>
      </c>
      <c r="C604" s="3">
        <v>5</v>
      </c>
      <c r="D604" s="6" t="s">
        <v>294</v>
      </c>
      <c r="E604" t="s">
        <v>782</v>
      </c>
      <c r="F604" s="6" t="s">
        <v>169</v>
      </c>
      <c r="G604" s="1">
        <v>201002</v>
      </c>
      <c r="H604" s="6" t="s">
        <v>70</v>
      </c>
      <c r="I604">
        <v>3</v>
      </c>
    </row>
    <row r="605" spans="2:9" x14ac:dyDescent="0.25">
      <c r="B605">
        <v>5</v>
      </c>
      <c r="C605" s="3">
        <v>5</v>
      </c>
      <c r="D605" s="6" t="s">
        <v>294</v>
      </c>
      <c r="E605" t="s">
        <v>783</v>
      </c>
      <c r="F605" s="6" t="s">
        <v>91</v>
      </c>
      <c r="G605" s="1" t="s">
        <v>118</v>
      </c>
      <c r="H605" s="6" t="s">
        <v>119</v>
      </c>
      <c r="I605">
        <v>1</v>
      </c>
    </row>
    <row r="606" spans="2:9" x14ac:dyDescent="0.25">
      <c r="B606">
        <v>5</v>
      </c>
      <c r="C606" s="3">
        <v>5</v>
      </c>
      <c r="D606" s="6" t="s">
        <v>294</v>
      </c>
      <c r="E606" t="s">
        <v>784</v>
      </c>
      <c r="F606" s="6" t="s">
        <v>754</v>
      </c>
      <c r="G606" s="1" t="s">
        <v>23</v>
      </c>
      <c r="H606" s="6" t="s">
        <v>24</v>
      </c>
      <c r="I606">
        <v>3</v>
      </c>
    </row>
    <row r="607" spans="2:9" x14ac:dyDescent="0.25">
      <c r="B607">
        <v>5</v>
      </c>
      <c r="C607" s="3">
        <v>5</v>
      </c>
      <c r="D607" s="6" t="s">
        <v>294</v>
      </c>
      <c r="E607" t="s">
        <v>784</v>
      </c>
      <c r="F607" s="6" t="s">
        <v>754</v>
      </c>
      <c r="G607" s="1" t="s">
        <v>15</v>
      </c>
      <c r="H607" s="6" t="s">
        <v>16</v>
      </c>
      <c r="I607">
        <v>3</v>
      </c>
    </row>
    <row r="608" spans="2:9" x14ac:dyDescent="0.25">
      <c r="B608">
        <v>5</v>
      </c>
      <c r="C608" s="3">
        <v>5</v>
      </c>
      <c r="D608" s="6" t="s">
        <v>294</v>
      </c>
      <c r="E608" t="s">
        <v>785</v>
      </c>
      <c r="F608" s="6" t="s">
        <v>56</v>
      </c>
      <c r="G608" s="1">
        <v>201010</v>
      </c>
      <c r="H608" s="6" t="s">
        <v>44</v>
      </c>
      <c r="I608">
        <v>1</v>
      </c>
    </row>
    <row r="609" spans="2:9" x14ac:dyDescent="0.25">
      <c r="B609">
        <v>5</v>
      </c>
      <c r="C609" s="3">
        <v>5</v>
      </c>
      <c r="D609" s="6" t="s">
        <v>294</v>
      </c>
      <c r="E609" t="s">
        <v>786</v>
      </c>
      <c r="F609" s="6" t="s">
        <v>787</v>
      </c>
      <c r="G609" s="1">
        <v>201008</v>
      </c>
      <c r="H609" s="6" t="s">
        <v>29</v>
      </c>
      <c r="I609">
        <v>1</v>
      </c>
    </row>
    <row r="610" spans="2:9" x14ac:dyDescent="0.25">
      <c r="B610">
        <v>5</v>
      </c>
      <c r="C610" s="3">
        <v>5</v>
      </c>
      <c r="D610" s="6" t="s">
        <v>294</v>
      </c>
      <c r="E610" t="s">
        <v>786</v>
      </c>
      <c r="F610" s="6" t="s">
        <v>787</v>
      </c>
      <c r="G610" s="1" t="s">
        <v>13</v>
      </c>
      <c r="H610" s="6" t="s">
        <v>14</v>
      </c>
      <c r="I610">
        <v>1</v>
      </c>
    </row>
    <row r="611" spans="2:9" x14ac:dyDescent="0.25">
      <c r="B611">
        <v>5</v>
      </c>
      <c r="C611" s="3">
        <v>5</v>
      </c>
      <c r="D611" s="6" t="s">
        <v>294</v>
      </c>
      <c r="E611" t="s">
        <v>786</v>
      </c>
      <c r="F611" s="6" t="s">
        <v>787</v>
      </c>
      <c r="G611" s="1" t="s">
        <v>15</v>
      </c>
      <c r="H611" s="6" t="s">
        <v>16</v>
      </c>
      <c r="I611">
        <v>1</v>
      </c>
    </row>
    <row r="612" spans="2:9" x14ac:dyDescent="0.25">
      <c r="B612">
        <v>5</v>
      </c>
      <c r="C612" s="3">
        <v>5</v>
      </c>
      <c r="D612" s="6" t="s">
        <v>294</v>
      </c>
      <c r="E612" t="s">
        <v>788</v>
      </c>
      <c r="F612" s="6" t="s">
        <v>754</v>
      </c>
      <c r="G612" s="1" t="s">
        <v>23</v>
      </c>
      <c r="H612" s="6" t="s">
        <v>24</v>
      </c>
      <c r="I612">
        <v>1</v>
      </c>
    </row>
    <row r="613" spans="2:9" x14ac:dyDescent="0.25">
      <c r="B613">
        <v>5</v>
      </c>
      <c r="C613" s="3">
        <v>5</v>
      </c>
      <c r="D613" s="6" t="s">
        <v>294</v>
      </c>
      <c r="E613" t="s">
        <v>788</v>
      </c>
      <c r="F613" s="6" t="s">
        <v>754</v>
      </c>
      <c r="G613" s="1" t="s">
        <v>15</v>
      </c>
      <c r="H613" s="6" t="s">
        <v>16</v>
      </c>
      <c r="I613">
        <v>1</v>
      </c>
    </row>
    <row r="614" spans="2:9" x14ac:dyDescent="0.25">
      <c r="B614">
        <v>5</v>
      </c>
      <c r="C614" s="3">
        <v>5</v>
      </c>
      <c r="D614" s="6" t="s">
        <v>294</v>
      </c>
      <c r="E614" t="s">
        <v>790</v>
      </c>
      <c r="F614" s="6" t="s">
        <v>91</v>
      </c>
      <c r="G614" s="1" t="s">
        <v>118</v>
      </c>
      <c r="H614" s="6" t="s">
        <v>119</v>
      </c>
      <c r="I614">
        <v>1</v>
      </c>
    </row>
    <row r="615" spans="2:9" x14ac:dyDescent="0.25">
      <c r="B615">
        <v>5</v>
      </c>
      <c r="C615" s="3">
        <v>5</v>
      </c>
      <c r="D615" s="6" t="s">
        <v>294</v>
      </c>
      <c r="E615" t="s">
        <v>791</v>
      </c>
      <c r="F615" s="6" t="s">
        <v>792</v>
      </c>
      <c r="G615" s="1">
        <v>201004</v>
      </c>
      <c r="H615" s="6" t="s">
        <v>41</v>
      </c>
      <c r="I615">
        <v>1</v>
      </c>
    </row>
    <row r="616" spans="2:9" x14ac:dyDescent="0.25">
      <c r="B616">
        <v>5</v>
      </c>
      <c r="C616" s="3">
        <v>5</v>
      </c>
      <c r="D616" s="6" t="s">
        <v>294</v>
      </c>
      <c r="E616" t="s">
        <v>791</v>
      </c>
      <c r="F616" s="6" t="s">
        <v>792</v>
      </c>
      <c r="G616" s="1">
        <v>201008</v>
      </c>
      <c r="H616" s="6" t="s">
        <v>29</v>
      </c>
      <c r="I616">
        <v>1</v>
      </c>
    </row>
    <row r="617" spans="2:9" x14ac:dyDescent="0.25">
      <c r="B617">
        <v>5</v>
      </c>
      <c r="C617" s="3">
        <v>5</v>
      </c>
      <c r="D617" s="6" t="s">
        <v>294</v>
      </c>
      <c r="E617" t="s">
        <v>793</v>
      </c>
      <c r="F617" s="6" t="s">
        <v>169</v>
      </c>
      <c r="G617" s="1">
        <v>201002</v>
      </c>
      <c r="H617" s="6" t="s">
        <v>70</v>
      </c>
      <c r="I617">
        <v>2</v>
      </c>
    </row>
    <row r="618" spans="2:9" x14ac:dyDescent="0.25">
      <c r="B618">
        <v>5</v>
      </c>
      <c r="C618" s="3">
        <v>5</v>
      </c>
      <c r="D618" s="6" t="s">
        <v>294</v>
      </c>
      <c r="E618" t="s">
        <v>794</v>
      </c>
      <c r="F618" s="6" t="s">
        <v>763</v>
      </c>
      <c r="G618" s="1">
        <v>201002</v>
      </c>
      <c r="H618" s="6" t="s">
        <v>70</v>
      </c>
      <c r="I618">
        <v>1</v>
      </c>
    </row>
    <row r="619" spans="2:9" x14ac:dyDescent="0.25">
      <c r="B619">
        <v>5</v>
      </c>
      <c r="C619" s="3">
        <v>5</v>
      </c>
      <c r="D619" s="6" t="s">
        <v>294</v>
      </c>
      <c r="E619" t="s">
        <v>794</v>
      </c>
      <c r="F619" s="6" t="s">
        <v>763</v>
      </c>
      <c r="G619" s="1" t="s">
        <v>118</v>
      </c>
      <c r="H619" s="6" t="s">
        <v>119</v>
      </c>
      <c r="I619">
        <v>1</v>
      </c>
    </row>
    <row r="620" spans="2:9" x14ac:dyDescent="0.25">
      <c r="B620">
        <v>5</v>
      </c>
      <c r="C620" s="3">
        <v>6</v>
      </c>
      <c r="D620" s="6" t="s">
        <v>294</v>
      </c>
      <c r="E620" t="s">
        <v>797</v>
      </c>
      <c r="F620" s="6" t="s">
        <v>798</v>
      </c>
      <c r="G620" s="1" t="s">
        <v>13</v>
      </c>
      <c r="H620" s="6" t="s">
        <v>14</v>
      </c>
      <c r="I620">
        <v>1</v>
      </c>
    </row>
    <row r="621" spans="2:9" x14ac:dyDescent="0.25">
      <c r="B621">
        <v>5</v>
      </c>
      <c r="C621" s="3">
        <v>6</v>
      </c>
      <c r="D621" s="6" t="s">
        <v>294</v>
      </c>
      <c r="E621" t="s">
        <v>797</v>
      </c>
      <c r="F621" s="6" t="s">
        <v>798</v>
      </c>
      <c r="G621" s="1" t="s">
        <v>15</v>
      </c>
      <c r="H621" s="6" t="s">
        <v>16</v>
      </c>
      <c r="I621">
        <v>1</v>
      </c>
    </row>
    <row r="622" spans="2:9" x14ac:dyDescent="0.25">
      <c r="B622">
        <v>5</v>
      </c>
      <c r="C622" s="3">
        <v>6</v>
      </c>
      <c r="D622" s="6" t="s">
        <v>294</v>
      </c>
      <c r="E622" t="s">
        <v>799</v>
      </c>
      <c r="F622" s="6" t="s">
        <v>800</v>
      </c>
      <c r="G622" s="1" t="s">
        <v>13</v>
      </c>
      <c r="H622" s="6" t="s">
        <v>14</v>
      </c>
      <c r="I622">
        <v>1</v>
      </c>
    </row>
    <row r="623" spans="2:9" x14ac:dyDescent="0.25">
      <c r="B623">
        <v>5</v>
      </c>
      <c r="C623" s="3">
        <v>6</v>
      </c>
      <c r="D623" s="6" t="s">
        <v>294</v>
      </c>
      <c r="E623" t="s">
        <v>799</v>
      </c>
      <c r="F623" s="6" t="s">
        <v>800</v>
      </c>
      <c r="G623" s="1" t="s">
        <v>15</v>
      </c>
      <c r="H623" s="6" t="s">
        <v>16</v>
      </c>
      <c r="I623">
        <v>1</v>
      </c>
    </row>
    <row r="624" spans="2:9" x14ac:dyDescent="0.25">
      <c r="B624">
        <v>5</v>
      </c>
      <c r="C624" s="3">
        <v>6</v>
      </c>
      <c r="D624" s="6" t="s">
        <v>294</v>
      </c>
      <c r="E624" t="s">
        <v>801</v>
      </c>
      <c r="F624" s="6" t="s">
        <v>802</v>
      </c>
      <c r="G624" s="1" t="s">
        <v>13</v>
      </c>
      <c r="H624" s="6" t="s">
        <v>14</v>
      </c>
      <c r="I624">
        <v>1</v>
      </c>
    </row>
    <row r="625" spans="2:9" x14ac:dyDescent="0.25">
      <c r="B625">
        <v>5</v>
      </c>
      <c r="C625" s="3">
        <v>6</v>
      </c>
      <c r="D625" s="6" t="s">
        <v>294</v>
      </c>
      <c r="E625" t="s">
        <v>801</v>
      </c>
      <c r="F625" s="6" t="s">
        <v>802</v>
      </c>
      <c r="G625" s="1" t="s">
        <v>15</v>
      </c>
      <c r="H625" s="6" t="s">
        <v>16</v>
      </c>
      <c r="I625">
        <v>1</v>
      </c>
    </row>
    <row r="626" spans="2:9" x14ac:dyDescent="0.25">
      <c r="B626">
        <v>5</v>
      </c>
      <c r="C626" s="3">
        <v>6</v>
      </c>
      <c r="D626" s="6" t="s">
        <v>294</v>
      </c>
      <c r="E626" t="s">
        <v>803</v>
      </c>
      <c r="F626" s="6" t="s">
        <v>169</v>
      </c>
      <c r="G626" s="1">
        <v>201002</v>
      </c>
      <c r="H626" s="6" t="s">
        <v>70</v>
      </c>
      <c r="I626">
        <v>5</v>
      </c>
    </row>
    <row r="627" spans="2:9" x14ac:dyDescent="0.25">
      <c r="B627">
        <v>5</v>
      </c>
      <c r="C627" s="3">
        <v>6</v>
      </c>
      <c r="D627" s="6" t="s">
        <v>294</v>
      </c>
      <c r="E627" t="s">
        <v>804</v>
      </c>
      <c r="F627" s="6" t="s">
        <v>91</v>
      </c>
      <c r="G627" s="1" t="s">
        <v>118</v>
      </c>
      <c r="H627" s="6" t="s">
        <v>119</v>
      </c>
      <c r="I627">
        <v>1</v>
      </c>
    </row>
    <row r="628" spans="2:9" x14ac:dyDescent="0.25">
      <c r="B628">
        <v>5</v>
      </c>
      <c r="C628" s="3">
        <v>6</v>
      </c>
      <c r="D628" s="6" t="s">
        <v>294</v>
      </c>
      <c r="E628" t="s">
        <v>805</v>
      </c>
      <c r="F628" s="6" t="s">
        <v>91</v>
      </c>
      <c r="G628" s="1" t="s">
        <v>118</v>
      </c>
      <c r="H628" s="6" t="s">
        <v>119</v>
      </c>
      <c r="I628">
        <v>1</v>
      </c>
    </row>
    <row r="629" spans="2:9" x14ac:dyDescent="0.25">
      <c r="B629">
        <v>5</v>
      </c>
      <c r="C629" s="3">
        <v>6</v>
      </c>
      <c r="D629" s="6" t="s">
        <v>294</v>
      </c>
      <c r="E629" t="s">
        <v>806</v>
      </c>
      <c r="F629" s="6" t="s">
        <v>763</v>
      </c>
      <c r="G629" s="1">
        <v>201002</v>
      </c>
      <c r="H629" s="6" t="s">
        <v>70</v>
      </c>
      <c r="I629">
        <v>2</v>
      </c>
    </row>
    <row r="630" spans="2:9" x14ac:dyDescent="0.25">
      <c r="B630">
        <v>5</v>
      </c>
      <c r="C630" s="3">
        <v>6</v>
      </c>
      <c r="D630" s="6" t="s">
        <v>294</v>
      </c>
      <c r="E630" t="s">
        <v>806</v>
      </c>
      <c r="F630" s="6" t="s">
        <v>763</v>
      </c>
      <c r="G630" s="1" t="s">
        <v>49</v>
      </c>
      <c r="H630" s="6" t="s">
        <v>50</v>
      </c>
      <c r="I630">
        <v>1</v>
      </c>
    </row>
    <row r="631" spans="2:9" x14ac:dyDescent="0.25">
      <c r="B631">
        <v>5</v>
      </c>
      <c r="C631" s="3">
        <v>6</v>
      </c>
      <c r="D631" s="6" t="s">
        <v>294</v>
      </c>
      <c r="E631" t="s">
        <v>807</v>
      </c>
      <c r="F631" s="6" t="s">
        <v>808</v>
      </c>
      <c r="G631" s="1" t="s">
        <v>13</v>
      </c>
      <c r="H631" s="6" t="s">
        <v>14</v>
      </c>
      <c r="I631">
        <v>1</v>
      </c>
    </row>
    <row r="632" spans="2:9" x14ac:dyDescent="0.25">
      <c r="B632">
        <v>5</v>
      </c>
      <c r="C632" s="3">
        <v>6</v>
      </c>
      <c r="D632" s="6" t="s">
        <v>294</v>
      </c>
      <c r="E632" t="s">
        <v>807</v>
      </c>
      <c r="F632" s="6" t="s">
        <v>808</v>
      </c>
      <c r="G632" s="1" t="s">
        <v>15</v>
      </c>
      <c r="H632" s="6" t="s">
        <v>16</v>
      </c>
      <c r="I632">
        <v>1</v>
      </c>
    </row>
    <row r="633" spans="2:9" x14ac:dyDescent="0.25">
      <c r="B633">
        <v>5</v>
      </c>
      <c r="C633" s="3">
        <v>6</v>
      </c>
      <c r="D633" s="6" t="s">
        <v>294</v>
      </c>
      <c r="E633" t="s">
        <v>809</v>
      </c>
      <c r="F633" s="6" t="s">
        <v>621</v>
      </c>
      <c r="G633" s="1">
        <v>201010</v>
      </c>
      <c r="H633" s="6" t="s">
        <v>44</v>
      </c>
      <c r="I633">
        <v>1</v>
      </c>
    </row>
    <row r="634" spans="2:9" x14ac:dyDescent="0.25">
      <c r="B634">
        <v>5</v>
      </c>
      <c r="C634" s="3">
        <v>6</v>
      </c>
      <c r="D634" s="6" t="s">
        <v>812</v>
      </c>
      <c r="E634" t="s">
        <v>813</v>
      </c>
      <c r="F634" s="6" t="s">
        <v>273</v>
      </c>
      <c r="G634" s="1" t="s">
        <v>23</v>
      </c>
      <c r="H634" s="6" t="s">
        <v>24</v>
      </c>
      <c r="I634">
        <v>1</v>
      </c>
    </row>
    <row r="635" spans="2:9" x14ac:dyDescent="0.25">
      <c r="B635">
        <v>5</v>
      </c>
      <c r="C635" s="8">
        <v>6</v>
      </c>
      <c r="D635" s="6" t="s">
        <v>812</v>
      </c>
      <c r="E635" t="s">
        <v>814</v>
      </c>
      <c r="F635" s="6" t="s">
        <v>273</v>
      </c>
      <c r="G635" s="1" t="s">
        <v>23</v>
      </c>
      <c r="H635" s="6" t="s">
        <v>24</v>
      </c>
      <c r="I635">
        <v>1</v>
      </c>
    </row>
    <row r="636" spans="2:9" x14ac:dyDescent="0.25">
      <c r="B636">
        <v>5</v>
      </c>
      <c r="C636" s="3">
        <v>7</v>
      </c>
      <c r="D636" s="6" t="s">
        <v>294</v>
      </c>
      <c r="E636" t="s">
        <v>815</v>
      </c>
      <c r="F636" s="6" t="s">
        <v>816</v>
      </c>
      <c r="G636" s="1" t="s">
        <v>23</v>
      </c>
      <c r="H636" s="6" t="s">
        <v>24</v>
      </c>
      <c r="I636">
        <v>3</v>
      </c>
    </row>
    <row r="637" spans="2:9" x14ac:dyDescent="0.25">
      <c r="B637">
        <v>5</v>
      </c>
      <c r="C637" s="3">
        <v>7</v>
      </c>
      <c r="D637" s="6" t="s">
        <v>294</v>
      </c>
      <c r="E637" t="s">
        <v>815</v>
      </c>
      <c r="F637" s="6" t="s">
        <v>816</v>
      </c>
      <c r="G637" s="1" t="s">
        <v>15</v>
      </c>
      <c r="H637" s="6" t="s">
        <v>16</v>
      </c>
      <c r="I637">
        <v>3</v>
      </c>
    </row>
    <row r="638" spans="2:9" x14ac:dyDescent="0.25">
      <c r="B638">
        <v>5</v>
      </c>
      <c r="C638" s="3">
        <v>7</v>
      </c>
      <c r="D638" s="6" t="s">
        <v>294</v>
      </c>
      <c r="E638" t="s">
        <v>817</v>
      </c>
      <c r="F638" s="6" t="s">
        <v>169</v>
      </c>
      <c r="G638" s="1">
        <v>201002</v>
      </c>
      <c r="H638" s="6" t="s">
        <v>70</v>
      </c>
      <c r="I638">
        <v>5</v>
      </c>
    </row>
    <row r="639" spans="2:9" x14ac:dyDescent="0.25">
      <c r="B639">
        <v>5</v>
      </c>
      <c r="C639" s="3">
        <v>7</v>
      </c>
      <c r="D639" s="6" t="s">
        <v>294</v>
      </c>
      <c r="E639" t="s">
        <v>818</v>
      </c>
      <c r="F639" s="6" t="s">
        <v>91</v>
      </c>
      <c r="G639" s="1" t="s">
        <v>118</v>
      </c>
      <c r="H639" s="6" t="s">
        <v>119</v>
      </c>
      <c r="I639">
        <v>1</v>
      </c>
    </row>
    <row r="640" spans="2:9" x14ac:dyDescent="0.25">
      <c r="B640">
        <v>5</v>
      </c>
      <c r="C640" s="3">
        <v>7</v>
      </c>
      <c r="D640" s="6" t="s">
        <v>294</v>
      </c>
      <c r="E640" t="s">
        <v>819</v>
      </c>
      <c r="F640" s="6" t="s">
        <v>91</v>
      </c>
      <c r="G640" s="1" t="s">
        <v>118</v>
      </c>
      <c r="H640" s="6" t="s">
        <v>119</v>
      </c>
      <c r="I640">
        <v>1</v>
      </c>
    </row>
    <row r="641" spans="2:9" x14ac:dyDescent="0.25">
      <c r="B641">
        <v>5</v>
      </c>
      <c r="C641" s="3">
        <v>7</v>
      </c>
      <c r="D641" s="6" t="s">
        <v>294</v>
      </c>
      <c r="E641" t="s">
        <v>820</v>
      </c>
      <c r="F641" s="6" t="s">
        <v>763</v>
      </c>
      <c r="G641" s="1">
        <v>201002</v>
      </c>
      <c r="H641" s="6" t="s">
        <v>70</v>
      </c>
      <c r="I641">
        <v>2</v>
      </c>
    </row>
    <row r="642" spans="2:9" x14ac:dyDescent="0.25">
      <c r="B642">
        <v>5</v>
      </c>
      <c r="C642" s="3">
        <v>7</v>
      </c>
      <c r="D642" s="6" t="s">
        <v>294</v>
      </c>
      <c r="E642" t="s">
        <v>820</v>
      </c>
      <c r="F642" s="6" t="s">
        <v>763</v>
      </c>
      <c r="G642" s="1" t="s">
        <v>49</v>
      </c>
      <c r="H642" s="6" t="s">
        <v>50</v>
      </c>
      <c r="I642">
        <v>1</v>
      </c>
    </row>
    <row r="643" spans="2:9" x14ac:dyDescent="0.25">
      <c r="B643">
        <v>5</v>
      </c>
      <c r="C643" s="3">
        <v>7</v>
      </c>
      <c r="D643" s="6" t="s">
        <v>294</v>
      </c>
      <c r="E643" t="s">
        <v>821</v>
      </c>
      <c r="F643" s="6" t="s">
        <v>754</v>
      </c>
      <c r="G643" s="1" t="s">
        <v>23</v>
      </c>
      <c r="H643" s="6" t="s">
        <v>24</v>
      </c>
      <c r="I643">
        <v>1</v>
      </c>
    </row>
    <row r="644" spans="2:9" x14ac:dyDescent="0.25">
      <c r="B644">
        <v>5</v>
      </c>
      <c r="C644" s="3">
        <v>7</v>
      </c>
      <c r="D644" s="6" t="s">
        <v>294</v>
      </c>
      <c r="E644" t="s">
        <v>821</v>
      </c>
      <c r="F644" s="6" t="s">
        <v>754</v>
      </c>
      <c r="G644" s="1" t="s">
        <v>15</v>
      </c>
      <c r="H644" s="6" t="s">
        <v>16</v>
      </c>
      <c r="I644">
        <v>1</v>
      </c>
    </row>
  </sheetData>
  <autoFilter ref="B2:I580" xr:uid="{6B94409F-8032-49FC-9515-5C573C7813C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66BE-BDE6-47A2-9ECA-80BE42E63DA1}">
  <dimension ref="B1:AD1982"/>
  <sheetViews>
    <sheetView showGridLines="0" view="pageBreakPreview" zoomScaleNormal="70" zoomScaleSheetLayoutView="100" workbookViewId="0">
      <pane xSplit="2" ySplit="2" topLeftCell="N3" activePane="bottomRight" state="frozen"/>
      <selection activeCell="O17" sqref="O17"/>
      <selection pane="topRight" activeCell="O17" sqref="O17"/>
      <selection pane="bottomLeft" activeCell="O17" sqref="O17"/>
      <selection pane="bottomRight" activeCell="N83" sqref="N83"/>
    </sheetView>
  </sheetViews>
  <sheetFormatPr baseColWidth="10" defaultRowHeight="15" outlineLevelCol="1" x14ac:dyDescent="0.25"/>
  <cols>
    <col min="1" max="3" width="0" hidden="1" customWidth="1"/>
    <col min="4" max="4" width="27.85546875" hidden="1" customWidth="1"/>
    <col min="5" max="5" width="0" hidden="1" customWidth="1"/>
    <col min="6" max="6" width="60.42578125" hidden="1" customWidth="1"/>
    <col min="7" max="7" width="0" hidden="1" customWidth="1"/>
    <col min="8" max="8" width="27.85546875" hidden="1" customWidth="1"/>
    <col min="9" max="10" width="0" hidden="1" customWidth="1"/>
    <col min="11" max="11" width="27.42578125" hidden="1" customWidth="1"/>
    <col min="12" max="12" width="22" hidden="1" customWidth="1"/>
    <col min="13" max="13" width="0" hidden="1" customWidth="1"/>
    <col min="14" max="14" width="10.42578125" bestFit="1" customWidth="1"/>
    <col min="15" max="15" width="20" customWidth="1"/>
    <col min="16" max="16" width="32.85546875" style="1" bestFit="1" customWidth="1"/>
    <col min="17" max="17" width="11.5703125" style="1" bestFit="1" customWidth="1" outlineLevel="1"/>
    <col min="18" max="18" width="7.85546875" bestFit="1" customWidth="1" outlineLevel="1"/>
    <col min="19" max="19" width="7.140625" style="2" customWidth="1" outlineLevel="1"/>
    <col min="20" max="20" width="7.140625" style="1" customWidth="1" outlineLevel="1"/>
    <col min="21" max="23" width="7.140625" customWidth="1" outlineLevel="1"/>
    <col min="24" max="24" width="12.5703125" bestFit="1" customWidth="1"/>
    <col min="25" max="25" width="2" customWidth="1"/>
    <col min="27" max="27" width="3" customWidth="1"/>
    <col min="29" max="29" width="3.85546875" customWidth="1"/>
  </cols>
  <sheetData>
    <row r="1" spans="2:30" x14ac:dyDescent="0.25">
      <c r="O1" s="39" t="s">
        <v>824</v>
      </c>
      <c r="P1" s="39"/>
      <c r="Q1" s="39" t="s">
        <v>2</v>
      </c>
      <c r="R1" s="39"/>
      <c r="S1" s="39"/>
      <c r="T1" s="39"/>
      <c r="U1" s="39"/>
      <c r="V1" s="39"/>
      <c r="W1" s="39"/>
      <c r="X1" s="39"/>
      <c r="Y1" s="39"/>
      <c r="Z1" s="55" t="s">
        <v>825</v>
      </c>
      <c r="AA1" s="39"/>
      <c r="AB1" s="55" t="s">
        <v>826</v>
      </c>
      <c r="AD1" s="55" t="s">
        <v>827</v>
      </c>
    </row>
    <row r="2" spans="2:30" x14ac:dyDescent="0.25">
      <c r="B2" s="5" t="s">
        <v>823</v>
      </c>
      <c r="C2" s="5" t="s">
        <v>2</v>
      </c>
      <c r="D2" s="5" t="s">
        <v>3</v>
      </c>
      <c r="E2" s="5" t="s">
        <v>4</v>
      </c>
      <c r="F2" s="5" t="s">
        <v>5</v>
      </c>
      <c r="G2" s="7" t="s">
        <v>6</v>
      </c>
      <c r="H2" s="5" t="s">
        <v>7</v>
      </c>
      <c r="I2" s="5" t="s">
        <v>8</v>
      </c>
      <c r="K2" s="36" t="s">
        <v>7</v>
      </c>
      <c r="L2" s="37" t="s">
        <v>6</v>
      </c>
      <c r="M2" s="38" t="s">
        <v>8</v>
      </c>
      <c r="O2" s="41" t="s">
        <v>6</v>
      </c>
      <c r="P2" s="39" t="s">
        <v>7</v>
      </c>
      <c r="Q2" s="40">
        <v>1</v>
      </c>
      <c r="R2" s="40">
        <v>2</v>
      </c>
      <c r="S2" s="40">
        <v>3</v>
      </c>
      <c r="T2" s="40">
        <v>4</v>
      </c>
      <c r="U2" s="40">
        <v>5</v>
      </c>
      <c r="V2" s="40">
        <v>6</v>
      </c>
      <c r="W2" s="40">
        <v>7</v>
      </c>
      <c r="X2" s="40" t="s">
        <v>75</v>
      </c>
      <c r="Y2" s="39"/>
      <c r="Z2" s="55"/>
      <c r="AA2" s="39"/>
      <c r="AB2" s="55"/>
      <c r="AD2" s="55"/>
    </row>
    <row r="3" spans="2:30" x14ac:dyDescent="0.25">
      <c r="B3">
        <v>1</v>
      </c>
      <c r="C3" s="3">
        <v>1</v>
      </c>
      <c r="D3" s="6" t="s">
        <v>10</v>
      </c>
      <c r="E3" t="s">
        <v>11</v>
      </c>
      <c r="F3" s="6" t="s">
        <v>12</v>
      </c>
      <c r="G3" s="24" t="s">
        <v>13</v>
      </c>
      <c r="H3" s="6" t="s">
        <v>14</v>
      </c>
      <c r="I3">
        <v>1</v>
      </c>
      <c r="K3" s="25" t="str" cm="1">
        <f t="array" ref="K3:K15">+_xlfn.UNIQUE(H3:H162)</f>
        <v>Escritorio en L administrativo</v>
      </c>
      <c r="L3" s="35" t="str">
        <f>+_xlfn.XLOOKUP(K3,$H$3:$H$162,$G$3:$G$162)</f>
        <v>201001B</v>
      </c>
      <c r="M3" s="25">
        <f>+SUMIF($H$3:$H$162,K3,$I$3:$I$162)</f>
        <v>33</v>
      </c>
      <c r="O3" s="1">
        <v>204012</v>
      </c>
      <c r="P3" t="s">
        <v>87</v>
      </c>
      <c r="Q3">
        <v>361</v>
      </c>
      <c r="R3">
        <v>488</v>
      </c>
      <c r="S3">
        <v>302</v>
      </c>
      <c r="T3">
        <v>42</v>
      </c>
      <c r="U3">
        <v>30</v>
      </c>
      <c r="V3">
        <v>33</v>
      </c>
      <c r="W3">
        <v>9</v>
      </c>
      <c r="X3" s="30">
        <v>1265</v>
      </c>
      <c r="Z3" s="32" t="str">
        <f>IFERROR(_xlfn.XLOOKUP(O3,Acumulado!$L$3:$L$19,Acumulado!$M$3:$M$19),"0")</f>
        <v>0</v>
      </c>
      <c r="AB3" s="30">
        <f>+X3-Z3</f>
        <v>1265</v>
      </c>
      <c r="AD3" s="28">
        <f>1-(AB3/X3)</f>
        <v>0</v>
      </c>
    </row>
    <row r="4" spans="2:30" x14ac:dyDescent="0.25">
      <c r="B4">
        <v>1</v>
      </c>
      <c r="C4" s="3">
        <v>1</v>
      </c>
      <c r="D4" s="6" t="s">
        <v>10</v>
      </c>
      <c r="E4" t="s">
        <v>11</v>
      </c>
      <c r="F4" s="6" t="s">
        <v>12</v>
      </c>
      <c r="G4" s="24" t="s">
        <v>15</v>
      </c>
      <c r="H4" s="6" t="s">
        <v>16</v>
      </c>
      <c r="I4">
        <v>1</v>
      </c>
      <c r="K4" s="25" t="str">
        <v>Mueble Tipo Biblioteca M45_A</v>
      </c>
      <c r="L4" s="35" t="str">
        <f t="shared" ref="L4:L15" si="0">+_xlfn.XLOOKUP(K4,$H$3:$H$162,$G$3:$G$162)</f>
        <v>203016A</v>
      </c>
      <c r="M4" s="25">
        <f t="shared" ref="M4:M15" si="1">+SUMIF($H$3:$H$162,K4,$I$3:$I$162)</f>
        <v>65</v>
      </c>
      <c r="O4" s="1" t="s">
        <v>96</v>
      </c>
      <c r="P4" t="s">
        <v>97</v>
      </c>
      <c r="Q4">
        <v>149</v>
      </c>
      <c r="R4">
        <v>185</v>
      </c>
      <c r="S4">
        <v>138</v>
      </c>
      <c r="T4">
        <v>24</v>
      </c>
      <c r="U4">
        <v>18</v>
      </c>
      <c r="V4">
        <v>18</v>
      </c>
      <c r="W4">
        <v>16</v>
      </c>
      <c r="X4" s="30">
        <v>548</v>
      </c>
      <c r="Z4" s="32" t="str">
        <f>IFERROR(_xlfn.XLOOKUP(O4,Acumulado!$L$3:$L$19,Acumulado!$M$3:$M$19),"0")</f>
        <v>0</v>
      </c>
      <c r="AB4" s="30">
        <f t="shared" ref="AB4:AB67" si="2">+X4-Z4</f>
        <v>548</v>
      </c>
      <c r="AD4" s="28">
        <f>1-(AB4/X4)</f>
        <v>0</v>
      </c>
    </row>
    <row r="5" spans="2:30" x14ac:dyDescent="0.25">
      <c r="B5">
        <v>1</v>
      </c>
      <c r="C5" s="3">
        <v>1</v>
      </c>
      <c r="D5" s="6" t="s">
        <v>10</v>
      </c>
      <c r="E5" t="s">
        <v>17</v>
      </c>
      <c r="F5" s="6" t="s">
        <v>18</v>
      </c>
      <c r="G5" s="24" t="s">
        <v>19</v>
      </c>
      <c r="H5" s="6" t="s">
        <v>20</v>
      </c>
      <c r="I5">
        <v>1</v>
      </c>
      <c r="K5" s="25" t="str">
        <v>Escritorio de Consultas</v>
      </c>
      <c r="L5" s="35" t="str">
        <f t="shared" si="0"/>
        <v>201001C</v>
      </c>
      <c r="M5" s="25">
        <f t="shared" si="1"/>
        <v>13</v>
      </c>
      <c r="O5" s="1">
        <v>204010</v>
      </c>
      <c r="P5" t="s">
        <v>92</v>
      </c>
      <c r="Q5">
        <v>114</v>
      </c>
      <c r="R5">
        <v>300</v>
      </c>
      <c r="S5">
        <v>28</v>
      </c>
      <c r="T5">
        <v>20</v>
      </c>
      <c r="U5">
        <v>12</v>
      </c>
      <c r="V5">
        <v>12</v>
      </c>
      <c r="W5">
        <v>12</v>
      </c>
      <c r="X5" s="30">
        <v>498</v>
      </c>
      <c r="Z5" s="32" t="str">
        <f>IFERROR(_xlfn.XLOOKUP(O5,Acumulado!$L$3:$L$19,Acumulado!$M$3:$M$19),"0")</f>
        <v>0</v>
      </c>
      <c r="AB5" s="30">
        <f t="shared" si="2"/>
        <v>498</v>
      </c>
      <c r="AD5" s="28">
        <f t="shared" ref="AD5:AD68" si="3">1-(AB5/X5)</f>
        <v>0</v>
      </c>
    </row>
    <row r="6" spans="2:30" x14ac:dyDescent="0.25">
      <c r="B6">
        <v>1</v>
      </c>
      <c r="C6" s="3">
        <v>1</v>
      </c>
      <c r="D6" s="6" t="s">
        <v>10</v>
      </c>
      <c r="E6" t="s">
        <v>21</v>
      </c>
      <c r="F6" s="6" t="s">
        <v>22</v>
      </c>
      <c r="G6" s="24" t="s">
        <v>23</v>
      </c>
      <c r="H6" s="6" t="s">
        <v>24</v>
      </c>
      <c r="I6">
        <v>1</v>
      </c>
      <c r="K6" s="25" t="str">
        <v>Escritorio simple 120x70 cm</v>
      </c>
      <c r="L6" s="35" t="str">
        <f t="shared" si="0"/>
        <v>201001A</v>
      </c>
      <c r="M6" s="25">
        <f t="shared" si="1"/>
        <v>37</v>
      </c>
      <c r="O6" s="1" t="s">
        <v>15</v>
      </c>
      <c r="P6" t="s">
        <v>16</v>
      </c>
      <c r="Q6">
        <v>74</v>
      </c>
      <c r="R6">
        <v>76</v>
      </c>
      <c r="S6">
        <v>102</v>
      </c>
      <c r="T6">
        <v>8</v>
      </c>
      <c r="U6">
        <v>5</v>
      </c>
      <c r="V6">
        <v>4</v>
      </c>
      <c r="W6">
        <v>4</v>
      </c>
      <c r="X6" s="30">
        <v>273</v>
      </c>
      <c r="Z6" s="32">
        <f>IFERROR(_xlfn.XLOOKUP(O6,Acumulado!$L$3:$L$19,Acumulado!$M$3:$M$19),"0")</f>
        <v>243</v>
      </c>
      <c r="AB6" s="30">
        <f t="shared" si="2"/>
        <v>30</v>
      </c>
      <c r="AD6" s="28">
        <f t="shared" si="3"/>
        <v>0.89010989010989006</v>
      </c>
    </row>
    <row r="7" spans="2:30" x14ac:dyDescent="0.25">
      <c r="B7">
        <v>1</v>
      </c>
      <c r="C7" s="3">
        <v>1</v>
      </c>
      <c r="D7" s="6" t="s">
        <v>10</v>
      </c>
      <c r="E7" t="s">
        <v>25</v>
      </c>
      <c r="F7" s="6" t="s">
        <v>22</v>
      </c>
      <c r="G7" s="24" t="s">
        <v>23</v>
      </c>
      <c r="H7" s="6" t="s">
        <v>24</v>
      </c>
      <c r="I7">
        <v>1</v>
      </c>
      <c r="K7" s="25" t="str">
        <v>Mesa Reuniones Tipo I</v>
      </c>
      <c r="L7" s="35">
        <f t="shared" si="0"/>
        <v>201008</v>
      </c>
      <c r="M7" s="25">
        <f t="shared" si="1"/>
        <v>14</v>
      </c>
      <c r="O7" s="1">
        <v>204020</v>
      </c>
      <c r="P7" t="s">
        <v>100</v>
      </c>
      <c r="Q7">
        <v>100</v>
      </c>
      <c r="R7">
        <v>96</v>
      </c>
      <c r="S7">
        <v>38</v>
      </c>
      <c r="T7"/>
      <c r="V7">
        <v>4</v>
      </c>
      <c r="X7" s="30">
        <v>238</v>
      </c>
      <c r="Z7" s="32" t="str">
        <f>IFERROR(_xlfn.XLOOKUP(O7,Acumulado!$L$3:$L$19,Acumulado!$M$3:$M$19),"0")</f>
        <v>0</v>
      </c>
      <c r="AB7" s="30">
        <f t="shared" si="2"/>
        <v>238</v>
      </c>
      <c r="AD7" s="28">
        <f t="shared" si="3"/>
        <v>0</v>
      </c>
    </row>
    <row r="8" spans="2:30" x14ac:dyDescent="0.25">
      <c r="B8">
        <v>1</v>
      </c>
      <c r="C8" s="3">
        <v>1</v>
      </c>
      <c r="D8" s="6" t="s">
        <v>10</v>
      </c>
      <c r="E8" t="s">
        <v>26</v>
      </c>
      <c r="F8" s="6" t="s">
        <v>22</v>
      </c>
      <c r="G8" s="24" t="s">
        <v>23</v>
      </c>
      <c r="H8" s="6" t="s">
        <v>24</v>
      </c>
      <c r="I8">
        <v>1</v>
      </c>
      <c r="K8" s="25" t="str">
        <v>Mesa Párvulo Tipo I</v>
      </c>
      <c r="L8" s="35">
        <f t="shared" si="0"/>
        <v>201004</v>
      </c>
      <c r="M8" s="25">
        <f t="shared" si="1"/>
        <v>3</v>
      </c>
      <c r="O8" s="1">
        <v>204015</v>
      </c>
      <c r="P8" t="s">
        <v>281</v>
      </c>
      <c r="Q8">
        <v>5</v>
      </c>
      <c r="R8">
        <v>1</v>
      </c>
      <c r="S8">
        <v>14</v>
      </c>
      <c r="T8">
        <v>38</v>
      </c>
      <c r="U8">
        <v>28</v>
      </c>
      <c r="V8">
        <v>44</v>
      </c>
      <c r="W8">
        <v>55</v>
      </c>
      <c r="X8" s="30">
        <v>185</v>
      </c>
      <c r="Z8" s="32" t="str">
        <f>IFERROR(_xlfn.XLOOKUP(O8,Acumulado!$L$3:$L$19,Acumulado!$M$3:$M$19),"0")</f>
        <v>0</v>
      </c>
      <c r="AB8" s="30">
        <f t="shared" si="2"/>
        <v>185</v>
      </c>
      <c r="AD8" s="28">
        <f t="shared" si="3"/>
        <v>0</v>
      </c>
    </row>
    <row r="9" spans="2:30" x14ac:dyDescent="0.25">
      <c r="B9">
        <v>1</v>
      </c>
      <c r="C9" s="3">
        <v>1</v>
      </c>
      <c r="D9" s="6" t="s">
        <v>10</v>
      </c>
      <c r="E9" t="s">
        <v>27</v>
      </c>
      <c r="F9" s="6" t="s">
        <v>28</v>
      </c>
      <c r="G9" s="24">
        <v>201008</v>
      </c>
      <c r="H9" s="6" t="s">
        <v>29</v>
      </c>
      <c r="I9">
        <v>1</v>
      </c>
      <c r="K9" s="25" t="str">
        <v>Mesa Reuniones Tipo III</v>
      </c>
      <c r="L9" s="35">
        <f t="shared" si="0"/>
        <v>201010</v>
      </c>
      <c r="M9" s="25">
        <f t="shared" si="1"/>
        <v>2</v>
      </c>
      <c r="O9" s="1" t="s">
        <v>13</v>
      </c>
      <c r="P9" t="s">
        <v>14</v>
      </c>
      <c r="Q9">
        <v>38</v>
      </c>
      <c r="R9">
        <v>47</v>
      </c>
      <c r="S9">
        <v>82</v>
      </c>
      <c r="T9">
        <v>5</v>
      </c>
      <c r="U9">
        <v>1</v>
      </c>
      <c r="V9">
        <v>4</v>
      </c>
      <c r="X9" s="30">
        <v>177</v>
      </c>
      <c r="Z9" s="32">
        <f>IFERROR(_xlfn.XLOOKUP(O9,Acumulado!$L$3:$L$19,Acumulado!$M$3:$M$19),"0")</f>
        <v>172</v>
      </c>
      <c r="AB9" s="30">
        <f t="shared" si="2"/>
        <v>5</v>
      </c>
      <c r="AD9" s="28">
        <f t="shared" si="3"/>
        <v>0.97175141242937857</v>
      </c>
    </row>
    <row r="10" spans="2:30" x14ac:dyDescent="0.25">
      <c r="B10">
        <v>1</v>
      </c>
      <c r="C10" s="3">
        <v>1</v>
      </c>
      <c r="D10" s="6" t="s">
        <v>10</v>
      </c>
      <c r="E10" t="s">
        <v>30</v>
      </c>
      <c r="F10" s="6" t="s">
        <v>31</v>
      </c>
      <c r="G10" s="24" t="s">
        <v>23</v>
      </c>
      <c r="H10" s="6" t="s">
        <v>24</v>
      </c>
      <c r="I10">
        <v>1</v>
      </c>
      <c r="K10" s="25" t="str">
        <v>Mesa Tipo Casino Circular</v>
      </c>
      <c r="L10" s="35" t="str">
        <f t="shared" si="0"/>
        <v>201011A</v>
      </c>
      <c r="M10" s="25">
        <f t="shared" si="1"/>
        <v>10</v>
      </c>
      <c r="O10" s="1" t="s">
        <v>23</v>
      </c>
      <c r="P10" t="s">
        <v>24</v>
      </c>
      <c r="Q10">
        <v>37</v>
      </c>
      <c r="R10">
        <v>52</v>
      </c>
      <c r="S10">
        <v>20</v>
      </c>
      <c r="T10">
        <v>3</v>
      </c>
      <c r="U10">
        <v>4</v>
      </c>
      <c r="V10">
        <v>2</v>
      </c>
      <c r="W10">
        <v>4</v>
      </c>
      <c r="X10" s="30">
        <v>122</v>
      </c>
      <c r="Z10" s="32">
        <f>IFERROR(_xlfn.XLOOKUP(O10,Acumulado!$L$3:$L$19,Acumulado!$M$3:$M$19),"0")</f>
        <v>109</v>
      </c>
      <c r="AB10" s="30">
        <f t="shared" si="2"/>
        <v>13</v>
      </c>
      <c r="AD10" s="28">
        <f t="shared" si="3"/>
        <v>0.89344262295081966</v>
      </c>
    </row>
    <row r="11" spans="2:30" x14ac:dyDescent="0.25">
      <c r="B11">
        <v>1</v>
      </c>
      <c r="C11" s="3">
        <v>1</v>
      </c>
      <c r="D11" s="6" t="s">
        <v>10</v>
      </c>
      <c r="E11" t="s">
        <v>30</v>
      </c>
      <c r="F11" s="6" t="s">
        <v>31</v>
      </c>
      <c r="G11" s="24" t="s">
        <v>15</v>
      </c>
      <c r="H11" s="6" t="s">
        <v>16</v>
      </c>
      <c r="I11">
        <v>1</v>
      </c>
      <c r="K11" s="25" t="str">
        <v>Mesa Lateral</v>
      </c>
      <c r="L11" s="35">
        <f t="shared" si="0"/>
        <v>201002</v>
      </c>
      <c r="M11" s="25">
        <f t="shared" si="1"/>
        <v>2</v>
      </c>
      <c r="O11" s="1">
        <v>204014</v>
      </c>
      <c r="P11" t="s">
        <v>154</v>
      </c>
      <c r="Q11">
        <v>22</v>
      </c>
      <c r="R11">
        <v>13</v>
      </c>
      <c r="S11">
        <v>14</v>
      </c>
      <c r="T11">
        <v>13</v>
      </c>
      <c r="U11">
        <v>13</v>
      </c>
      <c r="V11">
        <v>14</v>
      </c>
      <c r="W11">
        <v>14</v>
      </c>
      <c r="X11" s="30">
        <v>103</v>
      </c>
      <c r="Z11" s="32" t="str">
        <f>IFERROR(_xlfn.XLOOKUP(O11,Acumulado!$L$3:$L$19,Acumulado!$M$3:$M$19),"0")</f>
        <v>0</v>
      </c>
      <c r="AB11" s="30">
        <f t="shared" si="2"/>
        <v>103</v>
      </c>
      <c r="AD11" s="28">
        <f t="shared" si="3"/>
        <v>0</v>
      </c>
    </row>
    <row r="12" spans="2:30" x14ac:dyDescent="0.25">
      <c r="B12">
        <v>1</v>
      </c>
      <c r="C12" s="3">
        <v>1</v>
      </c>
      <c r="D12" s="6" t="s">
        <v>10</v>
      </c>
      <c r="E12" t="s">
        <v>32</v>
      </c>
      <c r="F12" s="6" t="s">
        <v>33</v>
      </c>
      <c r="G12" s="24" t="s">
        <v>13</v>
      </c>
      <c r="H12" s="6" t="s">
        <v>14</v>
      </c>
      <c r="I12">
        <v>1</v>
      </c>
      <c r="K12" s="25" t="str">
        <v>Mesa Párvulo Tipo II</v>
      </c>
      <c r="L12" s="35">
        <f t="shared" si="0"/>
        <v>201005</v>
      </c>
      <c r="M12" s="25">
        <f t="shared" si="1"/>
        <v>12</v>
      </c>
      <c r="O12" s="1" t="s">
        <v>49</v>
      </c>
      <c r="P12" t="s">
        <v>50</v>
      </c>
      <c r="Q12">
        <v>12</v>
      </c>
      <c r="R12">
        <v>57</v>
      </c>
      <c r="S12">
        <v>2</v>
      </c>
      <c r="T12"/>
      <c r="V12">
        <v>1</v>
      </c>
      <c r="W12">
        <v>1</v>
      </c>
      <c r="X12" s="30">
        <v>73</v>
      </c>
      <c r="Z12" s="32">
        <f>IFERROR(_xlfn.XLOOKUP(O12,Acumulado!$L$3:$L$19,Acumulado!$M$3:$M$19),"0")</f>
        <v>69</v>
      </c>
      <c r="AB12" s="30">
        <f t="shared" si="2"/>
        <v>4</v>
      </c>
      <c r="AD12" s="28">
        <f t="shared" si="3"/>
        <v>0.9452054794520548</v>
      </c>
    </row>
    <row r="13" spans="2:30" x14ac:dyDescent="0.25">
      <c r="B13">
        <v>1</v>
      </c>
      <c r="C13" s="3">
        <v>1</v>
      </c>
      <c r="D13" s="6" t="s">
        <v>10</v>
      </c>
      <c r="E13" t="s">
        <v>32</v>
      </c>
      <c r="F13" s="6" t="s">
        <v>33</v>
      </c>
      <c r="G13" s="24" t="s">
        <v>15</v>
      </c>
      <c r="H13" s="6" t="s">
        <v>16</v>
      </c>
      <c r="I13">
        <v>1</v>
      </c>
      <c r="K13" s="25" t="str">
        <v>Mueble Locker</v>
      </c>
      <c r="L13" s="35">
        <f t="shared" si="0"/>
        <v>202012</v>
      </c>
      <c r="M13" s="25">
        <f t="shared" si="1"/>
        <v>8</v>
      </c>
      <c r="O13" s="1" t="s">
        <v>103</v>
      </c>
      <c r="P13" t="s">
        <v>104</v>
      </c>
      <c r="Q13">
        <v>28</v>
      </c>
      <c r="R13">
        <v>21</v>
      </c>
      <c r="S13">
        <v>10</v>
      </c>
      <c r="T13">
        <v>3</v>
      </c>
      <c r="U13">
        <v>3</v>
      </c>
      <c r="V13">
        <v>1</v>
      </c>
      <c r="W13">
        <v>1</v>
      </c>
      <c r="X13" s="30">
        <v>67</v>
      </c>
      <c r="Z13" s="32">
        <f>IFERROR(_xlfn.XLOOKUP(O13,Acumulado!$L$3:$L$19,Acumulado!$M$3:$M$19),"0")</f>
        <v>31</v>
      </c>
      <c r="AB13" s="30">
        <f t="shared" si="2"/>
        <v>36</v>
      </c>
      <c r="AD13" s="28">
        <f t="shared" si="3"/>
        <v>0.46268656716417911</v>
      </c>
    </row>
    <row r="14" spans="2:30" x14ac:dyDescent="0.25">
      <c r="B14">
        <v>1</v>
      </c>
      <c r="C14" s="3">
        <v>1</v>
      </c>
      <c r="D14" s="6" t="s">
        <v>10</v>
      </c>
      <c r="E14" t="s">
        <v>34</v>
      </c>
      <c r="F14" s="6" t="s">
        <v>35</v>
      </c>
      <c r="G14" s="24" t="s">
        <v>15</v>
      </c>
      <c r="H14" s="6" t="s">
        <v>16</v>
      </c>
      <c r="I14">
        <v>1</v>
      </c>
      <c r="K14" s="25" t="str">
        <v>Mesa Párvulo Inclusión</v>
      </c>
      <c r="L14" s="35">
        <f t="shared" si="0"/>
        <v>201003</v>
      </c>
      <c r="M14" s="25">
        <f t="shared" si="1"/>
        <v>2</v>
      </c>
      <c r="O14" s="1" t="s">
        <v>88</v>
      </c>
      <c r="P14" t="s">
        <v>89</v>
      </c>
      <c r="Q14">
        <v>17</v>
      </c>
      <c r="R14">
        <v>16</v>
      </c>
      <c r="S14">
        <v>21</v>
      </c>
      <c r="T14">
        <v>3</v>
      </c>
      <c r="U14">
        <v>1</v>
      </c>
      <c r="V14">
        <v>1</v>
      </c>
      <c r="W14">
        <v>1</v>
      </c>
      <c r="X14" s="30">
        <v>60</v>
      </c>
      <c r="Z14" s="32" t="str">
        <f>IFERROR(_xlfn.XLOOKUP(O14,Acumulado!$L$3:$L$19,Acumulado!$M$3:$M$19),"0")</f>
        <v>0</v>
      </c>
      <c r="AB14" s="30">
        <f t="shared" si="2"/>
        <v>60</v>
      </c>
      <c r="AD14" s="28">
        <f t="shared" si="3"/>
        <v>0</v>
      </c>
    </row>
    <row r="15" spans="2:30" x14ac:dyDescent="0.25">
      <c r="B15">
        <v>1</v>
      </c>
      <c r="C15" s="3">
        <v>1</v>
      </c>
      <c r="D15" s="6" t="s">
        <v>36</v>
      </c>
      <c r="E15" t="s">
        <v>37</v>
      </c>
      <c r="F15" s="6" t="s">
        <v>38</v>
      </c>
      <c r="G15" s="24" t="s">
        <v>15</v>
      </c>
      <c r="H15" s="6" t="s">
        <v>16</v>
      </c>
      <c r="I15">
        <v>1</v>
      </c>
      <c r="K15" s="25" t="str">
        <v>Mesa Reuniones Tipo II</v>
      </c>
      <c r="L15" s="35">
        <f t="shared" si="0"/>
        <v>201009</v>
      </c>
      <c r="M15" s="25">
        <f t="shared" si="1"/>
        <v>2</v>
      </c>
      <c r="O15" s="1" t="s">
        <v>286</v>
      </c>
      <c r="P15" t="s">
        <v>287</v>
      </c>
      <c r="Q15">
        <v>44</v>
      </c>
      <c r="R15">
        <v>5</v>
      </c>
      <c r="S15">
        <v>10</v>
      </c>
      <c r="T15"/>
      <c r="X15" s="30">
        <v>59</v>
      </c>
      <c r="Z15" s="32" t="str">
        <f>IFERROR(_xlfn.XLOOKUP(O15,Acumulado!$L$3:$L$19,Acumulado!$M$3:$M$19),"0")</f>
        <v>0</v>
      </c>
      <c r="AB15" s="30">
        <f t="shared" si="2"/>
        <v>59</v>
      </c>
      <c r="AD15" s="28">
        <f t="shared" si="3"/>
        <v>0</v>
      </c>
    </row>
    <row r="16" spans="2:30" x14ac:dyDescent="0.25">
      <c r="B16">
        <v>1</v>
      </c>
      <c r="C16" s="3">
        <v>1</v>
      </c>
      <c r="D16" s="6" t="s">
        <v>36</v>
      </c>
      <c r="E16" t="s">
        <v>39</v>
      </c>
      <c r="F16" s="6" t="s">
        <v>40</v>
      </c>
      <c r="G16" s="24">
        <v>201004</v>
      </c>
      <c r="H16" s="6" t="s">
        <v>41</v>
      </c>
      <c r="I16">
        <v>1</v>
      </c>
      <c r="M16" s="27">
        <f>SUM(M3:M15)</f>
        <v>203</v>
      </c>
      <c r="O16" s="1" t="s">
        <v>19</v>
      </c>
      <c r="P16" t="s">
        <v>20</v>
      </c>
      <c r="Q16">
        <v>18</v>
      </c>
      <c r="R16">
        <v>40</v>
      </c>
      <c r="S16"/>
      <c r="T16"/>
      <c r="X16" s="30">
        <v>58</v>
      </c>
      <c r="Z16" s="32">
        <f>IFERROR(_xlfn.XLOOKUP(O16,Acumulado!$L$3:$L$19,Acumulado!$M$3:$M$19),"0")</f>
        <v>53</v>
      </c>
      <c r="AB16" s="30">
        <f t="shared" si="2"/>
        <v>5</v>
      </c>
      <c r="AD16" s="28">
        <f t="shared" si="3"/>
        <v>0.9137931034482758</v>
      </c>
    </row>
    <row r="17" spans="2:30" x14ac:dyDescent="0.25">
      <c r="B17">
        <v>1</v>
      </c>
      <c r="C17" s="3">
        <v>1</v>
      </c>
      <c r="D17" s="6" t="s">
        <v>36</v>
      </c>
      <c r="E17" t="s">
        <v>42</v>
      </c>
      <c r="F17" s="6" t="s">
        <v>43</v>
      </c>
      <c r="G17" s="24">
        <v>201010</v>
      </c>
      <c r="H17" s="6" t="s">
        <v>44</v>
      </c>
      <c r="I17">
        <v>1</v>
      </c>
      <c r="O17" s="1" t="s">
        <v>220</v>
      </c>
      <c r="P17" t="s">
        <v>221</v>
      </c>
      <c r="Q17">
        <v>56</v>
      </c>
      <c r="S17"/>
      <c r="T17"/>
      <c r="X17" s="30">
        <v>56</v>
      </c>
      <c r="Z17" s="32" t="str">
        <f>IFERROR(_xlfn.XLOOKUP(O17,Acumulado!$L$3:$L$19,Acumulado!$M$3:$M$19),"0")</f>
        <v>0</v>
      </c>
      <c r="AB17" s="30">
        <f t="shared" si="2"/>
        <v>56</v>
      </c>
      <c r="AD17" s="28">
        <f t="shared" si="3"/>
        <v>0</v>
      </c>
    </row>
    <row r="18" spans="2:30" x14ac:dyDescent="0.25">
      <c r="B18">
        <v>1</v>
      </c>
      <c r="C18" s="3">
        <v>1</v>
      </c>
      <c r="D18" s="6" t="s">
        <v>36</v>
      </c>
      <c r="E18" t="s">
        <v>42</v>
      </c>
      <c r="F18" s="6" t="s">
        <v>43</v>
      </c>
      <c r="G18" s="24" t="s">
        <v>23</v>
      </c>
      <c r="H18" s="6" t="s">
        <v>24</v>
      </c>
      <c r="I18">
        <v>1</v>
      </c>
      <c r="O18" s="1">
        <v>201008</v>
      </c>
      <c r="P18" t="s">
        <v>29</v>
      </c>
      <c r="Q18">
        <v>19</v>
      </c>
      <c r="R18">
        <v>14</v>
      </c>
      <c r="S18">
        <v>16</v>
      </c>
      <c r="T18">
        <v>2</v>
      </c>
      <c r="U18">
        <v>2</v>
      </c>
      <c r="X18" s="30">
        <v>53</v>
      </c>
      <c r="Z18" s="32">
        <f>IFERROR(_xlfn.XLOOKUP(O18,Acumulado!$L$3:$L$19,Acumulado!$M$3:$M$19),"0")</f>
        <v>44</v>
      </c>
      <c r="AB18" s="30">
        <f t="shared" si="2"/>
        <v>9</v>
      </c>
      <c r="AD18" s="28">
        <f t="shared" si="3"/>
        <v>0.83018867924528306</v>
      </c>
    </row>
    <row r="19" spans="2:30" x14ac:dyDescent="0.25">
      <c r="B19">
        <v>1</v>
      </c>
      <c r="C19" s="3">
        <v>1</v>
      </c>
      <c r="D19" s="6" t="s">
        <v>36</v>
      </c>
      <c r="E19" t="s">
        <v>45</v>
      </c>
      <c r="F19" s="6" t="s">
        <v>46</v>
      </c>
      <c r="G19" s="24">
        <v>201008</v>
      </c>
      <c r="H19" s="6" t="s">
        <v>29</v>
      </c>
      <c r="I19">
        <v>3</v>
      </c>
      <c r="O19" s="1">
        <v>204009</v>
      </c>
      <c r="P19" t="s">
        <v>203</v>
      </c>
      <c r="Q19">
        <v>33</v>
      </c>
      <c r="R19">
        <v>15</v>
      </c>
      <c r="S19"/>
      <c r="T19"/>
      <c r="U19">
        <v>4</v>
      </c>
      <c r="X19" s="30">
        <v>52</v>
      </c>
      <c r="Z19" s="32" t="str">
        <f>IFERROR(_xlfn.XLOOKUP(O19,Acumulado!$L$3:$L$19,Acumulado!$M$3:$M$19),"0")</f>
        <v>0</v>
      </c>
      <c r="AB19" s="30">
        <f t="shared" si="2"/>
        <v>52</v>
      </c>
      <c r="AD19" s="28">
        <f t="shared" si="3"/>
        <v>0</v>
      </c>
    </row>
    <row r="20" spans="2:30" x14ac:dyDescent="0.25">
      <c r="B20">
        <v>1</v>
      </c>
      <c r="C20" s="3">
        <v>1</v>
      </c>
      <c r="D20" s="6" t="s">
        <v>36</v>
      </c>
      <c r="E20" t="s">
        <v>45</v>
      </c>
      <c r="F20" s="6" t="s">
        <v>46</v>
      </c>
      <c r="G20" s="24" t="s">
        <v>15</v>
      </c>
      <c r="H20" s="6" t="s">
        <v>16</v>
      </c>
      <c r="I20">
        <v>1</v>
      </c>
      <c r="O20" s="1" t="s">
        <v>118</v>
      </c>
      <c r="P20" t="s">
        <v>119</v>
      </c>
      <c r="Q20">
        <v>13</v>
      </c>
      <c r="R20">
        <v>13</v>
      </c>
      <c r="S20">
        <v>4</v>
      </c>
      <c r="T20">
        <v>5</v>
      </c>
      <c r="U20">
        <v>3</v>
      </c>
      <c r="V20">
        <v>2</v>
      </c>
      <c r="W20">
        <v>2</v>
      </c>
      <c r="X20" s="30">
        <v>42</v>
      </c>
      <c r="Z20" s="32">
        <f>IFERROR(_xlfn.XLOOKUP(O20,Acumulado!$L$3:$L$19,Acumulado!$M$3:$M$19),"0")</f>
        <v>17</v>
      </c>
      <c r="AB20" s="30">
        <f t="shared" si="2"/>
        <v>25</v>
      </c>
      <c r="AD20" s="28">
        <f t="shared" si="3"/>
        <v>0.40476190476190477</v>
      </c>
    </row>
    <row r="21" spans="2:30" x14ac:dyDescent="0.25">
      <c r="B21">
        <v>1</v>
      </c>
      <c r="C21" s="3">
        <v>1</v>
      </c>
      <c r="D21" s="6" t="s">
        <v>36</v>
      </c>
      <c r="E21" t="s">
        <v>47</v>
      </c>
      <c r="F21" s="6" t="s">
        <v>48</v>
      </c>
      <c r="G21" s="24" t="s">
        <v>49</v>
      </c>
      <c r="H21" s="6" t="s">
        <v>50</v>
      </c>
      <c r="I21">
        <v>1</v>
      </c>
      <c r="O21" s="1">
        <v>204011</v>
      </c>
      <c r="P21" t="s">
        <v>459</v>
      </c>
      <c r="Q21"/>
      <c r="R21">
        <v>8</v>
      </c>
      <c r="S21">
        <v>25</v>
      </c>
      <c r="T21"/>
      <c r="X21" s="30">
        <v>33</v>
      </c>
      <c r="Z21" s="32" t="str">
        <f>IFERROR(_xlfn.XLOOKUP(O21,Acumulado!$L$3:$L$19,Acumulado!$M$3:$M$19),"0")</f>
        <v>0</v>
      </c>
      <c r="AB21" s="30">
        <f t="shared" si="2"/>
        <v>33</v>
      </c>
      <c r="AD21" s="28">
        <f t="shared" si="3"/>
        <v>0</v>
      </c>
    </row>
    <row r="22" spans="2:30" x14ac:dyDescent="0.25">
      <c r="B22">
        <v>1</v>
      </c>
      <c r="C22" s="3">
        <v>1</v>
      </c>
      <c r="D22" s="6" t="s">
        <v>36</v>
      </c>
      <c r="E22" t="s">
        <v>51</v>
      </c>
      <c r="F22" s="6" t="s">
        <v>52</v>
      </c>
      <c r="G22" s="24" t="s">
        <v>13</v>
      </c>
      <c r="H22" s="6" t="s">
        <v>14</v>
      </c>
      <c r="I22">
        <v>1</v>
      </c>
      <c r="O22" s="1">
        <v>204013</v>
      </c>
      <c r="P22" t="s">
        <v>93</v>
      </c>
      <c r="Q22">
        <v>17</v>
      </c>
      <c r="R22">
        <v>12</v>
      </c>
      <c r="S22"/>
      <c r="T22">
        <v>2</v>
      </c>
      <c r="X22" s="30">
        <v>31</v>
      </c>
      <c r="Z22" s="32" t="str">
        <f>IFERROR(_xlfn.XLOOKUP(O22,Acumulado!$L$3:$L$19,Acumulado!$M$3:$M$19),"0")</f>
        <v>0</v>
      </c>
      <c r="AB22" s="30">
        <f t="shared" si="2"/>
        <v>31</v>
      </c>
      <c r="AD22" s="28">
        <f t="shared" si="3"/>
        <v>0</v>
      </c>
    </row>
    <row r="23" spans="2:30" x14ac:dyDescent="0.25">
      <c r="B23">
        <v>1</v>
      </c>
      <c r="C23" s="3">
        <v>1</v>
      </c>
      <c r="D23" s="6" t="s">
        <v>36</v>
      </c>
      <c r="E23" t="s">
        <v>51</v>
      </c>
      <c r="F23" s="6" t="s">
        <v>52</v>
      </c>
      <c r="G23" s="24" t="s">
        <v>15</v>
      </c>
      <c r="H23" s="6" t="s">
        <v>16</v>
      </c>
      <c r="I23">
        <v>1</v>
      </c>
      <c r="O23" s="1">
        <v>201002</v>
      </c>
      <c r="P23" t="s">
        <v>70</v>
      </c>
      <c r="Q23">
        <v>1</v>
      </c>
      <c r="R23">
        <v>2</v>
      </c>
      <c r="S23">
        <v>2</v>
      </c>
      <c r="T23">
        <v>6</v>
      </c>
      <c r="U23">
        <v>6</v>
      </c>
      <c r="V23">
        <v>7</v>
      </c>
      <c r="W23">
        <v>7</v>
      </c>
      <c r="X23" s="30">
        <v>31</v>
      </c>
      <c r="Z23" s="32">
        <f>IFERROR(_xlfn.XLOOKUP(O23,Acumulado!$L$3:$L$19,Acumulado!$M$3:$M$19),"0")</f>
        <v>6</v>
      </c>
      <c r="AB23" s="30">
        <f t="shared" si="2"/>
        <v>25</v>
      </c>
      <c r="AD23" s="28">
        <f t="shared" si="3"/>
        <v>0.19354838709677424</v>
      </c>
    </row>
    <row r="24" spans="2:30" x14ac:dyDescent="0.25">
      <c r="B24">
        <v>1</v>
      </c>
      <c r="C24" s="3">
        <v>1</v>
      </c>
      <c r="D24" s="6" t="s">
        <v>36</v>
      </c>
      <c r="E24" t="s">
        <v>53</v>
      </c>
      <c r="F24" s="6" t="s">
        <v>54</v>
      </c>
      <c r="G24" s="24" t="s">
        <v>13</v>
      </c>
      <c r="H24" s="6" t="s">
        <v>14</v>
      </c>
      <c r="I24">
        <v>1</v>
      </c>
      <c r="O24" s="1" t="s">
        <v>107</v>
      </c>
      <c r="P24" t="s">
        <v>108</v>
      </c>
      <c r="Q24">
        <v>20</v>
      </c>
      <c r="R24">
        <v>1</v>
      </c>
      <c r="S24">
        <v>7</v>
      </c>
      <c r="T24"/>
      <c r="V24">
        <v>1</v>
      </c>
      <c r="W24">
        <v>1</v>
      </c>
      <c r="X24" s="30">
        <v>30</v>
      </c>
      <c r="Z24" s="32" t="str">
        <f>IFERROR(_xlfn.XLOOKUP(O24,Acumulado!$L$3:$L$19,Acumulado!$M$3:$M$19),"0")</f>
        <v>0</v>
      </c>
      <c r="AB24" s="30">
        <f t="shared" si="2"/>
        <v>30</v>
      </c>
      <c r="AD24" s="28">
        <f t="shared" si="3"/>
        <v>0</v>
      </c>
    </row>
    <row r="25" spans="2:30" x14ac:dyDescent="0.25">
      <c r="B25">
        <v>1</v>
      </c>
      <c r="C25" s="3">
        <v>1</v>
      </c>
      <c r="D25" s="6" t="s">
        <v>36</v>
      </c>
      <c r="E25" t="s">
        <v>53</v>
      </c>
      <c r="F25" s="6" t="s">
        <v>54</v>
      </c>
      <c r="G25" s="24" t="s">
        <v>15</v>
      </c>
      <c r="H25" s="6" t="s">
        <v>16</v>
      </c>
      <c r="I25">
        <v>1</v>
      </c>
      <c r="O25" s="1">
        <v>202006</v>
      </c>
      <c r="P25" t="s">
        <v>214</v>
      </c>
      <c r="Q25">
        <v>28</v>
      </c>
      <c r="S25"/>
      <c r="T25"/>
      <c r="X25" s="30">
        <v>28</v>
      </c>
      <c r="Z25" s="32" t="str">
        <f>IFERROR(_xlfn.XLOOKUP(O25,Acumulado!$L$3:$L$19,Acumulado!$M$3:$M$19),"0")</f>
        <v>0</v>
      </c>
      <c r="AB25" s="30">
        <f t="shared" si="2"/>
        <v>28</v>
      </c>
      <c r="AD25" s="28">
        <f t="shared" si="3"/>
        <v>0</v>
      </c>
    </row>
    <row r="26" spans="2:30" x14ac:dyDescent="0.25">
      <c r="B26">
        <v>1</v>
      </c>
      <c r="C26" s="3">
        <v>1</v>
      </c>
      <c r="D26" s="6" t="s">
        <v>36</v>
      </c>
      <c r="E26" t="s">
        <v>55</v>
      </c>
      <c r="F26" s="6" t="s">
        <v>56</v>
      </c>
      <c r="G26" s="24" t="s">
        <v>15</v>
      </c>
      <c r="H26" s="6" t="s">
        <v>16</v>
      </c>
      <c r="I26">
        <v>1</v>
      </c>
      <c r="O26" s="1" t="s">
        <v>177</v>
      </c>
      <c r="P26" t="s">
        <v>178</v>
      </c>
      <c r="Q26">
        <v>13</v>
      </c>
      <c r="R26">
        <v>6</v>
      </c>
      <c r="S26">
        <v>1</v>
      </c>
      <c r="T26">
        <v>3</v>
      </c>
      <c r="U26">
        <v>1</v>
      </c>
      <c r="X26" s="30">
        <v>24</v>
      </c>
      <c r="Z26" s="32" t="str">
        <f>IFERROR(_xlfn.XLOOKUP(O26,Acumulado!$L$3:$L$19,Acumulado!$M$3:$M$19),"0")</f>
        <v>0</v>
      </c>
      <c r="AB26" s="30">
        <f t="shared" si="2"/>
        <v>24</v>
      </c>
      <c r="AD26" s="28">
        <f t="shared" si="3"/>
        <v>0</v>
      </c>
    </row>
    <row r="27" spans="2:30" x14ac:dyDescent="0.25">
      <c r="B27">
        <v>1</v>
      </c>
      <c r="C27" s="3">
        <v>1</v>
      </c>
      <c r="D27" s="6" t="s">
        <v>36</v>
      </c>
      <c r="E27" t="s">
        <v>57</v>
      </c>
      <c r="F27" s="6" t="s">
        <v>58</v>
      </c>
      <c r="G27" s="24" t="s">
        <v>19</v>
      </c>
      <c r="H27" s="6" t="s">
        <v>20</v>
      </c>
      <c r="I27">
        <v>1</v>
      </c>
      <c r="O27" s="1" t="s">
        <v>105</v>
      </c>
      <c r="P27" t="s">
        <v>106</v>
      </c>
      <c r="Q27">
        <v>10</v>
      </c>
      <c r="R27">
        <v>3</v>
      </c>
      <c r="S27">
        <v>6</v>
      </c>
      <c r="T27">
        <v>3</v>
      </c>
      <c r="X27" s="30">
        <v>22</v>
      </c>
      <c r="Z27" s="32" t="str">
        <f>IFERROR(_xlfn.XLOOKUP(O27,Acumulado!$L$3:$L$19,Acumulado!$M$3:$M$19),"0")</f>
        <v>0</v>
      </c>
      <c r="AB27" s="30">
        <f t="shared" si="2"/>
        <v>22</v>
      </c>
      <c r="AD27" s="28">
        <f t="shared" si="3"/>
        <v>0</v>
      </c>
    </row>
    <row r="28" spans="2:30" x14ac:dyDescent="0.25">
      <c r="B28">
        <v>1</v>
      </c>
      <c r="C28" s="3">
        <v>1</v>
      </c>
      <c r="D28" s="6" t="s">
        <v>36</v>
      </c>
      <c r="E28" t="s">
        <v>59</v>
      </c>
      <c r="F28" s="6" t="s">
        <v>60</v>
      </c>
      <c r="G28" s="24" t="s">
        <v>19</v>
      </c>
      <c r="H28" s="6" t="s">
        <v>20</v>
      </c>
      <c r="I28">
        <v>1</v>
      </c>
      <c r="O28" s="1">
        <v>203018</v>
      </c>
      <c r="P28" t="s">
        <v>217</v>
      </c>
      <c r="Q28">
        <v>20</v>
      </c>
      <c r="S28"/>
      <c r="T28"/>
      <c r="X28" s="30">
        <v>20</v>
      </c>
      <c r="Z28" s="32" t="str">
        <f>IFERROR(_xlfn.XLOOKUP(O28,Acumulado!$L$3:$L$19,Acumulado!$M$3:$M$19),"0")</f>
        <v>0</v>
      </c>
      <c r="AB28" s="30">
        <f t="shared" si="2"/>
        <v>20</v>
      </c>
      <c r="AD28" s="28">
        <f t="shared" si="3"/>
        <v>0</v>
      </c>
    </row>
    <row r="29" spans="2:30" x14ac:dyDescent="0.25">
      <c r="B29">
        <v>1</v>
      </c>
      <c r="C29" s="3">
        <v>1</v>
      </c>
      <c r="D29" s="6" t="s">
        <v>36</v>
      </c>
      <c r="E29" t="s">
        <v>59</v>
      </c>
      <c r="F29" s="6" t="s">
        <v>60</v>
      </c>
      <c r="G29" s="24" t="s">
        <v>15</v>
      </c>
      <c r="H29" s="6" t="s">
        <v>16</v>
      </c>
      <c r="I29">
        <v>1</v>
      </c>
      <c r="O29" s="1">
        <v>203021</v>
      </c>
      <c r="P29" t="s">
        <v>205</v>
      </c>
      <c r="Q29">
        <v>16</v>
      </c>
      <c r="R29">
        <v>1</v>
      </c>
      <c r="S29">
        <v>2</v>
      </c>
      <c r="T29"/>
      <c r="V29">
        <v>1</v>
      </c>
      <c r="X29" s="30">
        <v>20</v>
      </c>
      <c r="Z29" s="32" t="str">
        <f>IFERROR(_xlfn.XLOOKUP(O29,Acumulado!$L$3:$L$19,Acumulado!$M$3:$M$19),"0")</f>
        <v>0</v>
      </c>
      <c r="AB29" s="30">
        <f t="shared" si="2"/>
        <v>20</v>
      </c>
      <c r="AD29" s="28">
        <f t="shared" si="3"/>
        <v>0</v>
      </c>
    </row>
    <row r="30" spans="2:30" x14ac:dyDescent="0.25">
      <c r="B30">
        <v>1</v>
      </c>
      <c r="C30" s="3">
        <v>1</v>
      </c>
      <c r="D30" s="6" t="s">
        <v>36</v>
      </c>
      <c r="E30" t="s">
        <v>61</v>
      </c>
      <c r="F30" s="6" t="s">
        <v>62</v>
      </c>
      <c r="G30" s="24" t="s">
        <v>19</v>
      </c>
      <c r="H30" s="6" t="s">
        <v>20</v>
      </c>
      <c r="I30">
        <v>1</v>
      </c>
      <c r="O30" s="1">
        <v>204007</v>
      </c>
      <c r="P30" t="s">
        <v>240</v>
      </c>
      <c r="Q30">
        <v>18</v>
      </c>
      <c r="S30"/>
      <c r="T30"/>
      <c r="X30" s="30">
        <v>18</v>
      </c>
      <c r="Z30" s="32" t="str">
        <f>IFERROR(_xlfn.XLOOKUP(O30,Acumulado!$L$3:$L$19,Acumulado!$M$3:$M$19),"0")</f>
        <v>0</v>
      </c>
      <c r="AB30" s="30">
        <f t="shared" si="2"/>
        <v>18</v>
      </c>
      <c r="AD30" s="28">
        <f t="shared" si="3"/>
        <v>0</v>
      </c>
    </row>
    <row r="31" spans="2:30" x14ac:dyDescent="0.25">
      <c r="B31">
        <v>1</v>
      </c>
      <c r="C31" s="3">
        <v>1</v>
      </c>
      <c r="D31" s="6" t="s">
        <v>36</v>
      </c>
      <c r="E31" t="s">
        <v>63</v>
      </c>
      <c r="F31" s="6" t="s">
        <v>64</v>
      </c>
      <c r="G31" s="24" t="s">
        <v>19</v>
      </c>
      <c r="H31" s="6" t="s">
        <v>20</v>
      </c>
      <c r="I31">
        <v>1</v>
      </c>
      <c r="O31" s="1">
        <v>204003</v>
      </c>
      <c r="P31" t="s">
        <v>219</v>
      </c>
      <c r="Q31">
        <v>18</v>
      </c>
      <c r="S31"/>
      <c r="T31"/>
      <c r="X31" s="30">
        <v>18</v>
      </c>
      <c r="Z31" s="32" t="str">
        <f>IFERROR(_xlfn.XLOOKUP(O31,Acumulado!$L$3:$L$19,Acumulado!$M$3:$M$19),"0")</f>
        <v>0</v>
      </c>
      <c r="AB31" s="30">
        <f t="shared" si="2"/>
        <v>18</v>
      </c>
      <c r="AD31" s="28">
        <f t="shared" si="3"/>
        <v>0</v>
      </c>
    </row>
    <row r="32" spans="2:30" x14ac:dyDescent="0.25">
      <c r="B32">
        <v>1</v>
      </c>
      <c r="C32" s="3">
        <v>1</v>
      </c>
      <c r="D32" s="6" t="s">
        <v>36</v>
      </c>
      <c r="E32" t="s">
        <v>65</v>
      </c>
      <c r="F32" s="6" t="s">
        <v>66</v>
      </c>
      <c r="G32" s="24">
        <v>201004</v>
      </c>
      <c r="H32" s="6" t="s">
        <v>41</v>
      </c>
      <c r="I32">
        <v>1</v>
      </c>
      <c r="O32" s="1">
        <v>201009</v>
      </c>
      <c r="P32" t="s">
        <v>255</v>
      </c>
      <c r="Q32">
        <v>3</v>
      </c>
      <c r="R32">
        <v>13</v>
      </c>
      <c r="S32">
        <v>1</v>
      </c>
      <c r="T32"/>
      <c r="X32" s="30">
        <v>17</v>
      </c>
      <c r="Z32" s="32">
        <f>IFERROR(_xlfn.XLOOKUP(O32,Acumulado!$L$3:$L$19,Acumulado!$M$3:$M$19),"0")</f>
        <v>16</v>
      </c>
      <c r="AB32" s="30">
        <f t="shared" si="2"/>
        <v>1</v>
      </c>
      <c r="AD32" s="28">
        <f t="shared" si="3"/>
        <v>0.94117647058823528</v>
      </c>
    </row>
    <row r="33" spans="2:30" x14ac:dyDescent="0.25">
      <c r="B33">
        <v>1</v>
      </c>
      <c r="C33" s="3">
        <v>1</v>
      </c>
      <c r="D33" s="6" t="s">
        <v>36</v>
      </c>
      <c r="E33" t="s">
        <v>65</v>
      </c>
      <c r="F33" s="6" t="s">
        <v>66</v>
      </c>
      <c r="G33" s="24" t="s">
        <v>19</v>
      </c>
      <c r="H33" s="6" t="s">
        <v>20</v>
      </c>
      <c r="I33">
        <v>1</v>
      </c>
      <c r="O33" s="1" t="s">
        <v>463</v>
      </c>
      <c r="P33" t="s">
        <v>464</v>
      </c>
      <c r="Q33"/>
      <c r="R33">
        <v>16</v>
      </c>
      <c r="S33"/>
      <c r="T33"/>
      <c r="X33" s="30">
        <v>16</v>
      </c>
      <c r="Z33" s="32">
        <f>IFERROR(_xlfn.XLOOKUP(O33,Acumulado!$L$3:$L$19,Acumulado!$M$3:$M$19),"0")</f>
        <v>16</v>
      </c>
      <c r="AB33" s="30">
        <f t="shared" si="2"/>
        <v>0</v>
      </c>
      <c r="AD33" s="28">
        <f t="shared" si="3"/>
        <v>1</v>
      </c>
    </row>
    <row r="34" spans="2:30" x14ac:dyDescent="0.25">
      <c r="B34">
        <v>1</v>
      </c>
      <c r="C34" s="3">
        <v>1</v>
      </c>
      <c r="D34" s="6" t="s">
        <v>67</v>
      </c>
      <c r="E34" t="s">
        <v>68</v>
      </c>
      <c r="F34" s="6" t="s">
        <v>69</v>
      </c>
      <c r="G34" s="24">
        <v>201002</v>
      </c>
      <c r="H34" s="6" t="s">
        <v>70</v>
      </c>
      <c r="I34">
        <v>1</v>
      </c>
      <c r="O34" s="1">
        <v>202009</v>
      </c>
      <c r="P34" t="s">
        <v>238</v>
      </c>
      <c r="Q34">
        <v>14</v>
      </c>
      <c r="S34"/>
      <c r="T34"/>
      <c r="X34" s="30">
        <v>14</v>
      </c>
      <c r="Z34" s="32" t="str">
        <f>IFERROR(_xlfn.XLOOKUP(O34,Acumulado!$L$3:$L$19,Acumulado!$M$3:$M$19),"0")</f>
        <v>0</v>
      </c>
      <c r="AB34" s="30">
        <f t="shared" si="2"/>
        <v>14</v>
      </c>
      <c r="AD34" s="28">
        <f t="shared" si="3"/>
        <v>0</v>
      </c>
    </row>
    <row r="35" spans="2:30" x14ac:dyDescent="0.25">
      <c r="B35">
        <v>1</v>
      </c>
      <c r="C35" s="3">
        <v>1</v>
      </c>
      <c r="D35" s="6" t="s">
        <v>67</v>
      </c>
      <c r="E35" t="s">
        <v>71</v>
      </c>
      <c r="F35" s="6" t="s">
        <v>72</v>
      </c>
      <c r="G35" s="24" t="s">
        <v>13</v>
      </c>
      <c r="H35" s="6" t="s">
        <v>14</v>
      </c>
      <c r="I35">
        <v>1</v>
      </c>
      <c r="O35" s="1">
        <v>202008</v>
      </c>
      <c r="P35" t="s">
        <v>237</v>
      </c>
      <c r="Q35">
        <v>14</v>
      </c>
      <c r="S35"/>
      <c r="T35"/>
      <c r="X35" s="30">
        <v>14</v>
      </c>
      <c r="Z35" s="32" t="str">
        <f>IFERROR(_xlfn.XLOOKUP(O35,Acumulado!$L$3:$L$19,Acumulado!$M$3:$M$19),"0")</f>
        <v>0</v>
      </c>
      <c r="AB35" s="30">
        <f t="shared" si="2"/>
        <v>14</v>
      </c>
      <c r="AD35" s="28">
        <f t="shared" si="3"/>
        <v>0</v>
      </c>
    </row>
    <row r="36" spans="2:30" x14ac:dyDescent="0.25">
      <c r="B36">
        <v>1</v>
      </c>
      <c r="C36" s="3">
        <v>1</v>
      </c>
      <c r="D36" s="6" t="s">
        <v>67</v>
      </c>
      <c r="E36" t="s">
        <v>71</v>
      </c>
      <c r="F36" s="6" t="s">
        <v>72</v>
      </c>
      <c r="G36" s="24" t="s">
        <v>15</v>
      </c>
      <c r="H36" s="6" t="s">
        <v>16</v>
      </c>
      <c r="I36">
        <v>1</v>
      </c>
      <c r="O36" s="1">
        <v>204008</v>
      </c>
      <c r="P36" t="s">
        <v>241</v>
      </c>
      <c r="Q36">
        <v>13</v>
      </c>
      <c r="S36"/>
      <c r="T36"/>
      <c r="X36" s="30">
        <v>13</v>
      </c>
      <c r="Z36" s="32" t="str">
        <f>IFERROR(_xlfn.XLOOKUP(O36,Acumulado!$L$3:$L$19,Acumulado!$M$3:$M$19),"0")</f>
        <v>0</v>
      </c>
      <c r="AB36" s="30">
        <f t="shared" si="2"/>
        <v>13</v>
      </c>
      <c r="AD36" s="28">
        <f t="shared" si="3"/>
        <v>0</v>
      </c>
    </row>
    <row r="37" spans="2:30" x14ac:dyDescent="0.25">
      <c r="B37">
        <v>1</v>
      </c>
      <c r="C37" s="8">
        <v>1</v>
      </c>
      <c r="D37" s="6" t="s">
        <v>67</v>
      </c>
      <c r="E37" t="s">
        <v>73</v>
      </c>
      <c r="F37" s="6" t="s">
        <v>74</v>
      </c>
      <c r="G37" s="24" t="s">
        <v>23</v>
      </c>
      <c r="H37" s="6" t="s">
        <v>24</v>
      </c>
      <c r="I37">
        <v>1</v>
      </c>
      <c r="O37" s="1">
        <v>201005</v>
      </c>
      <c r="P37" t="s">
        <v>212</v>
      </c>
      <c r="Q37">
        <v>12</v>
      </c>
      <c r="S37"/>
      <c r="T37"/>
      <c r="X37" s="30">
        <v>12</v>
      </c>
      <c r="Z37" s="32">
        <f>IFERROR(_xlfn.XLOOKUP(O37,Acumulado!$L$3:$L$19,Acumulado!$M$3:$M$19),"0")</f>
        <v>12</v>
      </c>
      <c r="AB37" s="30">
        <f t="shared" si="2"/>
        <v>0</v>
      </c>
      <c r="AD37" s="28">
        <f t="shared" si="3"/>
        <v>1</v>
      </c>
    </row>
    <row r="38" spans="2:30" x14ac:dyDescent="0.25">
      <c r="B38">
        <v>2</v>
      </c>
      <c r="C38" s="3">
        <v>1</v>
      </c>
      <c r="D38" s="6" t="s">
        <v>84</v>
      </c>
      <c r="E38" t="s">
        <v>85</v>
      </c>
      <c r="F38" s="6" t="s">
        <v>86</v>
      </c>
      <c r="G38" s="24" t="s">
        <v>13</v>
      </c>
      <c r="H38" s="6" t="s">
        <v>14</v>
      </c>
      <c r="I38">
        <v>1</v>
      </c>
      <c r="O38" s="1">
        <v>201010</v>
      </c>
      <c r="P38" t="s">
        <v>44</v>
      </c>
      <c r="Q38">
        <v>2</v>
      </c>
      <c r="R38">
        <v>3</v>
      </c>
      <c r="S38">
        <v>5</v>
      </c>
      <c r="T38"/>
      <c r="U38">
        <v>1</v>
      </c>
      <c r="V38">
        <v>1</v>
      </c>
      <c r="X38" s="30">
        <v>12</v>
      </c>
      <c r="Z38" s="32">
        <f>IFERROR(_xlfn.XLOOKUP(O38,Acumulado!$L$3:$L$19,Acumulado!$M$3:$M$19),"0")</f>
        <v>10</v>
      </c>
      <c r="AB38" s="30">
        <f t="shared" si="2"/>
        <v>2</v>
      </c>
      <c r="AD38" s="28">
        <f t="shared" si="3"/>
        <v>0.83333333333333337</v>
      </c>
    </row>
    <row r="39" spans="2:30" x14ac:dyDescent="0.25">
      <c r="B39">
        <v>2</v>
      </c>
      <c r="C39" s="3">
        <v>1</v>
      </c>
      <c r="D39" s="6" t="s">
        <v>84</v>
      </c>
      <c r="E39" t="s">
        <v>85</v>
      </c>
      <c r="F39" s="6" t="s">
        <v>86</v>
      </c>
      <c r="G39" s="24" t="s">
        <v>15</v>
      </c>
      <c r="H39" s="6" t="s">
        <v>16</v>
      </c>
      <c r="I39">
        <v>1</v>
      </c>
      <c r="O39" s="1">
        <v>202004</v>
      </c>
      <c r="P39" t="s">
        <v>204</v>
      </c>
      <c r="Q39">
        <v>11</v>
      </c>
      <c r="S39"/>
      <c r="T39"/>
      <c r="X39" s="30">
        <v>11</v>
      </c>
      <c r="Z39" s="32" t="str">
        <f>IFERROR(_xlfn.XLOOKUP(O39,Acumulado!$L$3:$L$19,Acumulado!$M$3:$M$19),"0")</f>
        <v>0</v>
      </c>
      <c r="AB39" s="30">
        <f t="shared" si="2"/>
        <v>11</v>
      </c>
      <c r="AD39" s="28">
        <f t="shared" si="3"/>
        <v>0</v>
      </c>
    </row>
    <row r="40" spans="2:30" x14ac:dyDescent="0.25">
      <c r="B40">
        <v>2</v>
      </c>
      <c r="C40" s="3">
        <v>1</v>
      </c>
      <c r="D40" s="6" t="s">
        <v>84</v>
      </c>
      <c r="E40" t="s">
        <v>90</v>
      </c>
      <c r="F40" s="6" t="s">
        <v>91</v>
      </c>
      <c r="G40" s="24" t="s">
        <v>49</v>
      </c>
      <c r="H40" s="6" t="s">
        <v>50</v>
      </c>
      <c r="I40">
        <v>1</v>
      </c>
      <c r="O40" s="1">
        <v>204004</v>
      </c>
      <c r="P40" t="s">
        <v>202</v>
      </c>
      <c r="Q40">
        <v>10</v>
      </c>
      <c r="S40"/>
      <c r="T40"/>
      <c r="X40" s="30">
        <v>10</v>
      </c>
      <c r="Z40" s="32" t="str">
        <f>IFERROR(_xlfn.XLOOKUP(O40,Acumulado!$L$3:$L$19,Acumulado!$M$3:$M$19),"0")</f>
        <v>0</v>
      </c>
      <c r="AB40" s="30">
        <f t="shared" si="2"/>
        <v>10</v>
      </c>
      <c r="AD40" s="28">
        <f t="shared" si="3"/>
        <v>0</v>
      </c>
    </row>
    <row r="41" spans="2:30" x14ac:dyDescent="0.25">
      <c r="B41">
        <v>2</v>
      </c>
      <c r="C41" s="3">
        <v>1</v>
      </c>
      <c r="D41" s="6" t="s">
        <v>84</v>
      </c>
      <c r="E41" t="s">
        <v>94</v>
      </c>
      <c r="F41" s="6" t="s">
        <v>95</v>
      </c>
      <c r="G41" s="24" t="s">
        <v>23</v>
      </c>
      <c r="H41" s="6" t="s">
        <v>24</v>
      </c>
      <c r="I41">
        <v>1</v>
      </c>
      <c r="O41" s="1">
        <v>203003</v>
      </c>
      <c r="P41" t="s">
        <v>313</v>
      </c>
      <c r="Q41"/>
      <c r="R41">
        <v>9</v>
      </c>
      <c r="S41"/>
      <c r="T41"/>
      <c r="X41" s="30">
        <v>9</v>
      </c>
      <c r="Z41" s="32" t="str">
        <f>IFERROR(_xlfn.XLOOKUP(O41,Acumulado!$L$3:$L$19,Acumulado!$M$3:$M$19),"0")</f>
        <v>0</v>
      </c>
      <c r="AB41" s="30">
        <f t="shared" si="2"/>
        <v>9</v>
      </c>
      <c r="AD41" s="28">
        <f t="shared" si="3"/>
        <v>0</v>
      </c>
    </row>
    <row r="42" spans="2:30" x14ac:dyDescent="0.25">
      <c r="B42">
        <v>2</v>
      </c>
      <c r="C42" s="3">
        <v>1</v>
      </c>
      <c r="D42" s="6" t="s">
        <v>84</v>
      </c>
      <c r="E42" t="s">
        <v>94</v>
      </c>
      <c r="F42" s="6" t="s">
        <v>95</v>
      </c>
      <c r="G42" s="24" t="s">
        <v>15</v>
      </c>
      <c r="H42" s="6" t="s">
        <v>16</v>
      </c>
      <c r="I42">
        <v>1</v>
      </c>
      <c r="O42" s="1">
        <v>202002</v>
      </c>
      <c r="P42" t="s">
        <v>142</v>
      </c>
      <c r="Q42">
        <v>6</v>
      </c>
      <c r="R42">
        <v>1</v>
      </c>
      <c r="S42">
        <v>1</v>
      </c>
      <c r="T42"/>
      <c r="X42" s="30">
        <v>8</v>
      </c>
      <c r="Z42" s="32" t="str">
        <f>IFERROR(_xlfn.XLOOKUP(O42,Acumulado!$L$3:$L$19,Acumulado!$M$3:$M$19),"0")</f>
        <v>0</v>
      </c>
      <c r="AB42" s="30">
        <f t="shared" si="2"/>
        <v>8</v>
      </c>
      <c r="AD42" s="28">
        <f t="shared" si="3"/>
        <v>0</v>
      </c>
    </row>
    <row r="43" spans="2:30" x14ac:dyDescent="0.25">
      <c r="B43">
        <v>2</v>
      </c>
      <c r="C43" s="3">
        <v>1</v>
      </c>
      <c r="D43" s="6" t="s">
        <v>84</v>
      </c>
      <c r="E43" t="s">
        <v>98</v>
      </c>
      <c r="F43" s="6" t="s">
        <v>99</v>
      </c>
      <c r="G43" s="24" t="s">
        <v>15</v>
      </c>
      <c r="H43" s="6" t="s">
        <v>16</v>
      </c>
      <c r="I43">
        <v>1</v>
      </c>
      <c r="O43" s="1">
        <v>202001</v>
      </c>
      <c r="P43" t="s">
        <v>213</v>
      </c>
      <c r="Q43">
        <v>8</v>
      </c>
      <c r="S43"/>
      <c r="T43"/>
      <c r="X43" s="30">
        <v>8</v>
      </c>
      <c r="Z43" s="32" t="str">
        <f>IFERROR(_xlfn.XLOOKUP(O43,Acumulado!$L$3:$L$19,Acumulado!$M$3:$M$19),"0")</f>
        <v>0</v>
      </c>
      <c r="AB43" s="30">
        <f t="shared" si="2"/>
        <v>8</v>
      </c>
      <c r="AD43" s="28">
        <f t="shared" si="3"/>
        <v>0</v>
      </c>
    </row>
    <row r="44" spans="2:30" x14ac:dyDescent="0.25">
      <c r="B44">
        <v>2</v>
      </c>
      <c r="C44" s="3">
        <v>1</v>
      </c>
      <c r="D44" s="6" t="s">
        <v>84</v>
      </c>
      <c r="E44" t="s">
        <v>101</v>
      </c>
      <c r="F44" s="6" t="s">
        <v>102</v>
      </c>
      <c r="G44" s="24" t="s">
        <v>23</v>
      </c>
      <c r="H44" s="6" t="s">
        <v>24</v>
      </c>
      <c r="I44">
        <v>1</v>
      </c>
      <c r="O44" s="1">
        <v>201004</v>
      </c>
      <c r="P44" t="s">
        <v>41</v>
      </c>
      <c r="Q44">
        <v>3</v>
      </c>
      <c r="R44">
        <v>4</v>
      </c>
      <c r="S44"/>
      <c r="T44"/>
      <c r="U44">
        <v>1</v>
      </c>
      <c r="X44" s="30">
        <v>8</v>
      </c>
      <c r="Z44" s="32">
        <f>IFERROR(_xlfn.XLOOKUP(O44,Acumulado!$L$3:$L$19,Acumulado!$M$3:$M$19),"0")</f>
        <v>7</v>
      </c>
      <c r="AB44" s="30">
        <f t="shared" si="2"/>
        <v>1</v>
      </c>
      <c r="AD44" s="28">
        <f t="shared" si="3"/>
        <v>0.875</v>
      </c>
    </row>
    <row r="45" spans="2:30" x14ac:dyDescent="0.25">
      <c r="B45">
        <v>2</v>
      </c>
      <c r="C45" s="3">
        <v>1</v>
      </c>
      <c r="D45" s="6" t="s">
        <v>84</v>
      </c>
      <c r="E45" t="s">
        <v>101</v>
      </c>
      <c r="F45" s="6" t="s">
        <v>102</v>
      </c>
      <c r="G45" s="24" t="s">
        <v>15</v>
      </c>
      <c r="H45" s="6" t="s">
        <v>16</v>
      </c>
      <c r="I45">
        <v>1</v>
      </c>
      <c r="O45" s="1">
        <v>201007</v>
      </c>
      <c r="P45" t="s">
        <v>206</v>
      </c>
      <c r="Q45">
        <v>6</v>
      </c>
      <c r="R45">
        <v>2</v>
      </c>
      <c r="S45"/>
      <c r="T45"/>
      <c r="X45" s="30">
        <v>8</v>
      </c>
      <c r="Z45" s="32" t="str">
        <f>IFERROR(_xlfn.XLOOKUP(O45,Acumulado!$L$3:$L$19,Acumulado!$M$3:$M$19),"0")</f>
        <v>0</v>
      </c>
      <c r="AB45" s="30">
        <f t="shared" si="2"/>
        <v>8</v>
      </c>
      <c r="AD45" s="28">
        <f t="shared" si="3"/>
        <v>0</v>
      </c>
    </row>
    <row r="46" spans="2:30" x14ac:dyDescent="0.25">
      <c r="B46">
        <v>2</v>
      </c>
      <c r="C46" s="3">
        <v>1</v>
      </c>
      <c r="D46" s="6" t="s">
        <v>120</v>
      </c>
      <c r="E46" t="s">
        <v>121</v>
      </c>
      <c r="F46" s="6" t="s">
        <v>122</v>
      </c>
      <c r="G46" s="24" t="s">
        <v>13</v>
      </c>
      <c r="H46" s="6" t="s">
        <v>14</v>
      </c>
      <c r="I46">
        <v>1</v>
      </c>
      <c r="O46" s="1">
        <v>204016</v>
      </c>
      <c r="P46" t="s">
        <v>544</v>
      </c>
      <c r="Q46"/>
      <c r="R46">
        <v>2</v>
      </c>
      <c r="S46"/>
      <c r="T46">
        <v>3</v>
      </c>
      <c r="U46">
        <v>3</v>
      </c>
      <c r="X46" s="30">
        <v>8</v>
      </c>
      <c r="Z46" s="32" t="str">
        <f>IFERROR(_xlfn.XLOOKUP(O46,Acumulado!$L$3:$L$19,Acumulado!$M$3:$M$19),"0")</f>
        <v>0</v>
      </c>
      <c r="AB46" s="30">
        <f t="shared" si="2"/>
        <v>8</v>
      </c>
      <c r="AD46" s="28">
        <f t="shared" si="3"/>
        <v>0</v>
      </c>
    </row>
    <row r="47" spans="2:30" x14ac:dyDescent="0.25">
      <c r="B47">
        <v>2</v>
      </c>
      <c r="C47" s="3">
        <v>1</v>
      </c>
      <c r="D47" s="6" t="s">
        <v>120</v>
      </c>
      <c r="E47" t="s">
        <v>121</v>
      </c>
      <c r="F47" s="6" t="s">
        <v>122</v>
      </c>
      <c r="G47" s="24" t="s">
        <v>15</v>
      </c>
      <c r="H47" s="6" t="s">
        <v>16</v>
      </c>
      <c r="I47">
        <v>1</v>
      </c>
      <c r="O47" s="1">
        <v>202012</v>
      </c>
      <c r="P47" t="s">
        <v>215</v>
      </c>
      <c r="Q47">
        <v>8</v>
      </c>
      <c r="S47"/>
      <c r="T47"/>
      <c r="X47" s="30">
        <v>8</v>
      </c>
      <c r="Z47" s="32">
        <f>IFERROR(_xlfn.XLOOKUP(O47,Acumulado!$L$3:$L$19,Acumulado!$M$3:$M$19),"0")</f>
        <v>8</v>
      </c>
      <c r="AB47" s="30">
        <f t="shared" si="2"/>
        <v>0</v>
      </c>
      <c r="AD47" s="28">
        <f t="shared" si="3"/>
        <v>1</v>
      </c>
    </row>
    <row r="48" spans="2:30" x14ac:dyDescent="0.25">
      <c r="B48">
        <v>2</v>
      </c>
      <c r="C48" s="3">
        <v>1</v>
      </c>
      <c r="D48" s="6" t="s">
        <v>120</v>
      </c>
      <c r="E48" t="s">
        <v>123</v>
      </c>
      <c r="F48" s="6" t="s">
        <v>124</v>
      </c>
      <c r="G48" s="24">
        <v>201008</v>
      </c>
      <c r="H48" s="6" t="s">
        <v>29</v>
      </c>
      <c r="I48">
        <v>1</v>
      </c>
      <c r="O48" s="1" t="s">
        <v>159</v>
      </c>
      <c r="P48" t="s">
        <v>160</v>
      </c>
      <c r="Q48">
        <v>2</v>
      </c>
      <c r="R48">
        <v>2</v>
      </c>
      <c r="S48"/>
      <c r="T48">
        <v>1</v>
      </c>
      <c r="U48">
        <v>1</v>
      </c>
      <c r="X48" s="30">
        <v>6</v>
      </c>
      <c r="Z48" s="32" t="str">
        <f>IFERROR(_xlfn.XLOOKUP(O48,Acumulado!$L$3:$L$19,Acumulado!$M$3:$M$19),"0")</f>
        <v>0</v>
      </c>
      <c r="AB48" s="30">
        <f t="shared" si="2"/>
        <v>6</v>
      </c>
      <c r="AD48" s="28">
        <f t="shared" si="3"/>
        <v>0</v>
      </c>
    </row>
    <row r="49" spans="2:30" x14ac:dyDescent="0.25">
      <c r="B49">
        <v>2</v>
      </c>
      <c r="C49" s="3">
        <v>1</v>
      </c>
      <c r="D49" s="6" t="s">
        <v>120</v>
      </c>
      <c r="E49" t="s">
        <v>123</v>
      </c>
      <c r="F49" s="6" t="s">
        <v>124</v>
      </c>
      <c r="G49" s="24" t="s">
        <v>13</v>
      </c>
      <c r="H49" s="6" t="s">
        <v>14</v>
      </c>
      <c r="I49">
        <v>1</v>
      </c>
      <c r="O49" s="1">
        <v>204018</v>
      </c>
      <c r="P49" t="s">
        <v>547</v>
      </c>
      <c r="Q49"/>
      <c r="R49">
        <v>6</v>
      </c>
      <c r="S49"/>
      <c r="T49"/>
      <c r="X49" s="30">
        <v>6</v>
      </c>
      <c r="Z49" s="32" t="str">
        <f>IFERROR(_xlfn.XLOOKUP(O49,Acumulado!$L$3:$L$19,Acumulado!$M$3:$M$19),"0")</f>
        <v>0</v>
      </c>
      <c r="AB49" s="30">
        <f t="shared" si="2"/>
        <v>6</v>
      </c>
      <c r="AD49" s="28">
        <f t="shared" si="3"/>
        <v>0</v>
      </c>
    </row>
    <row r="50" spans="2:30" x14ac:dyDescent="0.25">
      <c r="B50">
        <v>2</v>
      </c>
      <c r="C50" s="3">
        <v>1</v>
      </c>
      <c r="D50" s="6" t="s">
        <v>120</v>
      </c>
      <c r="E50" t="s">
        <v>123</v>
      </c>
      <c r="F50" s="6" t="s">
        <v>124</v>
      </c>
      <c r="G50" s="24" t="s">
        <v>15</v>
      </c>
      <c r="H50" s="6" t="s">
        <v>16</v>
      </c>
      <c r="I50">
        <v>1</v>
      </c>
      <c r="O50" s="1">
        <v>204019</v>
      </c>
      <c r="P50" t="s">
        <v>242</v>
      </c>
      <c r="Q50">
        <v>5</v>
      </c>
      <c r="S50"/>
      <c r="T50"/>
      <c r="X50" s="30">
        <v>5</v>
      </c>
      <c r="Z50" s="32" t="str">
        <f>IFERROR(_xlfn.XLOOKUP(O50,Acumulado!$L$3:$L$19,Acumulado!$M$3:$M$19),"0")</f>
        <v>0</v>
      </c>
      <c r="AB50" s="30">
        <f t="shared" si="2"/>
        <v>5</v>
      </c>
      <c r="AD50" s="28">
        <f t="shared" si="3"/>
        <v>0</v>
      </c>
    </row>
    <row r="51" spans="2:30" x14ac:dyDescent="0.25">
      <c r="B51">
        <v>2</v>
      </c>
      <c r="C51" s="3">
        <v>1</v>
      </c>
      <c r="D51" s="6" t="s">
        <v>120</v>
      </c>
      <c r="E51" t="s">
        <v>125</v>
      </c>
      <c r="F51" s="6" t="s">
        <v>126</v>
      </c>
      <c r="G51" s="24">
        <v>201008</v>
      </c>
      <c r="H51" s="6" t="s">
        <v>29</v>
      </c>
      <c r="I51">
        <v>1</v>
      </c>
      <c r="O51" s="1">
        <v>202010</v>
      </c>
      <c r="P51" t="s">
        <v>179</v>
      </c>
      <c r="Q51">
        <v>4</v>
      </c>
      <c r="R51">
        <v>1</v>
      </c>
      <c r="S51"/>
      <c r="T51"/>
      <c r="X51" s="30">
        <v>5</v>
      </c>
      <c r="Z51" s="32" t="str">
        <f>IFERROR(_xlfn.XLOOKUP(O51,Acumulado!$L$3:$L$19,Acumulado!$M$3:$M$19),"0")</f>
        <v>0</v>
      </c>
      <c r="AB51" s="30">
        <f t="shared" si="2"/>
        <v>5</v>
      </c>
      <c r="AD51" s="28">
        <f t="shared" si="3"/>
        <v>0</v>
      </c>
    </row>
    <row r="52" spans="2:30" x14ac:dyDescent="0.25">
      <c r="B52">
        <v>2</v>
      </c>
      <c r="C52" s="3">
        <v>1</v>
      </c>
      <c r="D52" s="6" t="s">
        <v>120</v>
      </c>
      <c r="E52" t="s">
        <v>125</v>
      </c>
      <c r="F52" s="6" t="s">
        <v>126</v>
      </c>
      <c r="G52" s="24" t="s">
        <v>13</v>
      </c>
      <c r="H52" s="6" t="s">
        <v>14</v>
      </c>
      <c r="I52">
        <v>1</v>
      </c>
      <c r="O52" s="1">
        <v>203014</v>
      </c>
      <c r="P52" t="s">
        <v>216</v>
      </c>
      <c r="Q52">
        <v>4</v>
      </c>
      <c r="S52"/>
      <c r="T52"/>
      <c r="X52" s="30">
        <v>4</v>
      </c>
      <c r="Z52" s="32" t="str">
        <f>IFERROR(_xlfn.XLOOKUP(O52,Acumulado!$L$3:$L$19,Acumulado!$M$3:$M$19),"0")</f>
        <v>0</v>
      </c>
      <c r="AB52" s="30">
        <f t="shared" si="2"/>
        <v>4</v>
      </c>
      <c r="AD52" s="28">
        <f t="shared" si="3"/>
        <v>0</v>
      </c>
    </row>
    <row r="53" spans="2:30" x14ac:dyDescent="0.25">
      <c r="B53">
        <v>2</v>
      </c>
      <c r="C53" s="3">
        <v>1</v>
      </c>
      <c r="D53" s="6" t="s">
        <v>120</v>
      </c>
      <c r="E53" t="s">
        <v>125</v>
      </c>
      <c r="F53" s="6" t="s">
        <v>126</v>
      </c>
      <c r="G53" s="24" t="s">
        <v>15</v>
      </c>
      <c r="H53" s="6" t="s">
        <v>16</v>
      </c>
      <c r="I53">
        <v>1</v>
      </c>
      <c r="O53" s="1" t="s">
        <v>245</v>
      </c>
      <c r="P53" t="s">
        <v>246</v>
      </c>
      <c r="Q53">
        <v>4</v>
      </c>
      <c r="S53"/>
      <c r="T53"/>
      <c r="X53" s="30">
        <v>4</v>
      </c>
      <c r="Z53" s="32" t="str">
        <f>IFERROR(_xlfn.XLOOKUP(O53,Acumulado!$L$3:$L$19,Acumulado!$M$3:$M$19),"0")</f>
        <v>0</v>
      </c>
      <c r="AB53" s="30">
        <f t="shared" si="2"/>
        <v>4</v>
      </c>
      <c r="AD53" s="28">
        <f t="shared" si="3"/>
        <v>0</v>
      </c>
    </row>
    <row r="54" spans="2:30" x14ac:dyDescent="0.25">
      <c r="B54">
        <v>2</v>
      </c>
      <c r="C54" s="3">
        <v>1</v>
      </c>
      <c r="D54" s="6" t="s">
        <v>120</v>
      </c>
      <c r="E54" t="s">
        <v>127</v>
      </c>
      <c r="F54" s="6" t="s">
        <v>128</v>
      </c>
      <c r="G54" s="24">
        <v>201008</v>
      </c>
      <c r="H54" s="6" t="s">
        <v>29</v>
      </c>
      <c r="I54">
        <v>1</v>
      </c>
      <c r="O54" s="1">
        <v>204005</v>
      </c>
      <c r="P54" t="s">
        <v>239</v>
      </c>
      <c r="Q54">
        <v>4</v>
      </c>
      <c r="S54"/>
      <c r="T54"/>
      <c r="X54" s="30">
        <v>4</v>
      </c>
      <c r="Z54" s="32" t="str">
        <f>IFERROR(_xlfn.XLOOKUP(O54,Acumulado!$L$3:$L$19,Acumulado!$M$3:$M$19),"0")</f>
        <v>0</v>
      </c>
      <c r="AB54" s="30">
        <f t="shared" si="2"/>
        <v>4</v>
      </c>
      <c r="AD54" s="28">
        <f t="shared" si="3"/>
        <v>0</v>
      </c>
    </row>
    <row r="55" spans="2:30" x14ac:dyDescent="0.25">
      <c r="B55">
        <v>2</v>
      </c>
      <c r="C55" s="3">
        <v>1</v>
      </c>
      <c r="D55" s="6" t="s">
        <v>120</v>
      </c>
      <c r="E55" t="s">
        <v>127</v>
      </c>
      <c r="F55" s="6" t="s">
        <v>128</v>
      </c>
      <c r="G55" s="24" t="s">
        <v>13</v>
      </c>
      <c r="H55" s="6" t="s">
        <v>14</v>
      </c>
      <c r="I55">
        <v>1</v>
      </c>
      <c r="O55" s="1">
        <v>204022</v>
      </c>
      <c r="P55" t="s">
        <v>296</v>
      </c>
      <c r="Q55"/>
      <c r="R55">
        <v>4</v>
      </c>
      <c r="S55"/>
      <c r="T55"/>
      <c r="X55" s="30">
        <v>4</v>
      </c>
      <c r="Z55" s="32" t="str">
        <f>IFERROR(_xlfn.XLOOKUP(O55,Acumulado!$L$3:$L$19,Acumulado!$M$3:$M$19),"0")</f>
        <v>0</v>
      </c>
      <c r="AB55" s="30">
        <f t="shared" si="2"/>
        <v>4</v>
      </c>
      <c r="AD55" s="28">
        <f t="shared" si="3"/>
        <v>0</v>
      </c>
    </row>
    <row r="56" spans="2:30" x14ac:dyDescent="0.25">
      <c r="B56">
        <v>2</v>
      </c>
      <c r="C56" s="3">
        <v>1</v>
      </c>
      <c r="D56" s="6" t="s">
        <v>120</v>
      </c>
      <c r="E56" t="s">
        <v>127</v>
      </c>
      <c r="F56" s="6" t="s">
        <v>128</v>
      </c>
      <c r="G56" s="24" t="s">
        <v>15</v>
      </c>
      <c r="H56" s="6" t="s">
        <v>16</v>
      </c>
      <c r="I56">
        <v>1</v>
      </c>
      <c r="O56" s="1">
        <v>204001</v>
      </c>
      <c r="P56" t="s">
        <v>224</v>
      </c>
      <c r="Q56">
        <v>4</v>
      </c>
      <c r="S56"/>
      <c r="T56"/>
      <c r="X56" s="30">
        <v>4</v>
      </c>
      <c r="Z56" s="32" t="str">
        <f>IFERROR(_xlfn.XLOOKUP(O56,Acumulado!$L$3:$L$19,Acumulado!$M$3:$M$19),"0")</f>
        <v>0</v>
      </c>
      <c r="AB56" s="30">
        <f t="shared" si="2"/>
        <v>4</v>
      </c>
      <c r="AD56" s="28">
        <f t="shared" si="3"/>
        <v>0</v>
      </c>
    </row>
    <row r="57" spans="2:30" x14ac:dyDescent="0.25">
      <c r="B57">
        <v>2</v>
      </c>
      <c r="C57" s="3">
        <v>1</v>
      </c>
      <c r="D57" s="6" t="s">
        <v>120</v>
      </c>
      <c r="E57" t="s">
        <v>129</v>
      </c>
      <c r="F57" s="6" t="s">
        <v>130</v>
      </c>
      <c r="G57" s="24">
        <v>201008</v>
      </c>
      <c r="H57" s="6" t="s">
        <v>29</v>
      </c>
      <c r="I57">
        <v>1</v>
      </c>
      <c r="O57" s="1">
        <v>203022</v>
      </c>
      <c r="P57" t="s">
        <v>218</v>
      </c>
      <c r="Q57">
        <v>4</v>
      </c>
      <c r="S57"/>
      <c r="T57"/>
      <c r="X57" s="30">
        <v>4</v>
      </c>
      <c r="Z57" s="32" t="str">
        <f>IFERROR(_xlfn.XLOOKUP(O57,Acumulado!$L$3:$L$19,Acumulado!$M$3:$M$19),"0")</f>
        <v>0</v>
      </c>
      <c r="AB57" s="30">
        <f t="shared" si="2"/>
        <v>4</v>
      </c>
      <c r="AD57" s="28">
        <f t="shared" si="3"/>
        <v>0</v>
      </c>
    </row>
    <row r="58" spans="2:30" x14ac:dyDescent="0.25">
      <c r="B58">
        <v>2</v>
      </c>
      <c r="C58" s="3">
        <v>1</v>
      </c>
      <c r="D58" s="6" t="s">
        <v>120</v>
      </c>
      <c r="E58" t="s">
        <v>129</v>
      </c>
      <c r="F58" s="6" t="s">
        <v>130</v>
      </c>
      <c r="G58" s="24" t="s">
        <v>13</v>
      </c>
      <c r="H58" s="6" t="s">
        <v>14</v>
      </c>
      <c r="I58">
        <v>1</v>
      </c>
      <c r="O58" s="1" t="s">
        <v>440</v>
      </c>
      <c r="P58" t="s">
        <v>441</v>
      </c>
      <c r="Q58"/>
      <c r="R58">
        <v>4</v>
      </c>
      <c r="S58"/>
      <c r="T58"/>
      <c r="X58" s="30">
        <v>4</v>
      </c>
      <c r="Z58" s="32">
        <f>IFERROR(_xlfn.XLOOKUP(O58,Acumulado!$L$3:$L$19,Acumulado!$M$3:$M$19),"0")</f>
        <v>4</v>
      </c>
      <c r="AB58" s="30">
        <f t="shared" si="2"/>
        <v>0</v>
      </c>
      <c r="AD58" s="28">
        <f t="shared" si="3"/>
        <v>1</v>
      </c>
    </row>
    <row r="59" spans="2:30" x14ac:dyDescent="0.25">
      <c r="B59">
        <v>2</v>
      </c>
      <c r="C59" s="3">
        <v>1</v>
      </c>
      <c r="D59" s="6" t="s">
        <v>120</v>
      </c>
      <c r="E59" t="s">
        <v>129</v>
      </c>
      <c r="F59" s="6" t="s">
        <v>130</v>
      </c>
      <c r="G59" s="24" t="s">
        <v>15</v>
      </c>
      <c r="H59" s="6" t="s">
        <v>16</v>
      </c>
      <c r="I59">
        <v>1</v>
      </c>
      <c r="O59" s="1">
        <v>203019</v>
      </c>
      <c r="P59" t="s">
        <v>201</v>
      </c>
      <c r="Q59">
        <v>3</v>
      </c>
      <c r="R59">
        <v>1</v>
      </c>
      <c r="S59"/>
      <c r="T59"/>
      <c r="X59" s="30">
        <v>4</v>
      </c>
      <c r="Z59" s="32" t="str">
        <f>IFERROR(_xlfn.XLOOKUP(O59,Acumulado!$L$3:$L$19,Acumulado!$M$3:$M$19),"0")</f>
        <v>0</v>
      </c>
      <c r="AB59" s="30">
        <f t="shared" si="2"/>
        <v>4</v>
      </c>
      <c r="AD59" s="28">
        <f t="shared" si="3"/>
        <v>0</v>
      </c>
    </row>
    <row r="60" spans="2:30" x14ac:dyDescent="0.25">
      <c r="B60">
        <v>2</v>
      </c>
      <c r="C60" s="3">
        <v>1</v>
      </c>
      <c r="D60" s="6" t="s">
        <v>120</v>
      </c>
      <c r="E60" t="s">
        <v>131</v>
      </c>
      <c r="F60" s="6" t="s">
        <v>132</v>
      </c>
      <c r="G60" s="24" t="s">
        <v>23</v>
      </c>
      <c r="H60" s="6" t="s">
        <v>24</v>
      </c>
      <c r="I60">
        <v>1</v>
      </c>
      <c r="O60" s="1">
        <v>202013</v>
      </c>
      <c r="P60" t="s">
        <v>115</v>
      </c>
      <c r="Q60">
        <v>3</v>
      </c>
      <c r="S60"/>
      <c r="T60"/>
      <c r="X60" s="30">
        <v>3</v>
      </c>
      <c r="Z60" s="32" t="str">
        <f>IFERROR(_xlfn.XLOOKUP(O60,Acumulado!$L$3:$L$19,Acumulado!$M$3:$M$19),"0")</f>
        <v>0</v>
      </c>
      <c r="AB60" s="30">
        <f t="shared" si="2"/>
        <v>3</v>
      </c>
      <c r="AD60" s="28">
        <f t="shared" si="3"/>
        <v>0</v>
      </c>
    </row>
    <row r="61" spans="2:30" x14ac:dyDescent="0.25">
      <c r="B61">
        <v>2</v>
      </c>
      <c r="C61" s="3">
        <v>1</v>
      </c>
      <c r="D61" s="6" t="s">
        <v>120</v>
      </c>
      <c r="E61" t="s">
        <v>133</v>
      </c>
      <c r="F61" s="6" t="s">
        <v>134</v>
      </c>
      <c r="G61" s="24" t="s">
        <v>23</v>
      </c>
      <c r="H61" s="6" t="s">
        <v>24</v>
      </c>
      <c r="I61">
        <v>1</v>
      </c>
      <c r="O61" s="1">
        <v>204017</v>
      </c>
      <c r="P61" t="s">
        <v>272</v>
      </c>
      <c r="Q61">
        <v>3</v>
      </c>
      <c r="S61"/>
      <c r="T61"/>
      <c r="X61" s="30">
        <v>3</v>
      </c>
      <c r="Z61" s="32" t="str">
        <f>IFERROR(_xlfn.XLOOKUP(O61,Acumulado!$L$3:$L$19,Acumulado!$M$3:$M$19),"0")</f>
        <v>0</v>
      </c>
      <c r="AB61" s="30">
        <f t="shared" si="2"/>
        <v>3</v>
      </c>
      <c r="AD61" s="28">
        <f t="shared" si="3"/>
        <v>0</v>
      </c>
    </row>
    <row r="62" spans="2:30" x14ac:dyDescent="0.25">
      <c r="B62">
        <v>2</v>
      </c>
      <c r="C62" s="3">
        <v>1</v>
      </c>
      <c r="D62" s="6" t="s">
        <v>120</v>
      </c>
      <c r="E62" t="s">
        <v>135</v>
      </c>
      <c r="F62" s="6" t="s">
        <v>130</v>
      </c>
      <c r="G62" s="24" t="s">
        <v>23</v>
      </c>
      <c r="H62" s="6" t="s">
        <v>24</v>
      </c>
      <c r="I62">
        <v>1</v>
      </c>
      <c r="O62" s="1">
        <v>203002</v>
      </c>
      <c r="P62" t="s">
        <v>327</v>
      </c>
      <c r="Q62"/>
      <c r="R62">
        <v>3</v>
      </c>
      <c r="S62"/>
      <c r="T62"/>
      <c r="X62" s="30">
        <v>3</v>
      </c>
      <c r="Z62" s="32" t="str">
        <f>IFERROR(_xlfn.XLOOKUP(O62,Acumulado!$L$3:$L$19,Acumulado!$M$3:$M$19),"0")</f>
        <v>0</v>
      </c>
      <c r="AB62" s="30">
        <f t="shared" si="2"/>
        <v>3</v>
      </c>
      <c r="AD62" s="28">
        <f t="shared" si="3"/>
        <v>0</v>
      </c>
    </row>
    <row r="63" spans="2:30" x14ac:dyDescent="0.25">
      <c r="B63">
        <v>2</v>
      </c>
      <c r="C63" s="3">
        <v>1</v>
      </c>
      <c r="D63" s="6" t="s">
        <v>120</v>
      </c>
      <c r="E63" t="s">
        <v>135</v>
      </c>
      <c r="F63" s="6" t="s">
        <v>130</v>
      </c>
      <c r="G63" s="24" t="s">
        <v>15</v>
      </c>
      <c r="H63" s="6" t="s">
        <v>16</v>
      </c>
      <c r="I63">
        <v>1</v>
      </c>
      <c r="O63" s="1">
        <v>201012</v>
      </c>
      <c r="P63" t="s">
        <v>200</v>
      </c>
      <c r="Q63">
        <v>3</v>
      </c>
      <c r="S63"/>
      <c r="T63"/>
      <c r="X63" s="30">
        <v>3</v>
      </c>
      <c r="Z63" s="32" t="str">
        <f>IFERROR(_xlfn.XLOOKUP(O63,Acumulado!$L$3:$L$19,Acumulado!$M$3:$M$19),"0")</f>
        <v>0</v>
      </c>
      <c r="AB63" s="30">
        <f t="shared" si="2"/>
        <v>3</v>
      </c>
      <c r="AD63" s="28">
        <f t="shared" si="3"/>
        <v>0</v>
      </c>
    </row>
    <row r="64" spans="2:30" x14ac:dyDescent="0.25">
      <c r="B64">
        <v>2</v>
      </c>
      <c r="C64" s="3">
        <v>1</v>
      </c>
      <c r="D64" s="6" t="s">
        <v>120</v>
      </c>
      <c r="E64" t="s">
        <v>136</v>
      </c>
      <c r="F64" s="6" t="s">
        <v>137</v>
      </c>
      <c r="G64" s="24">
        <v>201008</v>
      </c>
      <c r="H64" s="6" t="s">
        <v>29</v>
      </c>
      <c r="I64">
        <v>1</v>
      </c>
      <c r="O64" s="1">
        <v>203008</v>
      </c>
      <c r="P64" t="s">
        <v>113</v>
      </c>
      <c r="Q64">
        <v>2</v>
      </c>
      <c r="S64"/>
      <c r="T64"/>
      <c r="X64" s="30">
        <v>2</v>
      </c>
      <c r="Z64" s="32" t="str">
        <f>IFERROR(_xlfn.XLOOKUP(O64,Acumulado!$L$3:$L$19,Acumulado!$M$3:$M$19),"0")</f>
        <v>0</v>
      </c>
      <c r="AB64" s="30">
        <f t="shared" si="2"/>
        <v>2</v>
      </c>
      <c r="AD64" s="28">
        <f t="shared" si="3"/>
        <v>0</v>
      </c>
    </row>
    <row r="65" spans="2:30" x14ac:dyDescent="0.25">
      <c r="B65">
        <v>2</v>
      </c>
      <c r="C65" s="3">
        <v>1</v>
      </c>
      <c r="D65" s="6" t="s">
        <v>120</v>
      </c>
      <c r="E65" t="s">
        <v>136</v>
      </c>
      <c r="F65" s="6" t="s">
        <v>137</v>
      </c>
      <c r="G65" s="24" t="s">
        <v>23</v>
      </c>
      <c r="H65" s="6" t="s">
        <v>24</v>
      </c>
      <c r="I65">
        <v>3</v>
      </c>
      <c r="O65" s="1">
        <v>201003</v>
      </c>
      <c r="P65" t="s">
        <v>236</v>
      </c>
      <c r="Q65">
        <v>2</v>
      </c>
      <c r="S65"/>
      <c r="T65"/>
      <c r="X65" s="30">
        <v>2</v>
      </c>
      <c r="Z65" s="32">
        <f>IFERROR(_xlfn.XLOOKUP(O65,Acumulado!$L$3:$L$19,Acumulado!$M$3:$M$19),"0")</f>
        <v>2</v>
      </c>
      <c r="AB65" s="30">
        <f t="shared" si="2"/>
        <v>0</v>
      </c>
      <c r="AD65" s="28">
        <f t="shared" si="3"/>
        <v>1</v>
      </c>
    </row>
    <row r="66" spans="2:30" x14ac:dyDescent="0.25">
      <c r="B66">
        <v>2</v>
      </c>
      <c r="C66" s="3">
        <v>1</v>
      </c>
      <c r="D66" s="6" t="s">
        <v>120</v>
      </c>
      <c r="E66" t="s">
        <v>136</v>
      </c>
      <c r="F66" s="6" t="s">
        <v>137</v>
      </c>
      <c r="G66" s="24" t="s">
        <v>15</v>
      </c>
      <c r="H66" s="6" t="s">
        <v>16</v>
      </c>
      <c r="I66">
        <v>3</v>
      </c>
      <c r="O66" s="1">
        <v>203013</v>
      </c>
      <c r="P66" t="s">
        <v>252</v>
      </c>
      <c r="Q66">
        <v>1</v>
      </c>
      <c r="R66">
        <v>1</v>
      </c>
      <c r="S66"/>
      <c r="T66"/>
      <c r="X66" s="30">
        <v>2</v>
      </c>
      <c r="Z66" s="32" t="str">
        <f>IFERROR(_xlfn.XLOOKUP(O66,Acumulado!$L$3:$L$19,Acumulado!$M$3:$M$19),"0")</f>
        <v>0</v>
      </c>
      <c r="AB66" s="30">
        <f t="shared" si="2"/>
        <v>2</v>
      </c>
      <c r="AD66" s="28">
        <f t="shared" si="3"/>
        <v>0</v>
      </c>
    </row>
    <row r="67" spans="2:30" x14ac:dyDescent="0.25">
      <c r="B67">
        <v>2</v>
      </c>
      <c r="C67" s="3">
        <v>1</v>
      </c>
      <c r="D67" s="6" t="s">
        <v>120</v>
      </c>
      <c r="E67" t="s">
        <v>138</v>
      </c>
      <c r="F67" s="6" t="s">
        <v>139</v>
      </c>
      <c r="G67" s="24" t="s">
        <v>13</v>
      </c>
      <c r="H67" s="6" t="s">
        <v>14</v>
      </c>
      <c r="I67">
        <v>2</v>
      </c>
      <c r="O67" s="1">
        <v>203005</v>
      </c>
      <c r="P67" t="s">
        <v>110</v>
      </c>
      <c r="Q67">
        <v>2</v>
      </c>
      <c r="S67"/>
      <c r="T67"/>
      <c r="X67" s="30">
        <v>2</v>
      </c>
      <c r="Z67" s="32" t="str">
        <f>IFERROR(_xlfn.XLOOKUP(O67,Acumulado!$L$3:$L$19,Acumulado!$M$3:$M$19),"0")</f>
        <v>0</v>
      </c>
      <c r="AB67" s="30">
        <f t="shared" si="2"/>
        <v>2</v>
      </c>
      <c r="AD67" s="28">
        <f t="shared" si="3"/>
        <v>0</v>
      </c>
    </row>
    <row r="68" spans="2:30" x14ac:dyDescent="0.25">
      <c r="B68">
        <v>2</v>
      </c>
      <c r="C68" s="3">
        <v>1</v>
      </c>
      <c r="D68" s="6" t="s">
        <v>120</v>
      </c>
      <c r="E68" t="s">
        <v>138</v>
      </c>
      <c r="F68" s="6" t="s">
        <v>139</v>
      </c>
      <c r="G68" s="24" t="s">
        <v>15</v>
      </c>
      <c r="H68" s="6" t="s">
        <v>16</v>
      </c>
      <c r="I68">
        <v>2</v>
      </c>
      <c r="O68" s="1">
        <v>203012</v>
      </c>
      <c r="P68" t="s">
        <v>251</v>
      </c>
      <c r="Q68">
        <v>1</v>
      </c>
      <c r="R68">
        <v>1</v>
      </c>
      <c r="S68"/>
      <c r="T68"/>
      <c r="X68" s="30">
        <v>2</v>
      </c>
      <c r="Z68" s="32" t="str">
        <f>IFERROR(_xlfn.XLOOKUP(O68,Acumulado!$L$3:$L$19,Acumulado!$M$3:$M$19),"0")</f>
        <v>0</v>
      </c>
      <c r="AB68" s="30">
        <f t="shared" ref="AB68:AB82" si="4">+X68-Z68</f>
        <v>2</v>
      </c>
      <c r="AD68" s="28">
        <f t="shared" si="3"/>
        <v>0</v>
      </c>
    </row>
    <row r="69" spans="2:30" x14ac:dyDescent="0.25">
      <c r="B69">
        <v>2</v>
      </c>
      <c r="C69" s="3">
        <v>1</v>
      </c>
      <c r="D69" s="6" t="s">
        <v>120</v>
      </c>
      <c r="E69" t="s">
        <v>140</v>
      </c>
      <c r="F69" s="6" t="s">
        <v>141</v>
      </c>
      <c r="G69" s="24" t="s">
        <v>13</v>
      </c>
      <c r="H69" s="6" t="s">
        <v>14</v>
      </c>
      <c r="I69">
        <v>2</v>
      </c>
      <c r="O69" s="1">
        <v>203020</v>
      </c>
      <c r="P69" t="s">
        <v>694</v>
      </c>
      <c r="Q69"/>
      <c r="S69">
        <v>2</v>
      </c>
      <c r="T69"/>
      <c r="X69" s="30">
        <v>2</v>
      </c>
      <c r="Z69" s="32" t="str">
        <f>IFERROR(_xlfn.XLOOKUP(O69,Acumulado!$L$3:$L$19,Acumulado!$M$3:$M$19),"0")</f>
        <v>0</v>
      </c>
      <c r="AB69" s="30">
        <f t="shared" si="4"/>
        <v>2</v>
      </c>
      <c r="AD69" s="28">
        <f t="shared" ref="AD69:AD82" si="5">1-(AB69/X69)</f>
        <v>0</v>
      </c>
    </row>
    <row r="70" spans="2:30" x14ac:dyDescent="0.25">
      <c r="B70">
        <v>2</v>
      </c>
      <c r="C70" s="3">
        <v>1</v>
      </c>
      <c r="D70" s="6" t="s">
        <v>120</v>
      </c>
      <c r="E70" t="s">
        <v>140</v>
      </c>
      <c r="F70" s="6" t="s">
        <v>141</v>
      </c>
      <c r="G70" s="24" t="s">
        <v>15</v>
      </c>
      <c r="H70" s="6" t="s">
        <v>16</v>
      </c>
      <c r="I70">
        <v>2</v>
      </c>
      <c r="O70" s="1">
        <v>203015</v>
      </c>
      <c r="P70" t="s">
        <v>229</v>
      </c>
      <c r="Q70">
        <v>1</v>
      </c>
      <c r="S70"/>
      <c r="T70"/>
      <c r="X70" s="30">
        <v>1</v>
      </c>
      <c r="Z70" s="32" t="str">
        <f>IFERROR(_xlfn.XLOOKUP(O70,Acumulado!$L$3:$L$19,Acumulado!$M$3:$M$19),"0")</f>
        <v>0</v>
      </c>
      <c r="AB70" s="30">
        <f t="shared" si="4"/>
        <v>1</v>
      </c>
      <c r="AD70" s="28">
        <f t="shared" si="5"/>
        <v>0</v>
      </c>
    </row>
    <row r="71" spans="2:30" x14ac:dyDescent="0.25">
      <c r="B71">
        <v>2</v>
      </c>
      <c r="C71" s="3">
        <v>1</v>
      </c>
      <c r="D71" s="6" t="s">
        <v>120</v>
      </c>
      <c r="E71" t="s">
        <v>143</v>
      </c>
      <c r="F71" s="6" t="s">
        <v>144</v>
      </c>
      <c r="G71" s="24">
        <v>201008</v>
      </c>
      <c r="H71" s="6" t="s">
        <v>29</v>
      </c>
      <c r="I71">
        <v>1</v>
      </c>
      <c r="O71" s="1">
        <v>203006</v>
      </c>
      <c r="P71" t="s">
        <v>111</v>
      </c>
      <c r="Q71">
        <v>1</v>
      </c>
      <c r="S71"/>
      <c r="T71"/>
      <c r="X71" s="30">
        <v>1</v>
      </c>
      <c r="Z71" s="32" t="str">
        <f>IFERROR(_xlfn.XLOOKUP(O71,Acumulado!$L$3:$L$19,Acumulado!$M$3:$M$19),"0")</f>
        <v>0</v>
      </c>
      <c r="AB71" s="30">
        <f t="shared" si="4"/>
        <v>1</v>
      </c>
      <c r="AD71" s="28">
        <f t="shared" si="5"/>
        <v>0</v>
      </c>
    </row>
    <row r="72" spans="2:30" x14ac:dyDescent="0.25">
      <c r="B72">
        <v>2</v>
      </c>
      <c r="C72" s="3">
        <v>1</v>
      </c>
      <c r="D72" s="6" t="s">
        <v>120</v>
      </c>
      <c r="E72" t="s">
        <v>143</v>
      </c>
      <c r="F72" s="6" t="s">
        <v>144</v>
      </c>
      <c r="G72" s="24" t="s">
        <v>13</v>
      </c>
      <c r="H72" s="6" t="s">
        <v>14</v>
      </c>
      <c r="I72">
        <v>1</v>
      </c>
      <c r="O72" s="1">
        <v>203004</v>
      </c>
      <c r="P72" t="s">
        <v>109</v>
      </c>
      <c r="Q72">
        <v>1</v>
      </c>
      <c r="S72"/>
      <c r="T72"/>
      <c r="X72" s="30">
        <v>1</v>
      </c>
      <c r="Z72" s="32" t="str">
        <f>IFERROR(_xlfn.XLOOKUP(O72,Acumulado!$L$3:$L$19,Acumulado!$M$3:$M$19),"0")</f>
        <v>0</v>
      </c>
      <c r="AB72" s="30">
        <f t="shared" si="4"/>
        <v>1</v>
      </c>
      <c r="AD72" s="28">
        <f t="shared" si="5"/>
        <v>0</v>
      </c>
    </row>
    <row r="73" spans="2:30" x14ac:dyDescent="0.25">
      <c r="B73">
        <v>2</v>
      </c>
      <c r="C73" s="3">
        <v>1</v>
      </c>
      <c r="D73" s="6" t="s">
        <v>120</v>
      </c>
      <c r="E73" t="s">
        <v>143</v>
      </c>
      <c r="F73" s="6" t="s">
        <v>144</v>
      </c>
      <c r="G73" s="24" t="s">
        <v>15</v>
      </c>
      <c r="H73" s="6" t="s">
        <v>16</v>
      </c>
      <c r="I73">
        <v>1</v>
      </c>
      <c r="O73" s="1">
        <v>203009</v>
      </c>
      <c r="P73" t="s">
        <v>114</v>
      </c>
      <c r="Q73">
        <v>1</v>
      </c>
      <c r="S73"/>
      <c r="T73"/>
      <c r="X73" s="30">
        <v>1</v>
      </c>
      <c r="Z73" s="32" t="str">
        <f>IFERROR(_xlfn.XLOOKUP(O73,Acumulado!$L$3:$L$19,Acumulado!$M$3:$M$19),"0")</f>
        <v>0</v>
      </c>
      <c r="AB73" s="30">
        <f t="shared" si="4"/>
        <v>1</v>
      </c>
      <c r="AD73" s="28">
        <f t="shared" si="5"/>
        <v>0</v>
      </c>
    </row>
    <row r="74" spans="2:30" x14ac:dyDescent="0.25">
      <c r="B74">
        <v>2</v>
      </c>
      <c r="C74" s="3">
        <v>1</v>
      </c>
      <c r="D74" s="6" t="s">
        <v>120</v>
      </c>
      <c r="E74" t="s">
        <v>145</v>
      </c>
      <c r="F74" s="6" t="s">
        <v>146</v>
      </c>
      <c r="G74" s="24" t="s">
        <v>13</v>
      </c>
      <c r="H74" s="6" t="s">
        <v>14</v>
      </c>
      <c r="I74">
        <v>1</v>
      </c>
      <c r="O74" s="1">
        <v>201006</v>
      </c>
      <c r="P74" t="s">
        <v>267</v>
      </c>
      <c r="Q74">
        <v>1</v>
      </c>
      <c r="S74"/>
      <c r="T74"/>
      <c r="X74" s="30">
        <v>1</v>
      </c>
      <c r="Z74" s="32" t="str">
        <f>IFERROR(_xlfn.XLOOKUP(O74,Acumulado!$L$3:$L$19,Acumulado!$M$3:$M$19),"0")</f>
        <v>0</v>
      </c>
      <c r="AB74" s="30">
        <f t="shared" si="4"/>
        <v>1</v>
      </c>
      <c r="AD74" s="28">
        <f t="shared" si="5"/>
        <v>0</v>
      </c>
    </row>
    <row r="75" spans="2:30" x14ac:dyDescent="0.25">
      <c r="B75">
        <v>2</v>
      </c>
      <c r="C75" s="3">
        <v>1</v>
      </c>
      <c r="D75" s="6" t="s">
        <v>120</v>
      </c>
      <c r="E75" t="s">
        <v>145</v>
      </c>
      <c r="F75" s="6" t="s">
        <v>146</v>
      </c>
      <c r="G75" s="24" t="s">
        <v>15</v>
      </c>
      <c r="H75" s="6" t="s">
        <v>16</v>
      </c>
      <c r="I75">
        <v>1</v>
      </c>
      <c r="O75" s="1">
        <v>203011</v>
      </c>
      <c r="P75" t="s">
        <v>208</v>
      </c>
      <c r="Q75">
        <v>1</v>
      </c>
      <c r="S75"/>
      <c r="T75"/>
      <c r="X75" s="30">
        <v>1</v>
      </c>
      <c r="Z75" s="32" t="str">
        <f>IFERROR(_xlfn.XLOOKUP(O75,Acumulado!$L$3:$L$19,Acumulado!$M$3:$M$19),"0")</f>
        <v>0</v>
      </c>
      <c r="AB75" s="30">
        <f t="shared" si="4"/>
        <v>1</v>
      </c>
      <c r="AD75" s="28">
        <f t="shared" si="5"/>
        <v>0</v>
      </c>
    </row>
    <row r="76" spans="2:30" x14ac:dyDescent="0.25">
      <c r="B76">
        <v>2</v>
      </c>
      <c r="C76" s="3">
        <v>1</v>
      </c>
      <c r="D76" s="6" t="s">
        <v>120</v>
      </c>
      <c r="E76" t="s">
        <v>147</v>
      </c>
      <c r="F76" s="6" t="s">
        <v>148</v>
      </c>
      <c r="G76" s="24" t="s">
        <v>23</v>
      </c>
      <c r="H76" s="6" t="s">
        <v>24</v>
      </c>
      <c r="I76">
        <v>2</v>
      </c>
      <c r="O76" s="1">
        <v>202003</v>
      </c>
      <c r="P76" t="s">
        <v>655</v>
      </c>
      <c r="Q76"/>
      <c r="S76">
        <v>1</v>
      </c>
      <c r="T76"/>
      <c r="X76" s="30">
        <v>1</v>
      </c>
      <c r="Z76" s="32" t="str">
        <f>IFERROR(_xlfn.XLOOKUP(O76,Acumulado!$L$3:$L$19,Acumulado!$M$3:$M$19),"0")</f>
        <v>0</v>
      </c>
      <c r="AB76" s="30">
        <f t="shared" si="4"/>
        <v>1</v>
      </c>
      <c r="AD76" s="28">
        <f t="shared" si="5"/>
        <v>0</v>
      </c>
    </row>
    <row r="77" spans="2:30" x14ac:dyDescent="0.25">
      <c r="B77">
        <v>2</v>
      </c>
      <c r="C77" s="3">
        <v>1</v>
      </c>
      <c r="D77" s="6" t="s">
        <v>120</v>
      </c>
      <c r="E77" t="s">
        <v>147</v>
      </c>
      <c r="F77" s="6" t="s">
        <v>148</v>
      </c>
      <c r="G77" s="24" t="s">
        <v>15</v>
      </c>
      <c r="H77" s="6" t="s">
        <v>16</v>
      </c>
      <c r="I77">
        <v>2</v>
      </c>
      <c r="O77" s="1">
        <v>202014</v>
      </c>
      <c r="P77" t="s">
        <v>684</v>
      </c>
      <c r="Q77"/>
      <c r="S77">
        <v>1</v>
      </c>
      <c r="T77"/>
      <c r="X77" s="30">
        <v>1</v>
      </c>
      <c r="Z77" s="32" t="str">
        <f>IFERROR(_xlfn.XLOOKUP(O77,Acumulado!$L$3:$L$19,Acumulado!$M$3:$M$19),"0")</f>
        <v>0</v>
      </c>
      <c r="AB77" s="30">
        <f t="shared" si="4"/>
        <v>1</v>
      </c>
      <c r="AD77" s="28">
        <f t="shared" si="5"/>
        <v>0</v>
      </c>
    </row>
    <row r="78" spans="2:30" x14ac:dyDescent="0.25">
      <c r="B78">
        <v>2</v>
      </c>
      <c r="C78" s="3">
        <v>1</v>
      </c>
      <c r="D78" s="6" t="s">
        <v>120</v>
      </c>
      <c r="E78" t="s">
        <v>149</v>
      </c>
      <c r="F78" s="6" t="s">
        <v>150</v>
      </c>
      <c r="G78" s="24" t="s">
        <v>13</v>
      </c>
      <c r="H78" s="6" t="s">
        <v>14</v>
      </c>
      <c r="I78">
        <v>1</v>
      </c>
      <c r="O78" s="1">
        <v>202007</v>
      </c>
      <c r="P78" t="s">
        <v>312</v>
      </c>
      <c r="Q78"/>
      <c r="R78">
        <v>1</v>
      </c>
      <c r="S78"/>
      <c r="T78"/>
      <c r="X78" s="30">
        <v>1</v>
      </c>
      <c r="Z78" s="32" t="str">
        <f>IFERROR(_xlfn.XLOOKUP(O78,Acumulado!$L$3:$L$19,Acumulado!$M$3:$M$19),"0")</f>
        <v>0</v>
      </c>
      <c r="AB78" s="30">
        <f t="shared" si="4"/>
        <v>1</v>
      </c>
      <c r="AD78" s="28">
        <f t="shared" si="5"/>
        <v>0</v>
      </c>
    </row>
    <row r="79" spans="2:30" x14ac:dyDescent="0.25">
      <c r="B79">
        <v>2</v>
      </c>
      <c r="C79" s="3">
        <v>1</v>
      </c>
      <c r="D79" s="6" t="s">
        <v>120</v>
      </c>
      <c r="E79" t="s">
        <v>149</v>
      </c>
      <c r="F79" s="6" t="s">
        <v>150</v>
      </c>
      <c r="G79" s="24" t="s">
        <v>15</v>
      </c>
      <c r="H79" s="6" t="s">
        <v>16</v>
      </c>
      <c r="I79">
        <v>1</v>
      </c>
      <c r="O79" s="1">
        <v>203001</v>
      </c>
      <c r="P79" t="s">
        <v>207</v>
      </c>
      <c r="Q79">
        <v>1</v>
      </c>
      <c r="S79"/>
      <c r="T79"/>
      <c r="X79" s="30">
        <v>1</v>
      </c>
      <c r="Z79" s="32" t="str">
        <f>IFERROR(_xlfn.XLOOKUP(O79,Acumulado!$L$3:$L$19,Acumulado!$M$3:$M$19),"0")</f>
        <v>0</v>
      </c>
      <c r="AB79" s="30">
        <f t="shared" si="4"/>
        <v>1</v>
      </c>
      <c r="AD79" s="28">
        <f t="shared" si="5"/>
        <v>0</v>
      </c>
    </row>
    <row r="80" spans="2:30" x14ac:dyDescent="0.25">
      <c r="B80">
        <v>2</v>
      </c>
      <c r="C80" s="3">
        <v>1</v>
      </c>
      <c r="D80" s="6" t="s">
        <v>120</v>
      </c>
      <c r="E80" t="s">
        <v>151</v>
      </c>
      <c r="F80" s="6" t="s">
        <v>152</v>
      </c>
      <c r="G80" s="24" t="s">
        <v>13</v>
      </c>
      <c r="H80" s="6" t="s">
        <v>14</v>
      </c>
      <c r="I80">
        <v>2</v>
      </c>
      <c r="O80" s="1">
        <v>203007</v>
      </c>
      <c r="P80" t="s">
        <v>112</v>
      </c>
      <c r="Q80">
        <v>1</v>
      </c>
      <c r="S80"/>
      <c r="T80"/>
      <c r="X80" s="30">
        <v>1</v>
      </c>
      <c r="Z80" s="32" t="str">
        <f>IFERROR(_xlfn.XLOOKUP(O80,Acumulado!$L$3:$L$19,Acumulado!$M$3:$M$19),"0")</f>
        <v>0</v>
      </c>
      <c r="AB80" s="30">
        <f t="shared" si="4"/>
        <v>1</v>
      </c>
      <c r="AD80" s="28">
        <f t="shared" si="5"/>
        <v>0</v>
      </c>
    </row>
    <row r="81" spans="2:30" x14ac:dyDescent="0.25">
      <c r="B81">
        <v>2</v>
      </c>
      <c r="C81" s="3">
        <v>1</v>
      </c>
      <c r="D81" s="6" t="s">
        <v>120</v>
      </c>
      <c r="E81" t="s">
        <v>151</v>
      </c>
      <c r="F81" s="6" t="s">
        <v>152</v>
      </c>
      <c r="G81" s="24" t="s">
        <v>15</v>
      </c>
      <c r="H81" s="6" t="s">
        <v>16</v>
      </c>
      <c r="I81">
        <v>2</v>
      </c>
      <c r="O81" s="1">
        <v>202005</v>
      </c>
      <c r="P81" t="s">
        <v>249</v>
      </c>
      <c r="Q81">
        <v>1</v>
      </c>
      <c r="S81"/>
      <c r="T81"/>
      <c r="X81" s="30">
        <v>1</v>
      </c>
      <c r="Z81" s="32" t="str">
        <f>IFERROR(_xlfn.XLOOKUP(O81,Acumulado!$L$3:$L$19,Acumulado!$M$3:$M$19),"0")</f>
        <v>0</v>
      </c>
      <c r="AB81" s="30">
        <f t="shared" si="4"/>
        <v>1</v>
      </c>
      <c r="AD81" s="28">
        <f t="shared" si="5"/>
        <v>0</v>
      </c>
    </row>
    <row r="82" spans="2:30" x14ac:dyDescent="0.25">
      <c r="B82">
        <v>2</v>
      </c>
      <c r="C82" s="3">
        <v>1</v>
      </c>
      <c r="D82" s="6" t="s">
        <v>120</v>
      </c>
      <c r="E82" t="s">
        <v>153</v>
      </c>
      <c r="F82" s="6" t="s">
        <v>91</v>
      </c>
      <c r="G82" s="24" t="s">
        <v>49</v>
      </c>
      <c r="H82" s="6" t="s">
        <v>50</v>
      </c>
      <c r="I82">
        <v>1</v>
      </c>
      <c r="O82" s="1">
        <v>204021</v>
      </c>
      <c r="P82" t="s">
        <v>295</v>
      </c>
      <c r="Q82"/>
      <c r="R82">
        <v>1</v>
      </c>
      <c r="S82"/>
      <c r="T82"/>
      <c r="X82" s="30">
        <v>1</v>
      </c>
      <c r="Z82" s="32" t="str">
        <f>IFERROR(_xlfn.XLOOKUP(O82,Acumulado!$L$3:$L$19,Acumulado!$M$3:$M$19),"0")</f>
        <v>0</v>
      </c>
      <c r="AB82" s="30">
        <f t="shared" si="4"/>
        <v>1</v>
      </c>
      <c r="AD82" s="28">
        <f t="shared" si="5"/>
        <v>0</v>
      </c>
    </row>
    <row r="83" spans="2:30" x14ac:dyDescent="0.25">
      <c r="B83">
        <v>2</v>
      </c>
      <c r="C83" s="3">
        <v>1</v>
      </c>
      <c r="D83" s="6" t="s">
        <v>120</v>
      </c>
      <c r="E83" t="s">
        <v>155</v>
      </c>
      <c r="F83" s="6" t="s">
        <v>156</v>
      </c>
      <c r="G83" s="24" t="s">
        <v>13</v>
      </c>
      <c r="H83" s="6" t="s">
        <v>14</v>
      </c>
      <c r="I83">
        <v>1</v>
      </c>
      <c r="N83" s="29">
        <f>100%-AD83</f>
        <v>0.816819503466786</v>
      </c>
      <c r="O83" t="s">
        <v>75</v>
      </c>
      <c r="P83"/>
      <c r="Q83" s="30">
        <v>1471</v>
      </c>
      <c r="R83" s="30">
        <v>1547</v>
      </c>
      <c r="S83">
        <v>855</v>
      </c>
      <c r="T83">
        <v>184</v>
      </c>
      <c r="U83">
        <v>137</v>
      </c>
      <c r="V83">
        <v>150</v>
      </c>
      <c r="W83">
        <v>127</v>
      </c>
      <c r="X83" s="30">
        <v>4471</v>
      </c>
      <c r="Y83" s="31"/>
      <c r="Z83" s="33">
        <f>SUM(Z3:Z82)</f>
        <v>819</v>
      </c>
      <c r="AA83" s="31"/>
      <c r="AB83" s="34">
        <f>SUM(AB3:AB82)</f>
        <v>3652</v>
      </c>
      <c r="AD83" s="28">
        <f>+Z83/X83</f>
        <v>0.18318049653321405</v>
      </c>
    </row>
    <row r="84" spans="2:30" x14ac:dyDescent="0.25">
      <c r="B84">
        <v>2</v>
      </c>
      <c r="C84" s="3">
        <v>1</v>
      </c>
      <c r="D84" s="6" t="s">
        <v>120</v>
      </c>
      <c r="E84" t="s">
        <v>155</v>
      </c>
      <c r="F84" s="6" t="s">
        <v>156</v>
      </c>
      <c r="G84" s="24" t="s">
        <v>15</v>
      </c>
      <c r="H84" s="6" t="s">
        <v>16</v>
      </c>
      <c r="I84">
        <v>1</v>
      </c>
      <c r="P84"/>
      <c r="S84"/>
      <c r="T84"/>
    </row>
    <row r="85" spans="2:30" x14ac:dyDescent="0.25">
      <c r="B85">
        <v>2</v>
      </c>
      <c r="C85" s="3">
        <v>1</v>
      </c>
      <c r="D85" s="6" t="s">
        <v>120</v>
      </c>
      <c r="E85" t="s">
        <v>157</v>
      </c>
      <c r="F85" s="6" t="s">
        <v>158</v>
      </c>
      <c r="G85" s="24" t="s">
        <v>23</v>
      </c>
      <c r="H85" s="6" t="s">
        <v>24</v>
      </c>
      <c r="I85">
        <v>2</v>
      </c>
      <c r="P85"/>
      <c r="S85"/>
      <c r="T85"/>
    </row>
    <row r="86" spans="2:30" x14ac:dyDescent="0.25">
      <c r="B86">
        <v>2</v>
      </c>
      <c r="C86" s="3">
        <v>1</v>
      </c>
      <c r="D86" s="6" t="s">
        <v>120</v>
      </c>
      <c r="E86" t="s">
        <v>157</v>
      </c>
      <c r="F86" s="6" t="s">
        <v>158</v>
      </c>
      <c r="G86" s="24" t="s">
        <v>15</v>
      </c>
      <c r="H86" s="6" t="s">
        <v>16</v>
      </c>
      <c r="I86">
        <v>2</v>
      </c>
    </row>
    <row r="87" spans="2:30" x14ac:dyDescent="0.25">
      <c r="B87">
        <v>2</v>
      </c>
      <c r="C87" s="3">
        <v>1</v>
      </c>
      <c r="D87" s="6" t="s">
        <v>120</v>
      </c>
      <c r="E87" t="s">
        <v>161</v>
      </c>
      <c r="F87" s="6" t="s">
        <v>91</v>
      </c>
      <c r="G87" s="24" t="s">
        <v>49</v>
      </c>
      <c r="H87" s="6" t="s">
        <v>50</v>
      </c>
      <c r="I87">
        <v>2</v>
      </c>
    </row>
    <row r="88" spans="2:30" x14ac:dyDescent="0.25">
      <c r="B88">
        <v>2</v>
      </c>
      <c r="C88" s="3">
        <v>1</v>
      </c>
      <c r="D88" s="6" t="s">
        <v>162</v>
      </c>
      <c r="E88" t="s">
        <v>163</v>
      </c>
      <c r="F88" s="6" t="s">
        <v>164</v>
      </c>
      <c r="G88" s="24">
        <v>201008</v>
      </c>
      <c r="H88" s="6" t="s">
        <v>29</v>
      </c>
      <c r="I88">
        <v>1</v>
      </c>
    </row>
    <row r="89" spans="2:30" x14ac:dyDescent="0.25">
      <c r="B89">
        <v>2</v>
      </c>
      <c r="C89" s="3">
        <v>1</v>
      </c>
      <c r="D89" s="6" t="s">
        <v>162</v>
      </c>
      <c r="E89" t="s">
        <v>163</v>
      </c>
      <c r="F89" s="6" t="s">
        <v>164</v>
      </c>
      <c r="G89" s="24" t="s">
        <v>13</v>
      </c>
      <c r="H89" s="6" t="s">
        <v>14</v>
      </c>
      <c r="I89">
        <v>1</v>
      </c>
      <c r="P89"/>
      <c r="S89"/>
      <c r="T89"/>
    </row>
    <row r="90" spans="2:30" x14ac:dyDescent="0.25">
      <c r="B90">
        <v>2</v>
      </c>
      <c r="C90" s="3">
        <v>1</v>
      </c>
      <c r="D90" s="6" t="s">
        <v>162</v>
      </c>
      <c r="E90" t="s">
        <v>163</v>
      </c>
      <c r="F90" s="6" t="s">
        <v>164</v>
      </c>
      <c r="G90" s="24" t="s">
        <v>15</v>
      </c>
      <c r="H90" s="6" t="s">
        <v>16</v>
      </c>
      <c r="I90">
        <v>1</v>
      </c>
      <c r="P90"/>
      <c r="Q90"/>
      <c r="S90"/>
      <c r="T90"/>
    </row>
    <row r="91" spans="2:30" x14ac:dyDescent="0.25">
      <c r="B91">
        <v>2</v>
      </c>
      <c r="C91" s="3">
        <v>1</v>
      </c>
      <c r="D91" s="6" t="s">
        <v>162</v>
      </c>
      <c r="E91" t="s">
        <v>165</v>
      </c>
      <c r="F91" s="6" t="s">
        <v>166</v>
      </c>
      <c r="G91" s="24" t="s">
        <v>13</v>
      </c>
      <c r="H91" s="6" t="s">
        <v>14</v>
      </c>
      <c r="I91">
        <v>1</v>
      </c>
      <c r="P91"/>
      <c r="Q91"/>
      <c r="S91"/>
      <c r="T91"/>
    </row>
    <row r="92" spans="2:30" x14ac:dyDescent="0.25">
      <c r="B92">
        <v>2</v>
      </c>
      <c r="C92" s="3">
        <v>1</v>
      </c>
      <c r="D92" s="6" t="s">
        <v>162</v>
      </c>
      <c r="E92" t="s">
        <v>165</v>
      </c>
      <c r="F92" s="6" t="s">
        <v>166</v>
      </c>
      <c r="G92" s="24" t="s">
        <v>15</v>
      </c>
      <c r="H92" s="6" t="s">
        <v>16</v>
      </c>
      <c r="I92">
        <v>1</v>
      </c>
      <c r="P92"/>
      <c r="Q92"/>
      <c r="S92"/>
      <c r="T92"/>
    </row>
    <row r="93" spans="2:30" x14ac:dyDescent="0.25">
      <c r="B93">
        <v>2</v>
      </c>
      <c r="C93" s="3">
        <v>1</v>
      </c>
      <c r="D93" s="6" t="s">
        <v>162</v>
      </c>
      <c r="E93" t="s">
        <v>167</v>
      </c>
      <c r="F93" s="6" t="s">
        <v>168</v>
      </c>
      <c r="G93" s="24">
        <v>201008</v>
      </c>
      <c r="H93" s="6" t="s">
        <v>29</v>
      </c>
      <c r="I93">
        <v>1</v>
      </c>
      <c r="P93"/>
      <c r="Q93"/>
      <c r="S93"/>
      <c r="T93"/>
    </row>
    <row r="94" spans="2:30" x14ac:dyDescent="0.25">
      <c r="B94">
        <v>2</v>
      </c>
      <c r="C94" s="3">
        <v>1</v>
      </c>
      <c r="D94" s="6" t="s">
        <v>162</v>
      </c>
      <c r="E94" t="s">
        <v>167</v>
      </c>
      <c r="F94" s="6" t="s">
        <v>168</v>
      </c>
      <c r="G94" s="24" t="s">
        <v>13</v>
      </c>
      <c r="H94" s="6" t="s">
        <v>14</v>
      </c>
      <c r="I94">
        <v>1</v>
      </c>
      <c r="P94"/>
      <c r="Q94"/>
      <c r="S94"/>
      <c r="T94"/>
    </row>
    <row r="95" spans="2:30" x14ac:dyDescent="0.25">
      <c r="B95">
        <v>2</v>
      </c>
      <c r="C95" s="3">
        <v>1</v>
      </c>
      <c r="D95" s="6" t="s">
        <v>162</v>
      </c>
      <c r="E95" t="s">
        <v>167</v>
      </c>
      <c r="F95" s="6" t="s">
        <v>168</v>
      </c>
      <c r="G95" s="24" t="s">
        <v>15</v>
      </c>
      <c r="H95" s="6" t="s">
        <v>16</v>
      </c>
      <c r="I95">
        <v>1</v>
      </c>
      <c r="P95"/>
      <c r="Q95"/>
      <c r="S95"/>
      <c r="T95"/>
    </row>
    <row r="96" spans="2:30" x14ac:dyDescent="0.25">
      <c r="B96">
        <v>2</v>
      </c>
      <c r="C96" s="3">
        <v>1</v>
      </c>
      <c r="D96" s="6" t="s">
        <v>162</v>
      </c>
      <c r="E96" t="s">
        <v>170</v>
      </c>
      <c r="F96" s="6" t="s">
        <v>171</v>
      </c>
      <c r="G96" s="24" t="s">
        <v>19</v>
      </c>
      <c r="H96" s="6" t="s">
        <v>20</v>
      </c>
      <c r="I96">
        <v>1</v>
      </c>
      <c r="P96"/>
      <c r="Q96"/>
      <c r="S96"/>
      <c r="T96"/>
    </row>
    <row r="97" spans="2:20" x14ac:dyDescent="0.25">
      <c r="B97">
        <v>2</v>
      </c>
      <c r="C97" s="3">
        <v>1</v>
      </c>
      <c r="D97" s="6" t="s">
        <v>162</v>
      </c>
      <c r="E97" t="s">
        <v>172</v>
      </c>
      <c r="F97" s="6" t="s">
        <v>173</v>
      </c>
      <c r="G97" s="24" t="s">
        <v>19</v>
      </c>
      <c r="H97" s="6" t="s">
        <v>20</v>
      </c>
      <c r="I97">
        <v>1</v>
      </c>
      <c r="P97"/>
      <c r="Q97"/>
      <c r="S97"/>
      <c r="T97"/>
    </row>
    <row r="98" spans="2:20" x14ac:dyDescent="0.25">
      <c r="B98">
        <v>2</v>
      </c>
      <c r="C98" s="3">
        <v>1</v>
      </c>
      <c r="D98" s="6" t="s">
        <v>162</v>
      </c>
      <c r="E98" t="s">
        <v>174</v>
      </c>
      <c r="F98" s="6" t="s">
        <v>175</v>
      </c>
      <c r="G98" s="24" t="s">
        <v>19</v>
      </c>
      <c r="H98" s="6" t="s">
        <v>20</v>
      </c>
      <c r="I98">
        <v>1</v>
      </c>
      <c r="P98"/>
      <c r="Q98"/>
      <c r="S98"/>
      <c r="T98"/>
    </row>
    <row r="99" spans="2:20" x14ac:dyDescent="0.25">
      <c r="B99">
        <v>2</v>
      </c>
      <c r="C99" s="3">
        <v>1</v>
      </c>
      <c r="D99" s="6" t="s">
        <v>180</v>
      </c>
      <c r="E99" t="s">
        <v>181</v>
      </c>
      <c r="F99" s="6" t="s">
        <v>182</v>
      </c>
      <c r="G99" s="24" t="s">
        <v>13</v>
      </c>
      <c r="H99" s="6" t="s">
        <v>14</v>
      </c>
      <c r="I99">
        <v>1</v>
      </c>
      <c r="P99"/>
      <c r="Q99"/>
      <c r="S99"/>
      <c r="T99"/>
    </row>
    <row r="100" spans="2:20" x14ac:dyDescent="0.25">
      <c r="B100">
        <v>2</v>
      </c>
      <c r="C100" s="3">
        <v>1</v>
      </c>
      <c r="D100" s="6" t="s">
        <v>180</v>
      </c>
      <c r="E100" t="s">
        <v>181</v>
      </c>
      <c r="F100" s="6" t="s">
        <v>182</v>
      </c>
      <c r="G100" s="24" t="s">
        <v>15</v>
      </c>
      <c r="H100" s="6" t="s">
        <v>16</v>
      </c>
      <c r="I100">
        <v>1</v>
      </c>
      <c r="P100"/>
      <c r="Q100"/>
      <c r="S100"/>
      <c r="T100"/>
    </row>
    <row r="101" spans="2:20" x14ac:dyDescent="0.25">
      <c r="B101">
        <v>2</v>
      </c>
      <c r="C101" s="3">
        <v>1</v>
      </c>
      <c r="D101" s="6" t="s">
        <v>180</v>
      </c>
      <c r="E101" t="s">
        <v>183</v>
      </c>
      <c r="F101" s="6" t="s">
        <v>184</v>
      </c>
      <c r="G101" s="24" t="s">
        <v>13</v>
      </c>
      <c r="H101" s="6" t="s">
        <v>14</v>
      </c>
      <c r="I101">
        <v>1</v>
      </c>
      <c r="P101"/>
      <c r="Q101"/>
      <c r="S101"/>
      <c r="T101"/>
    </row>
    <row r="102" spans="2:20" x14ac:dyDescent="0.25">
      <c r="B102">
        <v>2</v>
      </c>
      <c r="C102" s="3">
        <v>1</v>
      </c>
      <c r="D102" s="6" t="s">
        <v>180</v>
      </c>
      <c r="E102" t="s">
        <v>183</v>
      </c>
      <c r="F102" s="6" t="s">
        <v>184</v>
      </c>
      <c r="G102" s="24" t="s">
        <v>15</v>
      </c>
      <c r="H102" s="6" t="s">
        <v>16</v>
      </c>
      <c r="I102">
        <v>1</v>
      </c>
      <c r="P102"/>
      <c r="Q102"/>
      <c r="S102"/>
      <c r="T102"/>
    </row>
    <row r="103" spans="2:20" x14ac:dyDescent="0.25">
      <c r="B103">
        <v>2</v>
      </c>
      <c r="C103" s="3">
        <v>1</v>
      </c>
      <c r="D103" s="6" t="s">
        <v>180</v>
      </c>
      <c r="E103" t="s">
        <v>185</v>
      </c>
      <c r="F103" s="6" t="s">
        <v>186</v>
      </c>
      <c r="G103" s="24" t="s">
        <v>23</v>
      </c>
      <c r="H103" s="6" t="s">
        <v>24</v>
      </c>
      <c r="I103">
        <v>1</v>
      </c>
      <c r="P103"/>
      <c r="Q103"/>
      <c r="S103"/>
      <c r="T103"/>
    </row>
    <row r="104" spans="2:20" x14ac:dyDescent="0.25">
      <c r="B104">
        <v>2</v>
      </c>
      <c r="C104" s="3">
        <v>1</v>
      </c>
      <c r="D104" s="6" t="s">
        <v>180</v>
      </c>
      <c r="E104" t="s">
        <v>185</v>
      </c>
      <c r="F104" s="6" t="s">
        <v>186</v>
      </c>
      <c r="G104" s="24" t="s">
        <v>15</v>
      </c>
      <c r="H104" s="6" t="s">
        <v>16</v>
      </c>
      <c r="I104">
        <v>1</v>
      </c>
      <c r="P104"/>
      <c r="Q104"/>
      <c r="S104"/>
      <c r="T104"/>
    </row>
    <row r="105" spans="2:20" x14ac:dyDescent="0.25">
      <c r="B105">
        <v>2</v>
      </c>
      <c r="C105" s="3">
        <v>1</v>
      </c>
      <c r="D105" s="6" t="s">
        <v>180</v>
      </c>
      <c r="E105" t="s">
        <v>187</v>
      </c>
      <c r="F105" s="6" t="s">
        <v>188</v>
      </c>
      <c r="G105" s="24" t="s">
        <v>23</v>
      </c>
      <c r="H105" s="6" t="s">
        <v>24</v>
      </c>
      <c r="I105">
        <v>6</v>
      </c>
      <c r="P105"/>
      <c r="Q105"/>
      <c r="S105"/>
      <c r="T105"/>
    </row>
    <row r="106" spans="2:20" x14ac:dyDescent="0.25">
      <c r="B106">
        <v>2</v>
      </c>
      <c r="C106" s="3">
        <v>1</v>
      </c>
      <c r="D106" s="6" t="s">
        <v>180</v>
      </c>
      <c r="E106" t="s">
        <v>187</v>
      </c>
      <c r="F106" s="6" t="s">
        <v>188</v>
      </c>
      <c r="G106" s="24" t="s">
        <v>15</v>
      </c>
      <c r="H106" s="6" t="s">
        <v>16</v>
      </c>
      <c r="I106">
        <v>4</v>
      </c>
      <c r="P106"/>
      <c r="Q106"/>
      <c r="S106"/>
      <c r="T106"/>
    </row>
    <row r="107" spans="2:20" x14ac:dyDescent="0.25">
      <c r="B107">
        <v>2</v>
      </c>
      <c r="C107" s="3">
        <v>1</v>
      </c>
      <c r="D107" s="6" t="s">
        <v>180</v>
      </c>
      <c r="E107" t="s">
        <v>189</v>
      </c>
      <c r="F107" s="6" t="s">
        <v>190</v>
      </c>
      <c r="G107" s="24" t="s">
        <v>23</v>
      </c>
      <c r="H107" s="6" t="s">
        <v>24</v>
      </c>
      <c r="I107">
        <v>3</v>
      </c>
      <c r="P107"/>
      <c r="Q107"/>
      <c r="S107"/>
      <c r="T107"/>
    </row>
    <row r="108" spans="2:20" x14ac:dyDescent="0.25">
      <c r="B108">
        <v>2</v>
      </c>
      <c r="C108" s="3">
        <v>1</v>
      </c>
      <c r="D108" s="6" t="s">
        <v>180</v>
      </c>
      <c r="E108" t="s">
        <v>189</v>
      </c>
      <c r="F108" s="6" t="s">
        <v>190</v>
      </c>
      <c r="G108" s="24" t="s">
        <v>15</v>
      </c>
      <c r="H108" s="6" t="s">
        <v>16</v>
      </c>
      <c r="I108">
        <v>3</v>
      </c>
      <c r="P108"/>
      <c r="Q108"/>
      <c r="S108"/>
      <c r="T108"/>
    </row>
    <row r="109" spans="2:20" x14ac:dyDescent="0.25">
      <c r="B109">
        <v>2</v>
      </c>
      <c r="C109" s="3">
        <v>1</v>
      </c>
      <c r="D109" s="6" t="s">
        <v>180</v>
      </c>
      <c r="E109" t="s">
        <v>191</v>
      </c>
      <c r="F109" s="6" t="s">
        <v>91</v>
      </c>
      <c r="G109" s="24" t="s">
        <v>49</v>
      </c>
      <c r="H109" s="6" t="s">
        <v>50</v>
      </c>
      <c r="I109">
        <v>1</v>
      </c>
      <c r="P109"/>
      <c r="Q109"/>
      <c r="S109"/>
      <c r="T109"/>
    </row>
    <row r="110" spans="2:20" x14ac:dyDescent="0.25">
      <c r="B110">
        <v>2</v>
      </c>
      <c r="C110" s="3">
        <v>1</v>
      </c>
      <c r="D110" s="6" t="s">
        <v>180</v>
      </c>
      <c r="E110" t="s">
        <v>192</v>
      </c>
      <c r="F110" s="6" t="s">
        <v>193</v>
      </c>
      <c r="G110" s="24" t="s">
        <v>23</v>
      </c>
      <c r="H110" s="6" t="s">
        <v>24</v>
      </c>
      <c r="I110">
        <v>1</v>
      </c>
      <c r="P110"/>
      <c r="Q110"/>
      <c r="S110"/>
      <c r="T110"/>
    </row>
    <row r="111" spans="2:20" x14ac:dyDescent="0.25">
      <c r="B111">
        <v>2</v>
      </c>
      <c r="C111" s="3">
        <v>1</v>
      </c>
      <c r="D111" s="6" t="s">
        <v>180</v>
      </c>
      <c r="E111" t="s">
        <v>194</v>
      </c>
      <c r="F111" s="6" t="s">
        <v>195</v>
      </c>
      <c r="G111" s="24" t="s">
        <v>23</v>
      </c>
      <c r="H111" s="6" t="s">
        <v>24</v>
      </c>
      <c r="I111">
        <v>1</v>
      </c>
      <c r="P111"/>
      <c r="Q111"/>
      <c r="S111"/>
      <c r="T111"/>
    </row>
    <row r="112" spans="2:20" x14ac:dyDescent="0.25">
      <c r="B112">
        <v>2</v>
      </c>
      <c r="C112" s="3">
        <v>1</v>
      </c>
      <c r="D112" s="6" t="s">
        <v>180</v>
      </c>
      <c r="E112" t="s">
        <v>196</v>
      </c>
      <c r="F112" s="6" t="s">
        <v>195</v>
      </c>
      <c r="G112" s="24" t="s">
        <v>23</v>
      </c>
      <c r="H112" s="6" t="s">
        <v>24</v>
      </c>
      <c r="I112">
        <v>1</v>
      </c>
      <c r="P112"/>
      <c r="Q112"/>
      <c r="S112"/>
      <c r="T112"/>
    </row>
    <row r="113" spans="2:20" x14ac:dyDescent="0.25">
      <c r="B113">
        <v>2</v>
      </c>
      <c r="C113" s="3">
        <v>1</v>
      </c>
      <c r="D113" s="6" t="s">
        <v>197</v>
      </c>
      <c r="E113" t="s">
        <v>198</v>
      </c>
      <c r="F113" s="6" t="s">
        <v>199</v>
      </c>
      <c r="G113" s="24" t="s">
        <v>23</v>
      </c>
      <c r="H113" s="6" t="s">
        <v>24</v>
      </c>
      <c r="I113">
        <v>1</v>
      </c>
      <c r="P113"/>
      <c r="Q113"/>
      <c r="S113"/>
      <c r="T113"/>
    </row>
    <row r="114" spans="2:20" x14ac:dyDescent="0.25">
      <c r="B114">
        <v>2</v>
      </c>
      <c r="C114" s="3">
        <v>1</v>
      </c>
      <c r="D114" s="6" t="s">
        <v>197</v>
      </c>
      <c r="E114" t="s">
        <v>198</v>
      </c>
      <c r="F114" s="6" t="s">
        <v>199</v>
      </c>
      <c r="G114" s="24" t="s">
        <v>15</v>
      </c>
      <c r="H114" s="6" t="s">
        <v>16</v>
      </c>
      <c r="I114">
        <v>1</v>
      </c>
      <c r="P114"/>
      <c r="Q114"/>
      <c r="S114"/>
      <c r="T114"/>
    </row>
    <row r="115" spans="2:20" x14ac:dyDescent="0.25">
      <c r="B115">
        <v>2</v>
      </c>
      <c r="C115" s="3">
        <v>1</v>
      </c>
      <c r="D115" s="6" t="s">
        <v>67</v>
      </c>
      <c r="E115" t="s">
        <v>68</v>
      </c>
      <c r="F115" s="6" t="s">
        <v>69</v>
      </c>
      <c r="G115" s="24">
        <v>201002</v>
      </c>
      <c r="H115" s="6" t="s">
        <v>70</v>
      </c>
      <c r="I115">
        <v>1</v>
      </c>
      <c r="P115"/>
      <c r="Q115"/>
      <c r="S115"/>
      <c r="T115"/>
    </row>
    <row r="116" spans="2:20" x14ac:dyDescent="0.25">
      <c r="B116">
        <v>2</v>
      </c>
      <c r="C116" s="3">
        <v>1</v>
      </c>
      <c r="D116" s="6" t="s">
        <v>67</v>
      </c>
      <c r="E116" t="s">
        <v>71</v>
      </c>
      <c r="F116" s="6" t="s">
        <v>72</v>
      </c>
      <c r="G116" s="24" t="s">
        <v>13</v>
      </c>
      <c r="H116" s="6" t="s">
        <v>14</v>
      </c>
      <c r="I116">
        <v>1</v>
      </c>
      <c r="P116"/>
      <c r="Q116"/>
      <c r="S116"/>
      <c r="T116"/>
    </row>
    <row r="117" spans="2:20" x14ac:dyDescent="0.25">
      <c r="B117">
        <v>2</v>
      </c>
      <c r="C117" s="3">
        <v>1</v>
      </c>
      <c r="D117" s="6" t="s">
        <v>67</v>
      </c>
      <c r="E117" t="s">
        <v>71</v>
      </c>
      <c r="F117" s="6" t="s">
        <v>72</v>
      </c>
      <c r="G117" s="24" t="s">
        <v>15</v>
      </c>
      <c r="H117" s="6" t="s">
        <v>16</v>
      </c>
      <c r="I117">
        <v>1</v>
      </c>
      <c r="P117"/>
      <c r="Q117"/>
      <c r="S117"/>
      <c r="T117"/>
    </row>
    <row r="118" spans="2:20" x14ac:dyDescent="0.25">
      <c r="B118">
        <v>2</v>
      </c>
      <c r="C118" s="3">
        <v>1</v>
      </c>
      <c r="D118" s="6" t="s">
        <v>67</v>
      </c>
      <c r="E118" t="s">
        <v>73</v>
      </c>
      <c r="F118" s="6" t="s">
        <v>74</v>
      </c>
      <c r="G118" s="24" t="s">
        <v>23</v>
      </c>
      <c r="H118" s="6" t="s">
        <v>24</v>
      </c>
      <c r="I118">
        <v>1</v>
      </c>
      <c r="P118"/>
      <c r="Q118"/>
      <c r="S118"/>
      <c r="T118"/>
    </row>
    <row r="119" spans="2:20" x14ac:dyDescent="0.25">
      <c r="B119">
        <v>2</v>
      </c>
      <c r="C119" s="3">
        <v>1</v>
      </c>
      <c r="D119" s="6" t="s">
        <v>209</v>
      </c>
      <c r="E119" t="s">
        <v>210</v>
      </c>
      <c r="F119" s="6" t="s">
        <v>211</v>
      </c>
      <c r="G119" s="24">
        <v>201005</v>
      </c>
      <c r="H119" s="6" t="s">
        <v>212</v>
      </c>
      <c r="I119">
        <v>4</v>
      </c>
      <c r="P119"/>
      <c r="Q119"/>
      <c r="S119"/>
      <c r="T119"/>
    </row>
    <row r="120" spans="2:20" x14ac:dyDescent="0.25">
      <c r="B120">
        <v>2</v>
      </c>
      <c r="C120" s="3">
        <v>1</v>
      </c>
      <c r="D120" s="6" t="s">
        <v>209</v>
      </c>
      <c r="E120" t="s">
        <v>210</v>
      </c>
      <c r="F120" s="6" t="s">
        <v>211</v>
      </c>
      <c r="G120" s="24">
        <v>202012</v>
      </c>
      <c r="H120" s="6" t="s">
        <v>215</v>
      </c>
      <c r="I120">
        <v>2</v>
      </c>
      <c r="P120"/>
      <c r="Q120"/>
      <c r="S120"/>
      <c r="T120"/>
    </row>
    <row r="121" spans="2:20" x14ac:dyDescent="0.25">
      <c r="B121">
        <v>2</v>
      </c>
      <c r="C121" s="3">
        <v>1</v>
      </c>
      <c r="D121" s="6" t="s">
        <v>209</v>
      </c>
      <c r="E121" t="s">
        <v>222</v>
      </c>
      <c r="F121" s="6" t="s">
        <v>223</v>
      </c>
      <c r="G121" s="24">
        <v>201005</v>
      </c>
      <c r="H121" s="6" t="s">
        <v>212</v>
      </c>
      <c r="I121">
        <v>4</v>
      </c>
      <c r="P121"/>
      <c r="Q121"/>
      <c r="S121"/>
      <c r="T121"/>
    </row>
    <row r="122" spans="2:20" x14ac:dyDescent="0.25">
      <c r="B122">
        <v>2</v>
      </c>
      <c r="C122" s="3">
        <v>1</v>
      </c>
      <c r="D122" s="6" t="s">
        <v>209</v>
      </c>
      <c r="E122" t="s">
        <v>222</v>
      </c>
      <c r="F122" s="6" t="s">
        <v>223</v>
      </c>
      <c r="G122" s="24">
        <v>202012</v>
      </c>
      <c r="H122" s="6" t="s">
        <v>215</v>
      </c>
      <c r="I122">
        <v>2</v>
      </c>
      <c r="P122"/>
      <c r="Q122"/>
      <c r="S122"/>
      <c r="T122"/>
    </row>
    <row r="123" spans="2:20" x14ac:dyDescent="0.25">
      <c r="B123">
        <v>2</v>
      </c>
      <c r="C123" s="3">
        <v>1</v>
      </c>
      <c r="D123" s="6" t="s">
        <v>209</v>
      </c>
      <c r="E123" t="s">
        <v>225</v>
      </c>
      <c r="F123" s="6" t="s">
        <v>226</v>
      </c>
      <c r="G123" s="24" t="s">
        <v>23</v>
      </c>
      <c r="H123" s="6" t="s">
        <v>24</v>
      </c>
      <c r="I123">
        <v>1</v>
      </c>
      <c r="P123"/>
      <c r="Q123"/>
      <c r="S123"/>
      <c r="T123"/>
    </row>
    <row r="124" spans="2:20" x14ac:dyDescent="0.25">
      <c r="B124">
        <v>2</v>
      </c>
      <c r="C124" s="3">
        <v>1</v>
      </c>
      <c r="D124" s="6" t="s">
        <v>209</v>
      </c>
      <c r="E124" t="s">
        <v>225</v>
      </c>
      <c r="F124" s="6" t="s">
        <v>226</v>
      </c>
      <c r="G124" s="24" t="s">
        <v>15</v>
      </c>
      <c r="H124" s="6" t="s">
        <v>16</v>
      </c>
      <c r="I124">
        <v>1</v>
      </c>
      <c r="P124"/>
      <c r="Q124"/>
      <c r="S124"/>
      <c r="T124"/>
    </row>
    <row r="125" spans="2:20" x14ac:dyDescent="0.25">
      <c r="B125">
        <v>2</v>
      </c>
      <c r="C125" s="3">
        <v>1</v>
      </c>
      <c r="D125" s="6" t="s">
        <v>209</v>
      </c>
      <c r="E125" t="s">
        <v>227</v>
      </c>
      <c r="F125" s="6" t="s">
        <v>228</v>
      </c>
      <c r="G125" s="24" t="s">
        <v>13</v>
      </c>
      <c r="H125" s="6" t="s">
        <v>14</v>
      </c>
      <c r="I125">
        <v>2</v>
      </c>
      <c r="P125"/>
      <c r="Q125"/>
      <c r="S125"/>
      <c r="T125"/>
    </row>
    <row r="126" spans="2:20" x14ac:dyDescent="0.25">
      <c r="B126">
        <v>2</v>
      </c>
      <c r="C126" s="3">
        <v>1</v>
      </c>
      <c r="D126" s="6" t="s">
        <v>209</v>
      </c>
      <c r="E126" t="s">
        <v>227</v>
      </c>
      <c r="F126" s="6" t="s">
        <v>228</v>
      </c>
      <c r="G126" s="24" t="s">
        <v>15</v>
      </c>
      <c r="H126" s="6" t="s">
        <v>16</v>
      </c>
      <c r="I126">
        <v>2</v>
      </c>
      <c r="P126"/>
      <c r="Q126"/>
      <c r="S126"/>
      <c r="T126"/>
    </row>
    <row r="127" spans="2:20" x14ac:dyDescent="0.25">
      <c r="B127">
        <v>2</v>
      </c>
      <c r="C127" s="3">
        <v>1</v>
      </c>
      <c r="D127" s="6" t="s">
        <v>209</v>
      </c>
      <c r="E127" t="s">
        <v>230</v>
      </c>
      <c r="F127" s="6" t="s">
        <v>231</v>
      </c>
      <c r="G127" s="24" t="s">
        <v>19</v>
      </c>
      <c r="H127" s="6" t="s">
        <v>20</v>
      </c>
      <c r="I127">
        <v>1</v>
      </c>
      <c r="P127"/>
      <c r="Q127"/>
      <c r="S127"/>
      <c r="T127"/>
    </row>
    <row r="128" spans="2:20" x14ac:dyDescent="0.25">
      <c r="B128">
        <v>2</v>
      </c>
      <c r="C128" s="3">
        <v>1</v>
      </c>
      <c r="D128" s="6" t="s">
        <v>209</v>
      </c>
      <c r="E128" t="s">
        <v>230</v>
      </c>
      <c r="F128" s="6" t="s">
        <v>231</v>
      </c>
      <c r="G128" s="24" t="s">
        <v>15</v>
      </c>
      <c r="H128" s="6" t="s">
        <v>16</v>
      </c>
      <c r="I128">
        <v>1</v>
      </c>
      <c r="P128"/>
      <c r="Q128"/>
      <c r="S128"/>
      <c r="T128"/>
    </row>
    <row r="129" spans="2:20" x14ac:dyDescent="0.25">
      <c r="B129">
        <v>2</v>
      </c>
      <c r="C129" s="3">
        <v>1</v>
      </c>
      <c r="D129" s="6" t="s">
        <v>209</v>
      </c>
      <c r="E129" t="s">
        <v>232</v>
      </c>
      <c r="F129" s="6" t="s">
        <v>233</v>
      </c>
      <c r="G129" s="24" t="s">
        <v>15</v>
      </c>
      <c r="H129" s="6" t="s">
        <v>16</v>
      </c>
      <c r="I129">
        <v>1</v>
      </c>
      <c r="P129"/>
      <c r="Q129"/>
      <c r="S129"/>
      <c r="T129"/>
    </row>
    <row r="130" spans="2:20" x14ac:dyDescent="0.25">
      <c r="B130">
        <v>2</v>
      </c>
      <c r="C130" s="3">
        <v>1</v>
      </c>
      <c r="D130" s="6" t="s">
        <v>209</v>
      </c>
      <c r="E130" t="s">
        <v>234</v>
      </c>
      <c r="F130" s="6" t="s">
        <v>235</v>
      </c>
      <c r="G130" s="24">
        <v>201003</v>
      </c>
      <c r="H130" s="6" t="s">
        <v>236</v>
      </c>
      <c r="I130">
        <v>1</v>
      </c>
      <c r="P130"/>
      <c r="Q130"/>
      <c r="S130"/>
      <c r="T130"/>
    </row>
    <row r="131" spans="2:20" x14ac:dyDescent="0.25">
      <c r="B131">
        <v>2</v>
      </c>
      <c r="C131" s="3">
        <v>1</v>
      </c>
      <c r="D131" s="6" t="s">
        <v>209</v>
      </c>
      <c r="E131" t="s">
        <v>234</v>
      </c>
      <c r="F131" s="6" t="s">
        <v>235</v>
      </c>
      <c r="G131" s="24">
        <v>201005</v>
      </c>
      <c r="H131" s="6" t="s">
        <v>212</v>
      </c>
      <c r="I131">
        <v>2</v>
      </c>
      <c r="P131"/>
      <c r="Q131"/>
      <c r="S131"/>
      <c r="T131"/>
    </row>
    <row r="132" spans="2:20" x14ac:dyDescent="0.25">
      <c r="B132">
        <v>2</v>
      </c>
      <c r="C132" s="3">
        <v>1</v>
      </c>
      <c r="D132" s="6" t="s">
        <v>209</v>
      </c>
      <c r="E132" t="s">
        <v>234</v>
      </c>
      <c r="F132" s="6" t="s">
        <v>235</v>
      </c>
      <c r="G132" s="24">
        <v>202012</v>
      </c>
      <c r="H132" s="6" t="s">
        <v>215</v>
      </c>
      <c r="I132">
        <v>2</v>
      </c>
      <c r="P132"/>
      <c r="Q132"/>
      <c r="S132"/>
      <c r="T132"/>
    </row>
    <row r="133" spans="2:20" x14ac:dyDescent="0.25">
      <c r="B133">
        <v>2</v>
      </c>
      <c r="C133" s="3">
        <v>1</v>
      </c>
      <c r="D133" s="6" t="s">
        <v>209</v>
      </c>
      <c r="E133" t="s">
        <v>243</v>
      </c>
      <c r="F133" s="6" t="s">
        <v>244</v>
      </c>
      <c r="G133" s="24">
        <v>201003</v>
      </c>
      <c r="H133" s="6" t="s">
        <v>236</v>
      </c>
      <c r="I133">
        <v>1</v>
      </c>
      <c r="P133"/>
      <c r="Q133"/>
      <c r="S133"/>
      <c r="T133"/>
    </row>
    <row r="134" spans="2:20" x14ac:dyDescent="0.25">
      <c r="B134">
        <v>2</v>
      </c>
      <c r="C134" s="3">
        <v>1</v>
      </c>
      <c r="D134" s="6" t="s">
        <v>209</v>
      </c>
      <c r="E134" t="s">
        <v>243</v>
      </c>
      <c r="F134" s="6" t="s">
        <v>244</v>
      </c>
      <c r="G134" s="24">
        <v>201005</v>
      </c>
      <c r="H134" s="6" t="s">
        <v>212</v>
      </c>
      <c r="I134">
        <v>2</v>
      </c>
      <c r="P134"/>
      <c r="Q134"/>
      <c r="S134"/>
      <c r="T134"/>
    </row>
    <row r="135" spans="2:20" x14ac:dyDescent="0.25">
      <c r="B135">
        <v>2</v>
      </c>
      <c r="C135" s="3">
        <v>1</v>
      </c>
      <c r="D135" s="6" t="s">
        <v>209</v>
      </c>
      <c r="E135" t="s">
        <v>243</v>
      </c>
      <c r="F135" s="6" t="s">
        <v>244</v>
      </c>
      <c r="G135" s="24">
        <v>202012</v>
      </c>
      <c r="H135" s="6" t="s">
        <v>215</v>
      </c>
      <c r="I135">
        <v>2</v>
      </c>
      <c r="P135"/>
      <c r="Q135"/>
      <c r="S135"/>
      <c r="T135"/>
    </row>
    <row r="136" spans="2:20" x14ac:dyDescent="0.25">
      <c r="B136">
        <v>2</v>
      </c>
      <c r="C136" s="3">
        <v>1</v>
      </c>
      <c r="D136" s="6" t="s">
        <v>257</v>
      </c>
      <c r="E136" t="s">
        <v>258</v>
      </c>
      <c r="F136" s="6" t="s">
        <v>259</v>
      </c>
      <c r="G136" s="24" t="s">
        <v>19</v>
      </c>
      <c r="H136" s="6" t="s">
        <v>20</v>
      </c>
      <c r="I136">
        <v>1</v>
      </c>
      <c r="P136"/>
      <c r="Q136"/>
      <c r="S136"/>
      <c r="T136"/>
    </row>
    <row r="137" spans="2:20" x14ac:dyDescent="0.25">
      <c r="B137">
        <v>2</v>
      </c>
      <c r="C137" s="3">
        <v>1</v>
      </c>
      <c r="D137" s="6" t="s">
        <v>257</v>
      </c>
      <c r="E137" t="s">
        <v>260</v>
      </c>
      <c r="F137" s="6" t="s">
        <v>261</v>
      </c>
      <c r="G137" s="24" t="s">
        <v>19</v>
      </c>
      <c r="H137" s="6" t="s">
        <v>20</v>
      </c>
      <c r="I137">
        <v>1</v>
      </c>
      <c r="P137"/>
      <c r="Q137"/>
      <c r="S137"/>
      <c r="T137"/>
    </row>
    <row r="138" spans="2:20" x14ac:dyDescent="0.25">
      <c r="B138">
        <v>2</v>
      </c>
      <c r="C138" s="3">
        <v>1</v>
      </c>
      <c r="D138" s="6" t="s">
        <v>257</v>
      </c>
      <c r="E138" t="s">
        <v>262</v>
      </c>
      <c r="F138" s="6" t="s">
        <v>263</v>
      </c>
      <c r="G138" s="24">
        <v>201008</v>
      </c>
      <c r="H138" s="6" t="s">
        <v>29</v>
      </c>
      <c r="I138">
        <v>1</v>
      </c>
      <c r="P138"/>
      <c r="Q138"/>
      <c r="S138"/>
      <c r="T138"/>
    </row>
    <row r="139" spans="2:20" x14ac:dyDescent="0.25">
      <c r="B139">
        <v>2</v>
      </c>
      <c r="C139" s="3">
        <v>1</v>
      </c>
      <c r="D139" s="6" t="s">
        <v>257</v>
      </c>
      <c r="E139" t="s">
        <v>262</v>
      </c>
      <c r="F139" s="6" t="s">
        <v>263</v>
      </c>
      <c r="G139" s="24" t="s">
        <v>13</v>
      </c>
      <c r="H139" s="6" t="s">
        <v>14</v>
      </c>
      <c r="I139">
        <v>1</v>
      </c>
      <c r="P139"/>
      <c r="Q139"/>
      <c r="S139"/>
      <c r="T139"/>
    </row>
    <row r="140" spans="2:20" x14ac:dyDescent="0.25">
      <c r="B140">
        <v>2</v>
      </c>
      <c r="C140" s="3">
        <v>1</v>
      </c>
      <c r="D140" s="6" t="s">
        <v>257</v>
      </c>
      <c r="E140" t="s">
        <v>262</v>
      </c>
      <c r="F140" s="6" t="s">
        <v>263</v>
      </c>
      <c r="G140" s="24" t="s">
        <v>15</v>
      </c>
      <c r="H140" s="6" t="s">
        <v>16</v>
      </c>
      <c r="I140">
        <v>1</v>
      </c>
      <c r="P140"/>
      <c r="Q140"/>
      <c r="S140"/>
      <c r="T140"/>
    </row>
    <row r="141" spans="2:20" x14ac:dyDescent="0.25">
      <c r="B141">
        <v>2</v>
      </c>
      <c r="C141" s="3">
        <v>1</v>
      </c>
      <c r="D141" s="6" t="s">
        <v>257</v>
      </c>
      <c r="E141" t="s">
        <v>264</v>
      </c>
      <c r="F141" s="6" t="s">
        <v>265</v>
      </c>
      <c r="G141" s="24" t="s">
        <v>13</v>
      </c>
      <c r="H141" s="6" t="s">
        <v>14</v>
      </c>
      <c r="I141">
        <v>1</v>
      </c>
      <c r="P141"/>
      <c r="Q141"/>
      <c r="S141"/>
      <c r="T141"/>
    </row>
    <row r="142" spans="2:20" x14ac:dyDescent="0.25">
      <c r="B142">
        <v>2</v>
      </c>
      <c r="C142" s="3">
        <v>1</v>
      </c>
      <c r="D142" s="6" t="s">
        <v>257</v>
      </c>
      <c r="E142" t="s">
        <v>264</v>
      </c>
      <c r="F142" s="6" t="s">
        <v>265</v>
      </c>
      <c r="G142" s="24" t="s">
        <v>15</v>
      </c>
      <c r="H142" s="6" t="s">
        <v>16</v>
      </c>
      <c r="I142">
        <v>1</v>
      </c>
      <c r="P142"/>
      <c r="Q142"/>
      <c r="S142"/>
      <c r="T142"/>
    </row>
    <row r="143" spans="2:20" x14ac:dyDescent="0.25">
      <c r="B143">
        <v>2</v>
      </c>
      <c r="C143" s="3">
        <v>1</v>
      </c>
      <c r="D143" s="6" t="s">
        <v>257</v>
      </c>
      <c r="E143" t="s">
        <v>266</v>
      </c>
      <c r="F143" s="6" t="s">
        <v>146</v>
      </c>
      <c r="G143" s="24" t="s">
        <v>13</v>
      </c>
      <c r="H143" s="6" t="s">
        <v>14</v>
      </c>
      <c r="I143">
        <v>1</v>
      </c>
      <c r="P143"/>
      <c r="Q143"/>
      <c r="S143"/>
      <c r="T143"/>
    </row>
    <row r="144" spans="2:20" x14ac:dyDescent="0.25">
      <c r="B144">
        <v>2</v>
      </c>
      <c r="C144" s="3">
        <v>1</v>
      </c>
      <c r="D144" s="6" t="s">
        <v>257</v>
      </c>
      <c r="E144" t="s">
        <v>266</v>
      </c>
      <c r="F144" s="6" t="s">
        <v>146</v>
      </c>
      <c r="G144" s="24" t="s">
        <v>15</v>
      </c>
      <c r="H144" s="6" t="s">
        <v>16</v>
      </c>
      <c r="I144">
        <v>1</v>
      </c>
      <c r="P144"/>
      <c r="Q144"/>
      <c r="S144"/>
      <c r="T144"/>
    </row>
    <row r="145" spans="2:20" x14ac:dyDescent="0.25">
      <c r="B145">
        <v>2</v>
      </c>
      <c r="C145" s="3">
        <v>1</v>
      </c>
      <c r="D145" s="6" t="s">
        <v>257</v>
      </c>
      <c r="E145" t="s">
        <v>268</v>
      </c>
      <c r="F145" s="6" t="s">
        <v>269</v>
      </c>
      <c r="G145" s="24" t="s">
        <v>23</v>
      </c>
      <c r="H145" s="6" t="s">
        <v>24</v>
      </c>
      <c r="I145">
        <v>1</v>
      </c>
      <c r="P145"/>
      <c r="Q145"/>
      <c r="S145"/>
      <c r="T145"/>
    </row>
    <row r="146" spans="2:20" x14ac:dyDescent="0.25">
      <c r="B146">
        <v>2</v>
      </c>
      <c r="C146" s="3">
        <v>1</v>
      </c>
      <c r="D146" s="6" t="s">
        <v>257</v>
      </c>
      <c r="E146" t="s">
        <v>268</v>
      </c>
      <c r="F146" s="6" t="s">
        <v>269</v>
      </c>
      <c r="G146" s="24" t="s">
        <v>15</v>
      </c>
      <c r="H146" s="6" t="s">
        <v>16</v>
      </c>
      <c r="I146">
        <v>1</v>
      </c>
      <c r="P146"/>
      <c r="Q146"/>
      <c r="S146"/>
      <c r="T146"/>
    </row>
    <row r="147" spans="2:20" x14ac:dyDescent="0.25">
      <c r="B147">
        <v>2</v>
      </c>
      <c r="C147" s="3">
        <v>1</v>
      </c>
      <c r="D147" s="6" t="s">
        <v>257</v>
      </c>
      <c r="E147" t="s">
        <v>270</v>
      </c>
      <c r="F147" s="6" t="s">
        <v>271</v>
      </c>
      <c r="G147" s="24">
        <v>201008</v>
      </c>
      <c r="H147" s="6" t="s">
        <v>29</v>
      </c>
      <c r="I147">
        <v>1</v>
      </c>
      <c r="P147"/>
      <c r="Q147"/>
      <c r="S147"/>
      <c r="T147"/>
    </row>
    <row r="148" spans="2:20" x14ac:dyDescent="0.25">
      <c r="B148">
        <v>2</v>
      </c>
      <c r="C148" s="3">
        <v>1</v>
      </c>
      <c r="D148" s="6" t="s">
        <v>257</v>
      </c>
      <c r="E148" t="s">
        <v>270</v>
      </c>
      <c r="F148" s="6" t="s">
        <v>271</v>
      </c>
      <c r="G148" s="24" t="s">
        <v>15</v>
      </c>
      <c r="H148" s="6" t="s">
        <v>16</v>
      </c>
      <c r="I148">
        <v>1</v>
      </c>
      <c r="P148"/>
      <c r="Q148"/>
      <c r="S148"/>
      <c r="T148"/>
    </row>
    <row r="149" spans="2:20" x14ac:dyDescent="0.25">
      <c r="B149">
        <v>2</v>
      </c>
      <c r="C149" s="3">
        <v>1</v>
      </c>
      <c r="D149" s="6" t="s">
        <v>257</v>
      </c>
      <c r="E149" t="s">
        <v>274</v>
      </c>
      <c r="F149" s="6" t="s">
        <v>273</v>
      </c>
      <c r="G149" s="24" t="s">
        <v>23</v>
      </c>
      <c r="H149" s="6" t="s">
        <v>24</v>
      </c>
      <c r="I149">
        <v>1</v>
      </c>
      <c r="P149"/>
      <c r="Q149"/>
      <c r="S149"/>
      <c r="T149"/>
    </row>
    <row r="150" spans="2:20" x14ac:dyDescent="0.25">
      <c r="B150">
        <v>2</v>
      </c>
      <c r="C150" s="3">
        <v>1</v>
      </c>
      <c r="D150" s="6" t="s">
        <v>257</v>
      </c>
      <c r="E150" t="s">
        <v>275</v>
      </c>
      <c r="F150" s="6" t="s">
        <v>276</v>
      </c>
      <c r="G150" s="24">
        <v>201004</v>
      </c>
      <c r="H150" s="6" t="s">
        <v>41</v>
      </c>
      <c r="I150">
        <v>1</v>
      </c>
      <c r="P150"/>
      <c r="Q150"/>
      <c r="S150"/>
      <c r="T150"/>
    </row>
    <row r="151" spans="2:20" x14ac:dyDescent="0.25">
      <c r="B151">
        <v>2</v>
      </c>
      <c r="C151" s="3">
        <v>1</v>
      </c>
      <c r="D151" s="6" t="s">
        <v>257</v>
      </c>
      <c r="E151" t="s">
        <v>277</v>
      </c>
      <c r="F151" s="6" t="s">
        <v>278</v>
      </c>
      <c r="G151" s="24" t="s">
        <v>23</v>
      </c>
      <c r="H151" s="6" t="s">
        <v>24</v>
      </c>
      <c r="I151">
        <v>1</v>
      </c>
      <c r="P151"/>
      <c r="Q151"/>
      <c r="S151"/>
      <c r="T151"/>
    </row>
    <row r="152" spans="2:20" x14ac:dyDescent="0.25">
      <c r="B152">
        <v>2</v>
      </c>
      <c r="C152" s="3">
        <v>1</v>
      </c>
      <c r="D152" s="6" t="s">
        <v>257</v>
      </c>
      <c r="E152" t="s">
        <v>279</v>
      </c>
      <c r="F152" s="6" t="s">
        <v>280</v>
      </c>
      <c r="G152" s="24" t="s">
        <v>19</v>
      </c>
      <c r="H152" s="6" t="s">
        <v>20</v>
      </c>
      <c r="I152">
        <v>1</v>
      </c>
      <c r="P152"/>
      <c r="Q152"/>
      <c r="S152"/>
      <c r="T152"/>
    </row>
    <row r="153" spans="2:20" x14ac:dyDescent="0.25">
      <c r="B153">
        <v>2</v>
      </c>
      <c r="C153" s="3">
        <v>1</v>
      </c>
      <c r="D153" s="6" t="s">
        <v>257</v>
      </c>
      <c r="E153" t="s">
        <v>282</v>
      </c>
      <c r="F153" s="6" t="s">
        <v>91</v>
      </c>
      <c r="G153" s="24" t="s">
        <v>49</v>
      </c>
      <c r="H153" s="6" t="s">
        <v>50</v>
      </c>
      <c r="I153">
        <v>1</v>
      </c>
      <c r="P153"/>
      <c r="Q153"/>
      <c r="S153"/>
      <c r="T153"/>
    </row>
    <row r="154" spans="2:20" x14ac:dyDescent="0.25">
      <c r="B154">
        <v>2</v>
      </c>
      <c r="C154" s="3">
        <v>1</v>
      </c>
      <c r="D154" s="6" t="s">
        <v>257</v>
      </c>
      <c r="E154" t="s">
        <v>283</v>
      </c>
      <c r="F154" s="6" t="s">
        <v>91</v>
      </c>
      <c r="G154" s="24" t="s">
        <v>49</v>
      </c>
      <c r="H154" s="6" t="s">
        <v>50</v>
      </c>
      <c r="I154">
        <v>1</v>
      </c>
      <c r="P154"/>
      <c r="Q154"/>
      <c r="S154"/>
      <c r="T154"/>
    </row>
    <row r="155" spans="2:20" x14ac:dyDescent="0.25">
      <c r="B155">
        <v>2</v>
      </c>
      <c r="C155" s="3">
        <v>1</v>
      </c>
      <c r="D155" s="6" t="s">
        <v>257</v>
      </c>
      <c r="E155" t="s">
        <v>284</v>
      </c>
      <c r="F155" s="6" t="s">
        <v>91</v>
      </c>
      <c r="G155" s="24" t="s">
        <v>49</v>
      </c>
      <c r="H155" s="6" t="s">
        <v>50</v>
      </c>
      <c r="I155">
        <v>1</v>
      </c>
      <c r="P155"/>
      <c r="Q155"/>
      <c r="S155"/>
      <c r="T155"/>
    </row>
    <row r="156" spans="2:20" x14ac:dyDescent="0.25">
      <c r="B156">
        <v>2</v>
      </c>
      <c r="C156" s="3">
        <v>1</v>
      </c>
      <c r="D156" s="6" t="s">
        <v>257</v>
      </c>
      <c r="E156" t="s">
        <v>285</v>
      </c>
      <c r="F156" s="6" t="s">
        <v>254</v>
      </c>
      <c r="G156" s="24">
        <v>201010</v>
      </c>
      <c r="H156" s="6" t="s">
        <v>44</v>
      </c>
      <c r="I156">
        <v>1</v>
      </c>
      <c r="P156"/>
      <c r="Q156"/>
      <c r="S156"/>
      <c r="T156"/>
    </row>
    <row r="157" spans="2:20" x14ac:dyDescent="0.25">
      <c r="B157">
        <v>2</v>
      </c>
      <c r="C157" s="3">
        <v>1</v>
      </c>
      <c r="D157" s="6" t="s">
        <v>257</v>
      </c>
      <c r="E157" t="s">
        <v>285</v>
      </c>
      <c r="F157" s="6" t="s">
        <v>254</v>
      </c>
      <c r="G157" s="24" t="s">
        <v>15</v>
      </c>
      <c r="H157" s="6" t="s">
        <v>16</v>
      </c>
      <c r="I157">
        <v>1</v>
      </c>
      <c r="P157"/>
      <c r="Q157"/>
      <c r="S157"/>
      <c r="T157"/>
    </row>
    <row r="158" spans="2:20" x14ac:dyDescent="0.25">
      <c r="B158">
        <v>2</v>
      </c>
      <c r="C158" s="3">
        <v>1</v>
      </c>
      <c r="D158" s="6" t="s">
        <v>257</v>
      </c>
      <c r="E158" t="s">
        <v>288</v>
      </c>
      <c r="F158" s="6" t="s">
        <v>91</v>
      </c>
      <c r="G158" s="24" t="s">
        <v>49</v>
      </c>
      <c r="H158" s="6" t="s">
        <v>50</v>
      </c>
      <c r="I158">
        <v>1</v>
      </c>
      <c r="P158"/>
      <c r="Q158"/>
      <c r="S158"/>
      <c r="T158"/>
    </row>
    <row r="159" spans="2:20" x14ac:dyDescent="0.25">
      <c r="B159">
        <v>2</v>
      </c>
      <c r="C159" s="3">
        <v>1</v>
      </c>
      <c r="D159" s="6" t="s">
        <v>257</v>
      </c>
      <c r="E159" t="s">
        <v>289</v>
      </c>
      <c r="F159" s="6" t="s">
        <v>290</v>
      </c>
      <c r="G159" s="24">
        <v>201009</v>
      </c>
      <c r="H159" s="6" t="s">
        <v>255</v>
      </c>
      <c r="I159">
        <v>1</v>
      </c>
      <c r="P159"/>
      <c r="Q159"/>
      <c r="S159"/>
      <c r="T159"/>
    </row>
    <row r="160" spans="2:20" x14ac:dyDescent="0.25">
      <c r="B160">
        <v>2</v>
      </c>
      <c r="C160" s="3">
        <v>1</v>
      </c>
      <c r="D160" s="6" t="s">
        <v>257</v>
      </c>
      <c r="E160" t="s">
        <v>291</v>
      </c>
      <c r="F160" s="6" t="s">
        <v>292</v>
      </c>
      <c r="G160" s="24" t="s">
        <v>13</v>
      </c>
      <c r="H160" s="6" t="s">
        <v>14</v>
      </c>
      <c r="I160">
        <v>1</v>
      </c>
      <c r="P160"/>
      <c r="Q160"/>
      <c r="S160"/>
      <c r="T160"/>
    </row>
    <row r="161" spans="2:20" x14ac:dyDescent="0.25">
      <c r="B161">
        <v>2</v>
      </c>
      <c r="C161" s="3">
        <v>1</v>
      </c>
      <c r="D161" s="6" t="s">
        <v>257</v>
      </c>
      <c r="E161" t="s">
        <v>291</v>
      </c>
      <c r="F161" s="6" t="s">
        <v>292</v>
      </c>
      <c r="G161" s="24" t="s">
        <v>15</v>
      </c>
      <c r="H161" s="6" t="s">
        <v>16</v>
      </c>
      <c r="I161">
        <v>1</v>
      </c>
      <c r="P161"/>
      <c r="Q161"/>
      <c r="S161"/>
      <c r="T161"/>
    </row>
    <row r="162" spans="2:20" x14ac:dyDescent="0.25">
      <c r="B162">
        <v>2</v>
      </c>
      <c r="C162" s="8">
        <v>1</v>
      </c>
      <c r="D162" s="6" t="s">
        <v>257</v>
      </c>
      <c r="E162" t="s">
        <v>293</v>
      </c>
      <c r="F162" s="6" t="s">
        <v>254</v>
      </c>
      <c r="G162" s="24">
        <v>201009</v>
      </c>
      <c r="H162" s="6" t="s">
        <v>255</v>
      </c>
      <c r="I162">
        <v>1</v>
      </c>
      <c r="P162"/>
      <c r="Q162"/>
      <c r="S162"/>
      <c r="T162"/>
    </row>
    <row r="163" spans="2:20" x14ac:dyDescent="0.25">
      <c r="I163">
        <f>SUM(I3:I162)</f>
        <v>203</v>
      </c>
      <c r="P163"/>
      <c r="Q163"/>
      <c r="S163"/>
      <c r="T163"/>
    </row>
    <row r="164" spans="2:20" x14ac:dyDescent="0.25">
      <c r="P164"/>
      <c r="Q164"/>
      <c r="S164"/>
      <c r="T164"/>
    </row>
    <row r="165" spans="2:20" x14ac:dyDescent="0.25">
      <c r="P165"/>
      <c r="Q165"/>
      <c r="S165"/>
      <c r="T165"/>
    </row>
    <row r="166" spans="2:20" x14ac:dyDescent="0.25">
      <c r="P166"/>
      <c r="Q166"/>
      <c r="S166"/>
      <c r="T166"/>
    </row>
    <row r="167" spans="2:20" x14ac:dyDescent="0.25">
      <c r="P167"/>
      <c r="Q167"/>
      <c r="S167"/>
      <c r="T167"/>
    </row>
    <row r="168" spans="2:20" x14ac:dyDescent="0.25">
      <c r="P168"/>
      <c r="Q168"/>
      <c r="S168"/>
      <c r="T168"/>
    </row>
    <row r="169" spans="2:20" x14ac:dyDescent="0.25">
      <c r="P169"/>
      <c r="Q169"/>
      <c r="S169"/>
      <c r="T169"/>
    </row>
    <row r="170" spans="2:20" x14ac:dyDescent="0.25">
      <c r="P170"/>
      <c r="Q170"/>
      <c r="S170"/>
      <c r="T170"/>
    </row>
    <row r="171" spans="2:20" x14ac:dyDescent="0.25">
      <c r="P171"/>
      <c r="Q171"/>
      <c r="S171"/>
      <c r="T171"/>
    </row>
    <row r="172" spans="2:20" x14ac:dyDescent="0.25">
      <c r="P172"/>
      <c r="Q172"/>
      <c r="S172"/>
      <c r="T172"/>
    </row>
    <row r="173" spans="2:20" x14ac:dyDescent="0.25">
      <c r="P173"/>
      <c r="Q173"/>
      <c r="S173"/>
      <c r="T173"/>
    </row>
    <row r="174" spans="2:20" x14ac:dyDescent="0.25">
      <c r="P174"/>
      <c r="Q174"/>
      <c r="S174"/>
      <c r="T174"/>
    </row>
    <row r="175" spans="2:20" x14ac:dyDescent="0.25">
      <c r="P175"/>
      <c r="Q175"/>
      <c r="S175"/>
      <c r="T175"/>
    </row>
    <row r="176" spans="2:20" x14ac:dyDescent="0.25">
      <c r="P176"/>
      <c r="Q176"/>
      <c r="S176"/>
      <c r="T176"/>
    </row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</sheetData>
  <mergeCells count="3">
    <mergeCell ref="Z1:Z2"/>
    <mergeCell ref="AB1:AB2"/>
    <mergeCell ref="AD1:AD2"/>
  </mergeCells>
  <conditionalFormatting pivot="1" sqref="Q3:W8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{85A1D33D-0B0B-4601-B16C-F9A5FF6A3DB5}</x14:id>
        </ext>
      </extLst>
    </cfRule>
  </conditionalFormatting>
  <conditionalFormatting sqref="Z3:AB8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{73EBC57E-A17C-48C0-B0AC-0C1214FD2D70}</x14:id>
        </ext>
      </extLst>
    </cfRule>
  </conditionalFormatting>
  <conditionalFormatting sqref="AD3:AD8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{1EB714FB-A3C0-49AD-ADED-DFB4A02D3A3A}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72" orientation="landscape" horizontalDpi="300" verticalDpi="300" r:id="rId2"/>
  <rowBreaks count="1" manualBreakCount="1">
    <brk id="41" max="29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5A1D33D-0B0B-4601-B16C-F9A5FF6A3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Q3:W83</xm:sqref>
        </x14:conditionalFormatting>
        <x14:conditionalFormatting xmlns:xm="http://schemas.microsoft.com/office/excel/2006/main">
          <x14:cfRule type="dataBar" id="{73EBC57E-A17C-48C0-B0AC-0C1214FD2D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Z3:AB82</xm:sqref>
        </x14:conditionalFormatting>
        <x14:conditionalFormatting xmlns:xm="http://schemas.microsoft.com/office/excel/2006/main">
          <x14:cfRule type="dataBar" id="{1EB714FB-A3C0-49AD-ADED-DFB4A02D3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AD3:AD83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BD</vt:lpstr>
      <vt:lpstr>Despacho_01_20260702</vt:lpstr>
      <vt:lpstr>Despacho_02_20260722</vt:lpstr>
      <vt:lpstr>Despacho_03_20260728</vt:lpstr>
      <vt:lpstr>Despacho_04_20260728</vt:lpstr>
      <vt:lpstr>Despacho_05_20260810</vt:lpstr>
      <vt:lpstr>Acumulado</vt:lpstr>
      <vt:lpstr>Detalle</vt:lpstr>
      <vt:lpstr>BD!Área_de_impresión</vt:lpstr>
      <vt:lpstr>Detalle!Área_de_impresión</vt:lpstr>
      <vt:lpstr>BD!Títulos_a_imprimir</vt:lpstr>
      <vt:lpstr>Detalle!Títulos_a_imprimir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Moena</dc:creator>
  <cp:lastModifiedBy>Felipe Moena</cp:lastModifiedBy>
  <cp:lastPrinted>2026-07-31T15:47:25Z</cp:lastPrinted>
  <dcterms:created xsi:type="dcterms:W3CDTF">2026-06-26T19:07:07Z</dcterms:created>
  <dcterms:modified xsi:type="dcterms:W3CDTF">2026-08-07T18:57:39Z</dcterms:modified>
</cp:coreProperties>
</file>